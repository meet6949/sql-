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E:\my\excel\"/>
    </mc:Choice>
  </mc:AlternateContent>
  <xr:revisionPtr revIDLastSave="0" documentId="13_ncr:1_{0903246D-D882-4BBF-A7EE-691DCF4FA153}" xr6:coauthVersionLast="47" xr6:coauthVersionMax="47" xr10:uidLastSave="{00000000-0000-0000-0000-000000000000}"/>
  <bookViews>
    <workbookView xWindow="-108" yWindow="-108" windowWidth="23256" windowHeight="12456" firstSheet="3" activeTab="6" xr2:uid="{00000000-000D-0000-FFFF-FFFF00000000}"/>
  </bookViews>
  <sheets>
    <sheet name="Project Instructions" sheetId="1" r:id="rId1"/>
    <sheet name="Final Project Dataset" sheetId="2" r:id="rId2"/>
    <sheet name="High value customer" sheetId="5" r:id="rId3"/>
    <sheet name="Filter" sheetId="4" r:id="rId4"/>
    <sheet name="liner regression" sheetId="3" r:id="rId5"/>
    <sheet name="Pivot table and chart" sheetId="7" r:id="rId6"/>
    <sheet name="Dashboard" sheetId="10" r:id="rId7"/>
  </sheets>
  <definedNames>
    <definedName name="_xlnm._FilterDatabase" localSheetId="1" hidden="1">'Final Project Dataset'!$A$1:$AE$1</definedName>
    <definedName name="NativeTimeline_Date">#N/A</definedName>
    <definedName name="Slicer_Region">#N/A</definedName>
  </definedNames>
  <calcPr calcId="191029"/>
  <pivotCaches>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2" l="1"/>
  <c r="Y2" i="2"/>
  <c r="X2" i="2"/>
  <c r="X30" i="2" l="1"/>
  <c r="X31" i="2"/>
  <c r="X32" i="2"/>
  <c r="X33" i="2"/>
  <c r="X34" i="2"/>
  <c r="X35" i="2"/>
  <c r="X36" i="2"/>
  <c r="X37" i="2"/>
  <c r="X38" i="2"/>
  <c r="A2" i="5" a="1"/>
  <c r="A2" i="5" s="1"/>
  <c r="Q2"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O3" i="2"/>
  <c r="P3" i="2" s="1"/>
  <c r="O4" i="2"/>
  <c r="P4" i="2" s="1"/>
  <c r="O5" i="2"/>
  <c r="P5" i="2" s="1"/>
  <c r="O6" i="2"/>
  <c r="P6" i="2" s="1"/>
  <c r="O7" i="2"/>
  <c r="P7" i="2" s="1"/>
  <c r="O8" i="2"/>
  <c r="P8" i="2" s="1"/>
  <c r="O9" i="2"/>
  <c r="P9" i="2" s="1"/>
  <c r="O10" i="2"/>
  <c r="P10" i="2" s="1"/>
  <c r="O11" i="2"/>
  <c r="P11" i="2" s="1"/>
  <c r="O12" i="2"/>
  <c r="P12" i="2" s="1"/>
  <c r="O13" i="2"/>
  <c r="P13" i="2" s="1"/>
  <c r="O14" i="2"/>
  <c r="P14" i="2" s="1"/>
  <c r="O15" i="2"/>
  <c r="P15" i="2" s="1"/>
  <c r="O16" i="2"/>
  <c r="P16" i="2" s="1"/>
  <c r="O17" i="2"/>
  <c r="P17" i="2" s="1"/>
  <c r="O18" i="2"/>
  <c r="P18" i="2" s="1"/>
  <c r="O19" i="2"/>
  <c r="P19" i="2" s="1"/>
  <c r="O20" i="2"/>
  <c r="P20" i="2" s="1"/>
  <c r="O21" i="2"/>
  <c r="P21" i="2" s="1"/>
  <c r="O22" i="2"/>
  <c r="P22" i="2" s="1"/>
  <c r="O23" i="2"/>
  <c r="P23" i="2" s="1"/>
  <c r="O24" i="2"/>
  <c r="P24" i="2" s="1"/>
  <c r="O25" i="2"/>
  <c r="P25" i="2" s="1"/>
  <c r="O26" i="2"/>
  <c r="P26" i="2" s="1"/>
  <c r="O27" i="2"/>
  <c r="P27" i="2" s="1"/>
  <c r="O28" i="2"/>
  <c r="P28" i="2" s="1"/>
  <c r="O29" i="2"/>
  <c r="P29" i="2" s="1"/>
  <c r="O30" i="2"/>
  <c r="P30" i="2" s="1"/>
  <c r="O31" i="2"/>
  <c r="P31" i="2" s="1"/>
  <c r="O32" i="2"/>
  <c r="P32" i="2" s="1"/>
  <c r="O33" i="2"/>
  <c r="P33" i="2" s="1"/>
  <c r="O34" i="2"/>
  <c r="P34" i="2" s="1"/>
  <c r="O35" i="2"/>
  <c r="P35" i="2" s="1"/>
  <c r="O36" i="2"/>
  <c r="P36" i="2" s="1"/>
  <c r="O37" i="2"/>
  <c r="P37" i="2" s="1"/>
  <c r="O38" i="2"/>
  <c r="P38" i="2" s="1"/>
  <c r="O39" i="2"/>
  <c r="P39" i="2" s="1"/>
  <c r="O40" i="2"/>
  <c r="P40" i="2" s="1"/>
  <c r="O41" i="2"/>
  <c r="P41" i="2" s="1"/>
  <c r="O42" i="2"/>
  <c r="P42" i="2" s="1"/>
  <c r="O43" i="2"/>
  <c r="P43" i="2" s="1"/>
  <c r="O44" i="2"/>
  <c r="P44" i="2" s="1"/>
  <c r="O45" i="2"/>
  <c r="P45" i="2" s="1"/>
  <c r="O46" i="2"/>
  <c r="P46" i="2" s="1"/>
  <c r="O47" i="2"/>
  <c r="P47" i="2" s="1"/>
  <c r="O48" i="2"/>
  <c r="P48" i="2" s="1"/>
  <c r="O49" i="2"/>
  <c r="P49" i="2" s="1"/>
  <c r="O50" i="2"/>
  <c r="P50" i="2" s="1"/>
  <c r="O51" i="2"/>
  <c r="P51" i="2" s="1"/>
  <c r="O52" i="2"/>
  <c r="P52" i="2" s="1"/>
  <c r="O53" i="2"/>
  <c r="P53" i="2" s="1"/>
  <c r="O54" i="2"/>
  <c r="P54" i="2" s="1"/>
  <c r="O55" i="2"/>
  <c r="P55" i="2" s="1"/>
  <c r="O56" i="2"/>
  <c r="P56" i="2" s="1"/>
  <c r="O57" i="2"/>
  <c r="P57" i="2" s="1"/>
  <c r="O58" i="2"/>
  <c r="P58" i="2" s="1"/>
  <c r="O59" i="2"/>
  <c r="P59" i="2" s="1"/>
  <c r="O60" i="2"/>
  <c r="P60" i="2" s="1"/>
  <c r="O61" i="2"/>
  <c r="P61" i="2" s="1"/>
  <c r="O62" i="2"/>
  <c r="P62" i="2" s="1"/>
  <c r="O63" i="2"/>
  <c r="P63" i="2" s="1"/>
  <c r="O64" i="2"/>
  <c r="P64" i="2" s="1"/>
  <c r="O65" i="2"/>
  <c r="P65" i="2" s="1"/>
  <c r="O66" i="2"/>
  <c r="P66" i="2" s="1"/>
  <c r="O67" i="2"/>
  <c r="P67" i="2" s="1"/>
  <c r="O68" i="2"/>
  <c r="P68" i="2" s="1"/>
  <c r="O69" i="2"/>
  <c r="P69" i="2" s="1"/>
  <c r="O70" i="2"/>
  <c r="P70" i="2" s="1"/>
  <c r="O71" i="2"/>
  <c r="P71" i="2" s="1"/>
  <c r="O72" i="2"/>
  <c r="P72" i="2" s="1"/>
  <c r="O73" i="2"/>
  <c r="P73" i="2" s="1"/>
  <c r="O74" i="2"/>
  <c r="P74" i="2" s="1"/>
  <c r="O75" i="2"/>
  <c r="P75" i="2" s="1"/>
  <c r="O76" i="2"/>
  <c r="P76" i="2" s="1"/>
  <c r="O77" i="2"/>
  <c r="P77" i="2" s="1"/>
  <c r="O78" i="2"/>
  <c r="P78" i="2" s="1"/>
  <c r="O79" i="2"/>
  <c r="P79" i="2" s="1"/>
  <c r="O80" i="2"/>
  <c r="P80" i="2" s="1"/>
  <c r="O81" i="2"/>
  <c r="P81" i="2" s="1"/>
  <c r="O82" i="2"/>
  <c r="P82" i="2" s="1"/>
  <c r="O83" i="2"/>
  <c r="P83" i="2" s="1"/>
  <c r="O84" i="2"/>
  <c r="P84" i="2" s="1"/>
  <c r="O85" i="2"/>
  <c r="P85" i="2" s="1"/>
  <c r="O86" i="2"/>
  <c r="P86" i="2" s="1"/>
  <c r="O87" i="2"/>
  <c r="P87" i="2" s="1"/>
  <c r="O88" i="2"/>
  <c r="P88" i="2" s="1"/>
  <c r="O89" i="2"/>
  <c r="P89" i="2" s="1"/>
  <c r="O90" i="2"/>
  <c r="P90" i="2" s="1"/>
  <c r="O91" i="2"/>
  <c r="P91" i="2" s="1"/>
  <c r="O92" i="2"/>
  <c r="P92" i="2" s="1"/>
  <c r="O93" i="2"/>
  <c r="P93" i="2" s="1"/>
  <c r="O94" i="2"/>
  <c r="P94" i="2" s="1"/>
  <c r="O95" i="2"/>
  <c r="P95" i="2" s="1"/>
  <c r="O96" i="2"/>
  <c r="P96" i="2" s="1"/>
  <c r="O97" i="2"/>
  <c r="P97" i="2" s="1"/>
  <c r="O98" i="2"/>
  <c r="P98" i="2" s="1"/>
  <c r="O99" i="2"/>
  <c r="P99" i="2" s="1"/>
  <c r="O100" i="2"/>
  <c r="P100" i="2" s="1"/>
  <c r="O101" i="2"/>
  <c r="P101" i="2" s="1"/>
  <c r="O102" i="2"/>
  <c r="P102" i="2" s="1"/>
  <c r="O103" i="2"/>
  <c r="P103" i="2" s="1"/>
  <c r="O104" i="2"/>
  <c r="P104" i="2" s="1"/>
  <c r="O105" i="2"/>
  <c r="P105" i="2" s="1"/>
  <c r="O106" i="2"/>
  <c r="P106" i="2" s="1"/>
  <c r="O107" i="2"/>
  <c r="P107" i="2" s="1"/>
  <c r="O108" i="2"/>
  <c r="P108" i="2" s="1"/>
  <c r="O109" i="2"/>
  <c r="P109" i="2" s="1"/>
  <c r="O110" i="2"/>
  <c r="P110" i="2" s="1"/>
  <c r="O111" i="2"/>
  <c r="P111" i="2" s="1"/>
  <c r="O112" i="2"/>
  <c r="P112" i="2" s="1"/>
  <c r="O113" i="2"/>
  <c r="P113" i="2" s="1"/>
  <c r="O114" i="2"/>
  <c r="P114" i="2" s="1"/>
  <c r="O115" i="2"/>
  <c r="P115" i="2" s="1"/>
  <c r="O116" i="2"/>
  <c r="P116" i="2" s="1"/>
  <c r="O117" i="2"/>
  <c r="P117" i="2" s="1"/>
  <c r="O118" i="2"/>
  <c r="P118" i="2" s="1"/>
  <c r="O119" i="2"/>
  <c r="P119" i="2" s="1"/>
  <c r="O120" i="2"/>
  <c r="P120" i="2" s="1"/>
  <c r="O121" i="2"/>
  <c r="P121" i="2" s="1"/>
  <c r="O122" i="2"/>
  <c r="P122" i="2" s="1"/>
  <c r="O123" i="2"/>
  <c r="P123" i="2" s="1"/>
  <c r="O124" i="2"/>
  <c r="P124" i="2" s="1"/>
  <c r="O125" i="2"/>
  <c r="P125" i="2" s="1"/>
  <c r="O126" i="2"/>
  <c r="P126" i="2" s="1"/>
  <c r="O127" i="2"/>
  <c r="P127" i="2" s="1"/>
  <c r="O128" i="2"/>
  <c r="P128" i="2" s="1"/>
  <c r="O129" i="2"/>
  <c r="P129" i="2" s="1"/>
  <c r="O130" i="2"/>
  <c r="P130" i="2" s="1"/>
  <c r="O131" i="2"/>
  <c r="P131" i="2" s="1"/>
  <c r="O132" i="2"/>
  <c r="P132" i="2" s="1"/>
  <c r="O133" i="2"/>
  <c r="P133" i="2" s="1"/>
  <c r="O134" i="2"/>
  <c r="P134" i="2" s="1"/>
  <c r="O135" i="2"/>
  <c r="P135" i="2" s="1"/>
  <c r="O136" i="2"/>
  <c r="P136" i="2" s="1"/>
  <c r="O137" i="2"/>
  <c r="P137" i="2" s="1"/>
  <c r="O138" i="2"/>
  <c r="P138" i="2" s="1"/>
  <c r="O139" i="2"/>
  <c r="P139" i="2" s="1"/>
  <c r="O140" i="2"/>
  <c r="P140" i="2" s="1"/>
  <c r="O141" i="2"/>
  <c r="P141" i="2" s="1"/>
  <c r="O142" i="2"/>
  <c r="P142" i="2" s="1"/>
  <c r="O143" i="2"/>
  <c r="P143" i="2" s="1"/>
  <c r="O144" i="2"/>
  <c r="P144" i="2" s="1"/>
  <c r="O145" i="2"/>
  <c r="P145" i="2" s="1"/>
  <c r="O146" i="2"/>
  <c r="P146" i="2" s="1"/>
  <c r="O147" i="2"/>
  <c r="P147" i="2" s="1"/>
  <c r="O148" i="2"/>
  <c r="P148" i="2" s="1"/>
  <c r="O149" i="2"/>
  <c r="P149" i="2" s="1"/>
  <c r="O150" i="2"/>
  <c r="P150" i="2" s="1"/>
  <c r="O151" i="2"/>
  <c r="P151" i="2" s="1"/>
  <c r="O152" i="2"/>
  <c r="P152" i="2" s="1"/>
  <c r="O153" i="2"/>
  <c r="P153" i="2" s="1"/>
  <c r="O154" i="2"/>
  <c r="P154" i="2" s="1"/>
  <c r="O155" i="2"/>
  <c r="P155" i="2" s="1"/>
  <c r="O156" i="2"/>
  <c r="P156" i="2" s="1"/>
  <c r="O157" i="2"/>
  <c r="P157" i="2" s="1"/>
  <c r="O158" i="2"/>
  <c r="P158" i="2" s="1"/>
  <c r="O159" i="2"/>
  <c r="P159" i="2" s="1"/>
  <c r="O160" i="2"/>
  <c r="P160" i="2" s="1"/>
  <c r="O161" i="2"/>
  <c r="P161" i="2" s="1"/>
  <c r="O162" i="2"/>
  <c r="P162" i="2" s="1"/>
  <c r="O163" i="2"/>
  <c r="P163" i="2" s="1"/>
  <c r="O164" i="2"/>
  <c r="P164" i="2" s="1"/>
  <c r="O165" i="2"/>
  <c r="P165" i="2" s="1"/>
  <c r="O166" i="2"/>
  <c r="P166" i="2" s="1"/>
  <c r="O167" i="2"/>
  <c r="P167" i="2" s="1"/>
  <c r="O168" i="2"/>
  <c r="P168" i="2" s="1"/>
  <c r="O169" i="2"/>
  <c r="P169" i="2" s="1"/>
  <c r="O170" i="2"/>
  <c r="P170" i="2" s="1"/>
  <c r="O171" i="2"/>
  <c r="P171" i="2" s="1"/>
  <c r="O172" i="2"/>
  <c r="P172" i="2" s="1"/>
  <c r="O173" i="2"/>
  <c r="P173" i="2" s="1"/>
  <c r="O174" i="2"/>
  <c r="P174" i="2" s="1"/>
  <c r="O175" i="2"/>
  <c r="P175" i="2" s="1"/>
  <c r="O176" i="2"/>
  <c r="P176" i="2" s="1"/>
  <c r="O177" i="2"/>
  <c r="P177" i="2" s="1"/>
  <c r="O178" i="2"/>
  <c r="P178" i="2" s="1"/>
  <c r="O179" i="2"/>
  <c r="P179" i="2" s="1"/>
  <c r="O180" i="2"/>
  <c r="P180" i="2" s="1"/>
  <c r="O181" i="2"/>
  <c r="P181" i="2" s="1"/>
  <c r="O182" i="2"/>
  <c r="P182" i="2" s="1"/>
  <c r="O183" i="2"/>
  <c r="P183" i="2" s="1"/>
  <c r="O184" i="2"/>
  <c r="P184" i="2" s="1"/>
  <c r="O185" i="2"/>
  <c r="P185" i="2" s="1"/>
  <c r="O186" i="2"/>
  <c r="P186" i="2" s="1"/>
  <c r="O187" i="2"/>
  <c r="P187" i="2" s="1"/>
  <c r="O188" i="2"/>
  <c r="P188" i="2" s="1"/>
  <c r="O189" i="2"/>
  <c r="P189" i="2" s="1"/>
  <c r="O190" i="2"/>
  <c r="P190" i="2" s="1"/>
  <c r="O191" i="2"/>
  <c r="P191" i="2" s="1"/>
  <c r="O192" i="2"/>
  <c r="P192" i="2" s="1"/>
  <c r="O193" i="2"/>
  <c r="P193" i="2" s="1"/>
  <c r="O194" i="2"/>
  <c r="P194" i="2" s="1"/>
  <c r="O195" i="2"/>
  <c r="P195" i="2" s="1"/>
  <c r="O196" i="2"/>
  <c r="P196" i="2" s="1"/>
  <c r="O197" i="2"/>
  <c r="P197" i="2" s="1"/>
  <c r="O198" i="2"/>
  <c r="P198" i="2" s="1"/>
  <c r="O199" i="2"/>
  <c r="P199" i="2" s="1"/>
  <c r="O200" i="2"/>
  <c r="P200" i="2" s="1"/>
  <c r="O201" i="2"/>
  <c r="P201" i="2" s="1"/>
  <c r="O202" i="2"/>
  <c r="P202" i="2" s="1"/>
  <c r="O203" i="2"/>
  <c r="P203" i="2" s="1"/>
  <c r="O204" i="2"/>
  <c r="P204" i="2" s="1"/>
  <c r="O205" i="2"/>
  <c r="P205" i="2" s="1"/>
  <c r="O206" i="2"/>
  <c r="P206" i="2" s="1"/>
  <c r="O207" i="2"/>
  <c r="P207" i="2" s="1"/>
  <c r="O208" i="2"/>
  <c r="P208" i="2" s="1"/>
  <c r="O209" i="2"/>
  <c r="P209" i="2" s="1"/>
  <c r="O210" i="2"/>
  <c r="P210" i="2" s="1"/>
  <c r="O211" i="2"/>
  <c r="P211" i="2" s="1"/>
  <c r="O212" i="2"/>
  <c r="P212" i="2" s="1"/>
  <c r="O213" i="2"/>
  <c r="P213" i="2" s="1"/>
  <c r="O214" i="2"/>
  <c r="P214" i="2" s="1"/>
  <c r="O215" i="2"/>
  <c r="P215" i="2" s="1"/>
  <c r="O216" i="2"/>
  <c r="P216" i="2" s="1"/>
  <c r="O217" i="2"/>
  <c r="P217" i="2" s="1"/>
  <c r="O218" i="2"/>
  <c r="P218" i="2" s="1"/>
  <c r="O219" i="2"/>
  <c r="P219" i="2" s="1"/>
  <c r="O220" i="2"/>
  <c r="P220" i="2" s="1"/>
  <c r="O221" i="2"/>
  <c r="P221" i="2" s="1"/>
  <c r="O222" i="2"/>
  <c r="P222" i="2" s="1"/>
  <c r="O223" i="2"/>
  <c r="P223" i="2" s="1"/>
  <c r="O224" i="2"/>
  <c r="P224" i="2" s="1"/>
  <c r="O225" i="2"/>
  <c r="P225" i="2" s="1"/>
  <c r="O226" i="2"/>
  <c r="P226" i="2" s="1"/>
  <c r="O227" i="2"/>
  <c r="P227" i="2" s="1"/>
  <c r="O228" i="2"/>
  <c r="P228" i="2" s="1"/>
  <c r="O229" i="2"/>
  <c r="P229" i="2" s="1"/>
  <c r="O230" i="2"/>
  <c r="P230" i="2" s="1"/>
  <c r="O231" i="2"/>
  <c r="P231" i="2" s="1"/>
  <c r="O232" i="2"/>
  <c r="P232" i="2" s="1"/>
  <c r="O233" i="2"/>
  <c r="P233" i="2" s="1"/>
  <c r="O234" i="2"/>
  <c r="P234" i="2" s="1"/>
  <c r="O235" i="2"/>
  <c r="P235" i="2" s="1"/>
  <c r="O236" i="2"/>
  <c r="P236" i="2" s="1"/>
  <c r="O237" i="2"/>
  <c r="P237" i="2" s="1"/>
  <c r="O238" i="2"/>
  <c r="P238" i="2" s="1"/>
  <c r="O239" i="2"/>
  <c r="P239" i="2" s="1"/>
  <c r="O240" i="2"/>
  <c r="P240" i="2" s="1"/>
  <c r="O241" i="2"/>
  <c r="P241" i="2" s="1"/>
  <c r="O242" i="2"/>
  <c r="P242" i="2" s="1"/>
  <c r="O243" i="2"/>
  <c r="P243" i="2" s="1"/>
  <c r="O244" i="2"/>
  <c r="P244" i="2" s="1"/>
  <c r="O245" i="2"/>
  <c r="P245" i="2" s="1"/>
  <c r="O246" i="2"/>
  <c r="P246" i="2" s="1"/>
  <c r="O247" i="2"/>
  <c r="P247" i="2" s="1"/>
  <c r="O248" i="2"/>
  <c r="P248" i="2" s="1"/>
  <c r="O249" i="2"/>
  <c r="P249" i="2" s="1"/>
  <c r="O250" i="2"/>
  <c r="P250" i="2" s="1"/>
  <c r="O251" i="2"/>
  <c r="P251" i="2" s="1"/>
  <c r="O2" i="2"/>
  <c r="P2" i="2" s="1"/>
  <c r="B2" i="4" a="1"/>
  <c r="W15" i="2"/>
  <c r="W22" i="2"/>
  <c r="W3" i="2"/>
  <c r="W2" i="2"/>
  <c r="W4" i="2" s="1"/>
  <c r="V26" i="2" l="1"/>
  <c r="B3" i="5"/>
  <c r="C3" i="5" s="1"/>
  <c r="B6" i="5"/>
  <c r="C6" i="5" s="1"/>
  <c r="B8" i="5"/>
  <c r="C8" i="5" s="1"/>
  <c r="B9" i="5"/>
  <c r="C9" i="5" s="1"/>
  <c r="B12" i="5"/>
  <c r="C12" i="5" s="1"/>
  <c r="B13" i="5"/>
  <c r="C13" i="5" s="1"/>
  <c r="B15" i="5"/>
  <c r="C15" i="5" s="1"/>
  <c r="B17" i="5"/>
  <c r="C17" i="5" s="1"/>
  <c r="B21" i="5"/>
  <c r="C21" i="5" s="1"/>
  <c r="B23" i="5"/>
  <c r="C23" i="5" s="1"/>
  <c r="B25" i="5"/>
  <c r="C25" i="5" s="1"/>
  <c r="B28" i="5"/>
  <c r="C28" i="5" s="1"/>
  <c r="B30" i="5"/>
  <c r="C30" i="5" s="1"/>
  <c r="B32" i="5"/>
  <c r="C32" i="5" s="1"/>
  <c r="B33" i="5"/>
  <c r="C33" i="5" s="1"/>
  <c r="B36" i="5"/>
  <c r="C36" i="5" s="1"/>
  <c r="B38" i="5"/>
  <c r="C38" i="5" s="1"/>
  <c r="B40" i="5"/>
  <c r="C40" i="5" s="1"/>
  <c r="B43" i="5"/>
  <c r="C43" i="5" s="1"/>
  <c r="B46" i="5"/>
  <c r="C46" i="5" s="1"/>
  <c r="B49" i="5"/>
  <c r="C49" i="5" s="1"/>
  <c r="B4" i="5"/>
  <c r="C4" i="5" s="1"/>
  <c r="B5" i="5"/>
  <c r="C5" i="5" s="1"/>
  <c r="B7" i="5"/>
  <c r="C7" i="5" s="1"/>
  <c r="B10" i="5"/>
  <c r="C10" i="5" s="1"/>
  <c r="B11" i="5"/>
  <c r="C11" i="5" s="1"/>
  <c r="B14" i="5"/>
  <c r="C14" i="5" s="1"/>
  <c r="B16" i="5"/>
  <c r="C16" i="5" s="1"/>
  <c r="B18" i="5"/>
  <c r="C18" i="5" s="1"/>
  <c r="B20" i="5"/>
  <c r="C20" i="5" s="1"/>
  <c r="B22" i="5"/>
  <c r="C22" i="5" s="1"/>
  <c r="B24" i="5"/>
  <c r="C24" i="5" s="1"/>
  <c r="B26" i="5"/>
  <c r="C26" i="5" s="1"/>
  <c r="B27" i="5"/>
  <c r="C27" i="5" s="1"/>
  <c r="B29" i="5"/>
  <c r="C29" i="5" s="1"/>
  <c r="B31" i="5"/>
  <c r="C31" i="5" s="1"/>
  <c r="B34" i="5"/>
  <c r="C34" i="5" s="1"/>
  <c r="B35" i="5"/>
  <c r="C35" i="5" s="1"/>
  <c r="B37" i="5"/>
  <c r="C37" i="5" s="1"/>
  <c r="B39" i="5"/>
  <c r="C39" i="5" s="1"/>
  <c r="B42" i="5"/>
  <c r="C42" i="5" s="1"/>
  <c r="B44" i="5"/>
  <c r="C44" i="5" s="1"/>
  <c r="B47" i="5"/>
  <c r="C47" i="5" s="1"/>
  <c r="B50" i="5"/>
  <c r="C50" i="5" s="1"/>
  <c r="B19" i="5"/>
  <c r="C19" i="5" s="1"/>
  <c r="B41" i="5"/>
  <c r="C41" i="5" s="1"/>
  <c r="B45" i="5"/>
  <c r="C45" i="5" s="1"/>
  <c r="B48" i="5"/>
  <c r="C48" i="5" s="1"/>
  <c r="B51" i="5"/>
  <c r="C51" i="5" s="1"/>
  <c r="B2" i="5"/>
  <c r="C2" i="5" s="1"/>
  <c r="B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<sst xmlns="http://schemas.openxmlformats.org/spreadsheetml/2006/main" count="2392" uniqueCount="675">
  <si>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</si>
  <si>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</si>
  <si>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</si>
  <si>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</si>
  <si>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</si>
  <si>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</si>
  <si>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</si>
  <si>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</si>
  <si>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</si>
  <si>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</si>
  <si>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</si>
  <si>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</si>
  <si>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</si>
  <si>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</si>
  <si>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</si>
  <si>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</si>
  <si>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Paul Baker</t>
  </si>
  <si>
    <t>P009</t>
  </si>
  <si>
    <t>Monitor</t>
  </si>
  <si>
    <t>Electronics</t>
  </si>
  <si>
    <t>Cash</t>
  </si>
  <si>
    <t>Central</t>
  </si>
  <si>
    <t>Basic</t>
  </si>
  <si>
    <t>TRX0023</t>
  </si>
  <si>
    <t>Joseph Jackson</t>
  </si>
  <si>
    <t>Credit Card</t>
  </si>
  <si>
    <t>Premium</t>
  </si>
  <si>
    <t>TRX0139</t>
  </si>
  <si>
    <t>Kevin Scott</t>
  </si>
  <si>
    <t>P005</t>
  </si>
  <si>
    <t>Blender</t>
  </si>
  <si>
    <t>Appliances</t>
  </si>
  <si>
    <t>PayPal</t>
  </si>
  <si>
    <t>South</t>
  </si>
  <si>
    <t>Standard</t>
  </si>
  <si>
    <t>TRX0043</t>
  </si>
  <si>
    <t>Kathleen Bennett</t>
  </si>
  <si>
    <t>North</t>
  </si>
  <si>
    <t>TRX0212</t>
  </si>
  <si>
    <t>Michael Brown</t>
  </si>
  <si>
    <t>P008</t>
  </si>
  <si>
    <t>Bookshelf</t>
  </si>
  <si>
    <t>Furniture</t>
  </si>
  <si>
    <t>TRX0092</t>
  </si>
  <si>
    <t>Dorothy Nelson</t>
  </si>
  <si>
    <t>West</t>
  </si>
  <si>
    <t>TRX0193</t>
  </si>
  <si>
    <t>P003</t>
  </si>
  <si>
    <t>Headphones</t>
  </si>
  <si>
    <t>TRX0240</t>
  </si>
  <si>
    <t>Charles Allen</t>
  </si>
  <si>
    <t>Debit Card</t>
  </si>
  <si>
    <t>TRX0135</t>
  </si>
  <si>
    <t>Robert Thomas</t>
  </si>
  <si>
    <t>P001</t>
  </si>
  <si>
    <t>Laptop</t>
  </si>
  <si>
    <t>East</t>
  </si>
  <si>
    <t>TRX0185</t>
  </si>
  <si>
    <t>Karen Hill</t>
  </si>
  <si>
    <t>TRX0138</t>
  </si>
  <si>
    <t>Susan Green</t>
  </si>
  <si>
    <t>TRX0209</t>
  </si>
  <si>
    <t>TRX0246</t>
  </si>
  <si>
    <t>Peter Richardson</t>
  </si>
  <si>
    <t>TRX0067</t>
  </si>
  <si>
    <t>Dennis Gray</t>
  </si>
  <si>
    <t>TRX0191</t>
  </si>
  <si>
    <t>Michelle Rogers</t>
  </si>
  <si>
    <t>P002</t>
  </si>
  <si>
    <t>Smartphone</t>
  </si>
  <si>
    <t>TRX0230</t>
  </si>
  <si>
    <t>George Adams</t>
  </si>
  <si>
    <t>TRX0049</t>
  </si>
  <si>
    <t>Mark Carter</t>
  </si>
  <si>
    <t>TRX0134</t>
  </si>
  <si>
    <t>Maria Garcia</t>
  </si>
  <si>
    <t>TRX0122</t>
  </si>
  <si>
    <t>TRX0222</t>
  </si>
  <si>
    <t>Virginia Sanders</t>
  </si>
  <si>
    <t>TRX0231</t>
  </si>
  <si>
    <t>Barbara Young</t>
  </si>
  <si>
    <t>TRX0239</t>
  </si>
  <si>
    <t>Patricia Moore</t>
  </si>
  <si>
    <t>TRX0204</t>
  </si>
  <si>
    <t>Cynthia Price</t>
  </si>
  <si>
    <t>TRX0242</t>
  </si>
  <si>
    <t>P007</t>
  </si>
  <si>
    <t>Desk</t>
  </si>
  <si>
    <t>TRX0071</t>
  </si>
  <si>
    <t>Nancy Collins</t>
  </si>
  <si>
    <t>TRX0040</t>
  </si>
  <si>
    <t>TRX0235</t>
  </si>
  <si>
    <t>Linda Martin</t>
  </si>
  <si>
    <t>P004</t>
  </si>
  <si>
    <t>Coffee Maker</t>
  </si>
  <si>
    <t>TRX0004</t>
  </si>
  <si>
    <t>P010</t>
  </si>
  <si>
    <t>Keyboard</t>
  </si>
  <si>
    <t>TRX0063</t>
  </si>
  <si>
    <t>Helen Roberts</t>
  </si>
  <si>
    <t>TRX0241</t>
  </si>
  <si>
    <t>Edward Mitchell</t>
  </si>
  <si>
    <t>TRX0029</t>
  </si>
  <si>
    <t>P006</t>
  </si>
  <si>
    <t>Office Chair</t>
  </si>
  <si>
    <t>TRX0194</t>
  </si>
  <si>
    <t>Lisa Anderson</t>
  </si>
  <si>
    <t>TRX0130</t>
  </si>
  <si>
    <t>Emma Wilson</t>
  </si>
  <si>
    <t>TRX0041</t>
  </si>
  <si>
    <t>TRX0232</t>
  </si>
  <si>
    <t>TRX0021</t>
  </si>
  <si>
    <t>TRX0245</t>
  </si>
  <si>
    <t>Steven Turner</t>
  </si>
  <si>
    <t>TRX0015</t>
  </si>
  <si>
    <t>Jennifer Taylor</t>
  </si>
  <si>
    <t>TRX0202</t>
  </si>
  <si>
    <t>Harry Morgan</t>
  </si>
  <si>
    <t>TRX0042</t>
  </si>
  <si>
    <t>Daniel King</t>
  </si>
  <si>
    <t>TRX0128</t>
  </si>
  <si>
    <t>Sharon Butler</t>
  </si>
  <si>
    <t>TRX0117</t>
  </si>
  <si>
    <t>TRX0208</t>
  </si>
  <si>
    <t>Sarah Davis</t>
  </si>
  <si>
    <t>TRX0234</t>
  </si>
  <si>
    <t>TRX0121</t>
  </si>
  <si>
    <t>Betty Campbell</t>
  </si>
  <si>
    <t>TRX0220</t>
  </si>
  <si>
    <t>TRX0093</t>
  </si>
  <si>
    <t>Julie Foster</t>
  </si>
  <si>
    <t>TRX0088</t>
  </si>
  <si>
    <t>TRX0115</t>
  </si>
  <si>
    <t>TRX0154</t>
  </si>
  <si>
    <t>TRX0044</t>
  </si>
  <si>
    <t>TRX0061</t>
  </si>
  <si>
    <t>TRX0150</t>
  </si>
  <si>
    <t>TRX0025</t>
  </si>
  <si>
    <t>Raymond Ross</t>
  </si>
  <si>
    <t>TRX0078</t>
  </si>
  <si>
    <t>TRX0007</t>
  </si>
  <si>
    <t>TRX0184</t>
  </si>
  <si>
    <t>TRX0104</t>
  </si>
  <si>
    <t>TRX0127</t>
  </si>
  <si>
    <t>TRX0096</t>
  </si>
  <si>
    <t>TRX0192</t>
  </si>
  <si>
    <t>TRX0052</t>
  </si>
  <si>
    <t>TRX0070</t>
  </si>
  <si>
    <t>David Martinez</t>
  </si>
  <si>
    <t>TRX0086</t>
  </si>
  <si>
    <t>Margaret Wright</t>
  </si>
  <si>
    <t>TRX0113</t>
  </si>
  <si>
    <t>TRX0114</t>
  </si>
  <si>
    <t>TRX0136</t>
  </si>
  <si>
    <t>TRX0018</t>
  </si>
  <si>
    <t>TRX0141</t>
  </si>
  <si>
    <t>Frank Torres</t>
  </si>
  <si>
    <t>TRX0097</t>
  </si>
  <si>
    <t>TRX0169</t>
  </si>
  <si>
    <t>Gerald Murphy</t>
  </si>
  <si>
    <t>TRX0216</t>
  </si>
  <si>
    <t>TRX0131</t>
  </si>
  <si>
    <t>TRX0162</t>
  </si>
  <si>
    <t>TRX0244</t>
  </si>
  <si>
    <t>TRX0006</t>
  </si>
  <si>
    <t>TRX0215</t>
  </si>
  <si>
    <t>TRX0080</t>
  </si>
  <si>
    <t>TRX0228</t>
  </si>
  <si>
    <t>TRX0157</t>
  </si>
  <si>
    <t>TRX0002</t>
  </si>
  <si>
    <t>TRX0217</t>
  </si>
  <si>
    <t>TRX0249</t>
  </si>
  <si>
    <t>TRX0065</t>
  </si>
  <si>
    <t>Elizabeth Hall</t>
  </si>
  <si>
    <t>TRX0176</t>
  </si>
  <si>
    <t>TRX0101</t>
  </si>
  <si>
    <t>TRX0205</t>
  </si>
  <si>
    <t>TRX0020</t>
  </si>
  <si>
    <t>TRX0075</t>
  </si>
  <si>
    <t>TRX0098</t>
  </si>
  <si>
    <t>TRX0247</t>
  </si>
  <si>
    <t>TRX0027</t>
  </si>
  <si>
    <t>TRX0140</t>
  </si>
  <si>
    <t>TRX0132</t>
  </si>
  <si>
    <t>TRX0031</t>
  </si>
  <si>
    <t>TRX0236</t>
  </si>
  <si>
    <t>TRX0001</t>
  </si>
  <si>
    <t>Lawrence Reed</t>
  </si>
  <si>
    <t>TRX0037</t>
  </si>
  <si>
    <t>TRX0058</t>
  </si>
  <si>
    <t>TRX0170</t>
  </si>
  <si>
    <t>Carol Evans</t>
  </si>
  <si>
    <t>TRX0248</t>
  </si>
  <si>
    <t>Sandra Phillips</t>
  </si>
  <si>
    <t>TRX0099</t>
  </si>
  <si>
    <t>TRX0074</t>
  </si>
  <si>
    <t>TRX0225</t>
  </si>
  <si>
    <t>TRX0100</t>
  </si>
  <si>
    <t>TRX0142</t>
  </si>
  <si>
    <t>TRX0112</t>
  </si>
  <si>
    <t>TRX0161</t>
  </si>
  <si>
    <t>TRX0108</t>
  </si>
  <si>
    <t>TRX0211</t>
  </si>
  <si>
    <t>TRX0005</t>
  </si>
  <si>
    <t>Ruth Brooks</t>
  </si>
  <si>
    <t>TRX0195</t>
  </si>
  <si>
    <t>TRX0054</t>
  </si>
  <si>
    <t>TRX0077</t>
  </si>
  <si>
    <t>TRX0111</t>
  </si>
  <si>
    <t>William White</t>
  </si>
  <si>
    <t>TRX0123</t>
  </si>
  <si>
    <t>TRX0177</t>
  </si>
  <si>
    <t>TRX0119</t>
  </si>
  <si>
    <t>TRX0181</t>
  </si>
  <si>
    <t>TRX0129</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</si>
  <si>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</si>
  <si>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</si>
  <si>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</si>
  <si>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</si>
  <si>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</si>
  <si>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</si>
  <si>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</si>
  <si>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</si>
  <si>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</si>
  <si>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</si>
  <si>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</si>
  <si>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</si>
  <si>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</si>
  <si>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</si>
  <si>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</si>
  <si>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</si>
  <si>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</si>
  <si>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</si>
  <si>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</si>
  <si>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</si>
  <si>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</si>
  <si>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</si>
  <si>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</si>
  <si>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</si>
  <si>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</si>
  <si>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</si>
  <si>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</si>
  <si>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</si>
  <si>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</si>
  <si>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</si>
  <si>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</si>
  <si>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</si>
  <si>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</si>
  <si>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Douglas Watson</t>
  </si>
  <si>
    <t>TRX0206</t>
  </si>
  <si>
    <t>TRX0045</t>
  </si>
  <si>
    <t>TRX0094</t>
  </si>
  <si>
    <t>TRX0133</t>
  </si>
  <si>
    <t>TRX0201</t>
  </si>
  <si>
    <t>TRX0137</t>
  </si>
  <si>
    <t>TRX0066</t>
  </si>
  <si>
    <t>TRX0180</t>
  </si>
  <si>
    <t>TRX0082</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</si>
  <si>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</si>
  <si>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</si>
  <si>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</si>
  <si>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</si>
  <si>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</si>
  <si>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</si>
  <si>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</si>
  <si>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</si>
  <si>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</si>
  <si>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</si>
  <si>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</si>
  <si>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</si>
  <si>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</si>
  <si>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</si>
  <si>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</si>
  <si>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</si>
  <si>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</si>
  <si>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</si>
  <si>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</si>
  <si>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</si>
  <si>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</si>
  <si>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</si>
  <si>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</si>
  <si>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</si>
  <si>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</si>
  <si>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</si>
  <si>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</si>
  <si>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</si>
  <si>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</si>
  <si>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</si>
  <si>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</si>
  <si>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</si>
  <si>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</si>
  <si>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</si>
  <si>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</si>
  <si>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</si>
  <si>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</si>
  <si>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</si>
  <si>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</si>
  <si>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</si>
  <si>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</si>
  <si>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</si>
  <si>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</si>
  <si>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</si>
  <si>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</si>
  <si>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</si>
  <si>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</si>
  <si>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</si>
  <si>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</si>
  <si>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</si>
  <si>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</si>
  <si>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</si>
  <si>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</si>
  <si>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</si>
  <si>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</si>
  <si>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</si>
  <si>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</si>
  <si>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</si>
  <si>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</si>
  <si>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</si>
  <si>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</si>
  <si>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</si>
  <si>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</si>
  <si>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</si>
  <si>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</si>
  <si>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</si>
  <si>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</si>
  <si>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</si>
  <si>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</si>
  <si>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</si>
  <si>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</si>
  <si>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</si>
  <si>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</si>
  <si>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</si>
  <si>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</si>
  <si>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</si>
  <si>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</si>
  <si>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</si>
  <si>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</si>
  <si>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</si>
  <si>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John Smith</t>
  </si>
  <si>
    <t>TRX0152</t>
  </si>
  <si>
    <t>TRX0213</t>
  </si>
  <si>
    <t>TRX0197</t>
  </si>
  <si>
    <t>TRX0250</t>
  </si>
  <si>
    <t>TRX0068</t>
  </si>
  <si>
    <t>TRX0144</t>
  </si>
  <si>
    <t>TRX0039</t>
  </si>
  <si>
    <t>TRX0116</t>
  </si>
  <si>
    <t>TRX0120</t>
  </si>
  <si>
    <t>TRX0103</t>
  </si>
  <si>
    <t>TRX0064</t>
  </si>
  <si>
    <t>Today</t>
  </si>
  <si>
    <t>Now</t>
  </si>
  <si>
    <t>Eomonth</t>
  </si>
  <si>
    <t>Time Stamp</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</si>
  <si>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</si>
  <si>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</si>
  <si>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</si>
  <si>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</si>
  <si>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</si>
  <si>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</si>
  <si>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</si>
  <si>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</si>
  <si>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</si>
  <si>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</si>
  <si>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</si>
  <si>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</si>
  <si>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</si>
  <si>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</si>
  <si>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</si>
  <si>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</si>
  <si>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</si>
  <si>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</si>
  <si>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</si>
  <si>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</si>
  <si>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</si>
  <si>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</si>
  <si>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</si>
  <si>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</si>
  <si>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</si>
  <si>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Unit Price</t>
  </si>
  <si>
    <t>Qty</t>
  </si>
  <si>
    <t>Total Amount</t>
  </si>
  <si>
    <t>WHAT IF ( Scenario Manager )</t>
  </si>
  <si>
    <t>WHAT IF ( Goal Seek )</t>
  </si>
  <si>
    <t>DATE &amp; TIME FUNCTION</t>
  </si>
  <si>
    <t>CUST01</t>
  </si>
  <si>
    <t>CUST02</t>
  </si>
  <si>
    <t>CUST03</t>
  </si>
  <si>
    <t>CUST04</t>
  </si>
  <si>
    <t>CUST05</t>
  </si>
  <si>
    <t>CUST06</t>
  </si>
  <si>
    <t>CUST07</t>
  </si>
  <si>
    <t>CUST08</t>
  </si>
  <si>
    <t>CUST09</t>
  </si>
  <si>
    <t>CUST10</t>
  </si>
  <si>
    <t>CUST11</t>
  </si>
  <si>
    <t>CUST12</t>
  </si>
  <si>
    <t>CUST13</t>
  </si>
  <si>
    <t>CUST14</t>
  </si>
  <si>
    <t>CUST15</t>
  </si>
  <si>
    <t>CUST16</t>
  </si>
  <si>
    <t>CUST17</t>
  </si>
  <si>
    <t>CUST18</t>
  </si>
  <si>
    <t>CUST19</t>
  </si>
  <si>
    <t>CUST20</t>
  </si>
  <si>
    <t>CUST21</t>
  </si>
  <si>
    <t>CUST22</t>
  </si>
  <si>
    <t>CUST23</t>
  </si>
  <si>
    <t>CUST24</t>
  </si>
  <si>
    <t>CUST25</t>
  </si>
  <si>
    <t>CUST26</t>
  </si>
  <si>
    <t>CUST27</t>
  </si>
  <si>
    <t>CUST28</t>
  </si>
  <si>
    <t>CUST29</t>
  </si>
  <si>
    <t>CUST30</t>
  </si>
  <si>
    <t>CUST31</t>
  </si>
  <si>
    <t>CUST32</t>
  </si>
  <si>
    <t>CUST33</t>
  </si>
  <si>
    <t>CUST34</t>
  </si>
  <si>
    <t>CUST35</t>
  </si>
  <si>
    <t>CUST36</t>
  </si>
  <si>
    <t>CUST37</t>
  </si>
  <si>
    <t>CUST38</t>
  </si>
  <si>
    <t>CUST39</t>
  </si>
  <si>
    <t>CUST40</t>
  </si>
  <si>
    <t>CUST41</t>
  </si>
  <si>
    <t>CUST42</t>
  </si>
  <si>
    <t>CUST43</t>
  </si>
  <si>
    <t>CUST44</t>
  </si>
  <si>
    <t>CUST45</t>
  </si>
  <si>
    <t>CUST46</t>
  </si>
  <si>
    <t>CUST47</t>
  </si>
  <si>
    <t>CUST48</t>
  </si>
  <si>
    <t>CUST49</t>
  </si>
  <si>
    <t>CUST50</t>
  </si>
  <si>
    <t>CUST51</t>
  </si>
  <si>
    <t>CUST52</t>
  </si>
  <si>
    <t>CUST53</t>
  </si>
  <si>
    <t>CUST54</t>
  </si>
  <si>
    <t>CUST55</t>
  </si>
  <si>
    <t>CUST56</t>
  </si>
  <si>
    <t>CUST57</t>
  </si>
  <si>
    <t>CUST58</t>
  </si>
  <si>
    <t>CUST59</t>
  </si>
  <si>
    <t>CUST60</t>
  </si>
  <si>
    <t>CUST61</t>
  </si>
  <si>
    <t>CUST62</t>
  </si>
  <si>
    <t>CUST63</t>
  </si>
  <si>
    <t>CUST64</t>
  </si>
  <si>
    <t>CUST65</t>
  </si>
  <si>
    <t>CUST66</t>
  </si>
  <si>
    <t>CUST67</t>
  </si>
  <si>
    <t>CUST68</t>
  </si>
  <si>
    <t>CUST69</t>
  </si>
  <si>
    <t>CUST70</t>
  </si>
  <si>
    <t>CUST71</t>
  </si>
  <si>
    <t>CUST72</t>
  </si>
  <si>
    <t>CUST73</t>
  </si>
  <si>
    <t>CUST74</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</si>
  <si>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</si>
  <si>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</si>
  <si>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</si>
  <si>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</si>
  <si>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</si>
  <si>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</si>
  <si>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</si>
  <si>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</si>
  <si>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</si>
  <si>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</si>
  <si>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</si>
  <si>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</si>
  <si>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</si>
  <si>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</si>
  <si>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</si>
  <si>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</si>
  <si>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</si>
  <si>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</si>
  <si>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</si>
  <si>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</si>
  <si>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</si>
  <si>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</si>
  <si>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</si>
  <si>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</si>
  <si>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</si>
  <si>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</si>
  <si>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</si>
  <si>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</si>
  <si>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</si>
  <si>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</si>
  <si>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</si>
  <si>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</si>
  <si>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</si>
  <si>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</si>
  <si>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</si>
  <si>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</si>
  <si>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</si>
  <si>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</si>
  <si>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</si>
  <si>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</si>
  <si>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</si>
  <si>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</si>
  <si>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</si>
  <si>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</si>
  <si>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</si>
  <si>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</si>
  <si>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</si>
  <si>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</si>
  <si>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</si>
  <si>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</si>
  <si>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</si>
  <si>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</si>
  <si>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</si>
  <si>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</si>
  <si>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</si>
  <si>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</si>
  <si>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</si>
  <si>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</si>
  <si>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</si>
  <si>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</si>
  <si>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</si>
  <si>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</si>
  <si>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</si>
  <si>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</si>
  <si>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</si>
  <si>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</si>
  <si>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</si>
  <si>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</si>
  <si>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</si>
  <si>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</si>
  <si>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</si>
  <si>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</si>
  <si>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</si>
  <si>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</si>
  <si>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</si>
  <si>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</si>
  <si>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</si>
  <si>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</si>
  <si>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</si>
  <si>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</si>
  <si>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</si>
  <si>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</si>
  <si>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</si>
  <si>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</si>
  <si>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</si>
  <si>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</si>
  <si>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</si>
  <si>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</si>
  <si>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</si>
  <si>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</si>
  <si>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</si>
  <si>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</si>
  <si>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</si>
  <si>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</si>
  <si>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</si>
  <si>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</si>
  <si>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</si>
  <si>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</si>
  <si>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</si>
  <si>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</si>
  <si>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</si>
  <si>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</si>
  <si>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</si>
  <si>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</si>
  <si>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</si>
  <si>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</si>
  <si>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</si>
  <si>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</si>
  <si>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</si>
  <si>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</si>
  <si>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</si>
  <si>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</si>
  <si>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</si>
  <si>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</si>
  <si>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</si>
  <si>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</si>
  <si>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</si>
  <si>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</si>
  <si>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</si>
  <si>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</si>
  <si>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</si>
  <si>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</si>
  <si>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</si>
  <si>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</si>
  <si>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</si>
  <si>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</si>
  <si>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</si>
  <si>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</si>
  <si>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</si>
  <si>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</si>
  <si>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</si>
  <si>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</si>
  <si>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</si>
  <si>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</si>
  <si>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</si>
  <si>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</si>
  <si>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</si>
  <si>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</si>
  <si>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</si>
  <si>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</si>
  <si>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</si>
  <si>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</si>
  <si>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</si>
  <si>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</si>
  <si>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</si>
  <si>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</si>
  <si>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</si>
  <si>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</si>
  <si>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</si>
  <si>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</si>
  <si>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</si>
  <si>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</si>
  <si>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</si>
  <si>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</si>
  <si>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</si>
  <si>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</si>
  <si>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</si>
  <si>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</si>
  <si>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</si>
  <si>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</si>
  <si>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</si>
  <si>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</si>
  <si>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</si>
  <si>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</si>
  <si>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</si>
  <si>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</si>
  <si>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</si>
  <si>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</si>
  <si>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</si>
  <si>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</si>
  <si>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</si>
  <si>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</si>
  <si>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</si>
  <si>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</si>
  <si>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</si>
  <si>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</si>
  <si>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xml:space="preserve">- </t>
    </r>
    <r>
      <rPr>
        <sz val="11"/>
        <color rgb="FFFF0000"/>
        <rFont val="Calibri"/>
        <family val="2"/>
      </rPr>
      <t>Date &amp; Time Functions: TODAY, NOW, DATEDIF, EOMONTH</t>
    </r>
    <r>
      <rPr>
        <sz val="11"/>
        <color rgb="FF38761D"/>
        <rFont val="Calibri"/>
      </rPr>
      <t xml:space="preserve">
- FILTER Function for multi-value returns
- </t>
    </r>
    <r>
      <rPr>
        <sz val="11"/>
        <color rgb="FFFF0000"/>
        <rFont val="Calibri"/>
        <family val="2"/>
      </rPr>
      <t>Conditional Formatting with Icons/Arrows</t>
    </r>
    <r>
      <rPr>
        <sz val="11"/>
        <color rgb="FF38761D"/>
        <rFont val="Calibri"/>
      </rPr>
      <t xml:space="preserve">
- </t>
    </r>
    <r>
      <rPr>
        <sz val="11"/>
        <color rgb="FFFF0000"/>
        <rFont val="Calibri"/>
        <family val="2"/>
      </rPr>
      <t>Create Timestamp (using NOW and iterative calculations)</t>
    </r>
    <r>
      <rPr>
        <sz val="11"/>
        <color rgb="FF38761D"/>
        <rFont val="Calibri"/>
      </rPr>
      <t xml:space="preserve">
- </t>
    </r>
    <r>
      <rPr>
        <sz val="11"/>
        <color rgb="FFFF0000"/>
        <rFont val="Calibri"/>
        <family val="2"/>
      </rPr>
      <t>WHAT-IF Analysis: Scenario Manager, Goal Seek</t>
    </r>
    <r>
      <rPr>
        <sz val="11"/>
        <color rgb="FF38761D"/>
        <rFont val="Calibri"/>
      </rPr>
      <t xml:space="preserve">
- </t>
    </r>
    <r>
      <rPr>
        <sz val="11"/>
        <color rgb="FFFF0000"/>
        <rFont val="Calibri"/>
        <family val="2"/>
      </rPr>
      <t>Linear Regression using Data Analysis Toolpak</t>
    </r>
    <r>
      <rPr>
        <sz val="11"/>
        <color rgb="FF38761D"/>
        <rFont val="Calibri"/>
      </rPr>
      <t xml:space="preserve">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</si>
  <si>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Select Category</t>
  </si>
  <si>
    <t>Total_Customer_Spending</t>
  </si>
  <si>
    <t>Customer_Type</t>
  </si>
  <si>
    <t>Product_Frequency</t>
  </si>
  <si>
    <t>Most Frequently Purchased Product</t>
  </si>
  <si>
    <t>Customer_Code</t>
  </si>
  <si>
    <t>Unit 1</t>
  </si>
  <si>
    <t>Unit 2</t>
  </si>
  <si>
    <t>Meet</t>
  </si>
  <si>
    <t>Ayush</t>
  </si>
  <si>
    <t>Kishan</t>
  </si>
  <si>
    <t>Ajay</t>
  </si>
  <si>
    <t>Unnati</t>
  </si>
  <si>
    <t>Tanvi</t>
  </si>
  <si>
    <t>Janvi</t>
  </si>
  <si>
    <t>Vishwa</t>
  </si>
  <si>
    <t>Shivani</t>
  </si>
  <si>
    <t>Jolly</t>
  </si>
  <si>
    <t>Payal</t>
  </si>
  <si>
    <t>Rahul</t>
  </si>
  <si>
    <t>Timple</t>
  </si>
  <si>
    <t>Final</t>
  </si>
  <si>
    <t>Row Labels</t>
  </si>
  <si>
    <t>Grand Total</t>
  </si>
  <si>
    <t>Sum of Total_Amount</t>
  </si>
  <si>
    <t>Total Quantity</t>
  </si>
  <si>
    <t>Total Unit_price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</si>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</sst>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i/>
      <sz val="11"/>
      <color theme="1"/>
      <name val="Calibri"/>
      <family val="2"/>
      <scheme val="minor"/>
    </font>
    <font>
      <b/>
      <sz val="11"/>
      <color theme="1"/>
      <name val="Calibri"/>
      <family val="2"/>
      <scheme val="minor"/>
    </font>
    <font>
      <sz val="11"/>
      <color theme="1"/>
      <name val="Calibri"/>
      <family val="2"/>
    </font>
    <font>
      <sz val="11"/>
      <color rgb="FFFF0000"/>
      <name val="Calibri"/>
      <family val="2"/>
    </font>
    <font>
      <sz val="8"/>
      <name val="Calibri"/>
      <family val="2"/>
      <scheme val="minor"/>
    </font>
    <font>
      <b/>
      <sz val="8"/>
      <color theme="1"/>
      <name val="Calibri"/>
      <family val="2"/>
      <scheme val="minor"/>
    </font>
  </fonts>
  <fills count="4">
    <fill>
      <patternFill patternType="none"/>
    </fill>
    <fill>
      <patternFill patternType="gray125"/>
    </fill>
    <fill>
      <patternFill patternType="solid">
        <fgColor rgb="FFFFF2CC"/>
        <bgColor rgb="FFFFF2CC"/>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33">
    <xf numFmtId="0" fontId="0" fillId="0" borderId="0" xfId="0"/>
    <xf numFmtId="0" fontId="4" fillId="0" borderId="0" xfId="0" applyFont="1" applyAlignment="1">
      <alignment horizontal="center" vertical="center"/>
    </xf>
    <xf numFmtId="0" fontId="6" fillId="0" borderId="0" xfId="0" applyFont="1"/>
    <xf numFmtId="0" fontId="3" fillId="2" borderId="1" xfId="0" applyFont="1" applyFill="1" applyBorder="1" applyAlignment="1">
      <alignment horizontal="center" wrapText="1"/>
    </xf>
    <xf numFmtId="0" fontId="0" fillId="0" borderId="2" xfId="0" applyBorder="1"/>
    <xf numFmtId="0" fontId="9" fillId="0" borderId="3" xfId="0" applyFont="1" applyBorder="1" applyAlignment="1">
      <alignment horizontal="center"/>
    </xf>
    <xf numFmtId="0" fontId="9" fillId="0" borderId="3" xfId="0" applyFont="1" applyBorder="1" applyAlignment="1">
      <alignment horizontal="centerContinuous"/>
    </xf>
    <xf numFmtId="0" fontId="11" fillId="0" borderId="1" xfId="0" applyFont="1" applyBorder="1" applyAlignment="1">
      <alignment horizontal="center" wrapText="1"/>
    </xf>
    <xf numFmtId="0" fontId="10" fillId="3" borderId="4" xfId="0" applyFont="1" applyFill="1" applyBorder="1" applyAlignment="1">
      <alignment horizontal="center" vertical="center"/>
    </xf>
    <xf numFmtId="0" fontId="6" fillId="0" borderId="0" xfId="0" applyFont="1" applyAlignment="1">
      <alignment horizontal="center" vertical="center"/>
    </xf>
    <xf numFmtId="164" fontId="4" fillId="0" borderId="0" xfId="0" applyNumberFormat="1"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xf numFmtId="0" fontId="0" fillId="3" borderId="0" xfId="0" applyFill="1"/>
    <xf numFmtId="0" fontId="14" fillId="3" borderId="0" xfId="0" applyFont="1" applyFill="1" applyAlignment="1">
      <alignment horizontal="center" vertical="center"/>
    </xf>
    <xf numFmtId="14" fontId="6" fillId="3" borderId="0" xfId="0" applyNumberFormat="1" applyFont="1" applyFill="1" applyAlignment="1">
      <alignment horizontal="center" vertical="center"/>
    </xf>
    <xf numFmtId="0" fontId="6" fillId="3" borderId="0" xfId="0" applyFont="1" applyFill="1" applyAlignment="1">
      <alignment horizontal="center" vertical="center"/>
    </xf>
    <xf numFmtId="0" fontId="0" fillId="0" borderId="4" xfId="0" applyBorder="1" applyAlignment="1">
      <alignment horizontal="center" vertical="center"/>
    </xf>
    <xf numFmtId="14" fontId="0" fillId="0" borderId="4" xfId="0" applyNumberFormat="1" applyBorder="1" applyAlignment="1">
      <alignment horizontal="center" vertical="center"/>
    </xf>
    <xf numFmtId="22" fontId="0" fillId="0" borderId="4" xfId="0" applyNumberFormat="1" applyBorder="1" applyAlignment="1">
      <alignment horizontal="center" vertical="center"/>
    </xf>
    <xf numFmtId="18" fontId="0" fillId="0" borderId="4" xfId="0" applyNumberFormat="1" applyBorder="1" applyAlignment="1">
      <alignment horizontal="center" vertical="center"/>
    </xf>
    <xf numFmtId="0" fontId="2" fillId="0" borderId="0" xfId="0" applyFont="1" applyAlignment="1">
      <alignment horizontal="center" vertical="center"/>
    </xf>
    <xf numFmtId="18" fontId="0" fillId="0" borderId="0" xfId="0" applyNumberFormat="1" applyAlignment="1">
      <alignment horizontal="center" vertical="center"/>
    </xf>
    <xf numFmtId="0" fontId="1" fillId="0" borderId="4" xfId="0" applyFont="1" applyBorder="1" applyAlignment="1">
      <alignment horizontal="center" vertical="center"/>
    </xf>
    <xf numFmtId="1" fontId="0" fillId="0" borderId="4" xfId="0" applyNumberFormat="1" applyBorder="1" applyAlignment="1">
      <alignment horizontal="center" vertical="center"/>
    </xf>
    <xf numFmtId="0" fontId="0" fillId="0" borderId="4" xfId="1" applyNumberFormat="1" applyFont="1" applyBorder="1" applyAlignment="1">
      <alignment horizontal="center" vertical="center"/>
    </xf>
    <xf numFmtId="9" fontId="1" fillId="0" borderId="4" xfId="0" applyNumberFormat="1" applyFont="1" applyBorder="1" applyAlignment="1">
      <alignment horizontal="center" vertical="center"/>
    </xf>
    <xf numFmtId="0" fontId="0" fillId="0" borderId="0" xfId="0" pivotButton="1"/>
    <xf numFmtId="0" fontId="0" fillId="0" borderId="0" xfId="0" applyAlignment="1">
      <alignment horizontal="left"/>
    </xf>
    <xf numFmtId="0" fontId="10"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0" fillId="0" borderId="0" xfId="0" applyNumberFormat="1"/>
  </cellXfs>
  <cellStyles count="2">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9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chart'!$B$4:$B$9</c:f>
              <c:strCache>
                <c:ptCount val="5"/>
                <c:pt idx="0">
                  <c:v>Central</c:v>
                </c:pt>
                <c:pt idx="1">
                  <c:v>East</c:v>
                </c:pt>
                <c:pt idx="2">
                  <c:v>North</c:v>
                </c:pt>
                <c:pt idx="3">
                  <c:v>South</c:v>
                </c:pt>
                <c:pt idx="4">
                  <c:v>West</c:v>
                </c:pt>
              </c:strCache>
            </c:strRef>
          </c:cat>
          <c:val>
            <c:numRef>
              <c:f>'Pivot table and chart'!$C$4:$C$9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3904-47A3-B144-5F9BB1C13848}"/>
            </c:ext>
          </c:extLst>
        </c:ser>
        <c:dLbls>
          <c:showLegendKey val="0"/>
          <c:showVal val="0"/>
          <c:showCatName val="0"/>
          <c:showSerName val="0"/>
          <c:showPercent val="0"/>
          <c:showBubbleSize val="0"/>
        </c:dLbls>
        <c:gapWidth val="219"/>
        <c:overlap val="-27"/>
        <c:axId val="74476479"/>
        <c:axId val="74480799"/>
      </c:barChart>
      <c:catAx>
        <c:axId val="7447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0799"/>
        <c:crosses val="autoZero"/>
        <c:auto val="1"/>
        <c:lblAlgn val="ctr"/>
        <c:lblOffset val="100"/>
        <c:noMultiLvlLbl val="0"/>
      </c:catAx>
      <c:valAx>
        <c:axId val="74480799"/>
        <c:scaling>
          <c:orientation val="minMax"/>
        </c:scaling>
        <c:delete val="1"/>
        <c:axPos val="l"/>
        <c:numFmt formatCode="General" sourceLinked="1"/>
        <c:majorTickMark val="none"/>
        <c:minorTickMark val="none"/>
        <c:tickLblPos val="nextTo"/>
        <c:crossAx val="7447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 and chart'!$F$3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chart'!$E$4:$E$7</c:f>
              <c:strCache>
                <c:ptCount val="3"/>
                <c:pt idx="0">
                  <c:v>Appliances</c:v>
                </c:pt>
                <c:pt idx="1">
                  <c:v>Electronics</c:v>
                </c:pt>
                <c:pt idx="2">
                  <c:v>Furniture</c:v>
                </c:pt>
              </c:strCache>
            </c:strRef>
          </c:cat>
          <c:val>
            <c:numRef>
              <c:f>'Pivot table and chart'!$F$4:$F$7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8FFD-493A-AC64-CB31B172AB1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chart'!$H$4:$H$14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 and chart'!$I$4:$I$14</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F006-463A-B278-B9E75D854A36}"/>
            </c:ext>
          </c:extLst>
        </c:ser>
        <c:dLbls>
          <c:showLegendKey val="0"/>
          <c:showVal val="0"/>
          <c:showCatName val="0"/>
          <c:showSerName val="0"/>
          <c:showPercent val="0"/>
          <c:showBubbleSize val="0"/>
        </c:dLbls>
        <c:gapWidth val="182"/>
        <c:axId val="143034959"/>
        <c:axId val="147802639"/>
      </c:barChart>
      <c:catAx>
        <c:axId val="14303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2639"/>
        <c:crosses val="autoZero"/>
        <c:auto val="1"/>
        <c:lblAlgn val="ctr"/>
        <c:lblOffset val="100"/>
        <c:noMultiLvlLbl val="0"/>
      </c:catAx>
      <c:valAx>
        <c:axId val="147802639"/>
        <c:scaling>
          <c:orientation val="minMax"/>
        </c:scaling>
        <c:delete val="1"/>
        <c:axPos val="b"/>
        <c:numFmt formatCode="General" sourceLinked="1"/>
        <c:majorTickMark val="none"/>
        <c:minorTickMark val="none"/>
        <c:tickLblPos val="nextTo"/>
        <c:crossAx val="14303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chart'!$L$3</c:f>
              <c:strCache>
                <c:ptCount val="1"/>
                <c:pt idx="0">
                  <c:v>Total</c:v>
                </c:pt>
              </c:strCache>
            </c:strRef>
          </c:tx>
          <c:spPr>
            <a:ln w="28575" cap="rnd">
              <a:solidFill>
                <a:schemeClr val="accent1"/>
              </a:solidFill>
              <a:round/>
            </a:ln>
            <a:effectLst/>
          </c:spPr>
          <c:marker>
            <c:symbol val="none"/>
          </c:marker>
          <c:cat>
            <c:strRef>
              <c:f>'Pivot table and chart'!$K$4:$K$16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chart'!$L$4:$L$16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BA45-412C-86D4-2D13DC580832}"/>
            </c:ext>
          </c:extLst>
        </c:ser>
        <c:dLbls>
          <c:showLegendKey val="0"/>
          <c:showVal val="0"/>
          <c:showCatName val="0"/>
          <c:showSerName val="0"/>
          <c:showPercent val="0"/>
          <c:showBubbleSize val="0"/>
        </c:dLbls>
        <c:smooth val="0"/>
        <c:axId val="147797839"/>
        <c:axId val="147800239"/>
      </c:lineChart>
      <c:catAx>
        <c:axId val="1477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0239"/>
        <c:crosses val="autoZero"/>
        <c:auto val="1"/>
        <c:lblAlgn val="ctr"/>
        <c:lblOffset val="100"/>
        <c:noMultiLvlLbl val="0"/>
      </c:catAx>
      <c:valAx>
        <c:axId val="147800239"/>
        <c:scaling>
          <c:orientation val="minMax"/>
        </c:scaling>
        <c:delete val="1"/>
        <c:axPos val="l"/>
        <c:numFmt formatCode="General" sourceLinked="1"/>
        <c:majorTickMark val="none"/>
        <c:minorTickMark val="none"/>
        <c:tickLblPos val="nextTo"/>
        <c:crossAx val="14779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gradFill>
            <a:gsLst>
              <a:gs pos="50000">
                <a:srgbClr val="92D050"/>
              </a:gs>
              <a:gs pos="0">
                <a:srgbClr val="E56D76"/>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chart'!$C$3</c:f>
              <c:strCache>
                <c:ptCount val="1"/>
                <c:pt idx="0">
                  <c:v>Total</c:v>
                </c:pt>
              </c:strCache>
            </c:strRef>
          </c:tx>
          <c:spPr>
            <a:gradFill>
              <a:gsLst>
                <a:gs pos="50000">
                  <a:srgbClr val="92D050"/>
                </a:gs>
                <a:gs pos="0">
                  <a:srgbClr val="E56D76"/>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chart'!$B$4:$B$9</c:f>
              <c:strCache>
                <c:ptCount val="5"/>
                <c:pt idx="0">
                  <c:v>Central</c:v>
                </c:pt>
                <c:pt idx="1">
                  <c:v>East</c:v>
                </c:pt>
                <c:pt idx="2">
                  <c:v>North</c:v>
                </c:pt>
                <c:pt idx="3">
                  <c:v>South</c:v>
                </c:pt>
                <c:pt idx="4">
                  <c:v>West</c:v>
                </c:pt>
              </c:strCache>
            </c:strRef>
          </c:cat>
          <c:val>
            <c:numRef>
              <c:f>'Pivot table and chart'!$C$4:$C$9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CA7-4FB4-9279-CDA129B455DA}"/>
            </c:ext>
          </c:extLst>
        </c:ser>
        <c:dLbls>
          <c:showLegendKey val="0"/>
          <c:showVal val="0"/>
          <c:showCatName val="0"/>
          <c:showSerName val="0"/>
          <c:showPercent val="0"/>
          <c:showBubbleSize val="0"/>
        </c:dLbls>
        <c:gapWidth val="219"/>
        <c:overlap val="-27"/>
        <c:axId val="74476479"/>
        <c:axId val="74480799"/>
      </c:barChart>
      <c:catAx>
        <c:axId val="7447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0799"/>
        <c:crosses val="autoZero"/>
        <c:auto val="1"/>
        <c:lblAlgn val="ctr"/>
        <c:lblOffset val="100"/>
        <c:noMultiLvlLbl val="0"/>
      </c:catAx>
      <c:valAx>
        <c:axId val="74480799"/>
        <c:scaling>
          <c:orientation val="minMax"/>
        </c:scaling>
        <c:delete val="1"/>
        <c:axPos val="l"/>
        <c:numFmt formatCode="General" sourceLinked="1"/>
        <c:majorTickMark val="none"/>
        <c:minorTickMark val="none"/>
        <c:tickLblPos val="nextTo"/>
        <c:crossAx val="7447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flip="none" rotWithShape="1">
            <a:gsLst>
              <a:gs pos="0">
                <a:srgbClr val="002060"/>
              </a:gs>
              <a:gs pos="97000">
                <a:schemeClr val="accent5">
                  <a:lumMod val="70000"/>
                </a:schemeClr>
              </a:gs>
            </a:gsLst>
            <a:path path="circle">
              <a:fillToRect l="50000" t="50000" r="50000" b="5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002060"/>
              </a:gs>
              <a:gs pos="97000">
                <a:schemeClr val="accent5">
                  <a:lumMod val="70000"/>
                </a:schemeClr>
              </a:gs>
            </a:gsLst>
            <a:path path="circle">
              <a:fillToRect l="50000" t="50000" r="50000" b="50000"/>
            </a:path>
            <a:tileRect/>
          </a:gradFill>
          <a:ln w="19050">
            <a:solidFill>
              <a:schemeClr val="lt1"/>
            </a:solidFill>
          </a:ln>
          <a:effectLst/>
        </c:spPr>
      </c:pivotFmt>
      <c:pivotFmt>
        <c:idx val="7"/>
        <c:spPr>
          <a:gradFill flip="none" rotWithShape="1">
            <a:gsLst>
              <a:gs pos="0">
                <a:srgbClr val="002060"/>
              </a:gs>
              <a:gs pos="97000">
                <a:schemeClr val="accent5">
                  <a:lumMod val="70000"/>
                </a:schemeClr>
              </a:gs>
            </a:gsLst>
            <a:path path="circle">
              <a:fillToRect l="50000" t="50000" r="50000" b="50000"/>
            </a:path>
            <a:tileRect/>
          </a:gradFill>
          <a:ln w="19050">
            <a:solidFill>
              <a:schemeClr val="lt1"/>
            </a:solidFill>
          </a:ln>
          <a:effectLst/>
        </c:spPr>
      </c:pivotFmt>
      <c:pivotFmt>
        <c:idx val="8"/>
        <c:spPr>
          <a:gradFill flip="none" rotWithShape="1">
            <a:gsLst>
              <a:gs pos="0">
                <a:srgbClr val="002060"/>
              </a:gs>
              <a:gs pos="97000">
                <a:schemeClr val="accent5">
                  <a:lumMod val="70000"/>
                </a:schemeClr>
              </a:gs>
            </a:gsLst>
            <a:path path="circle">
              <a:fillToRect l="50000" t="50000" r="50000" b="50000"/>
            </a:path>
            <a:tileRect/>
          </a:gradFill>
          <a:ln w="19050">
            <a:solidFill>
              <a:schemeClr val="lt1"/>
            </a:solidFill>
          </a:ln>
          <a:effectLst/>
        </c:spPr>
      </c:pivotFmt>
    </c:pivotFmts>
    <c:plotArea>
      <c:layout/>
      <c:pieChart>
        <c:varyColors val="1"/>
        <c:ser>
          <c:idx val="0"/>
          <c:order val="0"/>
          <c:tx>
            <c:strRef>
              <c:f>'Pivot table and chart'!$F$3</c:f>
              <c:strCache>
                <c:ptCount val="1"/>
                <c:pt idx="0">
                  <c:v>Total</c:v>
                </c:pt>
              </c:strCache>
            </c:strRef>
          </c:tx>
          <c:spPr>
            <a:gradFill flip="none" rotWithShape="1">
              <a:gsLst>
                <a:gs pos="0">
                  <a:srgbClr val="002060"/>
                </a:gs>
                <a:gs pos="97000">
                  <a:schemeClr val="accent5">
                    <a:lumMod val="70000"/>
                  </a:schemeClr>
                </a:gs>
              </a:gsLst>
              <a:path path="circle">
                <a:fillToRect l="50000" t="50000" r="50000" b="50000"/>
              </a:path>
              <a:tileRect/>
            </a:gradFill>
          </c:spPr>
          <c:dPt>
            <c:idx val="0"/>
            <c:bubble3D val="0"/>
            <c:spPr>
              <a:gradFill flip="none" rotWithShape="1">
                <a:gsLst>
                  <a:gs pos="0">
                    <a:srgbClr val="002060"/>
                  </a:gs>
                  <a:gs pos="97000">
                    <a:schemeClr val="accent5">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1-4B90-490D-9CE5-43EB9DFE9EC9}"/>
              </c:ext>
            </c:extLst>
          </c:dPt>
          <c:dPt>
            <c:idx val="1"/>
            <c:bubble3D val="0"/>
            <c:spPr>
              <a:gradFill flip="none" rotWithShape="1">
                <a:gsLst>
                  <a:gs pos="0">
                    <a:srgbClr val="002060"/>
                  </a:gs>
                  <a:gs pos="97000">
                    <a:schemeClr val="accent5">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3-4B90-490D-9CE5-43EB9DFE9EC9}"/>
              </c:ext>
            </c:extLst>
          </c:dPt>
          <c:dPt>
            <c:idx val="2"/>
            <c:bubble3D val="0"/>
            <c:spPr>
              <a:gradFill flip="none" rotWithShape="1">
                <a:gsLst>
                  <a:gs pos="0">
                    <a:srgbClr val="002060"/>
                  </a:gs>
                  <a:gs pos="97000">
                    <a:schemeClr val="accent5">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5-4B90-490D-9CE5-43EB9DFE9E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chart'!$E$4:$E$7</c:f>
              <c:strCache>
                <c:ptCount val="3"/>
                <c:pt idx="0">
                  <c:v>Appliances</c:v>
                </c:pt>
                <c:pt idx="1">
                  <c:v>Electronics</c:v>
                </c:pt>
                <c:pt idx="2">
                  <c:v>Furniture</c:v>
                </c:pt>
              </c:strCache>
            </c:strRef>
          </c:cat>
          <c:val>
            <c:numRef>
              <c:f>'Pivot table and chart'!$F$4:$F$7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4B90-490D-9CE5-43EB9DFE9EC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50000">
                  <a:srgbClr val="92D050">
                    <a:lumMod val="99000"/>
                  </a:srgbClr>
                </a:gs>
                <a:gs pos="0">
                  <a:srgbClr val="FF0000"/>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gradFill>
              <a:gsLst>
                <a:gs pos="50000">
                  <a:srgbClr val="92D050">
                    <a:lumMod val="99000"/>
                    <a:alpha val="96000"/>
                  </a:srgbClr>
                </a:gs>
                <a:gs pos="0">
                  <a:srgbClr val="FF0000"/>
                </a:gs>
                <a:gs pos="100000">
                  <a:schemeClr val="accent1">
                    <a:lumMod val="30000"/>
                    <a:lumOff val="70000"/>
                  </a:schemeClr>
                </a:gs>
              </a:gsLst>
              <a:lin ang="5400000" scaled="1"/>
            </a:gradFill>
            <a:round/>
          </a:ln>
          <a:effectLst/>
        </c:spPr>
        <c:marker>
          <c:symbol val="none"/>
        </c:marker>
        <c:dLbl>
          <c:idx val="0"/>
          <c:spPr>
            <a:noFill/>
            <a:ln>
              <a:solidFill>
                <a:schemeClr val="accent1">
                  <a:shade val="50000"/>
                </a:schemeClr>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
      </c:pivotFmt>
    </c:pivotFmts>
    <c:plotArea>
      <c:layout/>
      <c:lineChart>
        <c:grouping val="standard"/>
        <c:varyColors val="0"/>
        <c:ser>
          <c:idx val="0"/>
          <c:order val="0"/>
          <c:tx>
            <c:strRef>
              <c:f>'Pivot table and chart'!$L$3</c:f>
              <c:strCache>
                <c:ptCount val="1"/>
                <c:pt idx="0">
                  <c:v>Total</c:v>
                </c:pt>
              </c:strCache>
            </c:strRef>
          </c:tx>
          <c:spPr>
            <a:ln w="28575" cap="rnd">
              <a:gradFill>
                <a:gsLst>
                  <a:gs pos="50000">
                    <a:srgbClr val="92D050">
                      <a:lumMod val="99000"/>
                    </a:srgbClr>
                  </a:gs>
                  <a:gs pos="0">
                    <a:srgbClr val="FF0000"/>
                  </a:gs>
                  <a:gs pos="100000">
                    <a:schemeClr val="accent1">
                      <a:lumMod val="30000"/>
                      <a:lumOff val="70000"/>
                    </a:schemeClr>
                  </a:gs>
                </a:gsLst>
                <a:lin ang="5400000" scaled="1"/>
              </a:gradFill>
              <a:round/>
            </a:ln>
            <a:effectLst/>
          </c:spPr>
          <c:marker>
            <c:symbol val="none"/>
          </c:marker>
          <c:dPt>
            <c:idx val="4"/>
            <c:marker>
              <c:symbol val="none"/>
            </c:marker>
            <c:bubble3D val="0"/>
            <c:spPr>
              <a:ln w="28575" cap="rnd">
                <a:gradFill>
                  <a:gsLst>
                    <a:gs pos="50000">
                      <a:srgbClr val="92D050">
                        <a:lumMod val="99000"/>
                        <a:alpha val="96000"/>
                      </a:srgbClr>
                    </a:gs>
                    <a:gs pos="0">
                      <a:srgbClr val="FF0000"/>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2-CE46-452F-9D63-934A0CA511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chart'!$L$4:$L$16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1"/>
          <c:extLst>
            <c:ext xmlns:c16="http://schemas.microsoft.com/office/drawing/2014/chart" uri="{C3380CC4-5D6E-409C-BE32-E72D297353CC}">
              <c16:uniqueId val="{00000000-CE46-452F-9D63-934A0CA51164}"/>
            </c:ext>
          </c:extLst>
        </c:ser>
        <c:dLbls>
          <c:showLegendKey val="0"/>
          <c:showVal val="0"/>
          <c:showCatName val="0"/>
          <c:showSerName val="0"/>
          <c:showPercent val="0"/>
          <c:showBubbleSize val="0"/>
        </c:dLbls>
        <c:smooth val="0"/>
        <c:axId val="147797839"/>
        <c:axId val="147800239"/>
      </c:lineChart>
      <c:catAx>
        <c:axId val="1477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0239"/>
        <c:crosses val="autoZero"/>
        <c:auto val="1"/>
        <c:lblAlgn val="ctr"/>
        <c:lblOffset val="100"/>
        <c:noMultiLvlLbl val="0"/>
      </c:catAx>
      <c:valAx>
        <c:axId val="147800239"/>
        <c:scaling>
          <c:orientation val="minMax"/>
        </c:scaling>
        <c:delete val="1"/>
        <c:axPos val="l"/>
        <c:numFmt formatCode="General" sourceLinked="1"/>
        <c:majorTickMark val="none"/>
        <c:minorTickMark val="none"/>
        <c:tickLblPos val="nextTo"/>
        <c:crossAx val="14779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50"/>
              </a:gs>
              <a:gs pos="100000">
                <a:schemeClr val="accent4">
                  <a:lumMod val="30000"/>
                  <a:lumOff val="7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chart'!$I$3</c:f>
              <c:strCache>
                <c:ptCount val="1"/>
                <c:pt idx="0">
                  <c:v>Total</c:v>
                </c:pt>
              </c:strCache>
            </c:strRef>
          </c:tx>
          <c:spPr>
            <a:gradFill flip="none" rotWithShape="1">
              <a:gsLst>
                <a:gs pos="0">
                  <a:srgbClr val="00B050"/>
                </a:gs>
                <a:gs pos="100000">
                  <a:schemeClr val="accent4">
                    <a:lumMod val="30000"/>
                    <a:lumOff val="70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chart'!$H$4:$H$14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 and chart'!$I$4:$I$14</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129E-46C1-AE95-E186FD46DB65}"/>
            </c:ext>
          </c:extLst>
        </c:ser>
        <c:dLbls>
          <c:showLegendKey val="0"/>
          <c:showVal val="0"/>
          <c:showCatName val="0"/>
          <c:showSerName val="0"/>
          <c:showPercent val="0"/>
          <c:showBubbleSize val="0"/>
        </c:dLbls>
        <c:gapWidth val="182"/>
        <c:axId val="143034959"/>
        <c:axId val="147802639"/>
      </c:barChart>
      <c:catAx>
        <c:axId val="14303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802639"/>
        <c:crosses val="autoZero"/>
        <c:auto val="1"/>
        <c:lblAlgn val="ctr"/>
        <c:lblOffset val="100"/>
        <c:noMultiLvlLbl val="0"/>
      </c:catAx>
      <c:valAx>
        <c:axId val="147802639"/>
        <c:scaling>
          <c:orientation val="minMax"/>
        </c:scaling>
        <c:delete val="1"/>
        <c:axPos val="b"/>
        <c:numFmt formatCode="General" sourceLinked="1"/>
        <c:majorTickMark val="none"/>
        <c:minorTickMark val="none"/>
        <c:tickLblPos val="nextTo"/>
        <c:crossAx val="14303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408609</xdr:colOff>
      <xdr:row>11</xdr:row>
      <xdr:rowOff>154608</xdr:rowOff>
    </xdr:from>
    <xdr:to>
      <xdr:col>3</xdr:col>
      <xdr:colOff>198782</xdr:colOff>
      <xdr:row>25</xdr:row>
      <xdr:rowOff>156817</xdr:rowOff>
    </xdr:to>
    <xdr:graphicFrame macro="">
      <xdr:nvGraphicFramePr>
        <xdr:cNvPr id="2" name="Chart 1">
          <a:extLst>
            <a:ext uri="{FF2B5EF4-FFF2-40B4-BE49-F238E27FC236}">
              <a16:creationId xmlns:a16="http://schemas.microsoft.com/office/drawing/2014/main" id="{9CC19501-F830-DD0D-C2B5-906CE0396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320261</xdr:colOff>
      <xdr:row>10</xdr:row>
      <xdr:rowOff>33130</xdr:rowOff>
    </xdr:from>
    <xdr:to>
      <xdr:col>6</xdr:col>
      <xdr:colOff>342349</xdr:colOff>
      <xdr:row>22</xdr:row>
      <xdr:rowOff>134729</xdr:rowOff>
    </xdr:to>
    <xdr:graphicFrame macro="">
      <xdr:nvGraphicFramePr>
        <xdr:cNvPr id="8" name="Chart 7">
          <a:extLst>
            <a:ext uri="{FF2B5EF4-FFF2-40B4-BE49-F238E27FC236}">
              <a16:creationId xmlns:a16="http://schemas.microsoft.com/office/drawing/2014/main" id="{7F7D6C56-4218-E049-56E1-CCE74EB29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596348</xdr:colOff>
      <xdr:row>15</xdr:row>
      <xdr:rowOff>44173</xdr:rowOff>
    </xdr:from>
    <xdr:to>
      <xdr:col>9</xdr:col>
      <xdr:colOff>242956</xdr:colOff>
      <xdr:row>26</xdr:row>
      <xdr:rowOff>167860</xdr:rowOff>
    </xdr:to>
    <xdr:graphicFrame macro="">
      <xdr:nvGraphicFramePr>
        <xdr:cNvPr id="9" name="Chart 8">
          <a:extLst>
            <a:ext uri="{FF2B5EF4-FFF2-40B4-BE49-F238E27FC236}">
              <a16:creationId xmlns:a16="http://schemas.microsoft.com/office/drawing/2014/main" id="{0211AF93-8B3F-42B4-DDB5-7F10F5BC4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585304</xdr:colOff>
      <xdr:row>17</xdr:row>
      <xdr:rowOff>99391</xdr:rowOff>
    </xdr:from>
    <xdr:to>
      <xdr:col>12</xdr:col>
      <xdr:colOff>331305</xdr:colOff>
      <xdr:row>28</xdr:row>
      <xdr:rowOff>90555</xdr:rowOff>
    </xdr:to>
    <xdr:graphicFrame macro="">
      <xdr:nvGraphicFramePr>
        <xdr:cNvPr id="10" name="Chart 9">
          <a:extLst>
            <a:ext uri="{FF2B5EF4-FFF2-40B4-BE49-F238E27FC236}">
              <a16:creationId xmlns:a16="http://schemas.microsoft.com/office/drawing/2014/main" id="{AB49129B-F7E0-1E41-492C-578BF32768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208501</xdr:colOff>
      <xdr:row>1</xdr:row>
      <xdr:rowOff>1989</xdr:rowOff>
    </xdr:from>
    <xdr:to>
      <xdr:col>16</xdr:col>
      <xdr:colOff>215127</xdr:colOff>
      <xdr:row>7</xdr:row>
      <xdr:rowOff>66261</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8D67B69F-46C5-9E2D-32CA-4F04FD75AD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87023" y="189728"/>
              <a:ext cx="1828800" cy="1190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536381</xdr:colOff>
      <xdr:row>11</xdr:row>
      <xdr:rowOff>181665</xdr:rowOff>
    </xdr:from>
    <xdr:to>
      <xdr:col>19</xdr:col>
      <xdr:colOff>496957</xdr:colOff>
      <xdr:row>20</xdr:row>
      <xdr:rowOff>55218</xdr:rowOff>
    </xdr:to>
    <mc:AlternateContent xmlns:mc="http://schemas.openxmlformats.org/markup-compatibility/2006">
      <mc:Choice xmlns:tsle="http://schemas.microsoft.com/office/drawing/2012/timeslicer" Requires="tsle">
        <xdr:graphicFrame macro="">
          <xdr:nvGraphicFramePr>
            <xdr:cNvPr id="12" name="Date">
              <a:extLst>
                <a:ext uri="{FF2B5EF4-FFF2-40B4-BE49-F238E27FC236}">
                  <a16:creationId xmlns:a16="http://schemas.microsoft.com/office/drawing/2014/main" id="{EC05A62A-200F-EEAB-B570-3B964000D1F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2507511" y="2246795"/>
              <a:ext cx="4576750" cy="15632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105103</xdr:colOff>
      <xdr:row>0</xdr:row>
      <xdr:rowOff>62135</xdr:rowOff>
    </xdr:from>
    <xdr:to>
      <xdr:col>32</xdr:col>
      <xdr:colOff>160420</xdr:colOff>
      <xdr:row>40</xdr:row>
      <xdr:rowOff>60157</xdr:rowOff>
    </xdr:to>
    <xdr:sp macro="" textlink="">
      <xdr:nvSpPr>
        <xdr:cNvPr id="3" name="Rectangle: Rounded Corners 2">
          <a:extLst>
            <a:ext uri="{FF2B5EF4-FFF2-40B4-BE49-F238E27FC236}">
              <a16:creationId xmlns:a16="http://schemas.microsoft.com/office/drawing/2014/main" id="{554F4B27-2E46-4D31-8FE1-BC44AC0D79EA}"/>
            </a:ext>
          </a:extLst>
        </xdr:cNvPr>
        <xdr:cNvSpPr/>
      </xdr:nvSpPr>
      <xdr:spPr>
        <a:xfrm>
          <a:off x="105103" y="62135"/>
          <a:ext cx="19626685" cy="7216969"/>
        </a:xfrm>
        <a:prstGeom prst="roundRect">
          <a:avLst>
            <a:gd name="adj" fmla="val 1386"/>
          </a:avLst>
        </a:prstGeom>
        <a:solidFill>
          <a:srgbClr val="29292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50132</xdr:colOff>
      <xdr:row>5</xdr:row>
      <xdr:rowOff>10028</xdr:rowOff>
    </xdr:from>
    <xdr:to>
      <xdr:col>19</xdr:col>
      <xdr:colOff>130342</xdr:colOff>
      <xdr:row>5</xdr:row>
      <xdr:rowOff>90238</xdr:rowOff>
    </xdr:to>
    <xdr:sp macro="" textlink="">
      <xdr:nvSpPr>
        <xdr:cNvPr id="4" name="Rectangle: Rounded Corners 3">
          <a:extLst>
            <a:ext uri="{FF2B5EF4-FFF2-40B4-BE49-F238E27FC236}">
              <a16:creationId xmlns:a16="http://schemas.microsoft.com/office/drawing/2014/main" id="{66F62D53-9D96-4ADF-B5A3-496E6F2307E6}"/>
            </a:ext>
          </a:extLst>
        </xdr:cNvPr>
        <xdr:cNvSpPr/>
      </xdr:nvSpPr>
      <xdr:spPr>
        <a:xfrm>
          <a:off x="11670632" y="912396"/>
          <a:ext cx="80210" cy="80210"/>
        </a:xfrm>
        <a:prstGeom prst="roundRect">
          <a:avLst>
            <a:gd name="adj" fmla="val 50000"/>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287995</xdr:colOff>
      <xdr:row>0</xdr:row>
      <xdr:rowOff>74726</xdr:rowOff>
    </xdr:from>
    <xdr:to>
      <xdr:col>22</xdr:col>
      <xdr:colOff>140368</xdr:colOff>
      <xdr:row>5</xdr:row>
      <xdr:rowOff>27430</xdr:rowOff>
    </xdr:to>
    <xdr:sp macro="" textlink="">
      <xdr:nvSpPr>
        <xdr:cNvPr id="5" name="TextBox 4">
          <a:extLst>
            <a:ext uri="{FF2B5EF4-FFF2-40B4-BE49-F238E27FC236}">
              <a16:creationId xmlns:a16="http://schemas.microsoft.com/office/drawing/2014/main" id="{A51BFCD3-0B1D-4DD3-AC96-6E7C5B1275ED}"/>
            </a:ext>
          </a:extLst>
        </xdr:cNvPr>
        <xdr:cNvSpPr txBox="1"/>
      </xdr:nvSpPr>
      <xdr:spPr>
        <a:xfrm>
          <a:off x="6404048" y="74726"/>
          <a:ext cx="7191636" cy="855072"/>
        </a:xfrm>
        <a:prstGeom prst="rect">
          <a:avLst/>
        </a:prstGeom>
        <a:solidFill>
          <a:srgbClr val="292929"/>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chemeClr val="bg1"/>
              </a:solidFill>
            </a:rPr>
            <a:t>DASHBOARD</a:t>
          </a:r>
        </a:p>
      </xdr:txBody>
    </xdr:sp>
    <xdr:clientData/>
  </xdr:twoCellAnchor>
  <xdr:twoCellAnchor>
    <xdr:from>
      <xdr:col>5</xdr:col>
      <xdr:colOff>709</xdr:colOff>
      <xdr:row>1</xdr:row>
      <xdr:rowOff>1533</xdr:rowOff>
    </xdr:from>
    <xdr:to>
      <xdr:col>8</xdr:col>
      <xdr:colOff>603350</xdr:colOff>
      <xdr:row>6</xdr:row>
      <xdr:rowOff>155113</xdr:rowOff>
    </xdr:to>
    <xdr:sp macro="" textlink="">
      <xdr:nvSpPr>
        <xdr:cNvPr id="8" name="Rectangle: Rounded Corners 7">
          <a:extLst>
            <a:ext uri="{FF2B5EF4-FFF2-40B4-BE49-F238E27FC236}">
              <a16:creationId xmlns:a16="http://schemas.microsoft.com/office/drawing/2014/main" id="{EC86F614-8B8F-41D7-BDF8-A4E91290AF1F}"/>
            </a:ext>
          </a:extLst>
        </xdr:cNvPr>
        <xdr:cNvSpPr/>
      </xdr:nvSpPr>
      <xdr:spPr>
        <a:xfrm>
          <a:off x="3058735" y="182007"/>
          <a:ext cx="2437457" cy="1055948"/>
        </a:xfrm>
        <a:prstGeom prst="roundRect">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20285</xdr:colOff>
      <xdr:row>7</xdr:row>
      <xdr:rowOff>39516</xdr:rowOff>
    </xdr:from>
    <xdr:to>
      <xdr:col>9</xdr:col>
      <xdr:colOff>11321</xdr:colOff>
      <xdr:row>13</xdr:row>
      <xdr:rowOff>12622</xdr:rowOff>
    </xdr:to>
    <xdr:sp macro="" textlink="">
      <xdr:nvSpPr>
        <xdr:cNvPr id="11" name="Rectangle: Rounded Corners 10">
          <a:extLst>
            <a:ext uri="{FF2B5EF4-FFF2-40B4-BE49-F238E27FC236}">
              <a16:creationId xmlns:a16="http://schemas.microsoft.com/office/drawing/2014/main" id="{5E27589B-2CCB-4B31-B98F-5AF684C1BF7D}"/>
            </a:ext>
          </a:extLst>
        </xdr:cNvPr>
        <xdr:cNvSpPr/>
      </xdr:nvSpPr>
      <xdr:spPr>
        <a:xfrm>
          <a:off x="3078311" y="1302832"/>
          <a:ext cx="2437457" cy="1055948"/>
        </a:xfrm>
        <a:prstGeom prst="roundRect">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191326</xdr:colOff>
      <xdr:row>7</xdr:row>
      <xdr:rowOff>28426</xdr:rowOff>
    </xdr:from>
    <xdr:to>
      <xdr:col>13</xdr:col>
      <xdr:colOff>160420</xdr:colOff>
      <xdr:row>12</xdr:row>
      <xdr:rowOff>120315</xdr:rowOff>
    </xdr:to>
    <xdr:sp macro="" textlink="">
      <xdr:nvSpPr>
        <xdr:cNvPr id="12" name="Rectangle: Rounded Corners 11">
          <a:extLst>
            <a:ext uri="{FF2B5EF4-FFF2-40B4-BE49-F238E27FC236}">
              <a16:creationId xmlns:a16="http://schemas.microsoft.com/office/drawing/2014/main" id="{FB91CB37-13C7-4FA0-9858-3A640135B5A1}"/>
            </a:ext>
          </a:extLst>
        </xdr:cNvPr>
        <xdr:cNvSpPr/>
      </xdr:nvSpPr>
      <xdr:spPr>
        <a:xfrm>
          <a:off x="5695773" y="1291742"/>
          <a:ext cx="2415515" cy="994257"/>
        </a:xfrm>
        <a:prstGeom prst="roundRect">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167262</xdr:colOff>
      <xdr:row>1</xdr:row>
      <xdr:rowOff>73250</xdr:rowOff>
    </xdr:from>
    <xdr:to>
      <xdr:col>8</xdr:col>
      <xdr:colOff>552744</xdr:colOff>
      <xdr:row>4</xdr:row>
      <xdr:rowOff>1534</xdr:rowOff>
    </xdr:to>
    <xdr:sp macro="" textlink="">
      <xdr:nvSpPr>
        <xdr:cNvPr id="13" name="TextBox 12">
          <a:extLst>
            <a:ext uri="{FF2B5EF4-FFF2-40B4-BE49-F238E27FC236}">
              <a16:creationId xmlns:a16="http://schemas.microsoft.com/office/drawing/2014/main" id="{CBF00189-8923-43D4-A740-B955CF42A953}"/>
            </a:ext>
          </a:extLst>
        </xdr:cNvPr>
        <xdr:cNvSpPr txBox="1"/>
      </xdr:nvSpPr>
      <xdr:spPr>
        <a:xfrm>
          <a:off x="3225288" y="253724"/>
          <a:ext cx="2220298" cy="469705"/>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solidFill>
                <a:schemeClr val="bg1"/>
              </a:solidFill>
            </a:rPr>
            <a:t>TOTAL</a:t>
          </a:r>
          <a:r>
            <a:rPr lang="en-IN" sz="2000" b="1" baseline="0">
              <a:solidFill>
                <a:schemeClr val="bg1"/>
              </a:solidFill>
            </a:rPr>
            <a:t> QUANTITY</a:t>
          </a:r>
          <a:endParaRPr lang="en-IN" sz="2000" b="1">
            <a:solidFill>
              <a:schemeClr val="bg1"/>
            </a:solidFill>
          </a:endParaRPr>
        </a:p>
      </xdr:txBody>
    </xdr:sp>
    <xdr:clientData/>
  </xdr:twoCellAnchor>
  <xdr:twoCellAnchor>
    <xdr:from>
      <xdr:col>5</xdr:col>
      <xdr:colOff>194629</xdr:colOff>
      <xdr:row>4</xdr:row>
      <xdr:rowOff>69594</xdr:rowOff>
    </xdr:from>
    <xdr:to>
      <xdr:col>8</xdr:col>
      <xdr:colOff>248417</xdr:colOff>
      <xdr:row>6</xdr:row>
      <xdr:rowOff>15806</xdr:rowOff>
    </xdr:to>
    <xdr:sp macro="" textlink="'Final Project Dataset'!X2">
      <xdr:nvSpPr>
        <xdr:cNvPr id="14" name="TextBox 13">
          <a:extLst>
            <a:ext uri="{FF2B5EF4-FFF2-40B4-BE49-F238E27FC236}">
              <a16:creationId xmlns:a16="http://schemas.microsoft.com/office/drawing/2014/main" id="{0AFE7972-3813-4964-A95F-491B8089F0C4}"/>
            </a:ext>
          </a:extLst>
        </xdr:cNvPr>
        <xdr:cNvSpPr txBox="1"/>
      </xdr:nvSpPr>
      <xdr:spPr>
        <a:xfrm>
          <a:off x="3252655" y="791489"/>
          <a:ext cx="1888604" cy="307159"/>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BB20A2-7CA1-452E-B05A-4B7095E64DA0}" type="TxLink">
            <a:rPr lang="en-US" sz="2000" b="1" i="0" u="none" strike="noStrike">
              <a:solidFill>
                <a:schemeClr val="bg1"/>
              </a:solidFill>
              <a:latin typeface="Calibri"/>
              <a:ea typeface="Calibri"/>
              <a:cs typeface="Calibri"/>
            </a:rPr>
            <a:pPr algn="ctr"/>
            <a:t>753</a:t>
          </a:fld>
          <a:endParaRPr lang="en-IN" sz="2000" b="1">
            <a:solidFill>
              <a:schemeClr val="bg1"/>
            </a:solidFill>
          </a:endParaRPr>
        </a:p>
      </xdr:txBody>
    </xdr:sp>
    <xdr:clientData/>
  </xdr:twoCellAnchor>
  <xdr:twoCellAnchor>
    <xdr:from>
      <xdr:col>5</xdr:col>
      <xdr:colOff>229543</xdr:colOff>
      <xdr:row>7</xdr:row>
      <xdr:rowOff>125033</xdr:rowOff>
    </xdr:from>
    <xdr:to>
      <xdr:col>8</xdr:col>
      <xdr:colOff>507448</xdr:colOff>
      <xdr:row>9</xdr:row>
      <xdr:rowOff>125034</xdr:rowOff>
    </xdr:to>
    <xdr:sp macro="" textlink="">
      <xdr:nvSpPr>
        <xdr:cNvPr id="15" name="TextBox 14">
          <a:extLst>
            <a:ext uri="{FF2B5EF4-FFF2-40B4-BE49-F238E27FC236}">
              <a16:creationId xmlns:a16="http://schemas.microsoft.com/office/drawing/2014/main" id="{58B656E4-A570-4B75-83CB-ADDE699BAEFA}"/>
            </a:ext>
          </a:extLst>
        </xdr:cNvPr>
        <xdr:cNvSpPr txBox="1"/>
      </xdr:nvSpPr>
      <xdr:spPr>
        <a:xfrm>
          <a:off x="3287569" y="1388349"/>
          <a:ext cx="2112721" cy="360948"/>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40" b="1">
              <a:solidFill>
                <a:schemeClr val="bg1"/>
              </a:solidFill>
            </a:rPr>
            <a:t>TOTAL UNIT PRICS</a:t>
          </a:r>
        </a:p>
      </xdr:txBody>
    </xdr:sp>
    <xdr:clientData/>
  </xdr:twoCellAnchor>
  <xdr:twoCellAnchor>
    <xdr:from>
      <xdr:col>5</xdr:col>
      <xdr:colOff>280148</xdr:colOff>
      <xdr:row>10</xdr:row>
      <xdr:rowOff>52724</xdr:rowOff>
    </xdr:from>
    <xdr:to>
      <xdr:col>8</xdr:col>
      <xdr:colOff>316006</xdr:colOff>
      <xdr:row>12</xdr:row>
      <xdr:rowOff>34795</xdr:rowOff>
    </xdr:to>
    <xdr:sp macro="" textlink="'Final Project Dataset'!Y2">
      <xdr:nvSpPr>
        <xdr:cNvPr id="16" name="TextBox 15">
          <a:extLst>
            <a:ext uri="{FF2B5EF4-FFF2-40B4-BE49-F238E27FC236}">
              <a16:creationId xmlns:a16="http://schemas.microsoft.com/office/drawing/2014/main" id="{1597E4EC-4E2E-487D-A13B-73985D003CC2}"/>
            </a:ext>
          </a:extLst>
        </xdr:cNvPr>
        <xdr:cNvSpPr txBox="1"/>
      </xdr:nvSpPr>
      <xdr:spPr>
        <a:xfrm>
          <a:off x="3338174" y="1857461"/>
          <a:ext cx="1870674" cy="343018"/>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F97D8B-9992-47E6-8413-F7DE2EABE1D9}" type="TxLink">
            <a:rPr lang="en-US" sz="2000" b="1" i="0" u="none" strike="noStrike">
              <a:solidFill>
                <a:schemeClr val="bg1"/>
              </a:solidFill>
              <a:latin typeface="Calibri"/>
              <a:ea typeface="Calibri"/>
              <a:cs typeface="Calibri"/>
            </a:rPr>
            <a:pPr algn="ctr"/>
            <a:t>74167.5</a:t>
          </a:fld>
          <a:endParaRPr lang="en-IN" sz="2000" b="1">
            <a:solidFill>
              <a:schemeClr val="bg1"/>
            </a:solidFill>
          </a:endParaRPr>
        </a:p>
      </xdr:txBody>
    </xdr:sp>
    <xdr:clientData/>
  </xdr:twoCellAnchor>
  <xdr:twoCellAnchor>
    <xdr:from>
      <xdr:col>9</xdr:col>
      <xdr:colOff>353753</xdr:colOff>
      <xdr:row>7</xdr:row>
      <xdr:rowOff>146619</xdr:rowOff>
    </xdr:from>
    <xdr:to>
      <xdr:col>13</xdr:col>
      <xdr:colOff>57918</xdr:colOff>
      <xdr:row>9</xdr:row>
      <xdr:rowOff>110761</xdr:rowOff>
    </xdr:to>
    <xdr:sp macro="" textlink="">
      <xdr:nvSpPr>
        <xdr:cNvPr id="17" name="TextBox 16">
          <a:extLst>
            <a:ext uri="{FF2B5EF4-FFF2-40B4-BE49-F238E27FC236}">
              <a16:creationId xmlns:a16="http://schemas.microsoft.com/office/drawing/2014/main" id="{2A552303-07FB-4DDA-A9E9-A180446ED5CA}"/>
            </a:ext>
          </a:extLst>
        </xdr:cNvPr>
        <xdr:cNvSpPr txBox="1"/>
      </xdr:nvSpPr>
      <xdr:spPr>
        <a:xfrm>
          <a:off x="5858200" y="1409935"/>
          <a:ext cx="2150586" cy="325089"/>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solidFill>
                <a:schemeClr val="bg1"/>
              </a:solidFill>
            </a:rPr>
            <a:t>TOTAL AMOUNT</a:t>
          </a:r>
        </a:p>
      </xdr:txBody>
    </xdr:sp>
    <xdr:clientData/>
  </xdr:twoCellAnchor>
  <xdr:twoCellAnchor>
    <xdr:from>
      <xdr:col>9</xdr:col>
      <xdr:colOff>571619</xdr:colOff>
      <xdr:row>9</xdr:row>
      <xdr:rowOff>63815</xdr:rowOff>
    </xdr:from>
    <xdr:to>
      <xdr:col>13</xdr:col>
      <xdr:colOff>60631</xdr:colOff>
      <xdr:row>11</xdr:row>
      <xdr:rowOff>63814</xdr:rowOff>
    </xdr:to>
    <xdr:sp macro="" textlink="'Final Project Dataset'!Z2">
      <xdr:nvSpPr>
        <xdr:cNvPr id="18" name="TextBox 17">
          <a:extLst>
            <a:ext uri="{FF2B5EF4-FFF2-40B4-BE49-F238E27FC236}">
              <a16:creationId xmlns:a16="http://schemas.microsoft.com/office/drawing/2014/main" id="{C0B02D0C-82F8-4A65-8956-0207C9DCF78D}"/>
            </a:ext>
          </a:extLst>
        </xdr:cNvPr>
        <xdr:cNvSpPr txBox="1"/>
      </xdr:nvSpPr>
      <xdr:spPr>
        <a:xfrm>
          <a:off x="6076066" y="1688078"/>
          <a:ext cx="1935433" cy="360947"/>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F81741-DC4E-4DB8-BD6B-82F1F1821028}" type="TxLink">
            <a:rPr lang="en-US" sz="2000" b="1" i="0" u="none" strike="noStrike">
              <a:solidFill>
                <a:schemeClr val="bg1"/>
              </a:solidFill>
              <a:latin typeface="Calibri"/>
              <a:ea typeface="Calibri"/>
              <a:cs typeface="Calibri"/>
            </a:rPr>
            <a:pPr algn="ctr"/>
            <a:t>229192.47</a:t>
          </a:fld>
          <a:endParaRPr lang="en-IN" sz="2000" b="1">
            <a:solidFill>
              <a:schemeClr val="bg1"/>
            </a:solidFill>
          </a:endParaRPr>
        </a:p>
      </xdr:txBody>
    </xdr:sp>
    <xdr:clientData/>
  </xdr:twoCellAnchor>
  <xdr:twoCellAnchor>
    <xdr:from>
      <xdr:col>0</xdr:col>
      <xdr:colOff>325682</xdr:colOff>
      <xdr:row>14</xdr:row>
      <xdr:rowOff>52108</xdr:rowOff>
    </xdr:from>
    <xdr:to>
      <xdr:col>8</xdr:col>
      <xdr:colOff>320842</xdr:colOff>
      <xdr:row>35</xdr:row>
      <xdr:rowOff>110289</xdr:rowOff>
    </xdr:to>
    <xdr:graphicFrame macro="">
      <xdr:nvGraphicFramePr>
        <xdr:cNvPr id="9" name="Chart 8">
          <a:extLst>
            <a:ext uri="{FF2B5EF4-FFF2-40B4-BE49-F238E27FC236}">
              <a16:creationId xmlns:a16="http://schemas.microsoft.com/office/drawing/2014/main" id="{EC5919F7-6DCA-4A16-A62A-CB4C03050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576340</xdr:colOff>
      <xdr:row>14</xdr:row>
      <xdr:rowOff>30079</xdr:rowOff>
    </xdr:from>
    <xdr:to>
      <xdr:col>22</xdr:col>
      <xdr:colOff>401053</xdr:colOff>
      <xdr:row>35</xdr:row>
      <xdr:rowOff>60158</xdr:rowOff>
    </xdr:to>
    <xdr:graphicFrame macro="">
      <xdr:nvGraphicFramePr>
        <xdr:cNvPr id="10" name="Chart 9">
          <a:extLst>
            <a:ext uri="{FF2B5EF4-FFF2-40B4-BE49-F238E27FC236}">
              <a16:creationId xmlns:a16="http://schemas.microsoft.com/office/drawing/2014/main" id="{7007A94F-FEF6-4011-986A-709262456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501316</xdr:colOff>
      <xdr:row>13</xdr:row>
      <xdr:rowOff>170446</xdr:rowOff>
    </xdr:from>
    <xdr:to>
      <xdr:col>30</xdr:col>
      <xdr:colOff>140368</xdr:colOff>
      <xdr:row>35</xdr:row>
      <xdr:rowOff>40104</xdr:rowOff>
    </xdr:to>
    <xdr:graphicFrame macro="">
      <xdr:nvGraphicFramePr>
        <xdr:cNvPr id="22" name="Chart 21">
          <a:extLst>
            <a:ext uri="{FF2B5EF4-FFF2-40B4-BE49-F238E27FC236}">
              <a16:creationId xmlns:a16="http://schemas.microsoft.com/office/drawing/2014/main" id="{048F8B7B-16BB-438C-87D3-451E93CFB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581527</xdr:colOff>
      <xdr:row>14</xdr:row>
      <xdr:rowOff>62136</xdr:rowOff>
    </xdr:from>
    <xdr:to>
      <xdr:col>17</xdr:col>
      <xdr:colOff>401054</xdr:colOff>
      <xdr:row>35</xdr:row>
      <xdr:rowOff>160422</xdr:rowOff>
    </xdr:to>
    <xdr:graphicFrame macro="">
      <xdr:nvGraphicFramePr>
        <xdr:cNvPr id="23" name="Chart 22">
          <a:extLst>
            <a:ext uri="{FF2B5EF4-FFF2-40B4-BE49-F238E27FC236}">
              <a16:creationId xmlns:a16="http://schemas.microsoft.com/office/drawing/2014/main" id="{F9802D1B-DAD7-408B-890F-C05691BB8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173342</xdr:colOff>
      <xdr:row>0</xdr:row>
      <xdr:rowOff>136478</xdr:rowOff>
    </xdr:from>
    <xdr:to>
      <xdr:col>4</xdr:col>
      <xdr:colOff>409433</xdr:colOff>
      <xdr:row>12</xdr:row>
      <xdr:rowOff>56865</xdr:rowOff>
    </xdr:to>
    <mc:AlternateContent xmlns:mc="http://schemas.openxmlformats.org/markup-compatibility/2006">
      <mc:Choice xmlns:a14="http://schemas.microsoft.com/office/drawing/2010/main" Requires="a14">
        <xdr:graphicFrame macro="">
          <xdr:nvGraphicFramePr>
            <xdr:cNvPr id="24" name="Region 1">
              <a:extLst>
                <a:ext uri="{FF2B5EF4-FFF2-40B4-BE49-F238E27FC236}">
                  <a16:creationId xmlns:a16="http://schemas.microsoft.com/office/drawing/2014/main" id="{08E9D6D3-397E-4E94-915D-DBFAB8EC3BE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73342" y="136478"/>
              <a:ext cx="2692688" cy="2104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318448</xdr:colOff>
      <xdr:row>2</xdr:row>
      <xdr:rowOff>79612</xdr:rowOff>
    </xdr:from>
    <xdr:to>
      <xdr:col>30</xdr:col>
      <xdr:colOff>382808</xdr:colOff>
      <xdr:row>10</xdr:row>
      <xdr:rowOff>180953</xdr:rowOff>
    </xdr:to>
    <mc:AlternateContent xmlns:mc="http://schemas.openxmlformats.org/markup-compatibility/2006">
      <mc:Choice xmlns:tsle="http://schemas.microsoft.com/office/drawing/2012/timeslicer" Requires="tsle">
        <xdr:graphicFrame macro="">
          <xdr:nvGraphicFramePr>
            <xdr:cNvPr id="25" name="Date 1">
              <a:extLst>
                <a:ext uri="{FF2B5EF4-FFF2-40B4-BE49-F238E27FC236}">
                  <a16:creationId xmlns:a16="http://schemas.microsoft.com/office/drawing/2014/main" id="{F0A0AFCC-87D4-4F11-B6FF-C98009A80DC7}"/>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4443881" y="443552"/>
              <a:ext cx="4363405" cy="15571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1.692257291666" createdVersion="6" refreshedVersion="6" minRefreshableVersion="3" recordCount="250" xr:uid="{8B863D42-568D-4F20-A563-B5F3E9A4E272}">
  <cacheSource type="worksheet">
    <worksheetSource ref="A1:N251" sheet="Final Project Dataset"/>
  </cacheSource>
  <cacheFields count="17">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709354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1"/>
    <x v="0"/>
    <s v="P009"/>
    <x v="0"/>
    <x v="0"/>
    <x v="0"/>
    <n v="249.99"/>
    <s v="Cash"/>
    <x v="0"/>
    <s v="Basic"/>
    <x v="0"/>
    <n v="749.97"/>
  </r>
  <r>
    <s v="TRX0023"/>
    <x v="1"/>
    <s v="CUST02"/>
    <x v="1"/>
    <s v="P009"/>
    <x v="0"/>
    <x v="0"/>
    <x v="0"/>
    <n v="249.99"/>
    <s v="Credit Card"/>
    <x v="0"/>
    <s v="Premium"/>
    <x v="1"/>
    <n v="749.97"/>
  </r>
  <r>
    <s v="TRX0139"/>
    <x v="2"/>
    <s v="CUST03"/>
    <x v="2"/>
    <s v="P005"/>
    <x v="1"/>
    <x v="1"/>
    <x v="0"/>
    <n v="59.99"/>
    <s v="PayPal"/>
    <x v="1"/>
    <s v="Standard"/>
    <x v="2"/>
    <n v="179.97"/>
  </r>
  <r>
    <s v="TRX0043"/>
    <x v="3"/>
    <s v="CUST04"/>
    <x v="3"/>
    <s v="P005"/>
    <x v="1"/>
    <x v="1"/>
    <x v="0"/>
    <n v="59.99"/>
    <s v="Cash"/>
    <x v="2"/>
    <s v="Premium"/>
    <x v="3"/>
    <n v="179.97"/>
  </r>
  <r>
    <s v="TRX0212"/>
    <x v="3"/>
    <s v="CUST05"/>
    <x v="4"/>
    <s v="P008"/>
    <x v="2"/>
    <x v="2"/>
    <x v="1"/>
    <n v="149.99"/>
    <s v="Credit Card"/>
    <x v="2"/>
    <s v="Premium"/>
    <x v="4"/>
    <n v="749.95"/>
  </r>
  <r>
    <s v="TRX0092"/>
    <x v="4"/>
    <s v="CUST06"/>
    <x v="5"/>
    <s v="P005"/>
    <x v="1"/>
    <x v="1"/>
    <x v="2"/>
    <n v="59.99"/>
    <s v="Cash"/>
    <x v="3"/>
    <s v="Standard"/>
    <x v="5"/>
    <n v="119.98"/>
  </r>
  <r>
    <s v="TRX0193"/>
    <x v="4"/>
    <s v="CUST07"/>
    <x v="5"/>
    <s v="P003"/>
    <x v="3"/>
    <x v="0"/>
    <x v="1"/>
    <n v="149.99"/>
    <s v="Credit Card"/>
    <x v="0"/>
    <s v="Standard"/>
    <x v="6"/>
    <n v="749.95"/>
  </r>
  <r>
    <s v="TRX0240"/>
    <x v="4"/>
    <s v="CUST08"/>
    <x v="6"/>
    <s v="P005"/>
    <x v="1"/>
    <x v="1"/>
    <x v="0"/>
    <n v="59.99"/>
    <s v="Debit Card"/>
    <x v="1"/>
    <s v="Basic"/>
    <x v="7"/>
    <n v="179.97"/>
  </r>
  <r>
    <s v="TRX0135"/>
    <x v="5"/>
    <s v="CUST09"/>
    <x v="7"/>
    <s v="P001"/>
    <x v="4"/>
    <x v="0"/>
    <x v="0"/>
    <n v="899.99"/>
    <s v="PayPal"/>
    <x v="4"/>
    <s v="Standard"/>
    <x v="8"/>
    <n v="2699.97"/>
  </r>
  <r>
    <s v="TRX0185"/>
    <x v="6"/>
    <s v="CUST10"/>
    <x v="8"/>
    <s v="P005"/>
    <x v="1"/>
    <x v="1"/>
    <x v="0"/>
    <n v="59.99"/>
    <s v="Cash"/>
    <x v="3"/>
    <s v="Premium"/>
    <x v="9"/>
    <n v="179.97"/>
  </r>
  <r>
    <s v="TRX0138"/>
    <x v="6"/>
    <s v="CUST11"/>
    <x v="9"/>
    <s v="P008"/>
    <x v="2"/>
    <x v="2"/>
    <x v="3"/>
    <n v="149.99"/>
    <s v="Credit Card"/>
    <x v="3"/>
    <s v="Standard"/>
    <x v="10"/>
    <n v="149.99"/>
  </r>
  <r>
    <s v="TRX0209"/>
    <x v="6"/>
    <s v="CUST12"/>
    <x v="3"/>
    <s v="P008"/>
    <x v="2"/>
    <x v="2"/>
    <x v="1"/>
    <n v="149.99"/>
    <s v="Debit Card"/>
    <x v="2"/>
    <s v="Basic"/>
    <x v="11"/>
    <n v="749.95"/>
  </r>
  <r>
    <s v="TRX0246"/>
    <x v="6"/>
    <s v="CUST13"/>
    <x v="10"/>
    <s v="P008"/>
    <x v="2"/>
    <x v="2"/>
    <x v="0"/>
    <n v="149.99"/>
    <s v="Cash"/>
    <x v="2"/>
    <s v="Premium"/>
    <x v="12"/>
    <n v="449.97"/>
  </r>
  <r>
    <s v="TRX0067"/>
    <x v="7"/>
    <s v="CUST14"/>
    <x v="11"/>
    <s v="P005"/>
    <x v="1"/>
    <x v="1"/>
    <x v="0"/>
    <n v="59.99"/>
    <s v="Credit Card"/>
    <x v="2"/>
    <s v="Standard"/>
    <x v="13"/>
    <n v="179.97"/>
  </r>
  <r>
    <s v="TRX0191"/>
    <x v="7"/>
    <s v="CUST15"/>
    <x v="12"/>
    <s v="P002"/>
    <x v="5"/>
    <x v="0"/>
    <x v="0"/>
    <n v="699.99"/>
    <s v="Credit Card"/>
    <x v="3"/>
    <s v="Basic"/>
    <x v="14"/>
    <n v="2099.9699999999998"/>
  </r>
  <r>
    <s v="TRX0230"/>
    <x v="7"/>
    <s v="CUST16"/>
    <x v="13"/>
    <s v="P001"/>
    <x v="4"/>
    <x v="0"/>
    <x v="3"/>
    <n v="899.99"/>
    <s v="Debit Card"/>
    <x v="2"/>
    <s v="Standard"/>
    <x v="15"/>
    <n v="899.99"/>
  </r>
  <r>
    <s v="TRX0049"/>
    <x v="8"/>
    <s v="CUST17"/>
    <x v="14"/>
    <s v="P008"/>
    <x v="2"/>
    <x v="2"/>
    <x v="4"/>
    <n v="149.99"/>
    <s v="Debit Card"/>
    <x v="2"/>
    <s v="Premium"/>
    <x v="16"/>
    <n v="599.96"/>
  </r>
  <r>
    <s v="TRX0134"/>
    <x v="8"/>
    <s v="CUST18"/>
    <x v="15"/>
    <s v="P002"/>
    <x v="5"/>
    <x v="0"/>
    <x v="2"/>
    <n v="699.99"/>
    <s v="Cash"/>
    <x v="2"/>
    <s v="Basic"/>
    <x v="17"/>
    <n v="1399.98"/>
  </r>
  <r>
    <s v="TRX0122"/>
    <x v="8"/>
    <s v="CUST19"/>
    <x v="14"/>
    <s v="P001"/>
    <x v="4"/>
    <x v="0"/>
    <x v="4"/>
    <n v="899.99"/>
    <s v="Credit Card"/>
    <x v="3"/>
    <s v="Standard"/>
    <x v="18"/>
    <n v="3599.96"/>
  </r>
  <r>
    <s v="TRX0222"/>
    <x v="8"/>
    <s v="CUST20"/>
    <x v="16"/>
    <s v="P009"/>
    <x v="0"/>
    <x v="0"/>
    <x v="0"/>
    <n v="249.99"/>
    <s v="Credit Card"/>
    <x v="2"/>
    <s v="Premium"/>
    <x v="19"/>
    <n v="749.97"/>
  </r>
  <r>
    <s v="TRX0231"/>
    <x v="9"/>
    <s v="CUST21"/>
    <x v="17"/>
    <s v="P002"/>
    <x v="5"/>
    <x v="0"/>
    <x v="1"/>
    <n v="699.99"/>
    <s v="Cash"/>
    <x v="3"/>
    <s v="Basic"/>
    <x v="20"/>
    <n v="3499.95"/>
  </r>
  <r>
    <s v="TRX0239"/>
    <x v="10"/>
    <s v="CUST22"/>
    <x v="18"/>
    <s v="P002"/>
    <x v="5"/>
    <x v="0"/>
    <x v="4"/>
    <n v="699.99"/>
    <s v="Cash"/>
    <x v="4"/>
    <s v="Standard"/>
    <x v="21"/>
    <n v="2799.96"/>
  </r>
  <r>
    <s v="TRX0204"/>
    <x v="11"/>
    <s v="CUST23"/>
    <x v="19"/>
    <s v="P009"/>
    <x v="0"/>
    <x v="0"/>
    <x v="4"/>
    <n v="249.99"/>
    <s v="PayPal"/>
    <x v="2"/>
    <s v="Standard"/>
    <x v="22"/>
    <n v="999.96"/>
  </r>
  <r>
    <s v="TRX0242"/>
    <x v="12"/>
    <s v="CUST24"/>
    <x v="14"/>
    <s v="P007"/>
    <x v="6"/>
    <x v="2"/>
    <x v="4"/>
    <n v="299.99"/>
    <s v="Cash"/>
    <x v="3"/>
    <s v="Premium"/>
    <x v="23"/>
    <n v="1199.96"/>
  </r>
  <r>
    <s v="TRX0071"/>
    <x v="13"/>
    <s v="CUST25"/>
    <x v="20"/>
    <s v="P009"/>
    <x v="0"/>
    <x v="0"/>
    <x v="1"/>
    <n v="249.99"/>
    <s v="Credit Card"/>
    <x v="3"/>
    <s v="Standard"/>
    <x v="24"/>
    <n v="1249.95"/>
  </r>
  <r>
    <s v="TRX0040"/>
    <x v="14"/>
    <s v="CUST26"/>
    <x v="9"/>
    <s v="P007"/>
    <x v="6"/>
    <x v="2"/>
    <x v="1"/>
    <n v="299.99"/>
    <s v="PayPal"/>
    <x v="4"/>
    <s v="Basic"/>
    <x v="25"/>
    <n v="1499.95"/>
  </r>
  <r>
    <s v="TRX0235"/>
    <x v="14"/>
    <s v="CUST27"/>
    <x v="21"/>
    <s v="P004"/>
    <x v="7"/>
    <x v="1"/>
    <x v="0"/>
    <n v="79.989999999999995"/>
    <s v="PayPal"/>
    <x v="4"/>
    <s v="Premium"/>
    <x v="26"/>
    <n v="239.97"/>
  </r>
  <r>
    <s v="TRX0004"/>
    <x v="14"/>
    <s v="CUST28"/>
    <x v="18"/>
    <s v="P010"/>
    <x v="8"/>
    <x v="0"/>
    <x v="1"/>
    <n v="89.99"/>
    <s v="Cash"/>
    <x v="2"/>
    <s v="Premium"/>
    <x v="27"/>
    <n v="449.95"/>
  </r>
  <r>
    <s v="TRX0063"/>
    <x v="15"/>
    <s v="CUST29"/>
    <x v="22"/>
    <s v="P005"/>
    <x v="1"/>
    <x v="1"/>
    <x v="2"/>
    <n v="59.99"/>
    <s v="Debit Card"/>
    <x v="0"/>
    <s v="Standard"/>
    <x v="28"/>
    <n v="119.98"/>
  </r>
  <r>
    <s v="TRX0241"/>
    <x v="16"/>
    <s v="CUST30"/>
    <x v="23"/>
    <s v="P005"/>
    <x v="1"/>
    <x v="1"/>
    <x v="4"/>
    <n v="59.99"/>
    <s v="Debit Card"/>
    <x v="4"/>
    <s v="Standard"/>
    <x v="29"/>
    <n v="239.96"/>
  </r>
  <r>
    <s v="TRX0029"/>
    <x v="16"/>
    <s v="CUST31"/>
    <x v="6"/>
    <s v="P006"/>
    <x v="9"/>
    <x v="2"/>
    <x v="1"/>
    <n v="199.99"/>
    <s v="Cash"/>
    <x v="1"/>
    <s v="Standard"/>
    <x v="30"/>
    <n v="999.95"/>
  </r>
  <r>
    <s v="TRX0194"/>
    <x v="17"/>
    <s v="CUST32"/>
    <x v="24"/>
    <s v="P008"/>
    <x v="2"/>
    <x v="2"/>
    <x v="2"/>
    <n v="149.99"/>
    <s v="Credit Card"/>
    <x v="3"/>
    <s v="Basic"/>
    <x v="31"/>
    <n v="299.98"/>
  </r>
  <r>
    <s v="TRX0130"/>
    <x v="18"/>
    <s v="CUST33"/>
    <x v="25"/>
    <s v="P008"/>
    <x v="2"/>
    <x v="2"/>
    <x v="0"/>
    <n v="149.99"/>
    <s v="Credit Card"/>
    <x v="3"/>
    <s v="Premium"/>
    <x v="32"/>
    <n v="449.97"/>
  </r>
  <r>
    <s v="TRX0041"/>
    <x v="19"/>
    <s v="CUST34"/>
    <x v="2"/>
    <s v="P001"/>
    <x v="4"/>
    <x v="0"/>
    <x v="3"/>
    <n v="899.99"/>
    <s v="Credit Card"/>
    <x v="3"/>
    <s v="Premium"/>
    <x v="33"/>
    <n v="899.99"/>
  </r>
  <r>
    <s v="TRX0232"/>
    <x v="20"/>
    <s v="CUST35"/>
    <x v="18"/>
    <s v="P007"/>
    <x v="6"/>
    <x v="2"/>
    <x v="0"/>
    <n v="299.99"/>
    <s v="Credit Card"/>
    <x v="4"/>
    <s v="Basic"/>
    <x v="34"/>
    <n v="899.97"/>
  </r>
  <r>
    <s v="TRX0021"/>
    <x v="21"/>
    <s v="CUST36"/>
    <x v="24"/>
    <s v="P004"/>
    <x v="7"/>
    <x v="1"/>
    <x v="0"/>
    <n v="79.989999999999995"/>
    <s v="Cash"/>
    <x v="1"/>
    <s v="Basic"/>
    <x v="35"/>
    <n v="239.97"/>
  </r>
  <r>
    <s v="TRX0245"/>
    <x v="22"/>
    <s v="CUST37"/>
    <x v="26"/>
    <s v="P006"/>
    <x v="9"/>
    <x v="2"/>
    <x v="0"/>
    <n v="199.99"/>
    <s v="Credit Card"/>
    <x v="2"/>
    <s v="Premium"/>
    <x v="36"/>
    <n v="599.97"/>
  </r>
  <r>
    <s v="TRX0015"/>
    <x v="23"/>
    <s v="CUST38"/>
    <x v="27"/>
    <s v="P002"/>
    <x v="5"/>
    <x v="0"/>
    <x v="1"/>
    <n v="699.99"/>
    <s v="PayPal"/>
    <x v="3"/>
    <s v="Standard"/>
    <x v="37"/>
    <n v="3499.95"/>
  </r>
  <r>
    <s v="TRX0202"/>
    <x v="24"/>
    <s v="CUST39"/>
    <x v="28"/>
    <s v="P010"/>
    <x v="8"/>
    <x v="0"/>
    <x v="0"/>
    <n v="89.99"/>
    <s v="PayPal"/>
    <x v="0"/>
    <s v="Premium"/>
    <x v="38"/>
    <n v="269.97000000000003"/>
  </r>
  <r>
    <s v="TRX0042"/>
    <x v="25"/>
    <s v="CUST40"/>
    <x v="29"/>
    <s v="P004"/>
    <x v="7"/>
    <x v="1"/>
    <x v="3"/>
    <n v="79.989999999999995"/>
    <s v="Cash"/>
    <x v="2"/>
    <s v="Standard"/>
    <x v="39"/>
    <n v="79.989999999999995"/>
  </r>
  <r>
    <s v="TRX0128"/>
    <x v="26"/>
    <s v="CUST41"/>
    <x v="30"/>
    <s v="P005"/>
    <x v="1"/>
    <x v="1"/>
    <x v="2"/>
    <n v="59.99"/>
    <s v="Cash"/>
    <x v="3"/>
    <s v="Basic"/>
    <x v="40"/>
    <n v="119.98"/>
  </r>
  <r>
    <s v="TRX0117"/>
    <x v="26"/>
    <s v="CUST42"/>
    <x v="6"/>
    <s v="P010"/>
    <x v="8"/>
    <x v="0"/>
    <x v="3"/>
    <n v="89.99"/>
    <s v="Cash"/>
    <x v="2"/>
    <s v="Basic"/>
    <x v="41"/>
    <n v="89.99"/>
  </r>
  <r>
    <s v="TRX0208"/>
    <x v="27"/>
    <s v="CUST43"/>
    <x v="31"/>
    <s v="P010"/>
    <x v="8"/>
    <x v="0"/>
    <x v="1"/>
    <n v="89.99"/>
    <s v="Credit Card"/>
    <x v="4"/>
    <s v="Standard"/>
    <x v="42"/>
    <n v="449.95"/>
  </r>
  <r>
    <s v="TRX0234"/>
    <x v="28"/>
    <s v="CUST44"/>
    <x v="1"/>
    <s v="P009"/>
    <x v="0"/>
    <x v="0"/>
    <x v="1"/>
    <n v="249.99"/>
    <s v="Credit Card"/>
    <x v="4"/>
    <s v="Standard"/>
    <x v="43"/>
    <n v="1249.95"/>
  </r>
  <r>
    <s v="TRX0121"/>
    <x v="28"/>
    <s v="CUST45"/>
    <x v="32"/>
    <s v="P010"/>
    <x v="8"/>
    <x v="0"/>
    <x v="3"/>
    <n v="89.99"/>
    <s v="Credit Card"/>
    <x v="1"/>
    <s v="Standard"/>
    <x v="44"/>
    <n v="89.99"/>
  </r>
  <r>
    <s v="TRX0220"/>
    <x v="29"/>
    <s v="CUST46"/>
    <x v="4"/>
    <s v="P008"/>
    <x v="2"/>
    <x v="2"/>
    <x v="2"/>
    <n v="149.99"/>
    <s v="Cash"/>
    <x v="4"/>
    <s v="Premium"/>
    <x v="45"/>
    <n v="299.98"/>
  </r>
  <r>
    <s v="TRX0093"/>
    <x v="30"/>
    <s v="CUST47"/>
    <x v="33"/>
    <s v="P005"/>
    <x v="1"/>
    <x v="1"/>
    <x v="4"/>
    <n v="59.99"/>
    <s v="Cash"/>
    <x v="4"/>
    <s v="Standard"/>
    <x v="46"/>
    <n v="239.96"/>
  </r>
  <r>
    <s v="TRX0088"/>
    <x v="31"/>
    <s v="CUST48"/>
    <x v="24"/>
    <s v="P010"/>
    <x v="8"/>
    <x v="0"/>
    <x v="1"/>
    <n v="89.99"/>
    <s v="Cash"/>
    <x v="0"/>
    <s v="Premium"/>
    <x v="47"/>
    <n v="449.95"/>
  </r>
  <r>
    <s v="TRX0115"/>
    <x v="32"/>
    <s v="CUST49"/>
    <x v="18"/>
    <s v="P010"/>
    <x v="8"/>
    <x v="0"/>
    <x v="2"/>
    <n v="89.99"/>
    <s v="Credit Card"/>
    <x v="1"/>
    <s v="Premium"/>
    <x v="48"/>
    <n v="179.98"/>
  </r>
  <r>
    <s v="TRX0154"/>
    <x v="32"/>
    <s v="CUST50"/>
    <x v="0"/>
    <s v="P001"/>
    <x v="4"/>
    <x v="0"/>
    <x v="1"/>
    <n v="899.99"/>
    <s v="Credit Card"/>
    <x v="1"/>
    <s v="Standard"/>
    <x v="49"/>
    <n v="4499.95"/>
  </r>
  <r>
    <s v="TRX0044"/>
    <x v="32"/>
    <s v="CUST51"/>
    <x v="23"/>
    <s v="P001"/>
    <x v="4"/>
    <x v="0"/>
    <x v="1"/>
    <n v="899.99"/>
    <s v="PayPal"/>
    <x v="4"/>
    <s v="Premium"/>
    <x v="50"/>
    <n v="4499.95"/>
  </r>
  <r>
    <s v="TRX0061"/>
    <x v="33"/>
    <s v="CUST52"/>
    <x v="32"/>
    <s v="P005"/>
    <x v="1"/>
    <x v="1"/>
    <x v="3"/>
    <n v="59.99"/>
    <s v="Debit Card"/>
    <x v="3"/>
    <s v="Premium"/>
    <x v="51"/>
    <n v="59.99"/>
  </r>
  <r>
    <s v="TRX0150"/>
    <x v="33"/>
    <s v="CUST53"/>
    <x v="27"/>
    <s v="P007"/>
    <x v="6"/>
    <x v="2"/>
    <x v="2"/>
    <n v="299.99"/>
    <s v="Debit Card"/>
    <x v="4"/>
    <s v="Standard"/>
    <x v="52"/>
    <n v="599.98"/>
  </r>
  <r>
    <s v="TRX0025"/>
    <x v="34"/>
    <s v="CUST54"/>
    <x v="34"/>
    <s v="P010"/>
    <x v="8"/>
    <x v="0"/>
    <x v="4"/>
    <n v="89.99"/>
    <s v="Debit Card"/>
    <x v="1"/>
    <s v="Basic"/>
    <x v="53"/>
    <n v="359.96"/>
  </r>
  <r>
    <s v="TRX0078"/>
    <x v="35"/>
    <s v="CUST55"/>
    <x v="2"/>
    <s v="P004"/>
    <x v="7"/>
    <x v="1"/>
    <x v="3"/>
    <n v="79.989999999999995"/>
    <s v="PayPal"/>
    <x v="0"/>
    <s v="Premium"/>
    <x v="54"/>
    <n v="79.989999999999995"/>
  </r>
  <r>
    <s v="TRX0007"/>
    <x v="35"/>
    <s v="CUST56"/>
    <x v="7"/>
    <s v="P010"/>
    <x v="8"/>
    <x v="0"/>
    <x v="2"/>
    <n v="89.99"/>
    <s v="Cash"/>
    <x v="3"/>
    <s v="Basic"/>
    <x v="55"/>
    <n v="179.98"/>
  </r>
  <r>
    <s v="TRX0184"/>
    <x v="36"/>
    <s v="CUST57"/>
    <x v="3"/>
    <s v="P002"/>
    <x v="5"/>
    <x v="0"/>
    <x v="0"/>
    <n v="699.99"/>
    <s v="Credit Card"/>
    <x v="4"/>
    <s v="Premium"/>
    <x v="56"/>
    <n v="2099.9699999999998"/>
  </r>
  <r>
    <s v="TRX0104"/>
    <x v="36"/>
    <s v="CUST58"/>
    <x v="18"/>
    <s v="P001"/>
    <x v="4"/>
    <x v="0"/>
    <x v="4"/>
    <n v="899.99"/>
    <s v="Credit Card"/>
    <x v="4"/>
    <s v="Premium"/>
    <x v="57"/>
    <n v="3599.96"/>
  </r>
  <r>
    <s v="TRX0127"/>
    <x v="37"/>
    <s v="CUST59"/>
    <x v="22"/>
    <s v="P008"/>
    <x v="2"/>
    <x v="2"/>
    <x v="3"/>
    <n v="149.99"/>
    <s v="PayPal"/>
    <x v="4"/>
    <s v="Basic"/>
    <x v="58"/>
    <n v="149.99"/>
  </r>
  <r>
    <s v="TRX0096"/>
    <x v="38"/>
    <s v="CUST60"/>
    <x v="25"/>
    <s v="P010"/>
    <x v="8"/>
    <x v="0"/>
    <x v="2"/>
    <n v="89.99"/>
    <s v="PayPal"/>
    <x v="0"/>
    <s v="Premium"/>
    <x v="59"/>
    <n v="179.98"/>
  </r>
  <r>
    <s v="TRX0192"/>
    <x v="39"/>
    <s v="CUST61"/>
    <x v="6"/>
    <s v="P010"/>
    <x v="8"/>
    <x v="0"/>
    <x v="3"/>
    <n v="89.99"/>
    <s v="PayPal"/>
    <x v="3"/>
    <s v="Standard"/>
    <x v="60"/>
    <n v="89.99"/>
  </r>
  <r>
    <s v="TRX0052"/>
    <x v="40"/>
    <s v="CUST62"/>
    <x v="9"/>
    <s v="P010"/>
    <x v="8"/>
    <x v="0"/>
    <x v="3"/>
    <n v="89.99"/>
    <s v="Cash"/>
    <x v="1"/>
    <s v="Standard"/>
    <x v="61"/>
    <n v="89.99"/>
  </r>
  <r>
    <s v="TRX0070"/>
    <x v="40"/>
    <s v="CUST63"/>
    <x v="35"/>
    <s v="P004"/>
    <x v="7"/>
    <x v="1"/>
    <x v="1"/>
    <n v="79.989999999999995"/>
    <s v="Debit Card"/>
    <x v="0"/>
    <s v="Basic"/>
    <x v="62"/>
    <n v="399.95"/>
  </r>
  <r>
    <s v="TRX0086"/>
    <x v="41"/>
    <s v="CUST64"/>
    <x v="36"/>
    <s v="P008"/>
    <x v="2"/>
    <x v="2"/>
    <x v="3"/>
    <n v="149.99"/>
    <s v="PayPal"/>
    <x v="2"/>
    <s v="Basic"/>
    <x v="63"/>
    <n v="149.99"/>
  </r>
  <r>
    <s v="TRX0113"/>
    <x v="41"/>
    <s v="CUST65"/>
    <x v="4"/>
    <s v="P002"/>
    <x v="5"/>
    <x v="0"/>
    <x v="2"/>
    <n v="699.99"/>
    <s v="PayPal"/>
    <x v="4"/>
    <s v="Premium"/>
    <x v="64"/>
    <n v="1399.98"/>
  </r>
  <r>
    <s v="TRX0114"/>
    <x v="41"/>
    <s v="CUST66"/>
    <x v="17"/>
    <s v="P010"/>
    <x v="8"/>
    <x v="0"/>
    <x v="1"/>
    <n v="89.99"/>
    <s v="Debit Card"/>
    <x v="2"/>
    <s v="Premium"/>
    <x v="65"/>
    <n v="449.95"/>
  </r>
  <r>
    <s v="TRX0136"/>
    <x v="42"/>
    <s v="CUST67"/>
    <x v="34"/>
    <s v="P005"/>
    <x v="1"/>
    <x v="1"/>
    <x v="4"/>
    <n v="59.99"/>
    <s v="Cash"/>
    <x v="1"/>
    <s v="Standard"/>
    <x v="66"/>
    <n v="239.96"/>
  </r>
  <r>
    <s v="TRX0018"/>
    <x v="43"/>
    <s v="CUST68"/>
    <x v="1"/>
    <s v="P003"/>
    <x v="3"/>
    <x v="0"/>
    <x v="3"/>
    <n v="149.99"/>
    <s v="Cash"/>
    <x v="0"/>
    <s v="Standard"/>
    <x v="67"/>
    <n v="149.99"/>
  </r>
  <r>
    <s v="TRX0141"/>
    <x v="43"/>
    <s v="CUST69"/>
    <x v="37"/>
    <s v="P007"/>
    <x v="6"/>
    <x v="2"/>
    <x v="3"/>
    <n v="299.99"/>
    <s v="Credit Card"/>
    <x v="2"/>
    <s v="Premium"/>
    <x v="68"/>
    <n v="299.99"/>
  </r>
  <r>
    <s v="TRX0097"/>
    <x v="44"/>
    <s v="CUST70"/>
    <x v="37"/>
    <s v="P006"/>
    <x v="9"/>
    <x v="2"/>
    <x v="2"/>
    <n v="199.99"/>
    <s v="Cash"/>
    <x v="2"/>
    <s v="Basic"/>
    <x v="69"/>
    <n v="399.98"/>
  </r>
  <r>
    <s v="TRX0169"/>
    <x v="45"/>
    <s v="CUST71"/>
    <x v="38"/>
    <s v="P005"/>
    <x v="1"/>
    <x v="1"/>
    <x v="0"/>
    <n v="59.99"/>
    <s v="Credit Card"/>
    <x v="3"/>
    <s v="Basic"/>
    <x v="70"/>
    <n v="179.97"/>
  </r>
  <r>
    <s v="TRX0216"/>
    <x v="45"/>
    <s v="CUST72"/>
    <x v="10"/>
    <s v="P008"/>
    <x v="2"/>
    <x v="2"/>
    <x v="0"/>
    <n v="149.99"/>
    <s v="Cash"/>
    <x v="0"/>
    <s v="Premium"/>
    <x v="71"/>
    <n v="449.97"/>
  </r>
  <r>
    <s v="TRX0131"/>
    <x v="46"/>
    <s v="CUST73"/>
    <x v="8"/>
    <s v="P006"/>
    <x v="9"/>
    <x v="2"/>
    <x v="0"/>
    <n v="199.99"/>
    <s v="Cash"/>
    <x v="2"/>
    <s v="Premium"/>
    <x v="72"/>
    <n v="599.97"/>
  </r>
  <r>
    <s v="TRX0162"/>
    <x v="47"/>
    <s v="CUST74"/>
    <x v="30"/>
    <s v="P001"/>
    <x v="4"/>
    <x v="0"/>
    <x v="3"/>
    <n v="899.99"/>
    <s v="Cash"/>
    <x v="0"/>
    <s v="Standard"/>
    <x v="73"/>
    <n v="899.99"/>
  </r>
  <r>
    <s v="TRX0244"/>
    <x v="48"/>
    <s v="CUST75"/>
    <x v="1"/>
    <s v="P001"/>
    <x v="4"/>
    <x v="0"/>
    <x v="1"/>
    <n v="899.99"/>
    <s v="Debit Card"/>
    <x v="1"/>
    <s v="Standard"/>
    <x v="74"/>
    <n v="4499.95"/>
  </r>
  <r>
    <s v="TRX0006"/>
    <x v="49"/>
    <s v="CUST76"/>
    <x v="35"/>
    <s v="P005"/>
    <x v="1"/>
    <x v="1"/>
    <x v="2"/>
    <n v="59.99"/>
    <s v="Cash"/>
    <x v="2"/>
    <s v="Standard"/>
    <x v="75"/>
    <n v="119.98"/>
  </r>
  <r>
    <s v="TRX0215"/>
    <x v="49"/>
    <s v="CUST77"/>
    <x v="38"/>
    <s v="P009"/>
    <x v="0"/>
    <x v="0"/>
    <x v="4"/>
    <n v="249.99"/>
    <s v="Debit Card"/>
    <x v="0"/>
    <s v="Standard"/>
    <x v="76"/>
    <n v="999.96"/>
  </r>
  <r>
    <s v="TRX0080"/>
    <x v="50"/>
    <s v="CUST78"/>
    <x v="17"/>
    <s v="P009"/>
    <x v="0"/>
    <x v="0"/>
    <x v="2"/>
    <n v="249.99"/>
    <s v="Cash"/>
    <x v="2"/>
    <s v="Premium"/>
    <x v="77"/>
    <n v="499.98"/>
  </r>
  <r>
    <s v="TRX0228"/>
    <x v="50"/>
    <s v="CUST79"/>
    <x v="29"/>
    <s v="P007"/>
    <x v="6"/>
    <x v="2"/>
    <x v="3"/>
    <n v="299.99"/>
    <s v="Cash"/>
    <x v="1"/>
    <s v="Basic"/>
    <x v="78"/>
    <n v="299.99"/>
  </r>
  <r>
    <s v="TRX0157"/>
    <x v="51"/>
    <s v="CUST80"/>
    <x v="14"/>
    <s v="P010"/>
    <x v="8"/>
    <x v="0"/>
    <x v="2"/>
    <n v="89.99"/>
    <s v="PayPal"/>
    <x v="1"/>
    <s v="Basic"/>
    <x v="79"/>
    <n v="179.98"/>
  </r>
  <r>
    <s v="TRX0002"/>
    <x v="51"/>
    <s v="CUST81"/>
    <x v="29"/>
    <s v="P007"/>
    <x v="6"/>
    <x v="2"/>
    <x v="0"/>
    <n v="299.99"/>
    <s v="Cash"/>
    <x v="0"/>
    <s v="Basic"/>
    <x v="80"/>
    <n v="899.97"/>
  </r>
  <r>
    <s v="TRX0217"/>
    <x v="52"/>
    <s v="CUST82"/>
    <x v="14"/>
    <s v="P002"/>
    <x v="5"/>
    <x v="0"/>
    <x v="2"/>
    <n v="699.99"/>
    <s v="Credit Card"/>
    <x v="2"/>
    <s v="Premium"/>
    <x v="81"/>
    <n v="1399.98"/>
  </r>
  <r>
    <s v="TRX0249"/>
    <x v="53"/>
    <s v="CUST83"/>
    <x v="22"/>
    <s v="P001"/>
    <x v="4"/>
    <x v="0"/>
    <x v="4"/>
    <n v="899.99"/>
    <s v="Debit Card"/>
    <x v="1"/>
    <s v="Standard"/>
    <x v="82"/>
    <n v="3599.96"/>
  </r>
  <r>
    <s v="TRX0065"/>
    <x v="54"/>
    <s v="CUST84"/>
    <x v="39"/>
    <s v="P008"/>
    <x v="2"/>
    <x v="2"/>
    <x v="2"/>
    <n v="149.99"/>
    <s v="Credit Card"/>
    <x v="3"/>
    <s v="Basic"/>
    <x v="83"/>
    <n v="299.98"/>
  </r>
  <r>
    <s v="TRX0176"/>
    <x v="55"/>
    <s v="CUST85"/>
    <x v="19"/>
    <s v="P008"/>
    <x v="2"/>
    <x v="2"/>
    <x v="2"/>
    <n v="149.99"/>
    <s v="Debit Card"/>
    <x v="4"/>
    <s v="Standard"/>
    <x v="84"/>
    <n v="299.98"/>
  </r>
  <r>
    <s v="TRX0101"/>
    <x v="56"/>
    <s v="CUST86"/>
    <x v="15"/>
    <s v="P010"/>
    <x v="8"/>
    <x v="0"/>
    <x v="3"/>
    <n v="89.99"/>
    <s v="Credit Card"/>
    <x v="2"/>
    <s v="Standard"/>
    <x v="85"/>
    <n v="89.99"/>
  </r>
  <r>
    <s v="TRX0205"/>
    <x v="57"/>
    <s v="CUST87"/>
    <x v="14"/>
    <s v="P007"/>
    <x v="6"/>
    <x v="2"/>
    <x v="1"/>
    <n v="299.99"/>
    <s v="Credit Card"/>
    <x v="2"/>
    <s v="Basic"/>
    <x v="86"/>
    <n v="1499.95"/>
  </r>
  <r>
    <s v="TRX0020"/>
    <x v="58"/>
    <s v="CUST88"/>
    <x v="35"/>
    <s v="P003"/>
    <x v="3"/>
    <x v="0"/>
    <x v="4"/>
    <n v="149.99"/>
    <s v="Debit Card"/>
    <x v="1"/>
    <s v="Premium"/>
    <x v="87"/>
    <n v="599.96"/>
  </r>
  <r>
    <s v="TRX0075"/>
    <x v="58"/>
    <s v="CUST89"/>
    <x v="36"/>
    <s v="P009"/>
    <x v="0"/>
    <x v="0"/>
    <x v="1"/>
    <n v="249.99"/>
    <s v="PayPal"/>
    <x v="4"/>
    <s v="Premium"/>
    <x v="88"/>
    <n v="1249.95"/>
  </r>
  <r>
    <s v="TRX0098"/>
    <x v="58"/>
    <s v="CUST90"/>
    <x v="8"/>
    <s v="P009"/>
    <x v="0"/>
    <x v="0"/>
    <x v="0"/>
    <n v="249.99"/>
    <s v="PayPal"/>
    <x v="2"/>
    <s v="Premium"/>
    <x v="89"/>
    <n v="749.97"/>
  </r>
  <r>
    <s v="TRX0247"/>
    <x v="58"/>
    <s v="CUST91"/>
    <x v="3"/>
    <s v="P006"/>
    <x v="9"/>
    <x v="2"/>
    <x v="4"/>
    <n v="199.99"/>
    <s v="Cash"/>
    <x v="2"/>
    <s v="Standard"/>
    <x v="90"/>
    <n v="799.96"/>
  </r>
  <r>
    <s v="TRX0027"/>
    <x v="59"/>
    <s v="CUST92"/>
    <x v="32"/>
    <s v="P006"/>
    <x v="9"/>
    <x v="2"/>
    <x v="1"/>
    <n v="199.99"/>
    <s v="Cash"/>
    <x v="2"/>
    <s v="Premium"/>
    <x v="91"/>
    <n v="999.95"/>
  </r>
  <r>
    <s v="TRX0140"/>
    <x v="60"/>
    <s v="CUST93"/>
    <x v="14"/>
    <s v="P010"/>
    <x v="8"/>
    <x v="0"/>
    <x v="2"/>
    <n v="89.99"/>
    <s v="Cash"/>
    <x v="4"/>
    <s v="Premium"/>
    <x v="92"/>
    <n v="179.98"/>
  </r>
  <r>
    <s v="TRX0132"/>
    <x v="61"/>
    <s v="CUST94"/>
    <x v="38"/>
    <s v="P001"/>
    <x v="4"/>
    <x v="0"/>
    <x v="1"/>
    <n v="899.99"/>
    <s v="Debit Card"/>
    <x v="4"/>
    <s v="Basic"/>
    <x v="93"/>
    <n v="4499.95"/>
  </r>
  <r>
    <s v="TRX0031"/>
    <x v="61"/>
    <s v="CUST95"/>
    <x v="20"/>
    <s v="P003"/>
    <x v="3"/>
    <x v="0"/>
    <x v="0"/>
    <n v="149.99"/>
    <s v="PayPal"/>
    <x v="4"/>
    <s v="Basic"/>
    <x v="94"/>
    <n v="449.97"/>
  </r>
  <r>
    <s v="TRX0236"/>
    <x v="62"/>
    <s v="CUST96"/>
    <x v="19"/>
    <s v="P008"/>
    <x v="2"/>
    <x v="2"/>
    <x v="1"/>
    <n v="149.99"/>
    <s v="Credit Card"/>
    <x v="0"/>
    <s v="Basic"/>
    <x v="95"/>
    <n v="749.95"/>
  </r>
  <r>
    <s v="TRX0001"/>
    <x v="63"/>
    <s v="CUST97"/>
    <x v="40"/>
    <s v="P004"/>
    <x v="7"/>
    <x v="1"/>
    <x v="0"/>
    <n v="79.989999999999995"/>
    <s v="Cash"/>
    <x v="0"/>
    <s v="Premium"/>
    <x v="96"/>
    <n v="239.97"/>
  </r>
  <r>
    <s v="TRX0037"/>
    <x v="63"/>
    <s v="CUST98"/>
    <x v="28"/>
    <s v="P009"/>
    <x v="0"/>
    <x v="0"/>
    <x v="2"/>
    <n v="249.99"/>
    <s v="Cash"/>
    <x v="1"/>
    <s v="Standard"/>
    <x v="97"/>
    <n v="499.98"/>
  </r>
  <r>
    <s v="TRX0058"/>
    <x v="64"/>
    <s v="CUST99"/>
    <x v="38"/>
    <s v="P002"/>
    <x v="5"/>
    <x v="0"/>
    <x v="3"/>
    <n v="699.99"/>
    <s v="Cash"/>
    <x v="0"/>
    <s v="Premium"/>
    <x v="98"/>
    <n v="699.99"/>
  </r>
  <r>
    <s v="TRX0170"/>
    <x v="64"/>
    <s v="CUST100"/>
    <x v="41"/>
    <s v="P003"/>
    <x v="3"/>
    <x v="0"/>
    <x v="0"/>
    <n v="149.99"/>
    <s v="Cash"/>
    <x v="3"/>
    <s v="Premium"/>
    <x v="99"/>
    <n v="449.97"/>
  </r>
  <r>
    <s v="TRX0248"/>
    <x v="65"/>
    <s v="CUST101"/>
    <x v="42"/>
    <s v="P002"/>
    <x v="5"/>
    <x v="0"/>
    <x v="2"/>
    <n v="699.99"/>
    <s v="Credit Card"/>
    <x v="2"/>
    <s v="Premium"/>
    <x v="63"/>
    <n v="1399.98"/>
  </r>
  <r>
    <s v="TRX0099"/>
    <x v="66"/>
    <s v="CUST102"/>
    <x v="41"/>
    <s v="P009"/>
    <x v="0"/>
    <x v="0"/>
    <x v="3"/>
    <n v="249.99"/>
    <s v="Credit Card"/>
    <x v="3"/>
    <s v="Premium"/>
    <x v="100"/>
    <n v="249.99"/>
  </r>
  <r>
    <s v="TRX0074"/>
    <x v="66"/>
    <s v="CUST103"/>
    <x v="0"/>
    <s v="P009"/>
    <x v="0"/>
    <x v="0"/>
    <x v="3"/>
    <n v="249.99"/>
    <s v="Debit Card"/>
    <x v="2"/>
    <s v="Premium"/>
    <x v="101"/>
    <n v="249.99"/>
  </r>
  <r>
    <s v="TRX0225"/>
    <x v="67"/>
    <s v="CUST104"/>
    <x v="40"/>
    <s v="P002"/>
    <x v="5"/>
    <x v="0"/>
    <x v="2"/>
    <n v="699.99"/>
    <s v="Debit Card"/>
    <x v="0"/>
    <s v="Premium"/>
    <x v="102"/>
    <n v="1399.98"/>
  </r>
  <r>
    <s v="TRX0100"/>
    <x v="68"/>
    <s v="CUST105"/>
    <x v="26"/>
    <s v="P005"/>
    <x v="1"/>
    <x v="1"/>
    <x v="0"/>
    <n v="59.99"/>
    <s v="Credit Card"/>
    <x v="0"/>
    <s v="Premium"/>
    <x v="103"/>
    <n v="179.97"/>
  </r>
  <r>
    <s v="TRX0142"/>
    <x v="69"/>
    <s v="CUST106"/>
    <x v="25"/>
    <s v="P005"/>
    <x v="1"/>
    <x v="1"/>
    <x v="0"/>
    <n v="59.99"/>
    <s v="PayPal"/>
    <x v="4"/>
    <s v="Standard"/>
    <x v="104"/>
    <n v="179.97"/>
  </r>
  <r>
    <s v="TRX0112"/>
    <x v="69"/>
    <s v="CUST107"/>
    <x v="27"/>
    <s v="P004"/>
    <x v="7"/>
    <x v="1"/>
    <x v="4"/>
    <n v="79.989999999999995"/>
    <s v="Cash"/>
    <x v="2"/>
    <s v="Basic"/>
    <x v="105"/>
    <n v="319.95999999999998"/>
  </r>
  <r>
    <s v="TRX0161"/>
    <x v="70"/>
    <s v="CUST108"/>
    <x v="6"/>
    <s v="P004"/>
    <x v="7"/>
    <x v="1"/>
    <x v="3"/>
    <n v="79.989999999999995"/>
    <s v="Cash"/>
    <x v="3"/>
    <s v="Basic"/>
    <x v="106"/>
    <n v="79.989999999999995"/>
  </r>
  <r>
    <s v="TRX0108"/>
    <x v="71"/>
    <s v="CUST109"/>
    <x v="5"/>
    <s v="P007"/>
    <x v="6"/>
    <x v="2"/>
    <x v="0"/>
    <n v="299.99"/>
    <s v="Credit Card"/>
    <x v="0"/>
    <s v="Premium"/>
    <x v="107"/>
    <n v="899.97"/>
  </r>
  <r>
    <s v="TRX0211"/>
    <x v="72"/>
    <s v="CUST110"/>
    <x v="3"/>
    <s v="P010"/>
    <x v="8"/>
    <x v="0"/>
    <x v="2"/>
    <n v="89.99"/>
    <s v="Credit Card"/>
    <x v="1"/>
    <s v="Premium"/>
    <x v="108"/>
    <n v="179.98"/>
  </r>
  <r>
    <s v="TRX0005"/>
    <x v="73"/>
    <s v="CUST111"/>
    <x v="43"/>
    <s v="P003"/>
    <x v="3"/>
    <x v="0"/>
    <x v="4"/>
    <n v="149.99"/>
    <s v="Cash"/>
    <x v="2"/>
    <s v="Basic"/>
    <x v="67"/>
    <n v="599.96"/>
  </r>
  <r>
    <s v="TRX0195"/>
    <x v="74"/>
    <s v="CUST112"/>
    <x v="8"/>
    <s v="P009"/>
    <x v="0"/>
    <x v="0"/>
    <x v="2"/>
    <n v="249.99"/>
    <s v="PayPal"/>
    <x v="1"/>
    <s v="Basic"/>
    <x v="57"/>
    <n v="499.98"/>
  </r>
  <r>
    <s v="TRX0054"/>
    <x v="74"/>
    <s v="CUST113"/>
    <x v="31"/>
    <s v="P006"/>
    <x v="9"/>
    <x v="2"/>
    <x v="4"/>
    <n v="199.99"/>
    <s v="Debit Card"/>
    <x v="4"/>
    <s v="Basic"/>
    <x v="90"/>
    <n v="799.96"/>
  </r>
  <r>
    <s v="TRX0077"/>
    <x v="75"/>
    <s v="CUST114"/>
    <x v="29"/>
    <s v="P010"/>
    <x v="8"/>
    <x v="0"/>
    <x v="1"/>
    <n v="89.99"/>
    <s v="Credit Card"/>
    <x v="4"/>
    <s v="Premium"/>
    <x v="109"/>
    <n v="449.95"/>
  </r>
  <r>
    <s v="TRX0111"/>
    <x v="75"/>
    <s v="CUST115"/>
    <x v="44"/>
    <s v="P003"/>
    <x v="3"/>
    <x v="0"/>
    <x v="3"/>
    <n v="149.99"/>
    <s v="PayPal"/>
    <x v="4"/>
    <s v="Standard"/>
    <x v="110"/>
    <n v="149.99"/>
  </r>
  <r>
    <s v="TRX0123"/>
    <x v="75"/>
    <s v="CUST116"/>
    <x v="10"/>
    <s v="P002"/>
    <x v="5"/>
    <x v="0"/>
    <x v="4"/>
    <n v="699.99"/>
    <s v="PayPal"/>
    <x v="1"/>
    <s v="Basic"/>
    <x v="111"/>
    <n v="2799.96"/>
  </r>
  <r>
    <s v="TRX0177"/>
    <x v="76"/>
    <s v="CUST117"/>
    <x v="42"/>
    <s v="P001"/>
    <x v="4"/>
    <x v="0"/>
    <x v="0"/>
    <n v="899.99"/>
    <s v="Credit Card"/>
    <x v="2"/>
    <s v="Standard"/>
    <x v="112"/>
    <n v="2699.97"/>
  </r>
  <r>
    <s v="TRX0119"/>
    <x v="77"/>
    <s v="CUST118"/>
    <x v="21"/>
    <s v="P008"/>
    <x v="2"/>
    <x v="2"/>
    <x v="0"/>
    <n v="149.99"/>
    <s v="PayPal"/>
    <x v="4"/>
    <s v="Basic"/>
    <x v="113"/>
    <n v="449.97"/>
  </r>
  <r>
    <s v="TRX0181"/>
    <x v="78"/>
    <s v="CUST119"/>
    <x v="18"/>
    <s v="P007"/>
    <x v="6"/>
    <x v="2"/>
    <x v="2"/>
    <n v="299.99"/>
    <s v="Debit Card"/>
    <x v="0"/>
    <s v="Basic"/>
    <x v="114"/>
    <n v="599.98"/>
  </r>
  <r>
    <s v="TRX0129"/>
    <x v="79"/>
    <s v="CUST120"/>
    <x v="45"/>
    <s v="P006"/>
    <x v="9"/>
    <x v="2"/>
    <x v="3"/>
    <n v="199.99"/>
    <s v="Debit Card"/>
    <x v="4"/>
    <s v="Standard"/>
    <x v="115"/>
    <n v="199.99"/>
  </r>
  <r>
    <s v="TRX0174"/>
    <x v="80"/>
    <s v="CUST121"/>
    <x v="4"/>
    <s v="P007"/>
    <x v="6"/>
    <x v="2"/>
    <x v="4"/>
    <n v="299.99"/>
    <s v="Cash"/>
    <x v="0"/>
    <s v="Premium"/>
    <x v="116"/>
    <n v="1199.96"/>
  </r>
  <r>
    <s v="TRX0146"/>
    <x v="81"/>
    <s v="CUST122"/>
    <x v="15"/>
    <s v="P005"/>
    <x v="1"/>
    <x v="1"/>
    <x v="2"/>
    <n v="59.99"/>
    <s v="Credit Card"/>
    <x v="0"/>
    <s v="Basic"/>
    <x v="47"/>
    <n v="119.98"/>
  </r>
  <r>
    <s v="TRX0203"/>
    <x v="81"/>
    <s v="CUST123"/>
    <x v="42"/>
    <s v="P003"/>
    <x v="3"/>
    <x v="0"/>
    <x v="4"/>
    <n v="149.99"/>
    <s v="Credit Card"/>
    <x v="2"/>
    <s v="Premium"/>
    <x v="117"/>
    <n v="599.96"/>
  </r>
  <r>
    <s v="TRX0055"/>
    <x v="82"/>
    <s v="CUST124"/>
    <x v="39"/>
    <s v="P002"/>
    <x v="5"/>
    <x v="0"/>
    <x v="2"/>
    <n v="699.99"/>
    <s v="Debit Card"/>
    <x v="4"/>
    <s v="Premium"/>
    <x v="118"/>
    <n v="1399.98"/>
  </r>
  <r>
    <s v="TRX0218"/>
    <x v="82"/>
    <s v="CUST125"/>
    <x v="41"/>
    <s v="P008"/>
    <x v="2"/>
    <x v="2"/>
    <x v="0"/>
    <n v="149.99"/>
    <s v="Credit Card"/>
    <x v="1"/>
    <s v="Standard"/>
    <x v="119"/>
    <n v="449.97"/>
  </r>
  <r>
    <s v="TRX0085"/>
    <x v="83"/>
    <s v="CUST126"/>
    <x v="29"/>
    <s v="P007"/>
    <x v="6"/>
    <x v="2"/>
    <x v="0"/>
    <n v="299.99"/>
    <s v="Credit Card"/>
    <x v="0"/>
    <s v="Standard"/>
    <x v="120"/>
    <n v="899.97"/>
  </r>
  <r>
    <s v="TRX0158"/>
    <x v="84"/>
    <s v="CUST127"/>
    <x v="13"/>
    <s v="P001"/>
    <x v="4"/>
    <x v="0"/>
    <x v="0"/>
    <n v="899.99"/>
    <s v="PayPal"/>
    <x v="3"/>
    <s v="Basic"/>
    <x v="121"/>
    <n v="2699.97"/>
  </r>
  <r>
    <s v="TRX0173"/>
    <x v="85"/>
    <s v="CUST128"/>
    <x v="17"/>
    <s v="P002"/>
    <x v="5"/>
    <x v="0"/>
    <x v="1"/>
    <n v="699.99"/>
    <s v="Cash"/>
    <x v="4"/>
    <s v="Standard"/>
    <x v="122"/>
    <n v="3499.95"/>
  </r>
  <r>
    <s v="TRX0034"/>
    <x v="85"/>
    <s v="CUST129"/>
    <x v="34"/>
    <s v="P002"/>
    <x v="5"/>
    <x v="0"/>
    <x v="4"/>
    <n v="699.99"/>
    <s v="Credit Card"/>
    <x v="0"/>
    <s v="Basic"/>
    <x v="123"/>
    <n v="2799.96"/>
  </r>
  <r>
    <s v="TRX0189"/>
    <x v="85"/>
    <s v="CUST130"/>
    <x v="30"/>
    <s v="P001"/>
    <x v="4"/>
    <x v="0"/>
    <x v="3"/>
    <n v="899.99"/>
    <s v="Credit Card"/>
    <x v="4"/>
    <s v="Standard"/>
    <x v="124"/>
    <n v="899.99"/>
  </r>
  <r>
    <s v="TRX0190"/>
    <x v="86"/>
    <s v="CUST131"/>
    <x v="40"/>
    <s v="P003"/>
    <x v="3"/>
    <x v="0"/>
    <x v="2"/>
    <n v="149.99"/>
    <s v="Credit Card"/>
    <x v="3"/>
    <s v="Basic"/>
    <x v="125"/>
    <n v="299.98"/>
  </r>
  <r>
    <s v="TRX0079"/>
    <x v="87"/>
    <s v="CUST132"/>
    <x v="40"/>
    <s v="P010"/>
    <x v="8"/>
    <x v="0"/>
    <x v="0"/>
    <n v="89.99"/>
    <s v="PayPal"/>
    <x v="0"/>
    <s v="Basic"/>
    <x v="126"/>
    <n v="269.97000000000003"/>
  </r>
  <r>
    <s v="TRX0095"/>
    <x v="88"/>
    <s v="CUST133"/>
    <x v="3"/>
    <s v="P003"/>
    <x v="3"/>
    <x v="0"/>
    <x v="2"/>
    <n v="149.99"/>
    <s v="PayPal"/>
    <x v="0"/>
    <s v="Basic"/>
    <x v="127"/>
    <n v="299.98"/>
  </r>
  <r>
    <s v="TRX0009"/>
    <x v="88"/>
    <s v="CUST134"/>
    <x v="31"/>
    <s v="P002"/>
    <x v="5"/>
    <x v="0"/>
    <x v="2"/>
    <n v="699.99"/>
    <s v="Cash"/>
    <x v="0"/>
    <s v="Basic"/>
    <x v="128"/>
    <n v="1399.98"/>
  </r>
  <r>
    <s v="TRX0167"/>
    <x v="89"/>
    <s v="CUST135"/>
    <x v="32"/>
    <s v="P002"/>
    <x v="5"/>
    <x v="0"/>
    <x v="1"/>
    <n v="699.99"/>
    <s v="Cash"/>
    <x v="2"/>
    <s v="Premium"/>
    <x v="129"/>
    <n v="3499.95"/>
  </r>
  <r>
    <s v="TRX0153"/>
    <x v="90"/>
    <s v="CUST136"/>
    <x v="34"/>
    <s v="P010"/>
    <x v="8"/>
    <x v="0"/>
    <x v="0"/>
    <n v="89.99"/>
    <s v="Credit Card"/>
    <x v="2"/>
    <s v="Standard"/>
    <x v="130"/>
    <n v="269.97000000000003"/>
  </r>
  <r>
    <s v="TRX0057"/>
    <x v="91"/>
    <s v="CUST137"/>
    <x v="0"/>
    <s v="P009"/>
    <x v="0"/>
    <x v="0"/>
    <x v="1"/>
    <n v="249.99"/>
    <s v="Credit Card"/>
    <x v="1"/>
    <s v="Standard"/>
    <x v="131"/>
    <n v="1249.95"/>
  </r>
  <r>
    <s v="TRX0017"/>
    <x v="92"/>
    <s v="CUST138"/>
    <x v="8"/>
    <s v="P007"/>
    <x v="6"/>
    <x v="2"/>
    <x v="0"/>
    <n v="299.99"/>
    <s v="Credit Card"/>
    <x v="1"/>
    <s v="Standard"/>
    <x v="132"/>
    <n v="899.97"/>
  </r>
  <r>
    <s v="TRX0060"/>
    <x v="93"/>
    <s v="CUST139"/>
    <x v="18"/>
    <s v="P010"/>
    <x v="8"/>
    <x v="0"/>
    <x v="0"/>
    <n v="89.99"/>
    <s v="Credit Card"/>
    <x v="2"/>
    <s v="Premium"/>
    <x v="133"/>
    <n v="269.97000000000003"/>
  </r>
  <r>
    <s v="TRX0109"/>
    <x v="94"/>
    <s v="CUST140"/>
    <x v="15"/>
    <s v="P008"/>
    <x v="2"/>
    <x v="2"/>
    <x v="2"/>
    <n v="149.99"/>
    <s v="Credit Card"/>
    <x v="3"/>
    <s v="Premium"/>
    <x v="134"/>
    <n v="299.98"/>
  </r>
  <r>
    <s v="TRX0090"/>
    <x v="95"/>
    <s v="CUST141"/>
    <x v="36"/>
    <s v="P009"/>
    <x v="0"/>
    <x v="0"/>
    <x v="3"/>
    <n v="249.99"/>
    <s v="Credit Card"/>
    <x v="2"/>
    <s v="Premium"/>
    <x v="135"/>
    <n v="249.99"/>
  </r>
  <r>
    <s v="TRX0035"/>
    <x v="96"/>
    <s v="CUST142"/>
    <x v="10"/>
    <s v="P003"/>
    <x v="3"/>
    <x v="0"/>
    <x v="0"/>
    <n v="149.99"/>
    <s v="Cash"/>
    <x v="2"/>
    <s v="Basic"/>
    <x v="136"/>
    <n v="449.97"/>
  </r>
  <r>
    <s v="TRX0172"/>
    <x v="96"/>
    <s v="CUST143"/>
    <x v="0"/>
    <s v="P005"/>
    <x v="1"/>
    <x v="1"/>
    <x v="1"/>
    <n v="59.99"/>
    <s v="PayPal"/>
    <x v="3"/>
    <s v="Premium"/>
    <x v="137"/>
    <n v="299.95"/>
  </r>
  <r>
    <s v="TRX0076"/>
    <x v="96"/>
    <s v="CUST144"/>
    <x v="18"/>
    <s v="P009"/>
    <x v="0"/>
    <x v="0"/>
    <x v="4"/>
    <n v="249.99"/>
    <s v="Credit Card"/>
    <x v="3"/>
    <s v="Standard"/>
    <x v="138"/>
    <n v="999.96"/>
  </r>
  <r>
    <s v="TRX0210"/>
    <x v="97"/>
    <s v="CUST145"/>
    <x v="31"/>
    <s v="P008"/>
    <x v="2"/>
    <x v="2"/>
    <x v="1"/>
    <n v="149.99"/>
    <s v="PayPal"/>
    <x v="0"/>
    <s v="Basic"/>
    <x v="139"/>
    <n v="749.95"/>
  </r>
  <r>
    <s v="TRX0149"/>
    <x v="97"/>
    <s v="CUST146"/>
    <x v="13"/>
    <s v="P005"/>
    <x v="1"/>
    <x v="1"/>
    <x v="0"/>
    <n v="59.99"/>
    <s v="Debit Card"/>
    <x v="1"/>
    <s v="Standard"/>
    <x v="140"/>
    <n v="179.97"/>
  </r>
  <r>
    <s v="TRX0073"/>
    <x v="98"/>
    <s v="CUST147"/>
    <x v="42"/>
    <s v="P008"/>
    <x v="2"/>
    <x v="2"/>
    <x v="1"/>
    <n v="149.99"/>
    <s v="Cash"/>
    <x v="2"/>
    <s v="Basic"/>
    <x v="141"/>
    <n v="749.95"/>
  </r>
  <r>
    <s v="TRX0033"/>
    <x v="98"/>
    <s v="CUST148"/>
    <x v="14"/>
    <s v="P002"/>
    <x v="5"/>
    <x v="0"/>
    <x v="2"/>
    <n v="699.99"/>
    <s v="PayPal"/>
    <x v="3"/>
    <s v="Standard"/>
    <x v="142"/>
    <n v="1399.98"/>
  </r>
  <r>
    <s v="TRX0160"/>
    <x v="99"/>
    <s v="CUST149"/>
    <x v="23"/>
    <s v="P006"/>
    <x v="9"/>
    <x v="2"/>
    <x v="4"/>
    <n v="199.99"/>
    <s v="Debit Card"/>
    <x v="0"/>
    <s v="Premium"/>
    <x v="143"/>
    <n v="799.96"/>
  </r>
  <r>
    <s v="TRX0145"/>
    <x v="100"/>
    <s v="CUST150"/>
    <x v="37"/>
    <s v="P005"/>
    <x v="1"/>
    <x v="1"/>
    <x v="3"/>
    <n v="59.99"/>
    <s v="Debit Card"/>
    <x v="3"/>
    <s v="Standard"/>
    <x v="144"/>
    <n v="59.99"/>
  </r>
  <r>
    <s v="TRX0148"/>
    <x v="100"/>
    <s v="CUST151"/>
    <x v="31"/>
    <s v="P002"/>
    <x v="5"/>
    <x v="0"/>
    <x v="0"/>
    <n v="699.99"/>
    <s v="PayPal"/>
    <x v="3"/>
    <s v="Standard"/>
    <x v="145"/>
    <n v="2099.9699999999998"/>
  </r>
  <r>
    <s v="TRX0012"/>
    <x v="101"/>
    <s v="CUST152"/>
    <x v="46"/>
    <s v="P009"/>
    <x v="0"/>
    <x v="0"/>
    <x v="1"/>
    <n v="249.99"/>
    <s v="Credit Card"/>
    <x v="2"/>
    <s v="Basic"/>
    <x v="146"/>
    <n v="1249.95"/>
  </r>
  <r>
    <s v="TRX0206"/>
    <x v="102"/>
    <s v="CUST153"/>
    <x v="21"/>
    <s v="P008"/>
    <x v="2"/>
    <x v="2"/>
    <x v="2"/>
    <n v="149.99"/>
    <s v="Cash"/>
    <x v="1"/>
    <s v="Standard"/>
    <x v="147"/>
    <n v="299.98"/>
  </r>
  <r>
    <s v="TRX0045"/>
    <x v="103"/>
    <s v="CUST154"/>
    <x v="2"/>
    <s v="P007"/>
    <x v="6"/>
    <x v="2"/>
    <x v="0"/>
    <n v="299.99"/>
    <s v="Cash"/>
    <x v="1"/>
    <s v="Premium"/>
    <x v="138"/>
    <n v="899.97"/>
  </r>
  <r>
    <s v="TRX0094"/>
    <x v="103"/>
    <s v="CUST155"/>
    <x v="6"/>
    <s v="P009"/>
    <x v="0"/>
    <x v="0"/>
    <x v="1"/>
    <n v="249.99"/>
    <s v="Cash"/>
    <x v="0"/>
    <s v="Premium"/>
    <x v="148"/>
    <n v="1249.95"/>
  </r>
  <r>
    <s v="TRX0133"/>
    <x v="103"/>
    <s v="CUST156"/>
    <x v="1"/>
    <s v="P003"/>
    <x v="3"/>
    <x v="0"/>
    <x v="2"/>
    <n v="149.99"/>
    <s v="Cash"/>
    <x v="1"/>
    <s v="Premium"/>
    <x v="149"/>
    <n v="299.98"/>
  </r>
  <r>
    <s v="TRX0201"/>
    <x v="103"/>
    <s v="CUST157"/>
    <x v="14"/>
    <s v="P002"/>
    <x v="5"/>
    <x v="0"/>
    <x v="1"/>
    <n v="699.99"/>
    <s v="Debit Card"/>
    <x v="3"/>
    <s v="Standard"/>
    <x v="150"/>
    <n v="3499.95"/>
  </r>
  <r>
    <s v="TRX0137"/>
    <x v="104"/>
    <s v="CUST158"/>
    <x v="44"/>
    <s v="P009"/>
    <x v="0"/>
    <x v="0"/>
    <x v="4"/>
    <n v="249.99"/>
    <s v="PayPal"/>
    <x v="4"/>
    <s v="Premium"/>
    <x v="151"/>
    <n v="999.96"/>
  </r>
  <r>
    <s v="TRX0066"/>
    <x v="105"/>
    <s v="CUST159"/>
    <x v="5"/>
    <s v="P002"/>
    <x v="5"/>
    <x v="0"/>
    <x v="4"/>
    <n v="699.99"/>
    <s v="Credit Card"/>
    <x v="2"/>
    <s v="Premium"/>
    <x v="152"/>
    <n v="2799.96"/>
  </r>
  <r>
    <s v="TRX0180"/>
    <x v="106"/>
    <s v="CUST160"/>
    <x v="20"/>
    <s v="P009"/>
    <x v="0"/>
    <x v="0"/>
    <x v="2"/>
    <n v="249.99"/>
    <s v="Credit Card"/>
    <x v="0"/>
    <s v="Premium"/>
    <x v="153"/>
    <n v="499.98"/>
  </r>
  <r>
    <s v="TRX0082"/>
    <x v="106"/>
    <s v="CUST161"/>
    <x v="47"/>
    <s v="P005"/>
    <x v="1"/>
    <x v="1"/>
    <x v="0"/>
    <n v="59.99"/>
    <s v="Cash"/>
    <x v="0"/>
    <s v="Premium"/>
    <x v="154"/>
    <n v="179.97"/>
  </r>
  <r>
    <s v="TRX0036"/>
    <x v="106"/>
    <s v="CUST162"/>
    <x v="27"/>
    <s v="P004"/>
    <x v="7"/>
    <x v="1"/>
    <x v="4"/>
    <n v="79.989999999999995"/>
    <s v="Debit Card"/>
    <x v="4"/>
    <s v="Standard"/>
    <x v="155"/>
    <n v="319.95999999999998"/>
  </r>
  <r>
    <s v="TRX0198"/>
    <x v="107"/>
    <s v="CUST163"/>
    <x v="22"/>
    <s v="P004"/>
    <x v="7"/>
    <x v="1"/>
    <x v="0"/>
    <n v="79.989999999999995"/>
    <s v="Debit Card"/>
    <x v="4"/>
    <s v="Standard"/>
    <x v="96"/>
    <n v="239.97"/>
  </r>
  <r>
    <s v="TRX0032"/>
    <x v="108"/>
    <s v="CUST164"/>
    <x v="10"/>
    <s v="P001"/>
    <x v="4"/>
    <x v="0"/>
    <x v="2"/>
    <n v="899.99"/>
    <s v="Cash"/>
    <x v="2"/>
    <s v="Basic"/>
    <x v="156"/>
    <n v="1799.98"/>
  </r>
  <r>
    <s v="TRX0081"/>
    <x v="109"/>
    <s v="CUST165"/>
    <x v="35"/>
    <s v="P008"/>
    <x v="2"/>
    <x v="2"/>
    <x v="3"/>
    <n v="149.99"/>
    <s v="Debit Card"/>
    <x v="4"/>
    <s v="Standard"/>
    <x v="157"/>
    <n v="149.99"/>
  </r>
  <r>
    <s v="TRX0224"/>
    <x v="109"/>
    <s v="CUST166"/>
    <x v="26"/>
    <s v="P007"/>
    <x v="6"/>
    <x v="2"/>
    <x v="2"/>
    <n v="299.99"/>
    <s v="Cash"/>
    <x v="4"/>
    <s v="Premium"/>
    <x v="158"/>
    <n v="599.98"/>
  </r>
  <r>
    <s v="TRX0028"/>
    <x v="110"/>
    <s v="CUST167"/>
    <x v="25"/>
    <s v="P005"/>
    <x v="1"/>
    <x v="1"/>
    <x v="2"/>
    <n v="59.99"/>
    <s v="Cash"/>
    <x v="3"/>
    <s v="Basic"/>
    <x v="159"/>
    <n v="119.98"/>
  </r>
  <r>
    <s v="TRX0183"/>
    <x v="111"/>
    <s v="CUST168"/>
    <x v="35"/>
    <s v="P010"/>
    <x v="8"/>
    <x v="0"/>
    <x v="3"/>
    <n v="89.99"/>
    <s v="Debit Card"/>
    <x v="0"/>
    <s v="Standard"/>
    <x v="160"/>
    <n v="89.99"/>
  </r>
  <r>
    <s v="TRX0163"/>
    <x v="111"/>
    <s v="CUST169"/>
    <x v="29"/>
    <s v="P001"/>
    <x v="4"/>
    <x v="0"/>
    <x v="1"/>
    <n v="899.99"/>
    <s v="Debit Card"/>
    <x v="4"/>
    <s v="Standard"/>
    <x v="161"/>
    <n v="4499.95"/>
  </r>
  <r>
    <s v="TRX0046"/>
    <x v="112"/>
    <s v="CUST170"/>
    <x v="4"/>
    <s v="P008"/>
    <x v="2"/>
    <x v="2"/>
    <x v="2"/>
    <n v="149.99"/>
    <s v="Cash"/>
    <x v="1"/>
    <s v="Basic"/>
    <x v="162"/>
    <n v="299.98"/>
  </r>
  <r>
    <s v="TRX0164"/>
    <x v="113"/>
    <s v="CUST171"/>
    <x v="21"/>
    <s v="P003"/>
    <x v="3"/>
    <x v="0"/>
    <x v="2"/>
    <n v="149.99"/>
    <s v="Debit Card"/>
    <x v="3"/>
    <s v="Premium"/>
    <x v="163"/>
    <n v="299.98"/>
  </r>
  <r>
    <s v="TRX0008"/>
    <x v="113"/>
    <s v="CUST172"/>
    <x v="35"/>
    <s v="P008"/>
    <x v="2"/>
    <x v="2"/>
    <x v="0"/>
    <n v="149.99"/>
    <s v="Debit Card"/>
    <x v="2"/>
    <s v="Standard"/>
    <x v="164"/>
    <n v="449.97"/>
  </r>
  <r>
    <s v="TRX0171"/>
    <x v="114"/>
    <s v="CUST173"/>
    <x v="2"/>
    <s v="P007"/>
    <x v="6"/>
    <x v="2"/>
    <x v="2"/>
    <n v="299.99"/>
    <s v="PayPal"/>
    <x v="1"/>
    <s v="Basic"/>
    <x v="165"/>
    <n v="599.98"/>
  </r>
  <r>
    <s v="TRX0143"/>
    <x v="115"/>
    <s v="CUST174"/>
    <x v="4"/>
    <s v="P007"/>
    <x v="6"/>
    <x v="2"/>
    <x v="2"/>
    <n v="299.99"/>
    <s v="Cash"/>
    <x v="3"/>
    <s v="Basic"/>
    <x v="166"/>
    <n v="599.98"/>
  </r>
  <r>
    <s v="TRX0165"/>
    <x v="115"/>
    <s v="CUST175"/>
    <x v="22"/>
    <s v="P006"/>
    <x v="9"/>
    <x v="2"/>
    <x v="4"/>
    <n v="199.99"/>
    <s v="Credit Card"/>
    <x v="0"/>
    <s v="Basic"/>
    <x v="82"/>
    <n v="799.96"/>
  </r>
  <r>
    <s v="TRX0156"/>
    <x v="116"/>
    <s v="CUST176"/>
    <x v="7"/>
    <s v="P010"/>
    <x v="8"/>
    <x v="0"/>
    <x v="3"/>
    <n v="89.99"/>
    <s v="Credit Card"/>
    <x v="1"/>
    <s v="Premium"/>
    <x v="167"/>
    <n v="89.99"/>
  </r>
  <r>
    <s v="TRX0147"/>
    <x v="116"/>
    <s v="CUST177"/>
    <x v="20"/>
    <s v="P008"/>
    <x v="2"/>
    <x v="2"/>
    <x v="1"/>
    <n v="149.99"/>
    <s v="Cash"/>
    <x v="0"/>
    <s v="Premium"/>
    <x v="168"/>
    <n v="749.95"/>
  </r>
  <r>
    <s v="TRX0207"/>
    <x v="117"/>
    <s v="CUST178"/>
    <x v="14"/>
    <s v="P001"/>
    <x v="4"/>
    <x v="0"/>
    <x v="3"/>
    <n v="899.99"/>
    <s v="PayPal"/>
    <x v="2"/>
    <s v="Premium"/>
    <x v="169"/>
    <n v="899.99"/>
  </r>
  <r>
    <s v="TRX0056"/>
    <x v="118"/>
    <s v="CUST179"/>
    <x v="29"/>
    <s v="P010"/>
    <x v="8"/>
    <x v="0"/>
    <x v="2"/>
    <n v="89.99"/>
    <s v="Credit Card"/>
    <x v="1"/>
    <s v="Premium"/>
    <x v="170"/>
    <n v="179.98"/>
  </r>
  <r>
    <s v="TRX0026"/>
    <x v="119"/>
    <s v="CUST180"/>
    <x v="48"/>
    <s v="P001"/>
    <x v="4"/>
    <x v="0"/>
    <x v="3"/>
    <n v="899.99"/>
    <s v="PayPal"/>
    <x v="2"/>
    <s v="Standard"/>
    <x v="171"/>
    <n v="899.99"/>
  </r>
  <r>
    <s v="TRX0237"/>
    <x v="120"/>
    <s v="CUST181"/>
    <x v="24"/>
    <s v="P003"/>
    <x v="3"/>
    <x v="0"/>
    <x v="1"/>
    <n v="149.99"/>
    <s v="PayPal"/>
    <x v="4"/>
    <s v="Premium"/>
    <x v="34"/>
    <n v="749.95"/>
  </r>
  <r>
    <s v="TRX0091"/>
    <x v="120"/>
    <s v="CUST182"/>
    <x v="4"/>
    <s v="P007"/>
    <x v="6"/>
    <x v="2"/>
    <x v="0"/>
    <n v="299.99"/>
    <s v="Cash"/>
    <x v="1"/>
    <s v="Standard"/>
    <x v="172"/>
    <n v="899.97"/>
  </r>
  <r>
    <s v="TRX0125"/>
    <x v="121"/>
    <s v="CUST183"/>
    <x v="8"/>
    <s v="P002"/>
    <x v="5"/>
    <x v="0"/>
    <x v="0"/>
    <n v="699.99"/>
    <s v="Credit Card"/>
    <x v="0"/>
    <s v="Premium"/>
    <x v="173"/>
    <n v="2099.9699999999998"/>
  </r>
  <r>
    <s v="TRX0223"/>
    <x v="122"/>
    <s v="CUST184"/>
    <x v="20"/>
    <s v="P006"/>
    <x v="9"/>
    <x v="2"/>
    <x v="1"/>
    <n v="199.99"/>
    <s v="PayPal"/>
    <x v="0"/>
    <s v="Standard"/>
    <x v="174"/>
    <n v="999.95"/>
  </r>
  <r>
    <s v="TRX0243"/>
    <x v="122"/>
    <s v="CUST185"/>
    <x v="16"/>
    <s v="P009"/>
    <x v="0"/>
    <x v="0"/>
    <x v="1"/>
    <n v="249.99"/>
    <s v="Credit Card"/>
    <x v="1"/>
    <s v="Basic"/>
    <x v="175"/>
    <n v="1249.95"/>
  </r>
  <r>
    <s v="TRX0084"/>
    <x v="123"/>
    <s v="CUST186"/>
    <x v="26"/>
    <s v="P003"/>
    <x v="3"/>
    <x v="0"/>
    <x v="4"/>
    <n v="149.99"/>
    <s v="Debit Card"/>
    <x v="4"/>
    <s v="Standard"/>
    <x v="176"/>
    <n v="599.96"/>
  </r>
  <r>
    <s v="TRX0238"/>
    <x v="123"/>
    <s v="CUST187"/>
    <x v="12"/>
    <s v="P002"/>
    <x v="5"/>
    <x v="0"/>
    <x v="0"/>
    <n v="699.99"/>
    <s v="Cash"/>
    <x v="2"/>
    <s v="Premium"/>
    <x v="177"/>
    <n v="2099.9699999999998"/>
  </r>
  <r>
    <s v="TRX0102"/>
    <x v="124"/>
    <s v="CUST188"/>
    <x v="46"/>
    <s v="P004"/>
    <x v="7"/>
    <x v="1"/>
    <x v="3"/>
    <n v="79.989999999999995"/>
    <s v="Credit Card"/>
    <x v="1"/>
    <s v="Basic"/>
    <x v="178"/>
    <n v="79.989999999999995"/>
  </r>
  <r>
    <s v="TRX0022"/>
    <x v="124"/>
    <s v="CUST189"/>
    <x v="14"/>
    <s v="P007"/>
    <x v="6"/>
    <x v="2"/>
    <x v="3"/>
    <n v="299.99"/>
    <s v="Credit Card"/>
    <x v="2"/>
    <s v="Basic"/>
    <x v="179"/>
    <n v="299.99"/>
  </r>
  <r>
    <s v="TRX0087"/>
    <x v="125"/>
    <s v="CUST190"/>
    <x v="32"/>
    <s v="P009"/>
    <x v="0"/>
    <x v="0"/>
    <x v="4"/>
    <n v="249.99"/>
    <s v="Credit Card"/>
    <x v="2"/>
    <s v="Premium"/>
    <x v="116"/>
    <n v="999.96"/>
  </r>
  <r>
    <s v="TRX0107"/>
    <x v="125"/>
    <s v="CUST191"/>
    <x v="22"/>
    <s v="P003"/>
    <x v="3"/>
    <x v="0"/>
    <x v="2"/>
    <n v="149.99"/>
    <s v="Cash"/>
    <x v="2"/>
    <s v="Standard"/>
    <x v="180"/>
    <n v="299.98"/>
  </r>
  <r>
    <s v="TRX0051"/>
    <x v="125"/>
    <s v="CUST192"/>
    <x v="42"/>
    <s v="P007"/>
    <x v="6"/>
    <x v="2"/>
    <x v="0"/>
    <n v="299.99"/>
    <s v="Credit Card"/>
    <x v="1"/>
    <s v="Basic"/>
    <x v="181"/>
    <n v="899.97"/>
  </r>
  <r>
    <s v="TRX0106"/>
    <x v="126"/>
    <s v="CUST193"/>
    <x v="40"/>
    <s v="P006"/>
    <x v="9"/>
    <x v="2"/>
    <x v="4"/>
    <n v="199.99"/>
    <s v="Debit Card"/>
    <x v="1"/>
    <s v="Standard"/>
    <x v="182"/>
    <n v="799.96"/>
  </r>
  <r>
    <s v="TRX0059"/>
    <x v="126"/>
    <s v="CUST194"/>
    <x v="39"/>
    <s v="P007"/>
    <x v="6"/>
    <x v="2"/>
    <x v="1"/>
    <n v="299.99"/>
    <s v="Debit Card"/>
    <x v="0"/>
    <s v="Basic"/>
    <x v="183"/>
    <n v="1499.95"/>
  </r>
  <r>
    <s v="TRX0072"/>
    <x v="126"/>
    <s v="CUST195"/>
    <x v="7"/>
    <s v="P008"/>
    <x v="2"/>
    <x v="2"/>
    <x v="0"/>
    <n v="149.99"/>
    <s v="Credit Card"/>
    <x v="4"/>
    <s v="Standard"/>
    <x v="184"/>
    <n v="449.97"/>
  </r>
  <r>
    <s v="TRX0110"/>
    <x v="127"/>
    <s v="CUST196"/>
    <x v="24"/>
    <s v="P005"/>
    <x v="1"/>
    <x v="1"/>
    <x v="1"/>
    <n v="59.99"/>
    <s v="Debit Card"/>
    <x v="4"/>
    <s v="Basic"/>
    <x v="185"/>
    <n v="299.95"/>
  </r>
  <r>
    <s v="TRX0126"/>
    <x v="128"/>
    <s v="CUST197"/>
    <x v="9"/>
    <s v="P005"/>
    <x v="1"/>
    <x v="1"/>
    <x v="4"/>
    <n v="59.99"/>
    <s v="Debit Card"/>
    <x v="4"/>
    <s v="Standard"/>
    <x v="170"/>
    <n v="239.96"/>
  </r>
  <r>
    <s v="TRX0159"/>
    <x v="129"/>
    <s v="CUST198"/>
    <x v="5"/>
    <s v="P009"/>
    <x v="0"/>
    <x v="0"/>
    <x v="4"/>
    <n v="249.99"/>
    <s v="Debit Card"/>
    <x v="0"/>
    <s v="Premium"/>
    <x v="186"/>
    <n v="999.96"/>
  </r>
  <r>
    <s v="TRX0030"/>
    <x v="130"/>
    <s v="CUST199"/>
    <x v="44"/>
    <s v="P001"/>
    <x v="4"/>
    <x v="0"/>
    <x v="4"/>
    <n v="899.99"/>
    <s v="PayPal"/>
    <x v="0"/>
    <s v="Basic"/>
    <x v="187"/>
    <n v="3599.96"/>
  </r>
  <r>
    <s v="TRX0178"/>
    <x v="130"/>
    <s v="CUST200"/>
    <x v="14"/>
    <s v="P007"/>
    <x v="6"/>
    <x v="2"/>
    <x v="0"/>
    <n v="299.99"/>
    <s v="Debit Card"/>
    <x v="3"/>
    <s v="Standard"/>
    <x v="188"/>
    <n v="899.97"/>
  </r>
  <r>
    <s v="TRX0188"/>
    <x v="130"/>
    <s v="CUST201"/>
    <x v="46"/>
    <s v="P002"/>
    <x v="5"/>
    <x v="0"/>
    <x v="2"/>
    <n v="699.99"/>
    <s v="Debit Card"/>
    <x v="0"/>
    <s v="Premium"/>
    <x v="189"/>
    <n v="1399.98"/>
  </r>
  <r>
    <s v="TRX0010"/>
    <x v="131"/>
    <s v="CUST202"/>
    <x v="8"/>
    <s v="P002"/>
    <x v="5"/>
    <x v="0"/>
    <x v="4"/>
    <n v="699.99"/>
    <s v="Debit Card"/>
    <x v="3"/>
    <s v="Premium"/>
    <x v="190"/>
    <n v="2799.96"/>
  </r>
  <r>
    <s v="TRX0069"/>
    <x v="131"/>
    <s v="CUST203"/>
    <x v="23"/>
    <s v="P010"/>
    <x v="8"/>
    <x v="0"/>
    <x v="2"/>
    <n v="89.99"/>
    <s v="Debit Card"/>
    <x v="1"/>
    <s v="Basic"/>
    <x v="191"/>
    <n v="179.98"/>
  </r>
  <r>
    <s v="TRX0166"/>
    <x v="131"/>
    <s v="CUST204"/>
    <x v="4"/>
    <s v="P010"/>
    <x v="8"/>
    <x v="0"/>
    <x v="0"/>
    <n v="89.99"/>
    <s v="Debit Card"/>
    <x v="1"/>
    <s v="Premium"/>
    <x v="192"/>
    <n v="269.97000000000003"/>
  </r>
  <r>
    <s v="TRX0219"/>
    <x v="132"/>
    <s v="CUST205"/>
    <x v="48"/>
    <s v="P005"/>
    <x v="1"/>
    <x v="1"/>
    <x v="3"/>
    <n v="59.99"/>
    <s v="Debit Card"/>
    <x v="0"/>
    <s v="Standard"/>
    <x v="193"/>
    <n v="59.99"/>
  </r>
  <r>
    <s v="TRX0024"/>
    <x v="133"/>
    <s v="CUST206"/>
    <x v="43"/>
    <s v="P008"/>
    <x v="2"/>
    <x v="2"/>
    <x v="0"/>
    <n v="149.99"/>
    <s v="Debit Card"/>
    <x v="2"/>
    <s v="Premium"/>
    <x v="170"/>
    <n v="449.97"/>
  </r>
  <r>
    <s v="TRX0105"/>
    <x v="133"/>
    <s v="CUST207"/>
    <x v="16"/>
    <s v="P007"/>
    <x v="6"/>
    <x v="2"/>
    <x v="1"/>
    <n v="299.99"/>
    <s v="Credit Card"/>
    <x v="1"/>
    <s v="Basic"/>
    <x v="194"/>
    <n v="1499.95"/>
  </r>
  <r>
    <s v="TRX0011"/>
    <x v="134"/>
    <s v="CUST208"/>
    <x v="30"/>
    <s v="P005"/>
    <x v="1"/>
    <x v="1"/>
    <x v="1"/>
    <n v="59.99"/>
    <s v="Debit Card"/>
    <x v="0"/>
    <s v="Standard"/>
    <x v="195"/>
    <n v="299.95"/>
  </r>
  <r>
    <s v="TRX0187"/>
    <x v="135"/>
    <s v="CUST209"/>
    <x v="20"/>
    <s v="P004"/>
    <x v="7"/>
    <x v="1"/>
    <x v="0"/>
    <n v="79.989999999999995"/>
    <s v="Cash"/>
    <x v="4"/>
    <s v="Premium"/>
    <x v="179"/>
    <n v="239.97"/>
  </r>
  <r>
    <s v="TRX0089"/>
    <x v="136"/>
    <s v="CUST210"/>
    <x v="2"/>
    <s v="P006"/>
    <x v="9"/>
    <x v="2"/>
    <x v="0"/>
    <n v="199.99"/>
    <s v="Cash"/>
    <x v="0"/>
    <s v="Basic"/>
    <x v="196"/>
    <n v="599.97"/>
  </r>
  <r>
    <s v="TRX0196"/>
    <x v="136"/>
    <s v="CUST211"/>
    <x v="0"/>
    <s v="P010"/>
    <x v="8"/>
    <x v="0"/>
    <x v="2"/>
    <n v="89.99"/>
    <s v="PayPal"/>
    <x v="0"/>
    <s v="Basic"/>
    <x v="197"/>
    <n v="179.98"/>
  </r>
  <r>
    <s v="TRX0118"/>
    <x v="137"/>
    <s v="CUST212"/>
    <x v="45"/>
    <s v="P008"/>
    <x v="2"/>
    <x v="2"/>
    <x v="2"/>
    <n v="149.99"/>
    <s v="Cash"/>
    <x v="1"/>
    <s v="Premium"/>
    <x v="198"/>
    <n v="299.98"/>
  </r>
  <r>
    <s v="TRX0179"/>
    <x v="138"/>
    <s v="CUST213"/>
    <x v="23"/>
    <s v="P002"/>
    <x v="5"/>
    <x v="0"/>
    <x v="1"/>
    <n v="699.99"/>
    <s v="PayPal"/>
    <x v="1"/>
    <s v="Premium"/>
    <x v="54"/>
    <n v="3499.95"/>
  </r>
  <r>
    <s v="TRX0168"/>
    <x v="138"/>
    <s v="CUST214"/>
    <x v="4"/>
    <s v="P008"/>
    <x v="2"/>
    <x v="2"/>
    <x v="0"/>
    <n v="149.99"/>
    <s v="PayPal"/>
    <x v="0"/>
    <s v="Standard"/>
    <x v="174"/>
    <n v="449.97"/>
  </r>
  <r>
    <s v="TRX0214"/>
    <x v="139"/>
    <s v="CUST215"/>
    <x v="17"/>
    <s v="P001"/>
    <x v="4"/>
    <x v="0"/>
    <x v="0"/>
    <n v="899.99"/>
    <s v="Cash"/>
    <x v="4"/>
    <s v="Standard"/>
    <x v="199"/>
    <n v="2699.97"/>
  </r>
  <r>
    <s v="TRX0221"/>
    <x v="139"/>
    <s v="CUST216"/>
    <x v="37"/>
    <s v="P006"/>
    <x v="9"/>
    <x v="2"/>
    <x v="0"/>
    <n v="199.99"/>
    <s v="Cash"/>
    <x v="3"/>
    <s v="Premium"/>
    <x v="31"/>
    <n v="599.97"/>
  </r>
  <r>
    <s v="TRX0083"/>
    <x v="140"/>
    <s v="CUST217"/>
    <x v="6"/>
    <s v="P007"/>
    <x v="6"/>
    <x v="2"/>
    <x v="1"/>
    <n v="299.99"/>
    <s v="Cash"/>
    <x v="3"/>
    <s v="Standard"/>
    <x v="200"/>
    <n v="1499.95"/>
  </r>
  <r>
    <s v="TRX0151"/>
    <x v="140"/>
    <s v="CUST218"/>
    <x v="30"/>
    <s v="P002"/>
    <x v="5"/>
    <x v="0"/>
    <x v="3"/>
    <n v="699.99"/>
    <s v="PayPal"/>
    <x v="3"/>
    <s v="Basic"/>
    <x v="201"/>
    <n v="699.99"/>
  </r>
  <r>
    <s v="TRX0047"/>
    <x v="141"/>
    <s v="CUST219"/>
    <x v="43"/>
    <s v="P002"/>
    <x v="5"/>
    <x v="0"/>
    <x v="3"/>
    <n v="699.99"/>
    <s v="Cash"/>
    <x v="2"/>
    <s v="Premium"/>
    <x v="145"/>
    <n v="699.99"/>
  </r>
  <r>
    <s v="TRX0200"/>
    <x v="141"/>
    <s v="CUST220"/>
    <x v="48"/>
    <s v="P008"/>
    <x v="2"/>
    <x v="2"/>
    <x v="4"/>
    <n v="149.99"/>
    <s v="PayPal"/>
    <x v="2"/>
    <s v="Premium"/>
    <x v="30"/>
    <n v="599.96"/>
  </r>
  <r>
    <s v="TRX0062"/>
    <x v="141"/>
    <s v="CUST221"/>
    <x v="39"/>
    <s v="P010"/>
    <x v="8"/>
    <x v="0"/>
    <x v="1"/>
    <n v="89.99"/>
    <s v="PayPal"/>
    <x v="3"/>
    <s v="Premium"/>
    <x v="202"/>
    <n v="449.95"/>
  </r>
  <r>
    <s v="TRX0182"/>
    <x v="142"/>
    <s v="CUST222"/>
    <x v="26"/>
    <s v="P006"/>
    <x v="9"/>
    <x v="2"/>
    <x v="2"/>
    <n v="199.99"/>
    <s v="Cash"/>
    <x v="0"/>
    <s v="Premium"/>
    <x v="203"/>
    <n v="399.98"/>
  </r>
  <r>
    <s v="TRX0229"/>
    <x v="143"/>
    <s v="CUST223"/>
    <x v="45"/>
    <s v="P005"/>
    <x v="1"/>
    <x v="1"/>
    <x v="4"/>
    <n v="59.99"/>
    <s v="Cash"/>
    <x v="3"/>
    <s v="Standard"/>
    <x v="204"/>
    <n v="239.96"/>
  </r>
  <r>
    <s v="TRX0048"/>
    <x v="143"/>
    <s v="CUST224"/>
    <x v="16"/>
    <s v="P007"/>
    <x v="6"/>
    <x v="2"/>
    <x v="2"/>
    <n v="299.99"/>
    <s v="PayPal"/>
    <x v="1"/>
    <s v="Basic"/>
    <x v="205"/>
    <n v="599.98"/>
  </r>
  <r>
    <s v="TRX0227"/>
    <x v="144"/>
    <s v="CUST225"/>
    <x v="6"/>
    <s v="P008"/>
    <x v="2"/>
    <x v="2"/>
    <x v="2"/>
    <n v="149.99"/>
    <s v="Cash"/>
    <x v="0"/>
    <s v="Basic"/>
    <x v="32"/>
    <n v="299.98"/>
  </r>
  <r>
    <s v="TRX0226"/>
    <x v="145"/>
    <s v="CUST226"/>
    <x v="40"/>
    <s v="P002"/>
    <x v="5"/>
    <x v="0"/>
    <x v="1"/>
    <n v="699.99"/>
    <s v="Debit Card"/>
    <x v="4"/>
    <s v="Premium"/>
    <x v="65"/>
    <n v="3499.95"/>
  </r>
  <r>
    <s v="TRX0053"/>
    <x v="146"/>
    <s v="CUST227"/>
    <x v="11"/>
    <s v="P005"/>
    <x v="1"/>
    <x v="1"/>
    <x v="1"/>
    <n v="59.99"/>
    <s v="Cash"/>
    <x v="3"/>
    <s v="Premium"/>
    <x v="206"/>
    <n v="299.95"/>
  </r>
  <r>
    <s v="TRX0233"/>
    <x v="147"/>
    <s v="CUST228"/>
    <x v="0"/>
    <s v="P010"/>
    <x v="8"/>
    <x v="0"/>
    <x v="2"/>
    <n v="89.99"/>
    <s v="Credit Card"/>
    <x v="3"/>
    <s v="Premium"/>
    <x v="4"/>
    <n v="179.98"/>
  </r>
  <r>
    <s v="TRX0175"/>
    <x v="147"/>
    <s v="CUST229"/>
    <x v="22"/>
    <s v="P009"/>
    <x v="0"/>
    <x v="0"/>
    <x v="1"/>
    <n v="249.99"/>
    <s v="Cash"/>
    <x v="4"/>
    <s v="Standard"/>
    <x v="207"/>
    <n v="1249.95"/>
  </r>
  <r>
    <s v="TRX0186"/>
    <x v="148"/>
    <s v="CUST230"/>
    <x v="40"/>
    <s v="P008"/>
    <x v="2"/>
    <x v="2"/>
    <x v="2"/>
    <n v="149.99"/>
    <s v="PayPal"/>
    <x v="0"/>
    <s v="Premium"/>
    <x v="208"/>
    <n v="299.98"/>
  </r>
  <r>
    <s v="TRX0016"/>
    <x v="148"/>
    <s v="CUST231"/>
    <x v="28"/>
    <s v="P001"/>
    <x v="4"/>
    <x v="0"/>
    <x v="1"/>
    <n v="899.99"/>
    <s v="PayPal"/>
    <x v="4"/>
    <s v="Premium"/>
    <x v="64"/>
    <n v="4499.95"/>
  </r>
  <r>
    <s v="TRX0199"/>
    <x v="148"/>
    <s v="CUST232"/>
    <x v="6"/>
    <s v="P008"/>
    <x v="2"/>
    <x v="2"/>
    <x v="4"/>
    <n v="149.99"/>
    <s v="Cash"/>
    <x v="0"/>
    <s v="Standard"/>
    <x v="209"/>
    <n v="599.96"/>
  </r>
  <r>
    <s v="TRX0038"/>
    <x v="149"/>
    <s v="CUST233"/>
    <x v="28"/>
    <s v="P009"/>
    <x v="0"/>
    <x v="0"/>
    <x v="3"/>
    <n v="249.99"/>
    <s v="Cash"/>
    <x v="2"/>
    <s v="Standard"/>
    <x v="210"/>
    <n v="249.99"/>
  </r>
  <r>
    <s v="TRX0014"/>
    <x v="150"/>
    <s v="CUST234"/>
    <x v="37"/>
    <s v="P005"/>
    <x v="1"/>
    <x v="1"/>
    <x v="2"/>
    <n v="59.99"/>
    <s v="Credit Card"/>
    <x v="3"/>
    <s v="Basic"/>
    <x v="211"/>
    <n v="119.98"/>
  </r>
  <r>
    <s v="TRX0003"/>
    <x v="151"/>
    <s v="CUST235"/>
    <x v="25"/>
    <s v="P008"/>
    <x v="2"/>
    <x v="2"/>
    <x v="2"/>
    <n v="149.99"/>
    <s v="Cash"/>
    <x v="3"/>
    <s v="Premium"/>
    <x v="212"/>
    <n v="299.98"/>
  </r>
  <r>
    <s v="TRX0124"/>
    <x v="151"/>
    <s v="CUST236"/>
    <x v="30"/>
    <s v="P001"/>
    <x v="4"/>
    <x v="0"/>
    <x v="0"/>
    <n v="899.99"/>
    <s v="Debit Card"/>
    <x v="2"/>
    <s v="Premium"/>
    <x v="213"/>
    <n v="2699.97"/>
  </r>
  <r>
    <s v="TRX0013"/>
    <x v="151"/>
    <s v="CUST237"/>
    <x v="5"/>
    <s v="P001"/>
    <x v="4"/>
    <x v="0"/>
    <x v="0"/>
    <n v="899.99"/>
    <s v="PayPal"/>
    <x v="2"/>
    <s v="Basic"/>
    <x v="214"/>
    <n v="2699.97"/>
  </r>
  <r>
    <s v="TRX0019"/>
    <x v="152"/>
    <s v="CUST238"/>
    <x v="0"/>
    <s v="P007"/>
    <x v="6"/>
    <x v="2"/>
    <x v="0"/>
    <n v="299.99"/>
    <s v="Credit Card"/>
    <x v="3"/>
    <s v="Premium"/>
    <x v="215"/>
    <n v="899.97"/>
  </r>
  <r>
    <s v="TRX0050"/>
    <x v="153"/>
    <s v="CUST239"/>
    <x v="49"/>
    <s v="P008"/>
    <x v="2"/>
    <x v="2"/>
    <x v="4"/>
    <n v="149.99"/>
    <s v="PayPal"/>
    <x v="3"/>
    <s v="Standard"/>
    <x v="144"/>
    <n v="599.96"/>
  </r>
  <r>
    <s v="TRX0152"/>
    <x v="154"/>
    <s v="CUST240"/>
    <x v="19"/>
    <s v="P004"/>
    <x v="7"/>
    <x v="1"/>
    <x v="4"/>
    <n v="79.989999999999995"/>
    <s v="Credit Card"/>
    <x v="0"/>
    <s v="Basic"/>
    <x v="216"/>
    <n v="319.95999999999998"/>
  </r>
  <r>
    <s v="TRX0213"/>
    <x v="155"/>
    <s v="CUST241"/>
    <x v="36"/>
    <s v="P010"/>
    <x v="8"/>
    <x v="0"/>
    <x v="1"/>
    <n v="89.99"/>
    <s v="PayPal"/>
    <x v="1"/>
    <s v="Basic"/>
    <x v="217"/>
    <n v="449.95"/>
  </r>
  <r>
    <s v="TRX0197"/>
    <x v="156"/>
    <s v="CUST242"/>
    <x v="16"/>
    <s v="P008"/>
    <x v="2"/>
    <x v="2"/>
    <x v="0"/>
    <n v="149.99"/>
    <s v="PayPal"/>
    <x v="0"/>
    <s v="Standard"/>
    <x v="218"/>
    <n v="449.97"/>
  </r>
  <r>
    <s v="TRX0250"/>
    <x v="156"/>
    <s v="CUST243"/>
    <x v="8"/>
    <s v="P010"/>
    <x v="8"/>
    <x v="0"/>
    <x v="2"/>
    <n v="89.99"/>
    <s v="Debit Card"/>
    <x v="3"/>
    <s v="Premium"/>
    <x v="164"/>
    <n v="179.98"/>
  </r>
  <r>
    <s v="TRX0068"/>
    <x v="157"/>
    <s v="CUST244"/>
    <x v="19"/>
    <s v="P002"/>
    <x v="5"/>
    <x v="0"/>
    <x v="2"/>
    <n v="699.99"/>
    <s v="PayPal"/>
    <x v="2"/>
    <s v="Standard"/>
    <x v="111"/>
    <n v="1399.98"/>
  </r>
  <r>
    <s v="TRX0144"/>
    <x v="158"/>
    <s v="CUST245"/>
    <x v="23"/>
    <s v="P001"/>
    <x v="4"/>
    <x v="0"/>
    <x v="0"/>
    <n v="899.99"/>
    <s v="Cash"/>
    <x v="0"/>
    <s v="Standard"/>
    <x v="115"/>
    <n v="2699.97"/>
  </r>
  <r>
    <s v="TRX0039"/>
    <x v="159"/>
    <s v="CUST246"/>
    <x v="16"/>
    <s v="P004"/>
    <x v="7"/>
    <x v="1"/>
    <x v="0"/>
    <n v="79.989999999999995"/>
    <s v="Credit Card"/>
    <x v="2"/>
    <s v="Basic"/>
    <x v="219"/>
    <n v="239.97"/>
  </r>
  <r>
    <s v="TRX0116"/>
    <x v="160"/>
    <s v="CUST247"/>
    <x v="7"/>
    <s v="P010"/>
    <x v="8"/>
    <x v="0"/>
    <x v="3"/>
    <n v="89.99"/>
    <s v="Debit Card"/>
    <x v="4"/>
    <s v="Basic"/>
    <x v="220"/>
    <n v="89.99"/>
  </r>
  <r>
    <s v="TRX0120"/>
    <x v="161"/>
    <s v="CUST248"/>
    <x v="46"/>
    <s v="P002"/>
    <x v="5"/>
    <x v="0"/>
    <x v="0"/>
    <n v="699.99"/>
    <s v="PayPal"/>
    <x v="2"/>
    <s v="Basic"/>
    <x v="67"/>
    <n v="2099.9699999999998"/>
  </r>
  <r>
    <s v="TRX0103"/>
    <x v="161"/>
    <s v="CUST249"/>
    <x v="40"/>
    <s v="P010"/>
    <x v="8"/>
    <x v="0"/>
    <x v="2"/>
    <n v="89.99"/>
    <s v="Debit Card"/>
    <x v="4"/>
    <s v="Basic"/>
    <x v="221"/>
    <n v="179.98"/>
  </r>
  <r>
    <s v="TRX0064"/>
    <x v="161"/>
    <s v="CUST250"/>
    <x v="26"/>
    <s v="P010"/>
    <x v="8"/>
    <x v="0"/>
    <x v="0"/>
    <n v="89.99"/>
    <s v="Debit Card"/>
    <x v="2"/>
    <s v="Premium"/>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22C18E-BB1C-4B2D-993A-8E0A24604288}" name="PivotTable5"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4">
  <location ref="K3:L16"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_Amount" fld="13"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7619DC-8778-4F0A-862E-C5574D4BCFC3}" name="PivotTable4"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4">
  <location ref="H3:I14"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axis="axisRow" showAll="0">
      <items count="11">
        <item x="1"/>
        <item x="2"/>
        <item x="7"/>
        <item x="6"/>
        <item x="3"/>
        <item x="8"/>
        <item x="4"/>
        <item x="0"/>
        <item x="9"/>
        <item x="5"/>
        <item t="default"/>
      </items>
    </pivotField>
    <pivotField showAll="0"/>
    <pivotField showAll="0"/>
    <pivotField showAll="0"/>
    <pivotField showAll="0"/>
    <pivotField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61EC1-8D90-46C7-A77F-E294CB2EE04B}" name="PivotTable2"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3">
  <location ref="B3:C9"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ED652E-4903-416C-B2FA-BFFC2DE1B738}" name="PivotTable3" cacheId="1"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5">
  <location ref="E3:F7"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items count="6">
        <item x="0"/>
        <item x="4"/>
        <item x="2"/>
        <item x="1"/>
        <item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9">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6" count="1" selected="0">
            <x v="0"/>
          </reference>
        </references>
      </pivotArea>
    </chartFormat>
    <chartFormat chart="1" format="6">
      <pivotArea type="data" outline="0" fieldPosition="0">
        <references count="2">
          <reference field="4294967294" count="1" selected="0">
            <x v="0"/>
          </reference>
          <reference field="6" count="1" selected="0">
            <x v="1"/>
          </reference>
        </references>
      </pivotArea>
    </chartFormat>
    <chartFormat chart="1" format="7">
      <pivotArea type="data" outline="0" fieldPosition="0">
        <references count="2">
          <reference field="4294967294" count="1" selected="0">
            <x v="0"/>
          </reference>
          <reference field="6" count="1" selected="0">
            <x v="2"/>
          </reference>
        </references>
      </pivotArea>
    </chartFormat>
    <chartFormat chart="9"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6" count="1" selected="0">
            <x v="0"/>
          </reference>
        </references>
      </pivotArea>
    </chartFormat>
    <chartFormat chart="14" format="7">
      <pivotArea type="data" outline="0" fieldPosition="0">
        <references count="2">
          <reference field="4294967294" count="1" selected="0">
            <x v="0"/>
          </reference>
          <reference field="6" count="1" selected="0">
            <x v="1"/>
          </reference>
        </references>
      </pivotArea>
    </chartFormat>
    <chartFormat chart="14"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D5F642-391A-43CD-A2BA-2342B4B8C395}" sourceName="Region">
  <pivotTables>
    <pivotTable tabId="7" name="PivotTable2"/>
    <pivotTable tabId="7" name="PivotTable3"/>
    <pivotTable tabId="7" name="PivotTable4"/>
    <pivotTable tabId="7" name="PivotTable5"/>
  </pivotTables>
  <data>
    <tabular pivotCacheId="709354815">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D43E1E-0170-4B5D-9760-561A2EDC845B}" cache="Slicer_Region" caption="Regi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E725B53-B7E4-458E-AA89-6557E15FD1DF}" cache="Slicer_Region" caption="Region" columnCount="2" style="SlicerStyleOther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4F63B88-194C-49E6-A912-AC44CE30587E}" sourceName="Date">
  <pivotTables>
    <pivotTable tabId="7" name="PivotTable5"/>
    <pivotTable tabId="7" name="PivotTable2"/>
    <pivotTable tabId="7" name="PivotTable3"/>
    <pivotTable tabId="7" name="PivotTable4"/>
  </pivotTables>
  <state minimalRefreshVersion="6" lastRefreshVersion="6" pivotCacheId="70935481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7A9B4F7-6303-42F1-AC2C-324C8F226DBC}" cache="NativeTimeline_Date" caption="Date" level="2" selectionLevel="2" scrollPosition="2025-05-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B748451-2460-447C-AF1A-A92A0C450FA9}" cache="NativeTimeline_Date" caption="Date" level="2" selectionLevel="2" scrollPosition="2024-06-01T00:00:00" style="TimeSlicerStyleDark4"/>
</timeline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2" zoomScale="103" zoomScaleNormal="100" workbookViewId="0">
      <selection activeCell="A2" sqref="A2"/>
    </sheetView>
  </sheetViews>
  <sheetFormatPr defaultColWidth="14.44140625" defaultRowHeight="15" customHeight="1" x14ac:dyDescent="0.3"/>
  <cols>
    <col min="1" max="1" width="94.88671875" customWidth="1"/>
    <col min="2" max="25" width="8.6640625" customWidth="1"/>
  </cols>
  <sheetData>
    <row r="1" spans="1:25" ht="12.6" customHeight="1" x14ac:dyDescent="0.3">
      <c r="A1" s="3" t="s">
        <v>0</v>
      </c>
      <c r="B1" s="1"/>
      <c r="C1" s="1"/>
      <c r="D1" s="1"/>
      <c r="E1" s="1"/>
      <c r="F1" s="1"/>
      <c r="G1" s="1"/>
      <c r="H1" s="1"/>
      <c r="I1" s="1"/>
      <c r="J1" s="1"/>
      <c r="K1" s="1"/>
      <c r="L1" s="1"/>
      <c r="M1" s="1"/>
      <c r="N1" s="1"/>
      <c r="O1" s="1"/>
      <c r="P1" s="1"/>
      <c r="Q1" s="1"/>
      <c r="R1" s="1"/>
      <c r="S1" s="1"/>
      <c r="T1" s="1"/>
      <c r="U1" s="1"/>
      <c r="V1" s="1"/>
      <c r="W1" s="1"/>
      <c r="X1" s="1"/>
      <c r="Y1" s="1"/>
    </row>
    <row r="2" spans="1:25" ht="409.2" customHeight="1" x14ac:dyDescent="0.3">
      <c r="A2" s="7" t="s">
        <v>635</v>
      </c>
      <c r="B2" s="1"/>
      <c r="C2" s="1"/>
      <c r="D2" s="1"/>
      <c r="E2" s="1"/>
      <c r="F2" s="1"/>
      <c r="G2" s="1"/>
      <c r="H2" s="1"/>
      <c r="I2" s="1"/>
      <c r="J2" s="1"/>
      <c r="K2" s="1"/>
      <c r="L2" s="1"/>
      <c r="M2" s="1"/>
      <c r="N2" s="1"/>
      <c r="O2" s="1"/>
      <c r="P2" s="1"/>
      <c r="Q2" s="1"/>
      <c r="R2" s="1"/>
      <c r="S2" s="1"/>
      <c r="T2" s="1"/>
      <c r="U2" s="1"/>
      <c r="V2" s="1"/>
      <c r="W2" s="1"/>
      <c r="X2" s="1"/>
      <c r="Y2" s="1"/>
    </row>
    <row r="3" spans="1:25" ht="14.4" x14ac:dyDescent="0.3">
      <c r="A3" s="1"/>
      <c r="B3" s="1"/>
      <c r="C3" s="1"/>
      <c r="D3" s="1"/>
      <c r="E3" s="1"/>
      <c r="F3" s="1"/>
      <c r="G3" s="1"/>
      <c r="H3" s="1"/>
      <c r="I3" s="1"/>
      <c r="J3" s="1"/>
      <c r="K3" s="1"/>
      <c r="L3" s="1"/>
      <c r="M3" s="1"/>
      <c r="N3" s="1"/>
      <c r="O3" s="1"/>
      <c r="P3" s="1"/>
      <c r="Q3" s="1"/>
      <c r="R3" s="1"/>
      <c r="S3" s="1"/>
      <c r="T3" s="1"/>
      <c r="U3" s="1"/>
      <c r="V3" s="1"/>
      <c r="W3" s="1"/>
      <c r="X3" s="1"/>
      <c r="Y3" s="1"/>
    </row>
    <row r="4" spans="1:25" ht="14.4" x14ac:dyDescent="0.3">
      <c r="A4" s="1"/>
      <c r="B4" s="1"/>
      <c r="C4" s="1"/>
      <c r="D4" s="1"/>
      <c r="E4" s="1"/>
      <c r="F4" s="1"/>
      <c r="G4" s="1"/>
      <c r="H4" s="1"/>
      <c r="I4" s="1"/>
      <c r="J4" s="1"/>
      <c r="K4" s="1"/>
      <c r="L4" s="1"/>
      <c r="M4" s="1"/>
      <c r="N4" s="1"/>
      <c r="O4" s="1"/>
      <c r="P4" s="1"/>
      <c r="Q4" s="1"/>
      <c r="R4" s="1"/>
      <c r="S4" s="1"/>
      <c r="T4" s="1"/>
      <c r="U4" s="1"/>
      <c r="V4" s="1"/>
      <c r="W4" s="1"/>
      <c r="X4" s="1"/>
      <c r="Y4" s="1"/>
    </row>
    <row r="5" spans="1:25" ht="14.4" x14ac:dyDescent="0.3">
      <c r="A5" s="1"/>
      <c r="B5" s="1"/>
      <c r="C5" s="1"/>
      <c r="D5" s="1"/>
      <c r="E5" s="1"/>
      <c r="F5" s="1"/>
      <c r="G5" s="1"/>
      <c r="H5" s="1"/>
      <c r="I5" s="1"/>
      <c r="J5" s="1"/>
      <c r="K5" s="1"/>
      <c r="L5" s="1"/>
      <c r="M5" s="1"/>
      <c r="N5" s="1"/>
      <c r="O5" s="1"/>
      <c r="P5" s="1"/>
      <c r="Q5" s="1"/>
      <c r="R5" s="1"/>
      <c r="S5" s="1"/>
      <c r="T5" s="1"/>
      <c r="U5" s="1"/>
      <c r="V5" s="1"/>
      <c r="W5" s="1"/>
      <c r="X5" s="1"/>
      <c r="Y5" s="1"/>
    </row>
    <row r="6" spans="1:25" ht="14.4" x14ac:dyDescent="0.3">
      <c r="A6" s="1"/>
      <c r="B6" s="1"/>
      <c r="C6" s="1"/>
      <c r="D6" s="1"/>
      <c r="E6" s="1"/>
      <c r="F6" s="1"/>
      <c r="G6" s="1"/>
      <c r="H6" s="1"/>
      <c r="I6" s="1"/>
      <c r="J6" s="1"/>
      <c r="K6" s="1"/>
      <c r="L6" s="1"/>
      <c r="M6" s="1"/>
      <c r="N6" s="1"/>
      <c r="O6" s="1"/>
      <c r="P6" s="1"/>
      <c r="Q6" s="1"/>
      <c r="R6" s="1"/>
      <c r="S6" s="1"/>
      <c r="T6" s="1"/>
      <c r="U6" s="1"/>
      <c r="V6" s="1"/>
      <c r="W6" s="1"/>
      <c r="X6" s="1"/>
      <c r="Y6" s="1"/>
    </row>
    <row r="7" spans="1:25" ht="14.4" x14ac:dyDescent="0.3">
      <c r="A7" s="1"/>
      <c r="B7" s="1"/>
      <c r="C7" s="1"/>
      <c r="D7" s="1"/>
      <c r="E7" s="1"/>
      <c r="F7" s="1"/>
      <c r="G7" s="1"/>
      <c r="H7" s="1"/>
      <c r="I7" s="1"/>
      <c r="J7" s="1"/>
      <c r="K7" s="1"/>
      <c r="L7" s="1"/>
      <c r="M7" s="1"/>
      <c r="N7" s="1"/>
      <c r="O7" s="1"/>
      <c r="P7" s="1"/>
      <c r="Q7" s="1"/>
      <c r="R7" s="1"/>
      <c r="S7" s="1"/>
      <c r="T7" s="1"/>
      <c r="U7" s="1"/>
      <c r="V7" s="1"/>
      <c r="W7" s="1"/>
      <c r="X7" s="1"/>
      <c r="Y7" s="1"/>
    </row>
    <row r="8" spans="1:25" ht="14.4" x14ac:dyDescent="0.3">
      <c r="A8" s="1"/>
      <c r="B8" s="1"/>
      <c r="C8" s="1"/>
      <c r="D8" s="1"/>
      <c r="E8" s="1"/>
      <c r="F8" s="1"/>
      <c r="G8" s="1"/>
      <c r="H8" s="1"/>
      <c r="I8" s="1"/>
      <c r="J8" s="1"/>
      <c r="K8" s="1"/>
      <c r="L8" s="1"/>
      <c r="M8" s="1"/>
      <c r="N8" s="1"/>
      <c r="O8" s="1"/>
      <c r="P8" s="1"/>
      <c r="Q8" s="1"/>
      <c r="R8" s="1"/>
      <c r="S8" s="1"/>
      <c r="T8" s="1"/>
      <c r="U8" s="1"/>
      <c r="V8" s="1"/>
      <c r="W8" s="1"/>
      <c r="X8" s="1"/>
      <c r="Y8" s="1"/>
    </row>
    <row r="9" spans="1:25" ht="14.4" x14ac:dyDescent="0.3">
      <c r="A9" s="1"/>
      <c r="B9" s="1"/>
      <c r="C9" s="1"/>
      <c r="D9" s="1"/>
      <c r="E9" s="1"/>
      <c r="F9" s="1"/>
      <c r="G9" s="1"/>
      <c r="H9" s="1"/>
      <c r="I9" s="1"/>
      <c r="J9" s="1"/>
      <c r="K9" s="1"/>
      <c r="L9" s="1"/>
      <c r="M9" s="1"/>
      <c r="N9" s="1"/>
      <c r="O9" s="1"/>
      <c r="P9" s="1"/>
      <c r="Q9" s="1"/>
      <c r="R9" s="1"/>
      <c r="S9" s="1"/>
      <c r="T9" s="1"/>
      <c r="U9" s="1"/>
      <c r="V9" s="1"/>
      <c r="W9" s="1"/>
      <c r="X9" s="1"/>
      <c r="Y9" s="1"/>
    </row>
    <row r="10" spans="1:25" ht="14.4" x14ac:dyDescent="0.3">
      <c r="A10" s="1"/>
      <c r="B10" s="1"/>
      <c r="C10" s="1"/>
      <c r="D10" s="1"/>
      <c r="E10" s="1"/>
      <c r="F10" s="1"/>
      <c r="G10" s="1"/>
      <c r="H10" s="1"/>
      <c r="I10" s="1"/>
      <c r="J10" s="1"/>
      <c r="K10" s="1"/>
      <c r="L10" s="1"/>
      <c r="M10" s="1"/>
      <c r="N10" s="1"/>
      <c r="O10" s="1"/>
      <c r="P10" s="1"/>
      <c r="Q10" s="1"/>
      <c r="R10" s="1"/>
      <c r="S10" s="1"/>
      <c r="T10" s="1"/>
      <c r="U10" s="1"/>
      <c r="V10" s="1"/>
      <c r="W10" s="1"/>
      <c r="X10" s="1"/>
      <c r="Y10" s="1"/>
    </row>
    <row r="11" spans="1:25" ht="14.4" x14ac:dyDescent="0.3">
      <c r="A11" s="1"/>
      <c r="B11" s="1"/>
      <c r="C11" s="1"/>
      <c r="D11" s="1"/>
      <c r="E11" s="1"/>
      <c r="F11" s="1"/>
      <c r="G11" s="1"/>
      <c r="H11" s="1"/>
      <c r="I11" s="1"/>
      <c r="J11" s="1"/>
      <c r="K11" s="1"/>
      <c r="L11" s="1"/>
      <c r="M11" s="1"/>
      <c r="N11" s="1"/>
      <c r="O11" s="1"/>
      <c r="P11" s="1"/>
      <c r="Q11" s="1"/>
      <c r="R11" s="1"/>
      <c r="S11" s="1"/>
      <c r="T11" s="1"/>
      <c r="U11" s="1"/>
      <c r="V11" s="1"/>
      <c r="W11" s="1"/>
      <c r="X11" s="1"/>
      <c r="Y11" s="1"/>
    </row>
    <row r="12" spans="1:25" ht="14.4" x14ac:dyDescent="0.3">
      <c r="A12" s="1"/>
      <c r="B12" s="1"/>
      <c r="C12" s="1"/>
      <c r="D12" s="1"/>
      <c r="E12" s="1"/>
      <c r="F12" s="1"/>
      <c r="G12" s="1"/>
      <c r="H12" s="1"/>
      <c r="I12" s="1"/>
      <c r="J12" s="1"/>
      <c r="K12" s="1"/>
      <c r="L12" s="1"/>
      <c r="M12" s="1"/>
      <c r="N12" s="1"/>
      <c r="O12" s="1"/>
      <c r="P12" s="1"/>
      <c r="Q12" s="1"/>
      <c r="R12" s="1"/>
      <c r="S12" s="1"/>
      <c r="T12" s="1"/>
      <c r="U12" s="1"/>
      <c r="V12" s="1"/>
      <c r="W12" s="1"/>
      <c r="X12" s="1"/>
      <c r="Y12" s="1"/>
    </row>
    <row r="13" spans="1:25" ht="14.4" x14ac:dyDescent="0.3">
      <c r="A13" s="1"/>
      <c r="B13" s="1"/>
      <c r="C13" s="1"/>
      <c r="D13" s="1"/>
      <c r="E13" s="1"/>
      <c r="F13" s="1"/>
      <c r="G13" s="1"/>
      <c r="H13" s="1"/>
      <c r="I13" s="1"/>
      <c r="J13" s="1"/>
      <c r="K13" s="1"/>
      <c r="L13" s="1"/>
      <c r="M13" s="1"/>
      <c r="N13" s="1"/>
      <c r="O13" s="1"/>
      <c r="P13" s="1"/>
      <c r="Q13" s="1"/>
      <c r="R13" s="1"/>
      <c r="S13" s="1"/>
      <c r="T13" s="1"/>
      <c r="U13" s="1"/>
      <c r="V13" s="1"/>
      <c r="W13" s="1"/>
      <c r="X13" s="1"/>
      <c r="Y13" s="1"/>
    </row>
    <row r="14" spans="1:25" ht="14.4" x14ac:dyDescent="0.3">
      <c r="A14" s="1"/>
      <c r="B14" s="1"/>
      <c r="C14" s="1"/>
      <c r="D14" s="1"/>
      <c r="E14" s="1"/>
      <c r="F14" s="1"/>
      <c r="G14" s="1"/>
      <c r="H14" s="1"/>
      <c r="I14" s="1"/>
      <c r="J14" s="1"/>
      <c r="K14" s="1"/>
      <c r="L14" s="1"/>
      <c r="M14" s="1"/>
      <c r="N14" s="1"/>
      <c r="O14" s="1"/>
      <c r="P14" s="1"/>
      <c r="Q14" s="1"/>
      <c r="R14" s="1"/>
      <c r="S14" s="1"/>
      <c r="T14" s="1"/>
      <c r="U14" s="1"/>
      <c r="V14" s="1"/>
      <c r="W14" s="1"/>
      <c r="X14" s="1"/>
      <c r="Y14" s="1"/>
    </row>
    <row r="15" spans="1:25" ht="14.4" x14ac:dyDescent="0.3">
      <c r="A15" s="1"/>
      <c r="B15" s="1"/>
      <c r="C15" s="1"/>
      <c r="D15" s="1"/>
      <c r="E15" s="1"/>
      <c r="F15" s="1"/>
      <c r="G15" s="1"/>
      <c r="H15" s="1"/>
      <c r="I15" s="1"/>
      <c r="J15" s="1"/>
      <c r="K15" s="1"/>
      <c r="L15" s="1"/>
      <c r="M15" s="1"/>
      <c r="N15" s="1"/>
      <c r="O15" s="1"/>
      <c r="P15" s="1"/>
      <c r="Q15" s="1"/>
      <c r="R15" s="1"/>
      <c r="S15" s="1"/>
      <c r="T15" s="1"/>
      <c r="U15" s="1"/>
      <c r="V15" s="1"/>
      <c r="W15" s="1"/>
      <c r="X15" s="1"/>
      <c r="Y15" s="1"/>
    </row>
    <row r="16" spans="1:25" ht="14.4" x14ac:dyDescent="0.3">
      <c r="A16" s="1"/>
      <c r="B16" s="1"/>
      <c r="C16" s="1"/>
      <c r="D16" s="1"/>
      <c r="E16" s="1"/>
      <c r="F16" s="1"/>
      <c r="G16" s="1"/>
      <c r="H16" s="1"/>
      <c r="I16" s="1"/>
      <c r="J16" s="1"/>
      <c r="K16" s="1"/>
      <c r="L16" s="1"/>
      <c r="M16" s="1"/>
      <c r="N16" s="1"/>
      <c r="O16" s="1"/>
      <c r="P16" s="1"/>
      <c r="Q16" s="1"/>
      <c r="R16" s="1"/>
      <c r="S16" s="1"/>
      <c r="T16" s="1"/>
      <c r="U16" s="1"/>
      <c r="V16" s="1"/>
      <c r="W16" s="1"/>
      <c r="X16" s="1"/>
      <c r="Y16" s="1"/>
    </row>
    <row r="17" spans="1:25" ht="14.4" x14ac:dyDescent="0.3">
      <c r="A17" s="1"/>
      <c r="B17" s="1"/>
      <c r="C17" s="1"/>
      <c r="D17" s="1"/>
      <c r="E17" s="1"/>
      <c r="F17" s="1"/>
      <c r="G17" s="1"/>
      <c r="H17" s="1"/>
      <c r="I17" s="1"/>
      <c r="J17" s="1"/>
      <c r="K17" s="1"/>
      <c r="L17" s="1"/>
      <c r="M17" s="1"/>
      <c r="N17" s="1"/>
      <c r="O17" s="1"/>
      <c r="P17" s="1"/>
      <c r="Q17" s="1"/>
      <c r="R17" s="1"/>
      <c r="S17" s="1"/>
      <c r="T17" s="1"/>
      <c r="U17" s="1"/>
      <c r="V17" s="1"/>
      <c r="W17" s="1"/>
      <c r="X17" s="1"/>
      <c r="Y17" s="1"/>
    </row>
    <row r="18" spans="1:25" ht="14.4" x14ac:dyDescent="0.3">
      <c r="A18" s="1"/>
      <c r="B18" s="1"/>
      <c r="C18" s="1"/>
      <c r="D18" s="1"/>
      <c r="E18" s="1"/>
      <c r="F18" s="1"/>
      <c r="G18" s="1"/>
      <c r="H18" s="1"/>
      <c r="I18" s="1"/>
      <c r="J18" s="1"/>
      <c r="K18" s="1"/>
      <c r="L18" s="1"/>
      <c r="M18" s="1"/>
      <c r="N18" s="1"/>
      <c r="O18" s="1"/>
      <c r="P18" s="1"/>
      <c r="Q18" s="1"/>
      <c r="R18" s="1"/>
      <c r="S18" s="1"/>
      <c r="T18" s="1"/>
      <c r="U18" s="1"/>
      <c r="V18" s="1"/>
      <c r="W18" s="1"/>
      <c r="X18" s="1"/>
      <c r="Y18" s="1"/>
    </row>
    <row r="19" spans="1:25" ht="14.4" x14ac:dyDescent="0.3">
      <c r="A19" s="1"/>
      <c r="B19" s="1"/>
      <c r="C19" s="1"/>
      <c r="D19" s="1"/>
      <c r="E19" s="1"/>
      <c r="F19" s="1"/>
      <c r="G19" s="1"/>
      <c r="H19" s="1"/>
      <c r="I19" s="1"/>
      <c r="J19" s="1"/>
      <c r="K19" s="1"/>
      <c r="L19" s="1"/>
      <c r="M19" s="1"/>
      <c r="N19" s="1"/>
      <c r="O19" s="1"/>
      <c r="P19" s="1"/>
      <c r="Q19" s="1"/>
      <c r="R19" s="1"/>
      <c r="S19" s="1"/>
      <c r="T19" s="1"/>
      <c r="U19" s="1"/>
      <c r="V19" s="1"/>
      <c r="W19" s="1"/>
      <c r="X19" s="1"/>
      <c r="Y19" s="1"/>
    </row>
    <row r="20" spans="1:25" ht="14.4" x14ac:dyDescent="0.3">
      <c r="A20" s="1"/>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row>
    <row r="24" spans="1:25"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row>
    <row r="25" spans="1:25"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row>
    <row r="26" spans="1:25"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row>
    <row r="27" spans="1:25"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row>
    <row r="28" spans="1:25"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row>
    <row r="29" spans="1:25"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row>
    <row r="30" spans="1:25"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row>
    <row r="31" spans="1:25"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row>
    <row r="32" spans="1:25"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row>
    <row r="33" spans="1:25"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row>
    <row r="34" spans="1:25"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row>
    <row r="35" spans="1:25"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row>
    <row r="36" spans="1:25"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row>
    <row r="37" spans="1:25"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row>
    <row r="38" spans="1:25"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row>
    <row r="39" spans="1:25"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row>
    <row r="40" spans="1:25"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row>
    <row r="41" spans="1:25"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row>
    <row r="42" spans="1:25"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row>
    <row r="43" spans="1:25"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row>
    <row r="44" spans="1:25"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row>
    <row r="45" spans="1:25"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row>
    <row r="46" spans="1:25"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row>
    <row r="47" spans="1:25"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row>
    <row r="48" spans="1:25"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row>
    <row r="49" spans="1:25"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row>
    <row r="50" spans="1:25"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row>
    <row r="51" spans="1:25"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row>
    <row r="52" spans="1:25"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row>
    <row r="53" spans="1:25"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row>
    <row r="54" spans="1:25"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row>
    <row r="55" spans="1:25"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row>
    <row r="56" spans="1:25"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row>
    <row r="57" spans="1:25"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row>
    <row r="58" spans="1:25"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row>
    <row r="59" spans="1:25"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row>
    <row r="60" spans="1:25"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row>
    <row r="61" spans="1:25"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row>
    <row r="62" spans="1:25"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row>
    <row r="63" spans="1:25"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row>
    <row r="64" spans="1:25"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row>
    <row r="65" spans="1:25"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row>
    <row r="66" spans="1:25"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row>
    <row r="67" spans="1:25"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row>
    <row r="68" spans="1:25"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row>
    <row r="69" spans="1:25"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row>
    <row r="70" spans="1:25"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row>
    <row r="71" spans="1:25"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row>
    <row r="72" spans="1:25"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row>
    <row r="73" spans="1:25"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row>
    <row r="74" spans="1:25"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row>
    <row r="75" spans="1:25"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row>
    <row r="76" spans="1:25"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row>
    <row r="77" spans="1:25"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row>
    <row r="78" spans="1:25"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row>
    <row r="79" spans="1:25"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row>
    <row r="80" spans="1:25"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row>
    <row r="81" spans="1:25"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row>
    <row r="82" spans="1:25"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row>
    <row r="83" spans="1:25"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row>
    <row r="84" spans="1:25"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row>
    <row r="85" spans="1:25"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row>
    <row r="86" spans="1:25"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row>
    <row r="87" spans="1:25"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row>
    <row r="88" spans="1:25"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row>
    <row r="89" spans="1:25"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row>
    <row r="90" spans="1:25"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row>
    <row r="91" spans="1:25"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row>
    <row r="92" spans="1:25"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row>
    <row r="93" spans="1:25"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row>
    <row r="94" spans="1:25"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row>
    <row r="95" spans="1:25"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row>
    <row r="96" spans="1:25"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row>
    <row r="97" spans="1:25"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row>
    <row r="98" spans="1:25"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row>
    <row r="99" spans="1:25"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topLeftCell="F1" zoomScale="87" zoomScaleNormal="87" workbookViewId="0">
      <selection activeCell="AA14" sqref="AA14"/>
    </sheetView>
  </sheetViews>
  <sheetFormatPr defaultColWidth="14.44140625" defaultRowHeight="15" customHeight="1" x14ac:dyDescent="0.3"/>
  <cols>
    <col min="1" max="1" width="19.33203125" style="12" bestFit="1" customWidth="1"/>
    <col min="2" max="2" width="13.88671875" style="12" bestFit="1" customWidth="1"/>
    <col min="3" max="3" width="16.88671875" style="12" bestFit="1" customWidth="1"/>
    <col min="4" max="4" width="20.33203125" style="12" bestFit="1" customWidth="1"/>
    <col min="5" max="5" width="14.88671875" style="12" bestFit="1" customWidth="1"/>
    <col min="6" max="6" width="18.6640625" style="12" bestFit="1" customWidth="1"/>
    <col min="7" max="7" width="12.44140625" style="12" bestFit="1" customWidth="1"/>
    <col min="8" max="8" width="11.44140625" style="12" bestFit="1" customWidth="1"/>
    <col min="9" max="9" width="13.88671875" style="12" bestFit="1" customWidth="1"/>
    <col min="10" max="10" width="21.5546875" style="12" bestFit="1" customWidth="1"/>
    <col min="11" max="11" width="10" style="12" bestFit="1" customWidth="1"/>
    <col min="12" max="12" width="24.109375" style="12" bestFit="1" customWidth="1"/>
    <col min="13" max="13" width="20.33203125" style="12" bestFit="1" customWidth="1"/>
    <col min="14" max="14" width="18.109375" style="12" bestFit="1" customWidth="1"/>
    <col min="15" max="15" width="33" style="12" bestFit="1" customWidth="1"/>
    <col min="16" max="16" width="19.88671875" style="12" bestFit="1" customWidth="1"/>
    <col min="17" max="17" width="24.33203125" style="12" bestFit="1" customWidth="1"/>
    <col min="18" max="18" width="20.33203125" style="12" bestFit="1" customWidth="1"/>
    <col min="19" max="19" width="17.6640625" style="12" customWidth="1"/>
    <col min="20" max="20" width="17.6640625" customWidth="1"/>
    <col min="21" max="21" width="8.6640625" customWidth="1"/>
    <col min="22" max="22" width="46.88671875" style="12" bestFit="1" customWidth="1"/>
    <col min="23" max="23" width="19.109375" style="12" bestFit="1" customWidth="1"/>
    <col min="24" max="24" width="14.109375" customWidth="1"/>
    <col min="25" max="25" width="15.21875" customWidth="1"/>
    <col min="26" max="26" width="12.88671875" customWidth="1"/>
    <col min="27" max="31" width="8.6640625" customWidth="1"/>
  </cols>
  <sheetData>
    <row r="1" spans="1:31" ht="14.4" x14ac:dyDescent="0.3">
      <c r="A1" s="9" t="s">
        <v>1</v>
      </c>
      <c r="B1" s="9" t="s">
        <v>2</v>
      </c>
      <c r="C1" s="9" t="s">
        <v>3</v>
      </c>
      <c r="D1" s="9" t="s">
        <v>4</v>
      </c>
      <c r="E1" s="9" t="s">
        <v>5</v>
      </c>
      <c r="F1" s="9" t="s">
        <v>6</v>
      </c>
      <c r="G1" s="9" t="s">
        <v>7</v>
      </c>
      <c r="H1" s="9" t="s">
        <v>8</v>
      </c>
      <c r="I1" s="9" t="s">
        <v>9</v>
      </c>
      <c r="J1" s="9" t="s">
        <v>10</v>
      </c>
      <c r="K1" s="9" t="s">
        <v>11</v>
      </c>
      <c r="L1" s="9" t="s">
        <v>12</v>
      </c>
      <c r="M1" s="9" t="s">
        <v>13</v>
      </c>
      <c r="N1" s="9" t="s">
        <v>14</v>
      </c>
      <c r="O1" s="9" t="s">
        <v>637</v>
      </c>
      <c r="P1" s="9" t="s">
        <v>638</v>
      </c>
      <c r="Q1" s="9" t="s">
        <v>639</v>
      </c>
      <c r="R1" s="9" t="s">
        <v>641</v>
      </c>
      <c r="S1" s="9"/>
      <c r="T1" s="2"/>
      <c r="U1" s="2"/>
      <c r="V1" s="30" t="s">
        <v>384</v>
      </c>
      <c r="W1" s="31"/>
      <c r="X1" s="2" t="s">
        <v>661</v>
      </c>
      <c r="Y1" s="2" t="s">
        <v>662</v>
      </c>
      <c r="Z1" s="2" t="s">
        <v>381</v>
      </c>
      <c r="AA1" s="2"/>
      <c r="AB1" s="2"/>
      <c r="AC1" s="2"/>
      <c r="AD1" s="2"/>
      <c r="AE1" s="2"/>
    </row>
    <row r="2" spans="1:31" ht="14.4" x14ac:dyDescent="0.3">
      <c r="A2" s="1" t="s">
        <v>15</v>
      </c>
      <c r="B2" s="10">
        <v>45393</v>
      </c>
      <c r="C2" s="11" t="s">
        <v>385</v>
      </c>
      <c r="D2" s="1" t="s">
        <v>16</v>
      </c>
      <c r="E2" s="1" t="s">
        <v>17</v>
      </c>
      <c r="F2" s="1" t="s">
        <v>18</v>
      </c>
      <c r="G2" s="1" t="s">
        <v>19</v>
      </c>
      <c r="H2" s="1">
        <v>3</v>
      </c>
      <c r="I2" s="1">
        <v>249.99</v>
      </c>
      <c r="J2" s="1" t="s">
        <v>20</v>
      </c>
      <c r="K2" s="1" t="s">
        <v>21</v>
      </c>
      <c r="L2" s="1" t="s">
        <v>22</v>
      </c>
      <c r="M2" s="10">
        <v>44425</v>
      </c>
      <c r="N2" s="1">
        <v>749.97</v>
      </c>
      <c r="O2" s="1">
        <f>SUMIFS($N:$N,$D:$D,D2)</f>
        <v>8309.739999999998</v>
      </c>
      <c r="P2" s="12" t="str">
        <f>IF(O2&gt;10000,"High Value","Normal")</f>
        <v>Normal</v>
      </c>
      <c r="Q2" s="12">
        <f>COUNTIF($F:$F,F2)</f>
        <v>26</v>
      </c>
      <c r="R2" s="12" t="str">
        <f t="shared" ref="R2:R33" si="0">UPPER(LEFT(D2,1)&amp;MID(D2,FIND(" ",D2)+1,1))</f>
        <v>PB</v>
      </c>
      <c r="V2" s="18" t="s">
        <v>350</v>
      </c>
      <c r="W2" s="19">
        <f ca="1">TODAY()</f>
        <v>46071</v>
      </c>
      <c r="X2">
        <f>SUM(H2:H251)</f>
        <v>753</v>
      </c>
      <c r="Y2">
        <f>SUM(I2:I251)</f>
        <v>74167.500000000015</v>
      </c>
      <c r="Z2">
        <f>SUM(N2:N251)</f>
        <v>229192.47000000032</v>
      </c>
    </row>
    <row r="3" spans="1:31" ht="14.4" x14ac:dyDescent="0.3">
      <c r="A3" s="1" t="s">
        <v>23</v>
      </c>
      <c r="B3" s="10">
        <v>45396</v>
      </c>
      <c r="C3" s="11" t="s">
        <v>386</v>
      </c>
      <c r="D3" s="1" t="s">
        <v>24</v>
      </c>
      <c r="E3" s="1" t="s">
        <v>17</v>
      </c>
      <c r="F3" s="1" t="s">
        <v>18</v>
      </c>
      <c r="G3" s="1" t="s">
        <v>19</v>
      </c>
      <c r="H3" s="1">
        <v>3</v>
      </c>
      <c r="I3" s="1">
        <v>249.99</v>
      </c>
      <c r="J3" s="1" t="s">
        <v>25</v>
      </c>
      <c r="K3" s="1" t="s">
        <v>21</v>
      </c>
      <c r="L3" s="1" t="s">
        <v>26</v>
      </c>
      <c r="M3" s="10">
        <v>44575</v>
      </c>
      <c r="N3" s="1">
        <v>749.97</v>
      </c>
      <c r="O3" s="1">
        <f t="shared" ref="O3:O66" si="1">SUMIFS($N:$N,$D:$D,D3)</f>
        <v>6949.84</v>
      </c>
      <c r="P3" s="12" t="str">
        <f t="shared" ref="P3:P66" si="2">IF(O3&gt;10000,"High Value","Normal")</f>
        <v>Normal</v>
      </c>
      <c r="Q3" s="12">
        <f t="shared" ref="Q3:Q66" si="3">COUNTIF($F:$F,F3)</f>
        <v>26</v>
      </c>
      <c r="R3" s="12" t="str">
        <f t="shared" si="0"/>
        <v>JJ</v>
      </c>
      <c r="V3" s="18" t="s">
        <v>351</v>
      </c>
      <c r="W3" s="20">
        <f ca="1">NOW()</f>
        <v>46071.899675462962</v>
      </c>
    </row>
    <row r="4" spans="1:31" ht="14.4" x14ac:dyDescent="0.3">
      <c r="A4" s="1" t="s">
        <v>27</v>
      </c>
      <c r="B4" s="10">
        <v>45399</v>
      </c>
      <c r="C4" s="11" t="s">
        <v>387</v>
      </c>
      <c r="D4" s="1" t="s">
        <v>28</v>
      </c>
      <c r="E4" s="1" t="s">
        <v>29</v>
      </c>
      <c r="F4" s="1" t="s">
        <v>30</v>
      </c>
      <c r="G4" s="1" t="s">
        <v>31</v>
      </c>
      <c r="H4" s="1">
        <v>3</v>
      </c>
      <c r="I4" s="1">
        <v>59.99</v>
      </c>
      <c r="J4" s="1" t="s">
        <v>32</v>
      </c>
      <c r="K4" s="1" t="s">
        <v>33</v>
      </c>
      <c r="L4" s="1" t="s">
        <v>34</v>
      </c>
      <c r="M4" s="10">
        <v>45262</v>
      </c>
      <c r="N4" s="1">
        <v>179.97</v>
      </c>
      <c r="O4" s="1">
        <f t="shared" si="1"/>
        <v>3259.87</v>
      </c>
      <c r="P4" s="12" t="str">
        <f t="shared" si="2"/>
        <v>Normal</v>
      </c>
      <c r="Q4" s="12">
        <f t="shared" si="3"/>
        <v>29</v>
      </c>
      <c r="R4" s="12" t="str">
        <f t="shared" si="0"/>
        <v>KS</v>
      </c>
      <c r="V4" s="18" t="s">
        <v>352</v>
      </c>
      <c r="W4" s="19">
        <f ca="1">EOMONTH(W2,0)</f>
        <v>46081</v>
      </c>
    </row>
    <row r="5" spans="1:31" ht="14.4" x14ac:dyDescent="0.3">
      <c r="A5" s="1" t="s">
        <v>35</v>
      </c>
      <c r="B5" s="10">
        <v>45400</v>
      </c>
      <c r="C5" s="11" t="s">
        <v>388</v>
      </c>
      <c r="D5" s="1" t="s">
        <v>36</v>
      </c>
      <c r="E5" s="1" t="s">
        <v>29</v>
      </c>
      <c r="F5" s="1" t="s">
        <v>30</v>
      </c>
      <c r="G5" s="1" t="s">
        <v>31</v>
      </c>
      <c r="H5" s="1">
        <v>3</v>
      </c>
      <c r="I5" s="1">
        <v>59.99</v>
      </c>
      <c r="J5" s="1" t="s">
        <v>20</v>
      </c>
      <c r="K5" s="1" t="s">
        <v>37</v>
      </c>
      <c r="L5" s="1" t="s">
        <v>26</v>
      </c>
      <c r="M5" s="10">
        <v>45114</v>
      </c>
      <c r="N5" s="1">
        <v>179.97</v>
      </c>
      <c r="O5" s="1">
        <f t="shared" si="1"/>
        <v>4309.8099999999995</v>
      </c>
      <c r="P5" s="12" t="str">
        <f t="shared" si="2"/>
        <v>Normal</v>
      </c>
      <c r="Q5" s="12">
        <f t="shared" si="3"/>
        <v>29</v>
      </c>
      <c r="R5" s="12" t="str">
        <f t="shared" si="0"/>
        <v>KB</v>
      </c>
    </row>
    <row r="6" spans="1:31" ht="14.4" x14ac:dyDescent="0.3">
      <c r="A6" s="1" t="s">
        <v>38</v>
      </c>
      <c r="B6" s="10">
        <v>45400</v>
      </c>
      <c r="C6" s="11" t="s">
        <v>389</v>
      </c>
      <c r="D6" s="1" t="s">
        <v>39</v>
      </c>
      <c r="E6" s="1" t="s">
        <v>40</v>
      </c>
      <c r="F6" s="1" t="s">
        <v>41</v>
      </c>
      <c r="G6" s="1" t="s">
        <v>42</v>
      </c>
      <c r="H6" s="1">
        <v>5</v>
      </c>
      <c r="I6" s="1">
        <v>149.99</v>
      </c>
      <c r="J6" s="1" t="s">
        <v>25</v>
      </c>
      <c r="K6" s="1" t="s">
        <v>37</v>
      </c>
      <c r="L6" s="1" t="s">
        <v>26</v>
      </c>
      <c r="M6" s="10">
        <v>45295</v>
      </c>
      <c r="N6" s="1">
        <v>749.95</v>
      </c>
      <c r="O6" s="1">
        <f t="shared" si="1"/>
        <v>6169.7400000000007</v>
      </c>
      <c r="P6" s="12" t="str">
        <f t="shared" si="2"/>
        <v>Normal</v>
      </c>
      <c r="Q6" s="12">
        <f t="shared" si="3"/>
        <v>35</v>
      </c>
      <c r="R6" s="12" t="str">
        <f t="shared" si="0"/>
        <v>MB</v>
      </c>
    </row>
    <row r="7" spans="1:31" ht="14.4" x14ac:dyDescent="0.3">
      <c r="A7" s="1" t="s">
        <v>43</v>
      </c>
      <c r="B7" s="10">
        <v>45403</v>
      </c>
      <c r="C7" s="11" t="s">
        <v>390</v>
      </c>
      <c r="D7" s="1" t="s">
        <v>44</v>
      </c>
      <c r="E7" s="1" t="s">
        <v>29</v>
      </c>
      <c r="F7" s="1" t="s">
        <v>30</v>
      </c>
      <c r="G7" s="1" t="s">
        <v>31</v>
      </c>
      <c r="H7" s="1">
        <v>2</v>
      </c>
      <c r="I7" s="1">
        <v>59.99</v>
      </c>
      <c r="J7" s="1" t="s">
        <v>20</v>
      </c>
      <c r="K7" s="1" t="s">
        <v>45</v>
      </c>
      <c r="L7" s="1" t="s">
        <v>34</v>
      </c>
      <c r="M7" s="10">
        <v>44746</v>
      </c>
      <c r="N7" s="1">
        <v>119.98</v>
      </c>
      <c r="O7" s="1">
        <f t="shared" si="1"/>
        <v>8269.7900000000009</v>
      </c>
      <c r="P7" s="12" t="str">
        <f t="shared" si="2"/>
        <v>Normal</v>
      </c>
      <c r="Q7" s="12">
        <f t="shared" si="3"/>
        <v>29</v>
      </c>
      <c r="R7" s="12" t="str">
        <f t="shared" si="0"/>
        <v>DN</v>
      </c>
      <c r="V7" s="8" t="s">
        <v>353</v>
      </c>
      <c r="W7" s="21">
        <v>0.74930555555555556</v>
      </c>
    </row>
    <row r="8" spans="1:31" ht="14.4" x14ac:dyDescent="0.3">
      <c r="A8" s="1" t="s">
        <v>46</v>
      </c>
      <c r="B8" s="10">
        <v>45403</v>
      </c>
      <c r="C8" s="11" t="s">
        <v>391</v>
      </c>
      <c r="D8" s="1" t="s">
        <v>44</v>
      </c>
      <c r="E8" s="1" t="s">
        <v>47</v>
      </c>
      <c r="F8" s="1" t="s">
        <v>48</v>
      </c>
      <c r="G8" s="1" t="s">
        <v>19</v>
      </c>
      <c r="H8" s="1">
        <v>5</v>
      </c>
      <c r="I8" s="1">
        <v>149.99</v>
      </c>
      <c r="J8" s="1" t="s">
        <v>25</v>
      </c>
      <c r="K8" s="1" t="s">
        <v>21</v>
      </c>
      <c r="L8" s="1" t="s">
        <v>34</v>
      </c>
      <c r="M8" s="10">
        <v>44418</v>
      </c>
      <c r="N8" s="1">
        <v>749.95</v>
      </c>
      <c r="O8" s="1">
        <f t="shared" si="1"/>
        <v>8269.7900000000009</v>
      </c>
      <c r="P8" s="12" t="str">
        <f t="shared" si="2"/>
        <v>Normal</v>
      </c>
      <c r="Q8" s="12">
        <f t="shared" si="3"/>
        <v>16</v>
      </c>
      <c r="R8" s="12" t="str">
        <f t="shared" si="0"/>
        <v>DN</v>
      </c>
      <c r="V8" s="22"/>
      <c r="W8" s="23"/>
    </row>
    <row r="9" spans="1:31" ht="14.4" x14ac:dyDescent="0.3">
      <c r="A9" s="1" t="s">
        <v>49</v>
      </c>
      <c r="B9" s="10">
        <v>45403</v>
      </c>
      <c r="C9" s="11" t="s">
        <v>392</v>
      </c>
      <c r="D9" s="1" t="s">
        <v>50</v>
      </c>
      <c r="E9" s="1" t="s">
        <v>29</v>
      </c>
      <c r="F9" s="1" t="s">
        <v>30</v>
      </c>
      <c r="G9" s="1" t="s">
        <v>31</v>
      </c>
      <c r="H9" s="1">
        <v>3</v>
      </c>
      <c r="I9" s="1">
        <v>59.99</v>
      </c>
      <c r="J9" s="1" t="s">
        <v>51</v>
      </c>
      <c r="K9" s="1" t="s">
        <v>33</v>
      </c>
      <c r="L9" s="1" t="s">
        <v>22</v>
      </c>
      <c r="M9" s="10">
        <v>45007</v>
      </c>
      <c r="N9" s="1">
        <v>179.97</v>
      </c>
      <c r="O9" s="1">
        <f t="shared" si="1"/>
        <v>5089.7300000000005</v>
      </c>
      <c r="P9" s="12" t="str">
        <f t="shared" si="2"/>
        <v>Normal</v>
      </c>
      <c r="Q9" s="12">
        <f t="shared" si="3"/>
        <v>29</v>
      </c>
      <c r="R9" s="12" t="str">
        <f t="shared" si="0"/>
        <v>CA</v>
      </c>
    </row>
    <row r="10" spans="1:31" ht="14.4" x14ac:dyDescent="0.3">
      <c r="A10" s="1" t="s">
        <v>52</v>
      </c>
      <c r="B10" s="10">
        <v>45405</v>
      </c>
      <c r="C10" s="11" t="s">
        <v>393</v>
      </c>
      <c r="D10" s="1" t="s">
        <v>53</v>
      </c>
      <c r="E10" s="1" t="s">
        <v>54</v>
      </c>
      <c r="F10" s="1" t="s">
        <v>55</v>
      </c>
      <c r="G10" s="1" t="s">
        <v>19</v>
      </c>
      <c r="H10" s="1">
        <v>3</v>
      </c>
      <c r="I10" s="1">
        <v>899.99</v>
      </c>
      <c r="J10" s="1" t="s">
        <v>32</v>
      </c>
      <c r="K10" s="1" t="s">
        <v>56</v>
      </c>
      <c r="L10" s="1" t="s">
        <v>34</v>
      </c>
      <c r="M10" s="10">
        <v>45299</v>
      </c>
      <c r="N10" s="1">
        <v>2699.97</v>
      </c>
      <c r="O10" s="1">
        <f t="shared" si="1"/>
        <v>3509.8999999999996</v>
      </c>
      <c r="P10" s="12" t="str">
        <f t="shared" si="2"/>
        <v>Normal</v>
      </c>
      <c r="Q10" s="12">
        <f t="shared" si="3"/>
        <v>24</v>
      </c>
      <c r="R10" s="12" t="str">
        <f t="shared" si="0"/>
        <v>RT</v>
      </c>
    </row>
    <row r="11" spans="1:31" ht="14.4" x14ac:dyDescent="0.3">
      <c r="A11" s="1" t="s">
        <v>57</v>
      </c>
      <c r="B11" s="10">
        <v>45408</v>
      </c>
      <c r="C11" s="11" t="s">
        <v>394</v>
      </c>
      <c r="D11" s="1" t="s">
        <v>58</v>
      </c>
      <c r="E11" s="1" t="s">
        <v>29</v>
      </c>
      <c r="F11" s="1" t="s">
        <v>30</v>
      </c>
      <c r="G11" s="1" t="s">
        <v>31</v>
      </c>
      <c r="H11" s="1">
        <v>3</v>
      </c>
      <c r="I11" s="1">
        <v>59.99</v>
      </c>
      <c r="J11" s="1" t="s">
        <v>20</v>
      </c>
      <c r="K11" s="1" t="s">
        <v>45</v>
      </c>
      <c r="L11" s="1" t="s">
        <v>26</v>
      </c>
      <c r="M11" s="10">
        <v>45207</v>
      </c>
      <c r="N11" s="1">
        <v>179.97</v>
      </c>
      <c r="O11" s="1">
        <f t="shared" si="1"/>
        <v>8009.7699999999995</v>
      </c>
      <c r="P11" s="12" t="str">
        <f t="shared" si="2"/>
        <v>Normal</v>
      </c>
      <c r="Q11" s="12">
        <f t="shared" si="3"/>
        <v>29</v>
      </c>
      <c r="R11" s="12" t="str">
        <f t="shared" si="0"/>
        <v>KH</v>
      </c>
    </row>
    <row r="12" spans="1:31" ht="14.4" x14ac:dyDescent="0.3">
      <c r="A12" s="1" t="s">
        <v>59</v>
      </c>
      <c r="B12" s="10">
        <v>45408</v>
      </c>
      <c r="C12" s="11" t="s">
        <v>395</v>
      </c>
      <c r="D12" s="1" t="s">
        <v>60</v>
      </c>
      <c r="E12" s="1" t="s">
        <v>40</v>
      </c>
      <c r="F12" s="1" t="s">
        <v>41</v>
      </c>
      <c r="G12" s="1" t="s">
        <v>42</v>
      </c>
      <c r="H12" s="1">
        <v>1</v>
      </c>
      <c r="I12" s="1">
        <v>149.99</v>
      </c>
      <c r="J12" s="1" t="s">
        <v>25</v>
      </c>
      <c r="K12" s="1" t="s">
        <v>45</v>
      </c>
      <c r="L12" s="1" t="s">
        <v>34</v>
      </c>
      <c r="M12" s="10">
        <v>45103</v>
      </c>
      <c r="N12" s="1">
        <v>149.99</v>
      </c>
      <c r="O12" s="1">
        <f t="shared" si="1"/>
        <v>1979.89</v>
      </c>
      <c r="P12" s="12" t="str">
        <f t="shared" si="2"/>
        <v>Normal</v>
      </c>
      <c r="Q12" s="12">
        <f t="shared" si="3"/>
        <v>35</v>
      </c>
      <c r="R12" s="12" t="str">
        <f t="shared" si="0"/>
        <v>SG</v>
      </c>
      <c r="V12" s="30" t="s">
        <v>382</v>
      </c>
      <c r="W12" s="31"/>
    </row>
    <row r="13" spans="1:31" ht="14.4" x14ac:dyDescent="0.3">
      <c r="A13" s="1" t="s">
        <v>61</v>
      </c>
      <c r="B13" s="10">
        <v>45408</v>
      </c>
      <c r="C13" s="11" t="s">
        <v>396</v>
      </c>
      <c r="D13" s="1" t="s">
        <v>36</v>
      </c>
      <c r="E13" s="1" t="s">
        <v>40</v>
      </c>
      <c r="F13" s="1" t="s">
        <v>41</v>
      </c>
      <c r="G13" s="1" t="s">
        <v>42</v>
      </c>
      <c r="H13" s="1">
        <v>5</v>
      </c>
      <c r="I13" s="1">
        <v>149.99</v>
      </c>
      <c r="J13" s="1" t="s">
        <v>51</v>
      </c>
      <c r="K13" s="1" t="s">
        <v>37</v>
      </c>
      <c r="L13" s="1" t="s">
        <v>22</v>
      </c>
      <c r="M13" s="10">
        <v>44830</v>
      </c>
      <c r="N13" s="1">
        <v>749.95</v>
      </c>
      <c r="O13" s="1">
        <f t="shared" si="1"/>
        <v>4309.8099999999995</v>
      </c>
      <c r="P13" s="12" t="str">
        <f t="shared" si="2"/>
        <v>Normal</v>
      </c>
      <c r="Q13" s="12">
        <f t="shared" si="3"/>
        <v>35</v>
      </c>
      <c r="R13" s="12" t="str">
        <f t="shared" si="0"/>
        <v>KB</v>
      </c>
      <c r="V13" s="24" t="s">
        <v>380</v>
      </c>
      <c r="W13" s="25">
        <v>200</v>
      </c>
    </row>
    <row r="14" spans="1:31" ht="14.4" x14ac:dyDescent="0.3">
      <c r="A14" s="1" t="s">
        <v>62</v>
      </c>
      <c r="B14" s="10">
        <v>45408</v>
      </c>
      <c r="C14" s="11" t="s">
        <v>397</v>
      </c>
      <c r="D14" s="1" t="s">
        <v>63</v>
      </c>
      <c r="E14" s="1" t="s">
        <v>40</v>
      </c>
      <c r="F14" s="1" t="s">
        <v>41</v>
      </c>
      <c r="G14" s="1" t="s">
        <v>42</v>
      </c>
      <c r="H14" s="1">
        <v>3</v>
      </c>
      <c r="I14" s="1">
        <v>149.99</v>
      </c>
      <c r="J14" s="1" t="s">
        <v>20</v>
      </c>
      <c r="K14" s="1" t="s">
        <v>37</v>
      </c>
      <c r="L14" s="1" t="s">
        <v>26</v>
      </c>
      <c r="M14" s="10">
        <v>44806</v>
      </c>
      <c r="N14" s="1">
        <v>449.97</v>
      </c>
      <c r="O14" s="1">
        <f t="shared" si="1"/>
        <v>5949.85</v>
      </c>
      <c r="P14" s="12" t="str">
        <f t="shared" si="2"/>
        <v>Normal</v>
      </c>
      <c r="Q14" s="12">
        <f t="shared" si="3"/>
        <v>35</v>
      </c>
      <c r="R14" s="12" t="str">
        <f t="shared" si="0"/>
        <v>PR</v>
      </c>
      <c r="V14" s="24" t="s">
        <v>379</v>
      </c>
      <c r="W14" s="26">
        <v>250</v>
      </c>
    </row>
    <row r="15" spans="1:31" ht="14.4" x14ac:dyDescent="0.3">
      <c r="A15" s="1" t="s">
        <v>64</v>
      </c>
      <c r="B15" s="10">
        <v>45409</v>
      </c>
      <c r="C15" s="11" t="s">
        <v>398</v>
      </c>
      <c r="D15" s="1" t="s">
        <v>65</v>
      </c>
      <c r="E15" s="1" t="s">
        <v>29</v>
      </c>
      <c r="F15" s="1" t="s">
        <v>30</v>
      </c>
      <c r="G15" s="1" t="s">
        <v>31</v>
      </c>
      <c r="H15" s="1">
        <v>3</v>
      </c>
      <c r="I15" s="1">
        <v>59.99</v>
      </c>
      <c r="J15" s="1" t="s">
        <v>25</v>
      </c>
      <c r="K15" s="1" t="s">
        <v>37</v>
      </c>
      <c r="L15" s="1" t="s">
        <v>34</v>
      </c>
      <c r="M15" s="10">
        <v>45351</v>
      </c>
      <c r="N15" s="1">
        <v>179.97</v>
      </c>
      <c r="O15" s="1">
        <f t="shared" si="1"/>
        <v>479.91999999999996</v>
      </c>
      <c r="P15" s="12" t="str">
        <f t="shared" si="2"/>
        <v>Normal</v>
      </c>
      <c r="Q15" s="12">
        <f t="shared" si="3"/>
        <v>29</v>
      </c>
      <c r="R15" s="12" t="str">
        <f t="shared" si="0"/>
        <v>DG</v>
      </c>
      <c r="V15" s="27" t="s">
        <v>381</v>
      </c>
      <c r="W15" s="25">
        <f>W14*W13</f>
        <v>50000</v>
      </c>
    </row>
    <row r="16" spans="1:31" ht="14.4" x14ac:dyDescent="0.3">
      <c r="A16" s="1" t="s">
        <v>66</v>
      </c>
      <c r="B16" s="10">
        <v>45409</v>
      </c>
      <c r="C16" s="11" t="s">
        <v>399</v>
      </c>
      <c r="D16" s="1" t="s">
        <v>67</v>
      </c>
      <c r="E16" s="1" t="s">
        <v>68</v>
      </c>
      <c r="F16" s="1" t="s">
        <v>69</v>
      </c>
      <c r="G16" s="1" t="s">
        <v>19</v>
      </c>
      <c r="H16" s="1">
        <v>3</v>
      </c>
      <c r="I16" s="1">
        <v>699.99</v>
      </c>
      <c r="J16" s="1" t="s">
        <v>25</v>
      </c>
      <c r="K16" s="1" t="s">
        <v>45</v>
      </c>
      <c r="L16" s="1" t="s">
        <v>22</v>
      </c>
      <c r="M16" s="10">
        <v>44577</v>
      </c>
      <c r="N16" s="1">
        <v>2099.9699999999998</v>
      </c>
      <c r="O16" s="1">
        <f t="shared" si="1"/>
        <v>4199.9399999999996</v>
      </c>
      <c r="P16" s="12" t="str">
        <f t="shared" si="2"/>
        <v>Normal</v>
      </c>
      <c r="Q16" s="12">
        <f t="shared" si="3"/>
        <v>31</v>
      </c>
      <c r="R16" s="12" t="str">
        <f t="shared" si="0"/>
        <v>MR</v>
      </c>
    </row>
    <row r="17" spans="1:24" ht="14.4" x14ac:dyDescent="0.3">
      <c r="A17" s="1" t="s">
        <v>70</v>
      </c>
      <c r="B17" s="10">
        <v>45409</v>
      </c>
      <c r="C17" s="11" t="s">
        <v>400</v>
      </c>
      <c r="D17" s="1" t="s">
        <v>71</v>
      </c>
      <c r="E17" s="1" t="s">
        <v>54</v>
      </c>
      <c r="F17" s="1" t="s">
        <v>55</v>
      </c>
      <c r="G17" s="1" t="s">
        <v>19</v>
      </c>
      <c r="H17" s="1">
        <v>1</v>
      </c>
      <c r="I17" s="1">
        <v>899.99</v>
      </c>
      <c r="J17" s="1" t="s">
        <v>51</v>
      </c>
      <c r="K17" s="1" t="s">
        <v>37</v>
      </c>
      <c r="L17" s="1" t="s">
        <v>34</v>
      </c>
      <c r="M17" s="10">
        <v>44920</v>
      </c>
      <c r="N17" s="1">
        <v>899.99</v>
      </c>
      <c r="O17" s="1">
        <f t="shared" si="1"/>
        <v>3779.93</v>
      </c>
      <c r="P17" s="12" t="str">
        <f t="shared" si="2"/>
        <v>Normal</v>
      </c>
      <c r="Q17" s="12">
        <f t="shared" si="3"/>
        <v>24</v>
      </c>
      <c r="R17" s="12" t="str">
        <f t="shared" si="0"/>
        <v>GA</v>
      </c>
    </row>
    <row r="18" spans="1:24" ht="14.4" x14ac:dyDescent="0.3">
      <c r="A18" s="1" t="s">
        <v>72</v>
      </c>
      <c r="B18" s="10">
        <v>45410</v>
      </c>
      <c r="C18" s="11" t="s">
        <v>401</v>
      </c>
      <c r="D18" s="1" t="s">
        <v>73</v>
      </c>
      <c r="E18" s="1" t="s">
        <v>40</v>
      </c>
      <c r="F18" s="1" t="s">
        <v>41</v>
      </c>
      <c r="G18" s="1" t="s">
        <v>42</v>
      </c>
      <c r="H18" s="1">
        <v>4</v>
      </c>
      <c r="I18" s="1">
        <v>149.99</v>
      </c>
      <c r="J18" s="1" t="s">
        <v>51</v>
      </c>
      <c r="K18" s="1" t="s">
        <v>37</v>
      </c>
      <c r="L18" s="1" t="s">
        <v>26</v>
      </c>
      <c r="M18" s="10">
        <v>45374</v>
      </c>
      <c r="N18" s="1">
        <v>599.96</v>
      </c>
      <c r="O18" s="1">
        <f t="shared" si="1"/>
        <v>15659.65</v>
      </c>
      <c r="P18" s="12" t="str">
        <f t="shared" si="2"/>
        <v>High Value</v>
      </c>
      <c r="Q18" s="12">
        <f t="shared" si="3"/>
        <v>35</v>
      </c>
      <c r="R18" s="12" t="str">
        <f t="shared" si="0"/>
        <v>MC</v>
      </c>
    </row>
    <row r="19" spans="1:24" ht="14.4" x14ac:dyDescent="0.3">
      <c r="A19" s="1" t="s">
        <v>74</v>
      </c>
      <c r="B19" s="10">
        <v>45410</v>
      </c>
      <c r="C19" s="11" t="s">
        <v>402</v>
      </c>
      <c r="D19" s="1" t="s">
        <v>75</v>
      </c>
      <c r="E19" s="1" t="s">
        <v>68</v>
      </c>
      <c r="F19" s="1" t="s">
        <v>69</v>
      </c>
      <c r="G19" s="1" t="s">
        <v>19</v>
      </c>
      <c r="H19" s="1">
        <v>2</v>
      </c>
      <c r="I19" s="1">
        <v>699.99</v>
      </c>
      <c r="J19" s="1" t="s">
        <v>20</v>
      </c>
      <c r="K19" s="1" t="s">
        <v>37</v>
      </c>
      <c r="L19" s="1" t="s">
        <v>22</v>
      </c>
      <c r="M19" s="10">
        <v>44781</v>
      </c>
      <c r="N19" s="1">
        <v>1399.98</v>
      </c>
      <c r="O19" s="1">
        <f t="shared" si="1"/>
        <v>1909.93</v>
      </c>
      <c r="P19" s="12" t="str">
        <f t="shared" si="2"/>
        <v>Normal</v>
      </c>
      <c r="Q19" s="12">
        <f t="shared" si="3"/>
        <v>31</v>
      </c>
      <c r="R19" s="12" t="str">
        <f t="shared" si="0"/>
        <v>MG</v>
      </c>
      <c r="V19" s="30" t="s">
        <v>383</v>
      </c>
      <c r="W19" s="31"/>
    </row>
    <row r="20" spans="1:24" ht="14.4" x14ac:dyDescent="0.3">
      <c r="A20" s="1" t="s">
        <v>76</v>
      </c>
      <c r="B20" s="10">
        <v>45410</v>
      </c>
      <c r="C20" s="11" t="s">
        <v>403</v>
      </c>
      <c r="D20" s="1" t="s">
        <v>73</v>
      </c>
      <c r="E20" s="1" t="s">
        <v>54</v>
      </c>
      <c r="F20" s="1" t="s">
        <v>55</v>
      </c>
      <c r="G20" s="1" t="s">
        <v>19</v>
      </c>
      <c r="H20" s="1">
        <v>4</v>
      </c>
      <c r="I20" s="1">
        <v>899.99</v>
      </c>
      <c r="J20" s="1" t="s">
        <v>25</v>
      </c>
      <c r="K20" s="1" t="s">
        <v>45</v>
      </c>
      <c r="L20" s="1" t="s">
        <v>34</v>
      </c>
      <c r="M20" s="10">
        <v>45327</v>
      </c>
      <c r="N20" s="1">
        <v>3599.96</v>
      </c>
      <c r="O20" s="1">
        <f t="shared" si="1"/>
        <v>15659.65</v>
      </c>
      <c r="P20" s="12" t="str">
        <f t="shared" si="2"/>
        <v>High Value</v>
      </c>
      <c r="Q20" s="12">
        <f t="shared" si="3"/>
        <v>24</v>
      </c>
      <c r="R20" s="12" t="str">
        <f t="shared" si="0"/>
        <v>MC</v>
      </c>
      <c r="V20" s="24" t="s">
        <v>380</v>
      </c>
      <c r="W20" s="25">
        <v>240</v>
      </c>
    </row>
    <row r="21" spans="1:24" ht="15.75" customHeight="1" x14ac:dyDescent="0.3">
      <c r="A21" s="1" t="s">
        <v>77</v>
      </c>
      <c r="B21" s="10">
        <v>45410</v>
      </c>
      <c r="C21" s="11" t="s">
        <v>404</v>
      </c>
      <c r="D21" s="1" t="s">
        <v>78</v>
      </c>
      <c r="E21" s="1" t="s">
        <v>17</v>
      </c>
      <c r="F21" s="1" t="s">
        <v>18</v>
      </c>
      <c r="G21" s="1" t="s">
        <v>19</v>
      </c>
      <c r="H21" s="1">
        <v>3</v>
      </c>
      <c r="I21" s="1">
        <v>249.99</v>
      </c>
      <c r="J21" s="1" t="s">
        <v>25</v>
      </c>
      <c r="K21" s="1" t="s">
        <v>37</v>
      </c>
      <c r="L21" s="1" t="s">
        <v>26</v>
      </c>
      <c r="M21" s="10">
        <v>45224</v>
      </c>
      <c r="N21" s="1">
        <v>749.97</v>
      </c>
      <c r="O21" s="1">
        <f t="shared" si="1"/>
        <v>4789.7900000000009</v>
      </c>
      <c r="P21" s="12" t="str">
        <f t="shared" si="2"/>
        <v>Normal</v>
      </c>
      <c r="Q21" s="12">
        <f t="shared" si="3"/>
        <v>26</v>
      </c>
      <c r="R21" s="12" t="str">
        <f t="shared" si="0"/>
        <v>VS</v>
      </c>
      <c r="V21" s="24" t="s">
        <v>379</v>
      </c>
      <c r="W21" s="26">
        <v>250</v>
      </c>
    </row>
    <row r="22" spans="1:24" ht="15.75" customHeight="1" x14ac:dyDescent="0.3">
      <c r="A22" s="1" t="s">
        <v>79</v>
      </c>
      <c r="B22" s="10">
        <v>45412</v>
      </c>
      <c r="C22" s="11" t="s">
        <v>405</v>
      </c>
      <c r="D22" s="1" t="s">
        <v>80</v>
      </c>
      <c r="E22" s="1" t="s">
        <v>68</v>
      </c>
      <c r="F22" s="1" t="s">
        <v>69</v>
      </c>
      <c r="G22" s="1" t="s">
        <v>19</v>
      </c>
      <c r="H22" s="1">
        <v>5</v>
      </c>
      <c r="I22" s="1">
        <v>699.99</v>
      </c>
      <c r="J22" s="1" t="s">
        <v>20</v>
      </c>
      <c r="K22" s="1" t="s">
        <v>45</v>
      </c>
      <c r="L22" s="1" t="s">
        <v>22</v>
      </c>
      <c r="M22" s="10">
        <v>45167</v>
      </c>
      <c r="N22" s="1">
        <v>3499.95</v>
      </c>
      <c r="O22" s="1">
        <f t="shared" si="1"/>
        <v>10649.8</v>
      </c>
      <c r="P22" s="12" t="str">
        <f t="shared" si="2"/>
        <v>High Value</v>
      </c>
      <c r="Q22" s="12">
        <f t="shared" si="3"/>
        <v>31</v>
      </c>
      <c r="R22" s="12" t="str">
        <f t="shared" si="0"/>
        <v>BY</v>
      </c>
      <c r="V22" s="27" t="s">
        <v>381</v>
      </c>
      <c r="W22" s="25">
        <f>W21*W20</f>
        <v>60000</v>
      </c>
    </row>
    <row r="23" spans="1:24" ht="15.75" customHeight="1" x14ac:dyDescent="0.3">
      <c r="A23" s="1" t="s">
        <v>81</v>
      </c>
      <c r="B23" s="10">
        <v>45413</v>
      </c>
      <c r="C23" s="11" t="s">
        <v>406</v>
      </c>
      <c r="D23" s="1" t="s">
        <v>82</v>
      </c>
      <c r="E23" s="1" t="s">
        <v>68</v>
      </c>
      <c r="F23" s="1" t="s">
        <v>69</v>
      </c>
      <c r="G23" s="1" t="s">
        <v>19</v>
      </c>
      <c r="H23" s="1">
        <v>4</v>
      </c>
      <c r="I23" s="1">
        <v>699.99</v>
      </c>
      <c r="J23" s="1" t="s">
        <v>20</v>
      </c>
      <c r="K23" s="1" t="s">
        <v>56</v>
      </c>
      <c r="L23" s="1" t="s">
        <v>34</v>
      </c>
      <c r="M23" s="10">
        <v>44409</v>
      </c>
      <c r="N23" s="1">
        <v>2799.96</v>
      </c>
      <c r="O23" s="1">
        <f t="shared" si="1"/>
        <v>9799.73</v>
      </c>
      <c r="P23" s="12" t="str">
        <f t="shared" si="2"/>
        <v>Normal</v>
      </c>
      <c r="Q23" s="12">
        <f t="shared" si="3"/>
        <v>31</v>
      </c>
      <c r="R23" s="12" t="str">
        <f t="shared" si="0"/>
        <v>PM</v>
      </c>
    </row>
    <row r="24" spans="1:24" ht="15.75" customHeight="1" x14ac:dyDescent="0.3">
      <c r="A24" s="1" t="s">
        <v>83</v>
      </c>
      <c r="B24" s="10">
        <v>45415</v>
      </c>
      <c r="C24" s="11" t="s">
        <v>407</v>
      </c>
      <c r="D24" s="1" t="s">
        <v>84</v>
      </c>
      <c r="E24" s="1" t="s">
        <v>17</v>
      </c>
      <c r="F24" s="1" t="s">
        <v>18</v>
      </c>
      <c r="G24" s="1" t="s">
        <v>19</v>
      </c>
      <c r="H24" s="1">
        <v>4</v>
      </c>
      <c r="I24" s="1">
        <v>249.99</v>
      </c>
      <c r="J24" s="1" t="s">
        <v>32</v>
      </c>
      <c r="K24" s="1" t="s">
        <v>37</v>
      </c>
      <c r="L24" s="1" t="s">
        <v>34</v>
      </c>
      <c r="M24" s="10">
        <v>44468</v>
      </c>
      <c r="N24" s="1">
        <v>999.96</v>
      </c>
      <c r="O24" s="1">
        <f t="shared" si="1"/>
        <v>3769.8300000000004</v>
      </c>
      <c r="P24" s="12" t="str">
        <f t="shared" si="2"/>
        <v>Normal</v>
      </c>
      <c r="Q24" s="12">
        <f t="shared" si="3"/>
        <v>26</v>
      </c>
      <c r="R24" s="12" t="str">
        <f t="shared" si="0"/>
        <v>CP</v>
      </c>
    </row>
    <row r="25" spans="1:24" ht="15.75" customHeight="1" x14ac:dyDescent="0.3">
      <c r="A25" s="1" t="s">
        <v>85</v>
      </c>
      <c r="B25" s="10">
        <v>45416</v>
      </c>
      <c r="C25" s="11" t="s">
        <v>408</v>
      </c>
      <c r="D25" s="1" t="s">
        <v>73</v>
      </c>
      <c r="E25" s="1" t="s">
        <v>86</v>
      </c>
      <c r="F25" s="1" t="s">
        <v>87</v>
      </c>
      <c r="G25" s="1" t="s">
        <v>42</v>
      </c>
      <c r="H25" s="1">
        <v>4</v>
      </c>
      <c r="I25" s="1">
        <v>299.99</v>
      </c>
      <c r="J25" s="1" t="s">
        <v>20</v>
      </c>
      <c r="K25" s="1" t="s">
        <v>45</v>
      </c>
      <c r="L25" s="1" t="s">
        <v>26</v>
      </c>
      <c r="M25" s="10">
        <v>44716</v>
      </c>
      <c r="N25" s="1">
        <v>1199.96</v>
      </c>
      <c r="O25" s="1">
        <f t="shared" si="1"/>
        <v>15659.65</v>
      </c>
      <c r="P25" s="12" t="str">
        <f t="shared" si="2"/>
        <v>High Value</v>
      </c>
      <c r="Q25" s="12">
        <f t="shared" si="3"/>
        <v>26</v>
      </c>
      <c r="R25" s="12" t="str">
        <f t="shared" si="0"/>
        <v>MC</v>
      </c>
      <c r="V25" s="8" t="s">
        <v>640</v>
      </c>
    </row>
    <row r="26" spans="1:24" ht="15.75" customHeight="1" x14ac:dyDescent="0.3">
      <c r="A26" s="1" t="s">
        <v>88</v>
      </c>
      <c r="B26" s="10">
        <v>45422</v>
      </c>
      <c r="C26" s="11" t="s">
        <v>409</v>
      </c>
      <c r="D26" s="1" t="s">
        <v>89</v>
      </c>
      <c r="E26" s="1" t="s">
        <v>17</v>
      </c>
      <c r="F26" s="1" t="s">
        <v>18</v>
      </c>
      <c r="G26" s="1" t="s">
        <v>19</v>
      </c>
      <c r="H26" s="1">
        <v>5</v>
      </c>
      <c r="I26" s="1">
        <v>249.99</v>
      </c>
      <c r="J26" s="1" t="s">
        <v>25</v>
      </c>
      <c r="K26" s="1" t="s">
        <v>45</v>
      </c>
      <c r="L26" s="1" t="s">
        <v>34</v>
      </c>
      <c r="M26" s="10">
        <v>44525</v>
      </c>
      <c r="N26" s="1">
        <v>1249.95</v>
      </c>
      <c r="O26" s="1">
        <f t="shared" si="1"/>
        <v>4189.7700000000004</v>
      </c>
      <c r="P26" s="12" t="str">
        <f t="shared" si="2"/>
        <v>Normal</v>
      </c>
      <c r="Q26" s="12">
        <f t="shared" si="3"/>
        <v>26</v>
      </c>
      <c r="R26" s="12" t="str">
        <f t="shared" si="0"/>
        <v>NC</v>
      </c>
      <c r="V26" s="18" t="str">
        <f>INDEX(F:F,MATCH(MAX(Q:Q),Q:Q,0))</f>
        <v>Bookshelf</v>
      </c>
    </row>
    <row r="27" spans="1:24" ht="15.75" customHeight="1" x14ac:dyDescent="0.3">
      <c r="A27" s="1" t="s">
        <v>90</v>
      </c>
      <c r="B27" s="10">
        <v>45424</v>
      </c>
      <c r="C27" s="11" t="s">
        <v>410</v>
      </c>
      <c r="D27" s="1" t="s">
        <v>60</v>
      </c>
      <c r="E27" s="1" t="s">
        <v>86</v>
      </c>
      <c r="F27" s="1" t="s">
        <v>87</v>
      </c>
      <c r="G27" s="1" t="s">
        <v>42</v>
      </c>
      <c r="H27" s="1">
        <v>5</v>
      </c>
      <c r="I27" s="1">
        <v>299.99</v>
      </c>
      <c r="J27" s="1" t="s">
        <v>32</v>
      </c>
      <c r="K27" s="1" t="s">
        <v>56</v>
      </c>
      <c r="L27" s="1" t="s">
        <v>22</v>
      </c>
      <c r="M27" s="10">
        <v>45168</v>
      </c>
      <c r="N27" s="1">
        <v>1499.95</v>
      </c>
      <c r="O27" s="1">
        <f t="shared" si="1"/>
        <v>1979.89</v>
      </c>
      <c r="P27" s="12" t="str">
        <f t="shared" si="2"/>
        <v>Normal</v>
      </c>
      <c r="Q27" s="12">
        <f t="shared" si="3"/>
        <v>26</v>
      </c>
      <c r="R27" s="12" t="str">
        <f t="shared" si="0"/>
        <v>SG</v>
      </c>
    </row>
    <row r="28" spans="1:24" ht="15.75" customHeight="1" x14ac:dyDescent="0.3">
      <c r="A28" s="1" t="s">
        <v>91</v>
      </c>
      <c r="B28" s="10">
        <v>45424</v>
      </c>
      <c r="C28" s="11" t="s">
        <v>411</v>
      </c>
      <c r="D28" s="1" t="s">
        <v>92</v>
      </c>
      <c r="E28" s="1" t="s">
        <v>93</v>
      </c>
      <c r="F28" s="1" t="s">
        <v>94</v>
      </c>
      <c r="G28" s="1" t="s">
        <v>31</v>
      </c>
      <c r="H28" s="1">
        <v>3</v>
      </c>
      <c r="I28" s="1">
        <v>79.989999999999995</v>
      </c>
      <c r="J28" s="1" t="s">
        <v>32</v>
      </c>
      <c r="K28" s="1" t="s">
        <v>56</v>
      </c>
      <c r="L28" s="1" t="s">
        <v>26</v>
      </c>
      <c r="M28" s="10">
        <v>45012</v>
      </c>
      <c r="N28" s="1">
        <v>239.97</v>
      </c>
      <c r="O28" s="1">
        <f t="shared" si="1"/>
        <v>1289.9000000000001</v>
      </c>
      <c r="P28" s="12" t="str">
        <f t="shared" si="2"/>
        <v>Normal</v>
      </c>
      <c r="Q28" s="12">
        <f t="shared" si="3"/>
        <v>14</v>
      </c>
      <c r="R28" s="12" t="str">
        <f t="shared" si="0"/>
        <v>LM</v>
      </c>
    </row>
    <row r="29" spans="1:24" ht="15.75" customHeight="1" x14ac:dyDescent="0.3">
      <c r="A29" s="1" t="s">
        <v>95</v>
      </c>
      <c r="B29" s="10">
        <v>45424</v>
      </c>
      <c r="C29" s="11" t="s">
        <v>412</v>
      </c>
      <c r="D29" s="1" t="s">
        <v>82</v>
      </c>
      <c r="E29" s="1" t="s">
        <v>96</v>
      </c>
      <c r="F29" s="1" t="s">
        <v>97</v>
      </c>
      <c r="G29" s="1" t="s">
        <v>19</v>
      </c>
      <c r="H29" s="1">
        <v>5</v>
      </c>
      <c r="I29" s="1">
        <v>89.99</v>
      </c>
      <c r="J29" s="1" t="s">
        <v>20</v>
      </c>
      <c r="K29" s="1" t="s">
        <v>37</v>
      </c>
      <c r="L29" s="1" t="s">
        <v>26</v>
      </c>
      <c r="M29" s="10">
        <v>44919</v>
      </c>
      <c r="N29" s="1">
        <v>449.95</v>
      </c>
      <c r="O29" s="1">
        <f t="shared" si="1"/>
        <v>9799.73</v>
      </c>
      <c r="P29" s="12" t="str">
        <f t="shared" si="2"/>
        <v>Normal</v>
      </c>
      <c r="Q29" s="12">
        <f t="shared" si="3"/>
        <v>34</v>
      </c>
      <c r="R29" s="12" t="str">
        <f t="shared" si="0"/>
        <v>PM</v>
      </c>
      <c r="V29" s="8" t="s">
        <v>642</v>
      </c>
      <c r="W29" s="8" t="s">
        <v>643</v>
      </c>
      <c r="X29" s="8" t="s">
        <v>657</v>
      </c>
    </row>
    <row r="30" spans="1:24" ht="15.75" customHeight="1" x14ac:dyDescent="0.3">
      <c r="A30" s="1" t="s">
        <v>98</v>
      </c>
      <c r="B30" s="10">
        <v>45425</v>
      </c>
      <c r="C30" s="11" t="s">
        <v>413</v>
      </c>
      <c r="D30" s="1" t="s">
        <v>99</v>
      </c>
      <c r="E30" s="1" t="s">
        <v>29</v>
      </c>
      <c r="F30" s="1" t="s">
        <v>30</v>
      </c>
      <c r="G30" s="1" t="s">
        <v>31</v>
      </c>
      <c r="H30" s="1">
        <v>2</v>
      </c>
      <c r="I30" s="1">
        <v>59.99</v>
      </c>
      <c r="J30" s="1" t="s">
        <v>51</v>
      </c>
      <c r="K30" s="1" t="s">
        <v>21</v>
      </c>
      <c r="L30" s="1" t="s">
        <v>34</v>
      </c>
      <c r="M30" s="10">
        <v>45214</v>
      </c>
      <c r="N30" s="1">
        <v>119.98</v>
      </c>
      <c r="O30" s="1">
        <f t="shared" si="1"/>
        <v>6459.79</v>
      </c>
      <c r="P30" s="12" t="str">
        <f t="shared" si="2"/>
        <v>Normal</v>
      </c>
      <c r="Q30" s="12">
        <f t="shared" si="3"/>
        <v>29</v>
      </c>
      <c r="R30" s="12" t="str">
        <f t="shared" si="0"/>
        <v>HR</v>
      </c>
      <c r="V30" s="18" t="s">
        <v>644</v>
      </c>
      <c r="W30" s="18" t="s">
        <v>644</v>
      </c>
      <c r="X30" s="18" t="str">
        <f>IF(COUNTIF($V$30:$V$38,W30),W30,"-")</f>
        <v>Meet</v>
      </c>
    </row>
    <row r="31" spans="1:24" ht="15.75" customHeight="1" x14ac:dyDescent="0.3">
      <c r="A31" s="1" t="s">
        <v>100</v>
      </c>
      <c r="B31" s="10">
        <v>45427</v>
      </c>
      <c r="C31" s="11" t="s">
        <v>414</v>
      </c>
      <c r="D31" s="1" t="s">
        <v>101</v>
      </c>
      <c r="E31" s="1" t="s">
        <v>29</v>
      </c>
      <c r="F31" s="1" t="s">
        <v>30</v>
      </c>
      <c r="G31" s="1" t="s">
        <v>31</v>
      </c>
      <c r="H31" s="1">
        <v>4</v>
      </c>
      <c r="I31" s="1">
        <v>59.99</v>
      </c>
      <c r="J31" s="1" t="s">
        <v>51</v>
      </c>
      <c r="K31" s="1" t="s">
        <v>56</v>
      </c>
      <c r="L31" s="1" t="s">
        <v>34</v>
      </c>
      <c r="M31" s="10">
        <v>44867</v>
      </c>
      <c r="N31" s="1">
        <v>239.96</v>
      </c>
      <c r="O31" s="1">
        <f t="shared" si="1"/>
        <v>11919.769999999999</v>
      </c>
      <c r="P31" s="12" t="str">
        <f t="shared" si="2"/>
        <v>High Value</v>
      </c>
      <c r="Q31" s="12">
        <f t="shared" si="3"/>
        <v>29</v>
      </c>
      <c r="R31" s="12" t="str">
        <f t="shared" si="0"/>
        <v>EM</v>
      </c>
      <c r="V31" s="18" t="s">
        <v>645</v>
      </c>
      <c r="W31" s="18" t="s">
        <v>654</v>
      </c>
      <c r="X31" s="18" t="str">
        <f t="shared" ref="X31:X38" si="4">IF(COUNTIF($V$30:$V$38,W31),W31,"-")</f>
        <v>-</v>
      </c>
    </row>
    <row r="32" spans="1:24" ht="15.75" customHeight="1" x14ac:dyDescent="0.3">
      <c r="A32" s="1" t="s">
        <v>102</v>
      </c>
      <c r="B32" s="10">
        <v>45427</v>
      </c>
      <c r="C32" s="11" t="s">
        <v>415</v>
      </c>
      <c r="D32" s="1" t="s">
        <v>50</v>
      </c>
      <c r="E32" s="1" t="s">
        <v>103</v>
      </c>
      <c r="F32" s="1" t="s">
        <v>104</v>
      </c>
      <c r="G32" s="1" t="s">
        <v>42</v>
      </c>
      <c r="H32" s="1">
        <v>5</v>
      </c>
      <c r="I32" s="1">
        <v>199.99</v>
      </c>
      <c r="J32" s="1" t="s">
        <v>20</v>
      </c>
      <c r="K32" s="1" t="s">
        <v>33</v>
      </c>
      <c r="L32" s="1" t="s">
        <v>34</v>
      </c>
      <c r="M32" s="10">
        <v>44412</v>
      </c>
      <c r="N32" s="1">
        <v>999.95</v>
      </c>
      <c r="O32" s="1">
        <f t="shared" si="1"/>
        <v>5089.7300000000005</v>
      </c>
      <c r="P32" s="12" t="str">
        <f t="shared" si="2"/>
        <v>Normal</v>
      </c>
      <c r="Q32" s="12">
        <f t="shared" si="3"/>
        <v>15</v>
      </c>
      <c r="R32" s="12" t="str">
        <f t="shared" si="0"/>
        <v>CA</v>
      </c>
      <c r="V32" s="18" t="s">
        <v>646</v>
      </c>
      <c r="W32" s="18" t="s">
        <v>655</v>
      </c>
      <c r="X32" s="18" t="str">
        <f t="shared" si="4"/>
        <v>-</v>
      </c>
    </row>
    <row r="33" spans="1:24" ht="15.75" customHeight="1" x14ac:dyDescent="0.3">
      <c r="A33" s="1" t="s">
        <v>105</v>
      </c>
      <c r="B33" s="10">
        <v>45428</v>
      </c>
      <c r="C33" s="11" t="s">
        <v>416</v>
      </c>
      <c r="D33" s="1" t="s">
        <v>106</v>
      </c>
      <c r="E33" s="1" t="s">
        <v>40</v>
      </c>
      <c r="F33" s="1" t="s">
        <v>41</v>
      </c>
      <c r="G33" s="1" t="s">
        <v>42</v>
      </c>
      <c r="H33" s="1">
        <v>2</v>
      </c>
      <c r="I33" s="1">
        <v>149.99</v>
      </c>
      <c r="J33" s="1" t="s">
        <v>25</v>
      </c>
      <c r="K33" s="1" t="s">
        <v>45</v>
      </c>
      <c r="L33" s="1" t="s">
        <v>22</v>
      </c>
      <c r="M33" s="10">
        <v>44823</v>
      </c>
      <c r="N33" s="1">
        <v>299.98</v>
      </c>
      <c r="O33" s="1">
        <f t="shared" si="1"/>
        <v>2039.8000000000002</v>
      </c>
      <c r="P33" s="12" t="str">
        <f t="shared" si="2"/>
        <v>Normal</v>
      </c>
      <c r="Q33" s="12">
        <f t="shared" si="3"/>
        <v>35</v>
      </c>
      <c r="R33" s="12" t="str">
        <f t="shared" si="0"/>
        <v>LA</v>
      </c>
      <c r="V33" s="18" t="s">
        <v>647</v>
      </c>
      <c r="W33" s="18" t="s">
        <v>649</v>
      </c>
      <c r="X33" s="18" t="str">
        <f t="shared" si="4"/>
        <v>Tanvi</v>
      </c>
    </row>
    <row r="34" spans="1:24" ht="15.75" customHeight="1" x14ac:dyDescent="0.3">
      <c r="A34" s="1" t="s">
        <v>107</v>
      </c>
      <c r="B34" s="10">
        <v>45430</v>
      </c>
      <c r="C34" s="11" t="s">
        <v>417</v>
      </c>
      <c r="D34" s="1" t="s">
        <v>108</v>
      </c>
      <c r="E34" s="1" t="s">
        <v>40</v>
      </c>
      <c r="F34" s="1" t="s">
        <v>41</v>
      </c>
      <c r="G34" s="1" t="s">
        <v>42</v>
      </c>
      <c r="H34" s="1">
        <v>3</v>
      </c>
      <c r="I34" s="1">
        <v>149.99</v>
      </c>
      <c r="J34" s="1" t="s">
        <v>25</v>
      </c>
      <c r="K34" s="1" t="s">
        <v>45</v>
      </c>
      <c r="L34" s="1" t="s">
        <v>26</v>
      </c>
      <c r="M34" s="10">
        <v>45068</v>
      </c>
      <c r="N34" s="1">
        <v>449.97</v>
      </c>
      <c r="O34" s="1">
        <f t="shared" si="1"/>
        <v>1229.8800000000001</v>
      </c>
      <c r="P34" s="12" t="str">
        <f t="shared" si="2"/>
        <v>Normal</v>
      </c>
      <c r="Q34" s="12">
        <f t="shared" si="3"/>
        <v>35</v>
      </c>
      <c r="R34" s="12" t="str">
        <f t="shared" ref="R34:R65" si="5">UPPER(LEFT(D34,1)&amp;MID(D34,FIND(" ",D34)+1,1))</f>
        <v>EW</v>
      </c>
      <c r="V34" s="18" t="s">
        <v>648</v>
      </c>
      <c r="W34" s="18" t="s">
        <v>646</v>
      </c>
      <c r="X34" s="18" t="str">
        <f t="shared" si="4"/>
        <v>Kishan</v>
      </c>
    </row>
    <row r="35" spans="1:24" ht="15.75" customHeight="1" x14ac:dyDescent="0.3">
      <c r="A35" s="1" t="s">
        <v>109</v>
      </c>
      <c r="B35" s="10">
        <v>45432</v>
      </c>
      <c r="C35" s="11" t="s">
        <v>418</v>
      </c>
      <c r="D35" s="1" t="s">
        <v>28</v>
      </c>
      <c r="E35" s="1" t="s">
        <v>54</v>
      </c>
      <c r="F35" s="1" t="s">
        <v>55</v>
      </c>
      <c r="G35" s="1" t="s">
        <v>19</v>
      </c>
      <c r="H35" s="1">
        <v>1</v>
      </c>
      <c r="I35" s="1">
        <v>899.99</v>
      </c>
      <c r="J35" s="1" t="s">
        <v>25</v>
      </c>
      <c r="K35" s="1" t="s">
        <v>45</v>
      </c>
      <c r="L35" s="1" t="s">
        <v>26</v>
      </c>
      <c r="M35" s="10">
        <v>44578</v>
      </c>
      <c r="N35" s="1">
        <v>899.99</v>
      </c>
      <c r="O35" s="1">
        <f t="shared" si="1"/>
        <v>3259.87</v>
      </c>
      <c r="P35" s="12" t="str">
        <f t="shared" si="2"/>
        <v>Normal</v>
      </c>
      <c r="Q35" s="12">
        <f t="shared" si="3"/>
        <v>24</v>
      </c>
      <c r="R35" s="12" t="str">
        <f t="shared" si="5"/>
        <v>KS</v>
      </c>
      <c r="V35" s="18" t="s">
        <v>649</v>
      </c>
      <c r="W35" s="18" t="s">
        <v>653</v>
      </c>
      <c r="X35" s="18" t="str">
        <f t="shared" si="4"/>
        <v>-</v>
      </c>
    </row>
    <row r="36" spans="1:24" ht="15.75" customHeight="1" x14ac:dyDescent="0.3">
      <c r="A36" s="1" t="s">
        <v>110</v>
      </c>
      <c r="B36" s="10">
        <v>45434</v>
      </c>
      <c r="C36" s="11" t="s">
        <v>419</v>
      </c>
      <c r="D36" s="1" t="s">
        <v>82</v>
      </c>
      <c r="E36" s="1" t="s">
        <v>86</v>
      </c>
      <c r="F36" s="1" t="s">
        <v>87</v>
      </c>
      <c r="G36" s="1" t="s">
        <v>42</v>
      </c>
      <c r="H36" s="1">
        <v>3</v>
      </c>
      <c r="I36" s="1">
        <v>299.99</v>
      </c>
      <c r="J36" s="1" t="s">
        <v>25</v>
      </c>
      <c r="K36" s="1" t="s">
        <v>56</v>
      </c>
      <c r="L36" s="1" t="s">
        <v>22</v>
      </c>
      <c r="M36" s="10">
        <v>44824</v>
      </c>
      <c r="N36" s="1">
        <v>899.97</v>
      </c>
      <c r="O36" s="1">
        <f t="shared" si="1"/>
        <v>9799.73</v>
      </c>
      <c r="P36" s="12" t="str">
        <f t="shared" si="2"/>
        <v>Normal</v>
      </c>
      <c r="Q36" s="12">
        <f t="shared" si="3"/>
        <v>26</v>
      </c>
      <c r="R36" s="12" t="str">
        <f t="shared" si="5"/>
        <v>PM</v>
      </c>
      <c r="V36" s="18" t="s">
        <v>650</v>
      </c>
      <c r="W36" s="18" t="s">
        <v>656</v>
      </c>
      <c r="X36" s="18" t="str">
        <f t="shared" si="4"/>
        <v>-</v>
      </c>
    </row>
    <row r="37" spans="1:24" ht="15.75" customHeight="1" x14ac:dyDescent="0.3">
      <c r="A37" s="1" t="s">
        <v>111</v>
      </c>
      <c r="B37" s="10">
        <v>45435</v>
      </c>
      <c r="C37" s="11" t="s">
        <v>420</v>
      </c>
      <c r="D37" s="1" t="s">
        <v>106</v>
      </c>
      <c r="E37" s="1" t="s">
        <v>93</v>
      </c>
      <c r="F37" s="1" t="s">
        <v>94</v>
      </c>
      <c r="G37" s="1" t="s">
        <v>31</v>
      </c>
      <c r="H37" s="1">
        <v>3</v>
      </c>
      <c r="I37" s="1">
        <v>79.989999999999995</v>
      </c>
      <c r="J37" s="1" t="s">
        <v>20</v>
      </c>
      <c r="K37" s="1" t="s">
        <v>33</v>
      </c>
      <c r="L37" s="1" t="s">
        <v>22</v>
      </c>
      <c r="M37" s="10">
        <v>45046</v>
      </c>
      <c r="N37" s="1">
        <v>239.97</v>
      </c>
      <c r="O37" s="1">
        <f t="shared" si="1"/>
        <v>2039.8000000000002</v>
      </c>
      <c r="P37" s="12" t="str">
        <f t="shared" si="2"/>
        <v>Normal</v>
      </c>
      <c r="Q37" s="12">
        <f t="shared" si="3"/>
        <v>14</v>
      </c>
      <c r="R37" s="12" t="str">
        <f t="shared" si="5"/>
        <v>LA</v>
      </c>
      <c r="V37" s="18" t="s">
        <v>651</v>
      </c>
      <c r="W37" s="18" t="s">
        <v>645</v>
      </c>
      <c r="X37" s="18" t="str">
        <f t="shared" si="4"/>
        <v>Ayush</v>
      </c>
    </row>
    <row r="38" spans="1:24" ht="15.75" customHeight="1" x14ac:dyDescent="0.3">
      <c r="A38" s="1" t="s">
        <v>112</v>
      </c>
      <c r="B38" s="10">
        <v>45438</v>
      </c>
      <c r="C38" s="11" t="s">
        <v>421</v>
      </c>
      <c r="D38" s="1" t="s">
        <v>113</v>
      </c>
      <c r="E38" s="1" t="s">
        <v>103</v>
      </c>
      <c r="F38" s="1" t="s">
        <v>104</v>
      </c>
      <c r="G38" s="1" t="s">
        <v>42</v>
      </c>
      <c r="H38" s="1">
        <v>3</v>
      </c>
      <c r="I38" s="1">
        <v>199.99</v>
      </c>
      <c r="J38" s="1" t="s">
        <v>25</v>
      </c>
      <c r="K38" s="1" t="s">
        <v>37</v>
      </c>
      <c r="L38" s="1" t="s">
        <v>26</v>
      </c>
      <c r="M38" s="10">
        <v>45292</v>
      </c>
      <c r="N38" s="1">
        <v>599.97</v>
      </c>
      <c r="O38" s="1">
        <f t="shared" si="1"/>
        <v>2649.83</v>
      </c>
      <c r="P38" s="12" t="str">
        <f t="shared" si="2"/>
        <v>Normal</v>
      </c>
      <c r="Q38" s="12">
        <f t="shared" si="3"/>
        <v>15</v>
      </c>
      <c r="R38" s="12" t="str">
        <f t="shared" si="5"/>
        <v>ST</v>
      </c>
      <c r="V38" s="18" t="s">
        <v>652</v>
      </c>
      <c r="W38" s="18" t="s">
        <v>648</v>
      </c>
      <c r="X38" s="18" t="str">
        <f t="shared" si="4"/>
        <v>Unnati</v>
      </c>
    </row>
    <row r="39" spans="1:24" ht="15.75" customHeight="1" x14ac:dyDescent="0.3">
      <c r="A39" s="1" t="s">
        <v>114</v>
      </c>
      <c r="B39" s="10">
        <v>45440</v>
      </c>
      <c r="C39" s="11" t="s">
        <v>422</v>
      </c>
      <c r="D39" s="1" t="s">
        <v>115</v>
      </c>
      <c r="E39" s="1" t="s">
        <v>68</v>
      </c>
      <c r="F39" s="1" t="s">
        <v>69</v>
      </c>
      <c r="G39" s="1" t="s">
        <v>19</v>
      </c>
      <c r="H39" s="1">
        <v>5</v>
      </c>
      <c r="I39" s="1">
        <v>699.99</v>
      </c>
      <c r="J39" s="1" t="s">
        <v>32</v>
      </c>
      <c r="K39" s="1" t="s">
        <v>45</v>
      </c>
      <c r="L39" s="1" t="s">
        <v>34</v>
      </c>
      <c r="M39" s="10">
        <v>44407</v>
      </c>
      <c r="N39" s="1">
        <v>3499.95</v>
      </c>
      <c r="O39" s="1">
        <f t="shared" si="1"/>
        <v>4739.8500000000004</v>
      </c>
      <c r="P39" s="12" t="str">
        <f t="shared" si="2"/>
        <v>Normal</v>
      </c>
      <c r="Q39" s="12">
        <f t="shared" si="3"/>
        <v>31</v>
      </c>
      <c r="R39" s="12" t="str">
        <f t="shared" si="5"/>
        <v>JT</v>
      </c>
    </row>
    <row r="40" spans="1:24" ht="15.75" customHeight="1" x14ac:dyDescent="0.3">
      <c r="A40" s="1" t="s">
        <v>116</v>
      </c>
      <c r="B40" s="10">
        <v>45441</v>
      </c>
      <c r="C40" s="11" t="s">
        <v>423</v>
      </c>
      <c r="D40" s="1" t="s">
        <v>117</v>
      </c>
      <c r="E40" s="1" t="s">
        <v>96</v>
      </c>
      <c r="F40" s="1" t="s">
        <v>97</v>
      </c>
      <c r="G40" s="1" t="s">
        <v>19</v>
      </c>
      <c r="H40" s="1">
        <v>3</v>
      </c>
      <c r="I40" s="1">
        <v>89.99</v>
      </c>
      <c r="J40" s="1" t="s">
        <v>32</v>
      </c>
      <c r="K40" s="1" t="s">
        <v>21</v>
      </c>
      <c r="L40" s="1" t="s">
        <v>26</v>
      </c>
      <c r="M40" s="10">
        <v>45120</v>
      </c>
      <c r="N40" s="1">
        <v>269.97000000000003</v>
      </c>
      <c r="O40" s="1">
        <f t="shared" si="1"/>
        <v>5519.8899999999994</v>
      </c>
      <c r="P40" s="12" t="str">
        <f t="shared" si="2"/>
        <v>Normal</v>
      </c>
      <c r="Q40" s="12">
        <f t="shared" si="3"/>
        <v>34</v>
      </c>
      <c r="R40" s="12" t="str">
        <f t="shared" si="5"/>
        <v>HM</v>
      </c>
    </row>
    <row r="41" spans="1:24" ht="15.75" customHeight="1" x14ac:dyDescent="0.3">
      <c r="A41" s="1" t="s">
        <v>118</v>
      </c>
      <c r="B41" s="10">
        <v>45443</v>
      </c>
      <c r="C41" s="11" t="s">
        <v>424</v>
      </c>
      <c r="D41" s="1" t="s">
        <v>119</v>
      </c>
      <c r="E41" s="1" t="s">
        <v>93</v>
      </c>
      <c r="F41" s="1" t="s">
        <v>94</v>
      </c>
      <c r="G41" s="1" t="s">
        <v>31</v>
      </c>
      <c r="H41" s="1">
        <v>1</v>
      </c>
      <c r="I41" s="1">
        <v>79.989999999999995</v>
      </c>
      <c r="J41" s="1" t="s">
        <v>20</v>
      </c>
      <c r="K41" s="1" t="s">
        <v>37</v>
      </c>
      <c r="L41" s="1" t="s">
        <v>34</v>
      </c>
      <c r="M41" s="10">
        <v>44917</v>
      </c>
      <c r="N41" s="1">
        <v>79.989999999999995</v>
      </c>
      <c r="O41" s="1">
        <f t="shared" si="1"/>
        <v>7309.7999999999993</v>
      </c>
      <c r="P41" s="12" t="str">
        <f t="shared" si="2"/>
        <v>Normal</v>
      </c>
      <c r="Q41" s="12">
        <f t="shared" si="3"/>
        <v>14</v>
      </c>
      <c r="R41" s="12" t="str">
        <f t="shared" si="5"/>
        <v>DK</v>
      </c>
    </row>
    <row r="42" spans="1:24" ht="15.75" customHeight="1" x14ac:dyDescent="0.3">
      <c r="A42" s="1" t="s">
        <v>120</v>
      </c>
      <c r="B42" s="10">
        <v>45444</v>
      </c>
      <c r="C42" s="11" t="s">
        <v>425</v>
      </c>
      <c r="D42" s="1" t="s">
        <v>121</v>
      </c>
      <c r="E42" s="1" t="s">
        <v>29</v>
      </c>
      <c r="F42" s="1" t="s">
        <v>30</v>
      </c>
      <c r="G42" s="1" t="s">
        <v>31</v>
      </c>
      <c r="H42" s="1">
        <v>2</v>
      </c>
      <c r="I42" s="1">
        <v>59.99</v>
      </c>
      <c r="J42" s="1" t="s">
        <v>20</v>
      </c>
      <c r="K42" s="1" t="s">
        <v>45</v>
      </c>
      <c r="L42" s="1" t="s">
        <v>22</v>
      </c>
      <c r="M42" s="10">
        <v>45390</v>
      </c>
      <c r="N42" s="1">
        <v>119.98</v>
      </c>
      <c r="O42" s="1">
        <f t="shared" si="1"/>
        <v>5619.869999999999</v>
      </c>
      <c r="P42" s="12" t="str">
        <f t="shared" si="2"/>
        <v>Normal</v>
      </c>
      <c r="Q42" s="12">
        <f t="shared" si="3"/>
        <v>29</v>
      </c>
      <c r="R42" s="12" t="str">
        <f t="shared" si="5"/>
        <v>SB</v>
      </c>
    </row>
    <row r="43" spans="1:24" ht="15.75" customHeight="1" x14ac:dyDescent="0.3">
      <c r="A43" s="1" t="s">
        <v>122</v>
      </c>
      <c r="B43" s="10">
        <v>45444</v>
      </c>
      <c r="C43" s="11" t="s">
        <v>426</v>
      </c>
      <c r="D43" s="1" t="s">
        <v>50</v>
      </c>
      <c r="E43" s="1" t="s">
        <v>96</v>
      </c>
      <c r="F43" s="1" t="s">
        <v>97</v>
      </c>
      <c r="G43" s="1" t="s">
        <v>19</v>
      </c>
      <c r="H43" s="1">
        <v>1</v>
      </c>
      <c r="I43" s="1">
        <v>89.99</v>
      </c>
      <c r="J43" s="1" t="s">
        <v>20</v>
      </c>
      <c r="K43" s="1" t="s">
        <v>37</v>
      </c>
      <c r="L43" s="1" t="s">
        <v>22</v>
      </c>
      <c r="M43" s="10">
        <v>45141</v>
      </c>
      <c r="N43" s="1">
        <v>89.99</v>
      </c>
      <c r="O43" s="1">
        <f t="shared" si="1"/>
        <v>5089.7300000000005</v>
      </c>
      <c r="P43" s="12" t="str">
        <f t="shared" si="2"/>
        <v>Normal</v>
      </c>
      <c r="Q43" s="12">
        <f t="shared" si="3"/>
        <v>34</v>
      </c>
      <c r="R43" s="12" t="str">
        <f t="shared" si="5"/>
        <v>CA</v>
      </c>
    </row>
    <row r="44" spans="1:24" ht="15.75" customHeight="1" x14ac:dyDescent="0.3">
      <c r="A44" s="1" t="s">
        <v>123</v>
      </c>
      <c r="B44" s="10">
        <v>45446</v>
      </c>
      <c r="C44" s="11" t="s">
        <v>427</v>
      </c>
      <c r="D44" s="1" t="s">
        <v>124</v>
      </c>
      <c r="E44" s="1" t="s">
        <v>96</v>
      </c>
      <c r="F44" s="1" t="s">
        <v>97</v>
      </c>
      <c r="G44" s="1" t="s">
        <v>19</v>
      </c>
      <c r="H44" s="1">
        <v>5</v>
      </c>
      <c r="I44" s="1">
        <v>89.99</v>
      </c>
      <c r="J44" s="1" t="s">
        <v>25</v>
      </c>
      <c r="K44" s="1" t="s">
        <v>56</v>
      </c>
      <c r="L44" s="1" t="s">
        <v>34</v>
      </c>
      <c r="M44" s="10">
        <v>44587</v>
      </c>
      <c r="N44" s="1">
        <v>449.95</v>
      </c>
      <c r="O44" s="1">
        <f t="shared" si="1"/>
        <v>5499.8099999999995</v>
      </c>
      <c r="P44" s="12" t="str">
        <f t="shared" si="2"/>
        <v>Normal</v>
      </c>
      <c r="Q44" s="12">
        <f t="shared" si="3"/>
        <v>34</v>
      </c>
      <c r="R44" s="12" t="str">
        <f t="shared" si="5"/>
        <v>SD</v>
      </c>
    </row>
    <row r="45" spans="1:24" ht="15.75" customHeight="1" x14ac:dyDescent="0.3">
      <c r="A45" s="1" t="s">
        <v>125</v>
      </c>
      <c r="B45" s="10">
        <v>45449</v>
      </c>
      <c r="C45" s="11" t="s">
        <v>428</v>
      </c>
      <c r="D45" s="1" t="s">
        <v>24</v>
      </c>
      <c r="E45" s="1" t="s">
        <v>17</v>
      </c>
      <c r="F45" s="1" t="s">
        <v>18</v>
      </c>
      <c r="G45" s="1" t="s">
        <v>19</v>
      </c>
      <c r="H45" s="1">
        <v>5</v>
      </c>
      <c r="I45" s="1">
        <v>249.99</v>
      </c>
      <c r="J45" s="1" t="s">
        <v>25</v>
      </c>
      <c r="K45" s="1" t="s">
        <v>56</v>
      </c>
      <c r="L45" s="1" t="s">
        <v>34</v>
      </c>
      <c r="M45" s="10">
        <v>44707</v>
      </c>
      <c r="N45" s="1">
        <v>1249.95</v>
      </c>
      <c r="O45" s="1">
        <f t="shared" si="1"/>
        <v>6949.84</v>
      </c>
      <c r="P45" s="12" t="str">
        <f t="shared" si="2"/>
        <v>Normal</v>
      </c>
      <c r="Q45" s="12">
        <f t="shared" si="3"/>
        <v>26</v>
      </c>
      <c r="R45" s="12" t="str">
        <f t="shared" si="5"/>
        <v>JJ</v>
      </c>
    </row>
    <row r="46" spans="1:24" ht="15.75" customHeight="1" x14ac:dyDescent="0.3">
      <c r="A46" s="1" t="s">
        <v>126</v>
      </c>
      <c r="B46" s="10">
        <v>45449</v>
      </c>
      <c r="C46" s="11" t="s">
        <v>429</v>
      </c>
      <c r="D46" s="1" t="s">
        <v>127</v>
      </c>
      <c r="E46" s="1" t="s">
        <v>96</v>
      </c>
      <c r="F46" s="1" t="s">
        <v>97</v>
      </c>
      <c r="G46" s="1" t="s">
        <v>19</v>
      </c>
      <c r="H46" s="1">
        <v>1</v>
      </c>
      <c r="I46" s="1">
        <v>89.99</v>
      </c>
      <c r="J46" s="1" t="s">
        <v>25</v>
      </c>
      <c r="K46" s="1" t="s">
        <v>33</v>
      </c>
      <c r="L46" s="1" t="s">
        <v>34</v>
      </c>
      <c r="M46" s="10">
        <v>44582</v>
      </c>
      <c r="N46" s="1">
        <v>89.99</v>
      </c>
      <c r="O46" s="1">
        <f t="shared" si="1"/>
        <v>5649.84</v>
      </c>
      <c r="P46" s="12" t="str">
        <f t="shared" si="2"/>
        <v>Normal</v>
      </c>
      <c r="Q46" s="12">
        <f t="shared" si="3"/>
        <v>34</v>
      </c>
      <c r="R46" s="12" t="str">
        <f t="shared" si="5"/>
        <v>BC</v>
      </c>
    </row>
    <row r="47" spans="1:24" ht="15.75" customHeight="1" x14ac:dyDescent="0.3">
      <c r="A47" s="1" t="s">
        <v>128</v>
      </c>
      <c r="B47" s="10">
        <v>45450</v>
      </c>
      <c r="C47" s="11" t="s">
        <v>430</v>
      </c>
      <c r="D47" s="1" t="s">
        <v>39</v>
      </c>
      <c r="E47" s="1" t="s">
        <v>40</v>
      </c>
      <c r="F47" s="1" t="s">
        <v>41</v>
      </c>
      <c r="G47" s="1" t="s">
        <v>42</v>
      </c>
      <c r="H47" s="1">
        <v>2</v>
      </c>
      <c r="I47" s="1">
        <v>149.99</v>
      </c>
      <c r="J47" s="1" t="s">
        <v>20</v>
      </c>
      <c r="K47" s="1" t="s">
        <v>56</v>
      </c>
      <c r="L47" s="1" t="s">
        <v>26</v>
      </c>
      <c r="M47" s="10">
        <v>44645</v>
      </c>
      <c r="N47" s="1">
        <v>299.98</v>
      </c>
      <c r="O47" s="1">
        <f t="shared" si="1"/>
        <v>6169.7400000000007</v>
      </c>
      <c r="P47" s="12" t="str">
        <f t="shared" si="2"/>
        <v>Normal</v>
      </c>
      <c r="Q47" s="12">
        <f t="shared" si="3"/>
        <v>35</v>
      </c>
      <c r="R47" s="12" t="str">
        <f t="shared" si="5"/>
        <v>MB</v>
      </c>
    </row>
    <row r="48" spans="1:24" ht="15.75" customHeight="1" x14ac:dyDescent="0.3">
      <c r="A48" s="1" t="s">
        <v>129</v>
      </c>
      <c r="B48" s="10">
        <v>45452</v>
      </c>
      <c r="C48" s="11" t="s">
        <v>431</v>
      </c>
      <c r="D48" s="1" t="s">
        <v>130</v>
      </c>
      <c r="E48" s="1" t="s">
        <v>29</v>
      </c>
      <c r="F48" s="1" t="s">
        <v>30</v>
      </c>
      <c r="G48" s="1" t="s">
        <v>31</v>
      </c>
      <c r="H48" s="1">
        <v>4</v>
      </c>
      <c r="I48" s="1">
        <v>59.99</v>
      </c>
      <c r="J48" s="1" t="s">
        <v>20</v>
      </c>
      <c r="K48" s="1" t="s">
        <v>56</v>
      </c>
      <c r="L48" s="1" t="s">
        <v>34</v>
      </c>
      <c r="M48" s="10">
        <v>44435</v>
      </c>
      <c r="N48" s="1">
        <v>239.96</v>
      </c>
      <c r="O48" s="1">
        <f t="shared" si="1"/>
        <v>239.96</v>
      </c>
      <c r="P48" s="12" t="str">
        <f t="shared" si="2"/>
        <v>Normal</v>
      </c>
      <c r="Q48" s="12">
        <f t="shared" si="3"/>
        <v>29</v>
      </c>
      <c r="R48" s="12" t="str">
        <f t="shared" si="5"/>
        <v>JF</v>
      </c>
    </row>
    <row r="49" spans="1:18" ht="15.75" customHeight="1" x14ac:dyDescent="0.3">
      <c r="A49" s="1" t="s">
        <v>131</v>
      </c>
      <c r="B49" s="10">
        <v>45456</v>
      </c>
      <c r="C49" s="11" t="s">
        <v>432</v>
      </c>
      <c r="D49" s="1" t="s">
        <v>106</v>
      </c>
      <c r="E49" s="1" t="s">
        <v>96</v>
      </c>
      <c r="F49" s="1" t="s">
        <v>97</v>
      </c>
      <c r="G49" s="1" t="s">
        <v>19</v>
      </c>
      <c r="H49" s="1">
        <v>5</v>
      </c>
      <c r="I49" s="1">
        <v>89.99</v>
      </c>
      <c r="J49" s="1" t="s">
        <v>20</v>
      </c>
      <c r="K49" s="1" t="s">
        <v>21</v>
      </c>
      <c r="L49" s="1" t="s">
        <v>26</v>
      </c>
      <c r="M49" s="10">
        <v>44579</v>
      </c>
      <c r="N49" s="1">
        <v>449.95</v>
      </c>
      <c r="O49" s="1">
        <f t="shared" si="1"/>
        <v>2039.8000000000002</v>
      </c>
      <c r="P49" s="12" t="str">
        <f t="shared" si="2"/>
        <v>Normal</v>
      </c>
      <c r="Q49" s="12">
        <f t="shared" si="3"/>
        <v>34</v>
      </c>
      <c r="R49" s="12" t="str">
        <f t="shared" si="5"/>
        <v>LA</v>
      </c>
    </row>
    <row r="50" spans="1:18" ht="15.75" customHeight="1" x14ac:dyDescent="0.3">
      <c r="A50" s="1" t="s">
        <v>132</v>
      </c>
      <c r="B50" s="10">
        <v>45459</v>
      </c>
      <c r="C50" s="11" t="s">
        <v>433</v>
      </c>
      <c r="D50" s="1" t="s">
        <v>82</v>
      </c>
      <c r="E50" s="1" t="s">
        <v>96</v>
      </c>
      <c r="F50" s="1" t="s">
        <v>97</v>
      </c>
      <c r="G50" s="1" t="s">
        <v>19</v>
      </c>
      <c r="H50" s="1">
        <v>2</v>
      </c>
      <c r="I50" s="1">
        <v>89.99</v>
      </c>
      <c r="J50" s="1" t="s">
        <v>25</v>
      </c>
      <c r="K50" s="1" t="s">
        <v>33</v>
      </c>
      <c r="L50" s="1" t="s">
        <v>26</v>
      </c>
      <c r="M50" s="10">
        <v>44471</v>
      </c>
      <c r="N50" s="1">
        <v>179.98</v>
      </c>
      <c r="O50" s="1">
        <f t="shared" si="1"/>
        <v>9799.73</v>
      </c>
      <c r="P50" s="12" t="str">
        <f t="shared" si="2"/>
        <v>Normal</v>
      </c>
      <c r="Q50" s="12">
        <f t="shared" si="3"/>
        <v>34</v>
      </c>
      <c r="R50" s="12" t="str">
        <f t="shared" si="5"/>
        <v>PM</v>
      </c>
    </row>
    <row r="51" spans="1:18" ht="15.75" customHeight="1" x14ac:dyDescent="0.3">
      <c r="A51" s="1" t="s">
        <v>133</v>
      </c>
      <c r="B51" s="10">
        <v>45459</v>
      </c>
      <c r="C51" s="11" t="s">
        <v>434</v>
      </c>
      <c r="D51" s="1" t="s">
        <v>16</v>
      </c>
      <c r="E51" s="1" t="s">
        <v>54</v>
      </c>
      <c r="F51" s="1" t="s">
        <v>55</v>
      </c>
      <c r="G51" s="1" t="s">
        <v>19</v>
      </c>
      <c r="H51" s="1">
        <v>5</v>
      </c>
      <c r="I51" s="1">
        <v>899.99</v>
      </c>
      <c r="J51" s="1" t="s">
        <v>25</v>
      </c>
      <c r="K51" s="1" t="s">
        <v>33</v>
      </c>
      <c r="L51" s="1" t="s">
        <v>34</v>
      </c>
      <c r="M51" s="10">
        <v>44974</v>
      </c>
      <c r="N51" s="1">
        <v>4499.95</v>
      </c>
      <c r="O51" s="1">
        <f t="shared" si="1"/>
        <v>8309.739999999998</v>
      </c>
      <c r="P51" s="12" t="str">
        <f t="shared" si="2"/>
        <v>Normal</v>
      </c>
      <c r="Q51" s="12">
        <f t="shared" si="3"/>
        <v>24</v>
      </c>
      <c r="R51" s="12" t="str">
        <f t="shared" si="5"/>
        <v>PB</v>
      </c>
    </row>
    <row r="52" spans="1:18" ht="15.75" customHeight="1" x14ac:dyDescent="0.3">
      <c r="A52" s="1" t="s">
        <v>134</v>
      </c>
      <c r="B52" s="10">
        <v>45459</v>
      </c>
      <c r="C52" s="11" t="s">
        <v>435</v>
      </c>
      <c r="D52" s="1" t="s">
        <v>101</v>
      </c>
      <c r="E52" s="1" t="s">
        <v>54</v>
      </c>
      <c r="F52" s="1" t="s">
        <v>55</v>
      </c>
      <c r="G52" s="1" t="s">
        <v>19</v>
      </c>
      <c r="H52" s="1">
        <v>5</v>
      </c>
      <c r="I52" s="1">
        <v>899.99</v>
      </c>
      <c r="J52" s="1" t="s">
        <v>32</v>
      </c>
      <c r="K52" s="1" t="s">
        <v>56</v>
      </c>
      <c r="L52" s="1" t="s">
        <v>26</v>
      </c>
      <c r="M52" s="10">
        <v>45278</v>
      </c>
      <c r="N52" s="1">
        <v>4499.95</v>
      </c>
      <c r="O52" s="1">
        <f t="shared" si="1"/>
        <v>11919.769999999999</v>
      </c>
      <c r="P52" s="12" t="str">
        <f t="shared" si="2"/>
        <v>High Value</v>
      </c>
      <c r="Q52" s="12">
        <f t="shared" si="3"/>
        <v>24</v>
      </c>
      <c r="R52" s="12" t="str">
        <f t="shared" si="5"/>
        <v>EM</v>
      </c>
    </row>
    <row r="53" spans="1:18" ht="15.75" customHeight="1" x14ac:dyDescent="0.3">
      <c r="A53" s="1" t="s">
        <v>135</v>
      </c>
      <c r="B53" s="10">
        <v>45460</v>
      </c>
      <c r="C53" s="11" t="s">
        <v>436</v>
      </c>
      <c r="D53" s="1" t="s">
        <v>127</v>
      </c>
      <c r="E53" s="1" t="s">
        <v>29</v>
      </c>
      <c r="F53" s="1" t="s">
        <v>30</v>
      </c>
      <c r="G53" s="1" t="s">
        <v>31</v>
      </c>
      <c r="H53" s="1">
        <v>1</v>
      </c>
      <c r="I53" s="1">
        <v>59.99</v>
      </c>
      <c r="J53" s="1" t="s">
        <v>51</v>
      </c>
      <c r="K53" s="1" t="s">
        <v>45</v>
      </c>
      <c r="L53" s="1" t="s">
        <v>26</v>
      </c>
      <c r="M53" s="10">
        <v>45190</v>
      </c>
      <c r="N53" s="1">
        <v>59.99</v>
      </c>
      <c r="O53" s="1">
        <f t="shared" si="1"/>
        <v>5649.84</v>
      </c>
      <c r="P53" s="12" t="str">
        <f t="shared" si="2"/>
        <v>Normal</v>
      </c>
      <c r="Q53" s="12">
        <f t="shared" si="3"/>
        <v>29</v>
      </c>
      <c r="R53" s="12" t="str">
        <f t="shared" si="5"/>
        <v>BC</v>
      </c>
    </row>
    <row r="54" spans="1:18" ht="15.75" customHeight="1" x14ac:dyDescent="0.3">
      <c r="A54" s="1" t="s">
        <v>136</v>
      </c>
      <c r="B54" s="10">
        <v>45460</v>
      </c>
      <c r="C54" s="11" t="s">
        <v>437</v>
      </c>
      <c r="D54" s="1" t="s">
        <v>115</v>
      </c>
      <c r="E54" s="1" t="s">
        <v>86</v>
      </c>
      <c r="F54" s="1" t="s">
        <v>87</v>
      </c>
      <c r="G54" s="1" t="s">
        <v>42</v>
      </c>
      <c r="H54" s="1">
        <v>2</v>
      </c>
      <c r="I54" s="1">
        <v>299.99</v>
      </c>
      <c r="J54" s="1" t="s">
        <v>51</v>
      </c>
      <c r="K54" s="1" t="s">
        <v>56</v>
      </c>
      <c r="L54" s="1" t="s">
        <v>34</v>
      </c>
      <c r="M54" s="10">
        <v>45253</v>
      </c>
      <c r="N54" s="1">
        <v>599.98</v>
      </c>
      <c r="O54" s="1">
        <f t="shared" si="1"/>
        <v>4739.8500000000004</v>
      </c>
      <c r="P54" s="12" t="str">
        <f t="shared" si="2"/>
        <v>Normal</v>
      </c>
      <c r="Q54" s="12">
        <f t="shared" si="3"/>
        <v>26</v>
      </c>
      <c r="R54" s="12" t="str">
        <f t="shared" si="5"/>
        <v>JT</v>
      </c>
    </row>
    <row r="55" spans="1:18" ht="15.75" customHeight="1" x14ac:dyDescent="0.3">
      <c r="A55" s="1" t="s">
        <v>137</v>
      </c>
      <c r="B55" s="10">
        <v>45468</v>
      </c>
      <c r="C55" s="11" t="s">
        <v>438</v>
      </c>
      <c r="D55" s="1" t="s">
        <v>138</v>
      </c>
      <c r="E55" s="1" t="s">
        <v>96</v>
      </c>
      <c r="F55" s="1" t="s">
        <v>97</v>
      </c>
      <c r="G55" s="1" t="s">
        <v>19</v>
      </c>
      <c r="H55" s="1">
        <v>4</v>
      </c>
      <c r="I55" s="1">
        <v>89.99</v>
      </c>
      <c r="J55" s="1" t="s">
        <v>51</v>
      </c>
      <c r="K55" s="1" t="s">
        <v>33</v>
      </c>
      <c r="L55" s="1" t="s">
        <v>22</v>
      </c>
      <c r="M55" s="10">
        <v>45281</v>
      </c>
      <c r="N55" s="1">
        <v>359.96</v>
      </c>
      <c r="O55" s="1">
        <f t="shared" si="1"/>
        <v>3669.8500000000004</v>
      </c>
      <c r="P55" s="12" t="str">
        <f t="shared" si="2"/>
        <v>Normal</v>
      </c>
      <c r="Q55" s="12">
        <f t="shared" si="3"/>
        <v>34</v>
      </c>
      <c r="R55" s="12" t="str">
        <f t="shared" si="5"/>
        <v>RR</v>
      </c>
    </row>
    <row r="56" spans="1:18" ht="15.75" customHeight="1" x14ac:dyDescent="0.3">
      <c r="A56" s="1" t="s">
        <v>139</v>
      </c>
      <c r="B56" s="10">
        <v>45469</v>
      </c>
      <c r="C56" s="11" t="s">
        <v>439</v>
      </c>
      <c r="D56" s="1" t="s">
        <v>28</v>
      </c>
      <c r="E56" s="1" t="s">
        <v>93</v>
      </c>
      <c r="F56" s="1" t="s">
        <v>94</v>
      </c>
      <c r="G56" s="1" t="s">
        <v>31</v>
      </c>
      <c r="H56" s="1">
        <v>1</v>
      </c>
      <c r="I56" s="1">
        <v>79.989999999999995</v>
      </c>
      <c r="J56" s="1" t="s">
        <v>32</v>
      </c>
      <c r="K56" s="1" t="s">
        <v>21</v>
      </c>
      <c r="L56" s="1" t="s">
        <v>26</v>
      </c>
      <c r="M56" s="10">
        <v>45352</v>
      </c>
      <c r="N56" s="1">
        <v>79.989999999999995</v>
      </c>
      <c r="O56" s="1">
        <f t="shared" si="1"/>
        <v>3259.87</v>
      </c>
      <c r="P56" s="12" t="str">
        <f t="shared" si="2"/>
        <v>Normal</v>
      </c>
      <c r="Q56" s="12">
        <f t="shared" si="3"/>
        <v>14</v>
      </c>
      <c r="R56" s="12" t="str">
        <f t="shared" si="5"/>
        <v>KS</v>
      </c>
    </row>
    <row r="57" spans="1:18" ht="15.75" customHeight="1" x14ac:dyDescent="0.3">
      <c r="A57" s="1" t="s">
        <v>140</v>
      </c>
      <c r="B57" s="10">
        <v>45469</v>
      </c>
      <c r="C57" s="11" t="s">
        <v>440</v>
      </c>
      <c r="D57" s="1" t="s">
        <v>53</v>
      </c>
      <c r="E57" s="1" t="s">
        <v>96</v>
      </c>
      <c r="F57" s="1" t="s">
        <v>97</v>
      </c>
      <c r="G57" s="1" t="s">
        <v>19</v>
      </c>
      <c r="H57" s="1">
        <v>2</v>
      </c>
      <c r="I57" s="1">
        <v>89.99</v>
      </c>
      <c r="J57" s="1" t="s">
        <v>20</v>
      </c>
      <c r="K57" s="1" t="s">
        <v>45</v>
      </c>
      <c r="L57" s="1" t="s">
        <v>22</v>
      </c>
      <c r="M57" s="10">
        <v>44438</v>
      </c>
      <c r="N57" s="1">
        <v>179.98</v>
      </c>
      <c r="O57" s="1">
        <f t="shared" si="1"/>
        <v>3509.8999999999996</v>
      </c>
      <c r="P57" s="12" t="str">
        <f t="shared" si="2"/>
        <v>Normal</v>
      </c>
      <c r="Q57" s="12">
        <f t="shared" si="3"/>
        <v>34</v>
      </c>
      <c r="R57" s="12" t="str">
        <f t="shared" si="5"/>
        <v>RT</v>
      </c>
    </row>
    <row r="58" spans="1:18" ht="15.75" customHeight="1" x14ac:dyDescent="0.3">
      <c r="A58" s="1" t="s">
        <v>141</v>
      </c>
      <c r="B58" s="10">
        <v>45471</v>
      </c>
      <c r="C58" s="11" t="s">
        <v>441</v>
      </c>
      <c r="D58" s="1" t="s">
        <v>36</v>
      </c>
      <c r="E58" s="1" t="s">
        <v>68</v>
      </c>
      <c r="F58" s="1" t="s">
        <v>69</v>
      </c>
      <c r="G58" s="1" t="s">
        <v>19</v>
      </c>
      <c r="H58" s="1">
        <v>3</v>
      </c>
      <c r="I58" s="1">
        <v>699.99</v>
      </c>
      <c r="J58" s="1" t="s">
        <v>25</v>
      </c>
      <c r="K58" s="1" t="s">
        <v>56</v>
      </c>
      <c r="L58" s="1" t="s">
        <v>26</v>
      </c>
      <c r="M58" s="10">
        <v>45102</v>
      </c>
      <c r="N58" s="1">
        <v>2099.9699999999998</v>
      </c>
      <c r="O58" s="1">
        <f t="shared" si="1"/>
        <v>4309.8099999999995</v>
      </c>
      <c r="P58" s="12" t="str">
        <f t="shared" si="2"/>
        <v>Normal</v>
      </c>
      <c r="Q58" s="12">
        <f t="shared" si="3"/>
        <v>31</v>
      </c>
      <c r="R58" s="12" t="str">
        <f t="shared" si="5"/>
        <v>KB</v>
      </c>
    </row>
    <row r="59" spans="1:18" ht="15.75" customHeight="1" x14ac:dyDescent="0.3">
      <c r="A59" s="1" t="s">
        <v>142</v>
      </c>
      <c r="B59" s="10">
        <v>45471</v>
      </c>
      <c r="C59" s="11" t="s">
        <v>442</v>
      </c>
      <c r="D59" s="1" t="s">
        <v>82</v>
      </c>
      <c r="E59" s="1" t="s">
        <v>54</v>
      </c>
      <c r="F59" s="1" t="s">
        <v>55</v>
      </c>
      <c r="G59" s="1" t="s">
        <v>19</v>
      </c>
      <c r="H59" s="1">
        <v>4</v>
      </c>
      <c r="I59" s="1">
        <v>899.99</v>
      </c>
      <c r="J59" s="1" t="s">
        <v>25</v>
      </c>
      <c r="K59" s="1" t="s">
        <v>56</v>
      </c>
      <c r="L59" s="1" t="s">
        <v>26</v>
      </c>
      <c r="M59" s="10">
        <v>44993</v>
      </c>
      <c r="N59" s="1">
        <v>3599.96</v>
      </c>
      <c r="O59" s="1">
        <f t="shared" si="1"/>
        <v>9799.73</v>
      </c>
      <c r="P59" s="12" t="str">
        <f t="shared" si="2"/>
        <v>Normal</v>
      </c>
      <c r="Q59" s="12">
        <f t="shared" si="3"/>
        <v>24</v>
      </c>
      <c r="R59" s="12" t="str">
        <f t="shared" si="5"/>
        <v>PM</v>
      </c>
    </row>
    <row r="60" spans="1:18" ht="15.75" customHeight="1" x14ac:dyDescent="0.3">
      <c r="A60" s="1" t="s">
        <v>143</v>
      </c>
      <c r="B60" s="10">
        <v>45472</v>
      </c>
      <c r="C60" s="11" t="s">
        <v>443</v>
      </c>
      <c r="D60" s="1" t="s">
        <v>99</v>
      </c>
      <c r="E60" s="1" t="s">
        <v>40</v>
      </c>
      <c r="F60" s="1" t="s">
        <v>41</v>
      </c>
      <c r="G60" s="1" t="s">
        <v>42</v>
      </c>
      <c r="H60" s="1">
        <v>1</v>
      </c>
      <c r="I60" s="1">
        <v>149.99</v>
      </c>
      <c r="J60" s="1" t="s">
        <v>32</v>
      </c>
      <c r="K60" s="1" t="s">
        <v>56</v>
      </c>
      <c r="L60" s="1" t="s">
        <v>22</v>
      </c>
      <c r="M60" s="10">
        <v>44851</v>
      </c>
      <c r="N60" s="1">
        <v>149.99</v>
      </c>
      <c r="O60" s="1">
        <f t="shared" si="1"/>
        <v>6459.79</v>
      </c>
      <c r="P60" s="12" t="str">
        <f t="shared" si="2"/>
        <v>Normal</v>
      </c>
      <c r="Q60" s="12">
        <f t="shared" si="3"/>
        <v>35</v>
      </c>
      <c r="R60" s="12" t="str">
        <f t="shared" si="5"/>
        <v>HR</v>
      </c>
    </row>
    <row r="61" spans="1:18" ht="15.75" customHeight="1" x14ac:dyDescent="0.3">
      <c r="A61" s="1" t="s">
        <v>144</v>
      </c>
      <c r="B61" s="10">
        <v>45474</v>
      </c>
      <c r="C61" s="11" t="s">
        <v>444</v>
      </c>
      <c r="D61" s="1" t="s">
        <v>108</v>
      </c>
      <c r="E61" s="1" t="s">
        <v>96</v>
      </c>
      <c r="F61" s="1" t="s">
        <v>97</v>
      </c>
      <c r="G61" s="1" t="s">
        <v>19</v>
      </c>
      <c r="H61" s="1">
        <v>2</v>
      </c>
      <c r="I61" s="1">
        <v>89.99</v>
      </c>
      <c r="J61" s="1" t="s">
        <v>32</v>
      </c>
      <c r="K61" s="1" t="s">
        <v>21</v>
      </c>
      <c r="L61" s="1" t="s">
        <v>26</v>
      </c>
      <c r="M61" s="10">
        <v>45275</v>
      </c>
      <c r="N61" s="1">
        <v>179.98</v>
      </c>
      <c r="O61" s="1">
        <f t="shared" si="1"/>
        <v>1229.8800000000001</v>
      </c>
      <c r="P61" s="12" t="str">
        <f t="shared" si="2"/>
        <v>Normal</v>
      </c>
      <c r="Q61" s="12">
        <f t="shared" si="3"/>
        <v>34</v>
      </c>
      <c r="R61" s="12" t="str">
        <f t="shared" si="5"/>
        <v>EW</v>
      </c>
    </row>
    <row r="62" spans="1:18" ht="15.75" customHeight="1" x14ac:dyDescent="0.3">
      <c r="A62" s="1" t="s">
        <v>145</v>
      </c>
      <c r="B62" s="10">
        <v>45475</v>
      </c>
      <c r="C62" s="11" t="s">
        <v>445</v>
      </c>
      <c r="D62" s="1" t="s">
        <v>50</v>
      </c>
      <c r="E62" s="1" t="s">
        <v>96</v>
      </c>
      <c r="F62" s="1" t="s">
        <v>97</v>
      </c>
      <c r="G62" s="1" t="s">
        <v>19</v>
      </c>
      <c r="H62" s="1">
        <v>1</v>
      </c>
      <c r="I62" s="1">
        <v>89.99</v>
      </c>
      <c r="J62" s="1" t="s">
        <v>32</v>
      </c>
      <c r="K62" s="1" t="s">
        <v>45</v>
      </c>
      <c r="L62" s="1" t="s">
        <v>34</v>
      </c>
      <c r="M62" s="10">
        <v>44802</v>
      </c>
      <c r="N62" s="1">
        <v>89.99</v>
      </c>
      <c r="O62" s="1">
        <f t="shared" si="1"/>
        <v>5089.7300000000005</v>
      </c>
      <c r="P62" s="12" t="str">
        <f t="shared" si="2"/>
        <v>Normal</v>
      </c>
      <c r="Q62" s="12">
        <f t="shared" si="3"/>
        <v>34</v>
      </c>
      <c r="R62" s="12" t="str">
        <f t="shared" si="5"/>
        <v>CA</v>
      </c>
    </row>
    <row r="63" spans="1:18" ht="15.75" customHeight="1" x14ac:dyDescent="0.3">
      <c r="A63" s="1" t="s">
        <v>146</v>
      </c>
      <c r="B63" s="10">
        <v>45476</v>
      </c>
      <c r="C63" s="11" t="s">
        <v>446</v>
      </c>
      <c r="D63" s="1" t="s">
        <v>60</v>
      </c>
      <c r="E63" s="1" t="s">
        <v>96</v>
      </c>
      <c r="F63" s="1" t="s">
        <v>97</v>
      </c>
      <c r="G63" s="1" t="s">
        <v>19</v>
      </c>
      <c r="H63" s="1">
        <v>1</v>
      </c>
      <c r="I63" s="1">
        <v>89.99</v>
      </c>
      <c r="J63" s="1" t="s">
        <v>20</v>
      </c>
      <c r="K63" s="1" t="s">
        <v>33</v>
      </c>
      <c r="L63" s="1" t="s">
        <v>34</v>
      </c>
      <c r="M63" s="10">
        <v>44611</v>
      </c>
      <c r="N63" s="1">
        <v>89.99</v>
      </c>
      <c r="O63" s="1">
        <f t="shared" si="1"/>
        <v>1979.89</v>
      </c>
      <c r="P63" s="12" t="str">
        <f t="shared" si="2"/>
        <v>Normal</v>
      </c>
      <c r="Q63" s="12">
        <f t="shared" si="3"/>
        <v>34</v>
      </c>
      <c r="R63" s="12" t="str">
        <f t="shared" si="5"/>
        <v>SG</v>
      </c>
    </row>
    <row r="64" spans="1:18" ht="15.75" customHeight="1" x14ac:dyDescent="0.3">
      <c r="A64" s="1" t="s">
        <v>147</v>
      </c>
      <c r="B64" s="10">
        <v>45476</v>
      </c>
      <c r="C64" s="11" t="s">
        <v>447</v>
      </c>
      <c r="D64" s="1" t="s">
        <v>148</v>
      </c>
      <c r="E64" s="1" t="s">
        <v>93</v>
      </c>
      <c r="F64" s="1" t="s">
        <v>94</v>
      </c>
      <c r="G64" s="1" t="s">
        <v>31</v>
      </c>
      <c r="H64" s="1">
        <v>5</v>
      </c>
      <c r="I64" s="1">
        <v>79.989999999999995</v>
      </c>
      <c r="J64" s="1" t="s">
        <v>51</v>
      </c>
      <c r="K64" s="1" t="s">
        <v>21</v>
      </c>
      <c r="L64" s="1" t="s">
        <v>22</v>
      </c>
      <c r="M64" s="10">
        <v>44981</v>
      </c>
      <c r="N64" s="1">
        <v>399.95</v>
      </c>
      <c r="O64" s="1">
        <f t="shared" si="1"/>
        <v>1809.84</v>
      </c>
      <c r="P64" s="12" t="str">
        <f t="shared" si="2"/>
        <v>Normal</v>
      </c>
      <c r="Q64" s="12">
        <f t="shared" si="3"/>
        <v>14</v>
      </c>
      <c r="R64" s="12" t="str">
        <f t="shared" si="5"/>
        <v>DM</v>
      </c>
    </row>
    <row r="65" spans="1:18" ht="15.75" customHeight="1" x14ac:dyDescent="0.3">
      <c r="A65" s="1" t="s">
        <v>149</v>
      </c>
      <c r="B65" s="10">
        <v>45481</v>
      </c>
      <c r="C65" s="11" t="s">
        <v>448</v>
      </c>
      <c r="D65" s="1" t="s">
        <v>150</v>
      </c>
      <c r="E65" s="1" t="s">
        <v>40</v>
      </c>
      <c r="F65" s="1" t="s">
        <v>41</v>
      </c>
      <c r="G65" s="1" t="s">
        <v>42</v>
      </c>
      <c r="H65" s="1">
        <v>1</v>
      </c>
      <c r="I65" s="1">
        <v>149.99</v>
      </c>
      <c r="J65" s="1" t="s">
        <v>32</v>
      </c>
      <c r="K65" s="1" t="s">
        <v>37</v>
      </c>
      <c r="L65" s="1" t="s">
        <v>22</v>
      </c>
      <c r="M65" s="10">
        <v>44421</v>
      </c>
      <c r="N65" s="1">
        <v>149.99</v>
      </c>
      <c r="O65" s="1">
        <f t="shared" si="1"/>
        <v>2099.88</v>
      </c>
      <c r="P65" s="12" t="str">
        <f t="shared" si="2"/>
        <v>Normal</v>
      </c>
      <c r="Q65" s="12">
        <f t="shared" si="3"/>
        <v>35</v>
      </c>
      <c r="R65" s="12" t="str">
        <f t="shared" si="5"/>
        <v>MW</v>
      </c>
    </row>
    <row r="66" spans="1:18" ht="15.75" customHeight="1" x14ac:dyDescent="0.3">
      <c r="A66" s="1" t="s">
        <v>151</v>
      </c>
      <c r="B66" s="10">
        <v>45481</v>
      </c>
      <c r="C66" s="11" t="s">
        <v>449</v>
      </c>
      <c r="D66" s="1" t="s">
        <v>39</v>
      </c>
      <c r="E66" s="1" t="s">
        <v>68</v>
      </c>
      <c r="F66" s="1" t="s">
        <v>69</v>
      </c>
      <c r="G66" s="1" t="s">
        <v>19</v>
      </c>
      <c r="H66" s="1">
        <v>2</v>
      </c>
      <c r="I66" s="1">
        <v>699.99</v>
      </c>
      <c r="J66" s="1" t="s">
        <v>32</v>
      </c>
      <c r="K66" s="1" t="s">
        <v>56</v>
      </c>
      <c r="L66" s="1" t="s">
        <v>26</v>
      </c>
      <c r="M66" s="10">
        <v>45389</v>
      </c>
      <c r="N66" s="1">
        <v>1399.98</v>
      </c>
      <c r="O66" s="1">
        <f t="shared" si="1"/>
        <v>6169.7400000000007</v>
      </c>
      <c r="P66" s="12" t="str">
        <f t="shared" si="2"/>
        <v>Normal</v>
      </c>
      <c r="Q66" s="12">
        <f t="shared" si="3"/>
        <v>31</v>
      </c>
      <c r="R66" s="12" t="str">
        <f t="shared" ref="R66:R97" si="6">UPPER(LEFT(D66,1)&amp;MID(D66,FIND(" ",D66)+1,1))</f>
        <v>MB</v>
      </c>
    </row>
    <row r="67" spans="1:18" ht="15.75" customHeight="1" x14ac:dyDescent="0.3">
      <c r="A67" s="1" t="s">
        <v>152</v>
      </c>
      <c r="B67" s="10">
        <v>45481</v>
      </c>
      <c r="C67" s="11" t="s">
        <v>450</v>
      </c>
      <c r="D67" s="1" t="s">
        <v>80</v>
      </c>
      <c r="E67" s="1" t="s">
        <v>96</v>
      </c>
      <c r="F67" s="1" t="s">
        <v>97</v>
      </c>
      <c r="G67" s="1" t="s">
        <v>19</v>
      </c>
      <c r="H67" s="1">
        <v>5</v>
      </c>
      <c r="I67" s="1">
        <v>89.99</v>
      </c>
      <c r="J67" s="1" t="s">
        <v>51</v>
      </c>
      <c r="K67" s="1" t="s">
        <v>37</v>
      </c>
      <c r="L67" s="1" t="s">
        <v>26</v>
      </c>
      <c r="M67" s="10">
        <v>45161</v>
      </c>
      <c r="N67" s="1">
        <v>449.95</v>
      </c>
      <c r="O67" s="1">
        <f t="shared" ref="O67:O130" si="7">SUMIFS($N:$N,$D:$D,D67)</f>
        <v>10649.8</v>
      </c>
      <c r="P67" s="12" t="str">
        <f t="shared" ref="P67:P130" si="8">IF(O67&gt;10000,"High Value","Normal")</f>
        <v>High Value</v>
      </c>
      <c r="Q67" s="12">
        <f t="shared" ref="Q67:Q130" si="9">COUNTIF($F:$F,F67)</f>
        <v>34</v>
      </c>
      <c r="R67" s="12" t="str">
        <f t="shared" si="6"/>
        <v>BY</v>
      </c>
    </row>
    <row r="68" spans="1:18" ht="15.75" customHeight="1" x14ac:dyDescent="0.3">
      <c r="A68" s="1" t="s">
        <v>153</v>
      </c>
      <c r="B68" s="10">
        <v>45482</v>
      </c>
      <c r="C68" s="11" t="s">
        <v>451</v>
      </c>
      <c r="D68" s="1" t="s">
        <v>138</v>
      </c>
      <c r="E68" s="1" t="s">
        <v>29</v>
      </c>
      <c r="F68" s="1" t="s">
        <v>30</v>
      </c>
      <c r="G68" s="1" t="s">
        <v>31</v>
      </c>
      <c r="H68" s="1">
        <v>4</v>
      </c>
      <c r="I68" s="1">
        <v>59.99</v>
      </c>
      <c r="J68" s="1" t="s">
        <v>20</v>
      </c>
      <c r="K68" s="1" t="s">
        <v>33</v>
      </c>
      <c r="L68" s="1" t="s">
        <v>34</v>
      </c>
      <c r="M68" s="10">
        <v>44509</v>
      </c>
      <c r="N68" s="1">
        <v>239.96</v>
      </c>
      <c r="O68" s="1">
        <f t="shared" si="7"/>
        <v>3669.8500000000004</v>
      </c>
      <c r="P68" s="12" t="str">
        <f t="shared" si="8"/>
        <v>Normal</v>
      </c>
      <c r="Q68" s="12">
        <f t="shared" si="9"/>
        <v>29</v>
      </c>
      <c r="R68" s="12" t="str">
        <f t="shared" si="6"/>
        <v>RR</v>
      </c>
    </row>
    <row r="69" spans="1:18" ht="15.75" customHeight="1" x14ac:dyDescent="0.3">
      <c r="A69" s="1" t="s">
        <v>154</v>
      </c>
      <c r="B69" s="10">
        <v>45484</v>
      </c>
      <c r="C69" s="11" t="s">
        <v>452</v>
      </c>
      <c r="D69" s="1" t="s">
        <v>24</v>
      </c>
      <c r="E69" s="1" t="s">
        <v>47</v>
      </c>
      <c r="F69" s="1" t="s">
        <v>48</v>
      </c>
      <c r="G69" s="1" t="s">
        <v>19</v>
      </c>
      <c r="H69" s="1">
        <v>1</v>
      </c>
      <c r="I69" s="1">
        <v>149.99</v>
      </c>
      <c r="J69" s="1" t="s">
        <v>20</v>
      </c>
      <c r="K69" s="1" t="s">
        <v>21</v>
      </c>
      <c r="L69" s="1" t="s">
        <v>34</v>
      </c>
      <c r="M69" s="10">
        <v>44909</v>
      </c>
      <c r="N69" s="1">
        <v>149.99</v>
      </c>
      <c r="O69" s="1">
        <f t="shared" si="7"/>
        <v>6949.84</v>
      </c>
      <c r="P69" s="12" t="str">
        <f t="shared" si="8"/>
        <v>Normal</v>
      </c>
      <c r="Q69" s="12">
        <f t="shared" si="9"/>
        <v>16</v>
      </c>
      <c r="R69" s="12" t="str">
        <f t="shared" si="6"/>
        <v>JJ</v>
      </c>
    </row>
    <row r="70" spans="1:18" ht="15.75" customHeight="1" x14ac:dyDescent="0.3">
      <c r="A70" s="1" t="s">
        <v>155</v>
      </c>
      <c r="B70" s="10">
        <v>45484</v>
      </c>
      <c r="C70" s="11" t="s">
        <v>453</v>
      </c>
      <c r="D70" s="1" t="s">
        <v>156</v>
      </c>
      <c r="E70" s="1" t="s">
        <v>86</v>
      </c>
      <c r="F70" s="1" t="s">
        <v>87</v>
      </c>
      <c r="G70" s="1" t="s">
        <v>42</v>
      </c>
      <c r="H70" s="1">
        <v>1</v>
      </c>
      <c r="I70" s="1">
        <v>299.99</v>
      </c>
      <c r="J70" s="1" t="s">
        <v>25</v>
      </c>
      <c r="K70" s="1" t="s">
        <v>37</v>
      </c>
      <c r="L70" s="1" t="s">
        <v>26</v>
      </c>
      <c r="M70" s="10">
        <v>44891</v>
      </c>
      <c r="N70" s="1">
        <v>299.99</v>
      </c>
      <c r="O70" s="1">
        <f t="shared" si="7"/>
        <v>1479.91</v>
      </c>
      <c r="P70" s="12" t="str">
        <f t="shared" si="8"/>
        <v>Normal</v>
      </c>
      <c r="Q70" s="12">
        <f t="shared" si="9"/>
        <v>26</v>
      </c>
      <c r="R70" s="12" t="str">
        <f t="shared" si="6"/>
        <v>FT</v>
      </c>
    </row>
    <row r="71" spans="1:18" ht="15.75" customHeight="1" x14ac:dyDescent="0.3">
      <c r="A71" s="1" t="s">
        <v>157</v>
      </c>
      <c r="B71" s="10">
        <v>45487</v>
      </c>
      <c r="C71" s="11" t="s">
        <v>454</v>
      </c>
      <c r="D71" s="1" t="s">
        <v>156</v>
      </c>
      <c r="E71" s="1" t="s">
        <v>103</v>
      </c>
      <c r="F71" s="1" t="s">
        <v>104</v>
      </c>
      <c r="G71" s="1" t="s">
        <v>42</v>
      </c>
      <c r="H71" s="1">
        <v>2</v>
      </c>
      <c r="I71" s="1">
        <v>199.99</v>
      </c>
      <c r="J71" s="1" t="s">
        <v>20</v>
      </c>
      <c r="K71" s="1" t="s">
        <v>37</v>
      </c>
      <c r="L71" s="1" t="s">
        <v>22</v>
      </c>
      <c r="M71" s="10">
        <v>44541</v>
      </c>
      <c r="N71" s="1">
        <v>399.98</v>
      </c>
      <c r="O71" s="1">
        <f t="shared" si="7"/>
        <v>1479.91</v>
      </c>
      <c r="P71" s="12" t="str">
        <f t="shared" si="8"/>
        <v>Normal</v>
      </c>
      <c r="Q71" s="12">
        <f t="shared" si="9"/>
        <v>15</v>
      </c>
      <c r="R71" s="12" t="str">
        <f t="shared" si="6"/>
        <v>FT</v>
      </c>
    </row>
    <row r="72" spans="1:18" ht="15.75" customHeight="1" x14ac:dyDescent="0.3">
      <c r="A72" s="1" t="s">
        <v>158</v>
      </c>
      <c r="B72" s="10">
        <v>45490</v>
      </c>
      <c r="C72" s="11" t="s">
        <v>455</v>
      </c>
      <c r="D72" s="1" t="s">
        <v>159</v>
      </c>
      <c r="E72" s="1" t="s">
        <v>29</v>
      </c>
      <c r="F72" s="1" t="s">
        <v>30</v>
      </c>
      <c r="G72" s="1" t="s">
        <v>31</v>
      </c>
      <c r="H72" s="1">
        <v>3</v>
      </c>
      <c r="I72" s="1">
        <v>59.99</v>
      </c>
      <c r="J72" s="1" t="s">
        <v>25</v>
      </c>
      <c r="K72" s="1" t="s">
        <v>45</v>
      </c>
      <c r="L72" s="1" t="s">
        <v>22</v>
      </c>
      <c r="M72" s="10">
        <v>45130</v>
      </c>
      <c r="N72" s="1">
        <v>179.97</v>
      </c>
      <c r="O72" s="1">
        <f t="shared" si="7"/>
        <v>6379.87</v>
      </c>
      <c r="P72" s="12" t="str">
        <f t="shared" si="8"/>
        <v>Normal</v>
      </c>
      <c r="Q72" s="12">
        <f t="shared" si="9"/>
        <v>29</v>
      </c>
      <c r="R72" s="12" t="str">
        <f t="shared" si="6"/>
        <v>GM</v>
      </c>
    </row>
    <row r="73" spans="1:18" ht="15.75" customHeight="1" x14ac:dyDescent="0.3">
      <c r="A73" s="1" t="s">
        <v>160</v>
      </c>
      <c r="B73" s="10">
        <v>45490</v>
      </c>
      <c r="C73" s="11" t="s">
        <v>456</v>
      </c>
      <c r="D73" s="1" t="s">
        <v>63</v>
      </c>
      <c r="E73" s="1" t="s">
        <v>40</v>
      </c>
      <c r="F73" s="1" t="s">
        <v>41</v>
      </c>
      <c r="G73" s="1" t="s">
        <v>42</v>
      </c>
      <c r="H73" s="1">
        <v>3</v>
      </c>
      <c r="I73" s="1">
        <v>149.99</v>
      </c>
      <c r="J73" s="1" t="s">
        <v>20</v>
      </c>
      <c r="K73" s="1" t="s">
        <v>21</v>
      </c>
      <c r="L73" s="1" t="s">
        <v>26</v>
      </c>
      <c r="M73" s="10">
        <v>45199</v>
      </c>
      <c r="N73" s="1">
        <v>449.97</v>
      </c>
      <c r="O73" s="1">
        <f t="shared" si="7"/>
        <v>5949.85</v>
      </c>
      <c r="P73" s="12" t="str">
        <f t="shared" si="8"/>
        <v>Normal</v>
      </c>
      <c r="Q73" s="12">
        <f t="shared" si="9"/>
        <v>35</v>
      </c>
      <c r="R73" s="12" t="str">
        <f t="shared" si="6"/>
        <v>PR</v>
      </c>
    </row>
    <row r="74" spans="1:18" ht="15.75" customHeight="1" x14ac:dyDescent="0.3">
      <c r="A74" s="1" t="s">
        <v>161</v>
      </c>
      <c r="B74" s="10">
        <v>45491</v>
      </c>
      <c r="C74" s="11" t="s">
        <v>457</v>
      </c>
      <c r="D74" s="1" t="s">
        <v>58</v>
      </c>
      <c r="E74" s="1" t="s">
        <v>103</v>
      </c>
      <c r="F74" s="1" t="s">
        <v>104</v>
      </c>
      <c r="G74" s="1" t="s">
        <v>42</v>
      </c>
      <c r="H74" s="1">
        <v>3</v>
      </c>
      <c r="I74" s="1">
        <v>199.99</v>
      </c>
      <c r="J74" s="1" t="s">
        <v>20</v>
      </c>
      <c r="K74" s="1" t="s">
        <v>37</v>
      </c>
      <c r="L74" s="1" t="s">
        <v>26</v>
      </c>
      <c r="M74" s="10">
        <v>45254</v>
      </c>
      <c r="N74" s="1">
        <v>599.97</v>
      </c>
      <c r="O74" s="1">
        <f t="shared" si="7"/>
        <v>8009.7699999999995</v>
      </c>
      <c r="P74" s="12" t="str">
        <f t="shared" si="8"/>
        <v>Normal</v>
      </c>
      <c r="Q74" s="12">
        <f t="shared" si="9"/>
        <v>15</v>
      </c>
      <c r="R74" s="12" t="str">
        <f t="shared" si="6"/>
        <v>KH</v>
      </c>
    </row>
    <row r="75" spans="1:18" ht="15.75" customHeight="1" x14ac:dyDescent="0.3">
      <c r="A75" s="1" t="s">
        <v>162</v>
      </c>
      <c r="B75" s="10">
        <v>45496</v>
      </c>
      <c r="C75" s="11" t="s">
        <v>458</v>
      </c>
      <c r="D75" s="1" t="s">
        <v>121</v>
      </c>
      <c r="E75" s="1" t="s">
        <v>54</v>
      </c>
      <c r="F75" s="1" t="s">
        <v>55</v>
      </c>
      <c r="G75" s="1" t="s">
        <v>19</v>
      </c>
      <c r="H75" s="1">
        <v>1</v>
      </c>
      <c r="I75" s="1">
        <v>899.99</v>
      </c>
      <c r="J75" s="1" t="s">
        <v>20</v>
      </c>
      <c r="K75" s="1" t="s">
        <v>21</v>
      </c>
      <c r="L75" s="1" t="s">
        <v>34</v>
      </c>
      <c r="M75" s="10">
        <v>45179</v>
      </c>
      <c r="N75" s="1">
        <v>899.99</v>
      </c>
      <c r="O75" s="1">
        <f t="shared" si="7"/>
        <v>5619.869999999999</v>
      </c>
      <c r="P75" s="12" t="str">
        <f t="shared" si="8"/>
        <v>Normal</v>
      </c>
      <c r="Q75" s="12">
        <f t="shared" si="9"/>
        <v>24</v>
      </c>
      <c r="R75" s="12" t="str">
        <f t="shared" si="6"/>
        <v>SB</v>
      </c>
    </row>
    <row r="76" spans="1:18" ht="15.75" customHeight="1" x14ac:dyDescent="0.3">
      <c r="A76" s="1" t="s">
        <v>163</v>
      </c>
      <c r="B76" s="10">
        <v>45497</v>
      </c>
      <c r="C76" s="11" t="s">
        <v>459</v>
      </c>
      <c r="D76" s="1" t="s">
        <v>24</v>
      </c>
      <c r="E76" s="1" t="s">
        <v>54</v>
      </c>
      <c r="F76" s="1" t="s">
        <v>55</v>
      </c>
      <c r="G76" s="1" t="s">
        <v>19</v>
      </c>
      <c r="H76" s="1">
        <v>5</v>
      </c>
      <c r="I76" s="1">
        <v>899.99</v>
      </c>
      <c r="J76" s="1" t="s">
        <v>51</v>
      </c>
      <c r="K76" s="1" t="s">
        <v>33</v>
      </c>
      <c r="L76" s="1" t="s">
        <v>34</v>
      </c>
      <c r="M76" s="10">
        <v>44899</v>
      </c>
      <c r="N76" s="1">
        <v>4499.95</v>
      </c>
      <c r="O76" s="1">
        <f t="shared" si="7"/>
        <v>6949.84</v>
      </c>
      <c r="P76" s="12" t="str">
        <f t="shared" si="8"/>
        <v>Normal</v>
      </c>
      <c r="Q76" s="12">
        <f t="shared" si="9"/>
        <v>24</v>
      </c>
      <c r="R76" s="12" t="str">
        <f t="shared" si="6"/>
        <v>JJ</v>
      </c>
    </row>
    <row r="77" spans="1:18" ht="15.75" customHeight="1" x14ac:dyDescent="0.3">
      <c r="A77" s="1" t="s">
        <v>164</v>
      </c>
      <c r="B77" s="10">
        <v>45498</v>
      </c>
      <c r="C77" s="11" t="s">
        <v>460</v>
      </c>
      <c r="D77" s="1" t="s">
        <v>148</v>
      </c>
      <c r="E77" s="1" t="s">
        <v>29</v>
      </c>
      <c r="F77" s="1" t="s">
        <v>30</v>
      </c>
      <c r="G77" s="1" t="s">
        <v>31</v>
      </c>
      <c r="H77" s="1">
        <v>2</v>
      </c>
      <c r="I77" s="1">
        <v>59.99</v>
      </c>
      <c r="J77" s="1" t="s">
        <v>20</v>
      </c>
      <c r="K77" s="1" t="s">
        <v>37</v>
      </c>
      <c r="L77" s="1" t="s">
        <v>34</v>
      </c>
      <c r="M77" s="10">
        <v>45152</v>
      </c>
      <c r="N77" s="1">
        <v>119.98</v>
      </c>
      <c r="O77" s="1">
        <f t="shared" si="7"/>
        <v>1809.84</v>
      </c>
      <c r="P77" s="12" t="str">
        <f t="shared" si="8"/>
        <v>Normal</v>
      </c>
      <c r="Q77" s="12">
        <f t="shared" si="9"/>
        <v>29</v>
      </c>
      <c r="R77" s="12" t="str">
        <f t="shared" si="6"/>
        <v>DM</v>
      </c>
    </row>
    <row r="78" spans="1:18" ht="15.75" customHeight="1" x14ac:dyDescent="0.3">
      <c r="A78" s="1" t="s">
        <v>165</v>
      </c>
      <c r="B78" s="10">
        <v>45498</v>
      </c>
      <c r="C78" s="11" t="s">
        <v>461</v>
      </c>
      <c r="D78" s="1" t="s">
        <v>159</v>
      </c>
      <c r="E78" s="1" t="s">
        <v>17</v>
      </c>
      <c r="F78" s="1" t="s">
        <v>18</v>
      </c>
      <c r="G78" s="1" t="s">
        <v>19</v>
      </c>
      <c r="H78" s="1">
        <v>4</v>
      </c>
      <c r="I78" s="1">
        <v>249.99</v>
      </c>
      <c r="J78" s="1" t="s">
        <v>51</v>
      </c>
      <c r="K78" s="1" t="s">
        <v>21</v>
      </c>
      <c r="L78" s="1" t="s">
        <v>34</v>
      </c>
      <c r="M78" s="10">
        <v>45127</v>
      </c>
      <c r="N78" s="1">
        <v>999.96</v>
      </c>
      <c r="O78" s="1">
        <f t="shared" si="7"/>
        <v>6379.87</v>
      </c>
      <c r="P78" s="12" t="str">
        <f t="shared" si="8"/>
        <v>Normal</v>
      </c>
      <c r="Q78" s="12">
        <f t="shared" si="9"/>
        <v>26</v>
      </c>
      <c r="R78" s="12" t="str">
        <f t="shared" si="6"/>
        <v>GM</v>
      </c>
    </row>
    <row r="79" spans="1:18" ht="15.75" customHeight="1" x14ac:dyDescent="0.3">
      <c r="A79" s="1" t="s">
        <v>166</v>
      </c>
      <c r="B79" s="10">
        <v>45500</v>
      </c>
      <c r="C79" s="11" t="s">
        <v>462</v>
      </c>
      <c r="D79" s="1" t="s">
        <v>80</v>
      </c>
      <c r="E79" s="1" t="s">
        <v>17</v>
      </c>
      <c r="F79" s="1" t="s">
        <v>18</v>
      </c>
      <c r="G79" s="1" t="s">
        <v>19</v>
      </c>
      <c r="H79" s="1">
        <v>2</v>
      </c>
      <c r="I79" s="1">
        <v>249.99</v>
      </c>
      <c r="J79" s="1" t="s">
        <v>20</v>
      </c>
      <c r="K79" s="1" t="s">
        <v>37</v>
      </c>
      <c r="L79" s="1" t="s">
        <v>26</v>
      </c>
      <c r="M79" s="10">
        <v>45164</v>
      </c>
      <c r="N79" s="1">
        <v>499.98</v>
      </c>
      <c r="O79" s="1">
        <f t="shared" si="7"/>
        <v>10649.8</v>
      </c>
      <c r="P79" s="12" t="str">
        <f t="shared" si="8"/>
        <v>High Value</v>
      </c>
      <c r="Q79" s="12">
        <f t="shared" si="9"/>
        <v>26</v>
      </c>
      <c r="R79" s="12" t="str">
        <f t="shared" si="6"/>
        <v>BY</v>
      </c>
    </row>
    <row r="80" spans="1:18" ht="15.75" customHeight="1" x14ac:dyDescent="0.3">
      <c r="A80" s="1" t="s">
        <v>167</v>
      </c>
      <c r="B80" s="10">
        <v>45500</v>
      </c>
      <c r="C80" s="11" t="s">
        <v>463</v>
      </c>
      <c r="D80" s="1" t="s">
        <v>119</v>
      </c>
      <c r="E80" s="1" t="s">
        <v>86</v>
      </c>
      <c r="F80" s="1" t="s">
        <v>87</v>
      </c>
      <c r="G80" s="1" t="s">
        <v>42</v>
      </c>
      <c r="H80" s="1">
        <v>1</v>
      </c>
      <c r="I80" s="1">
        <v>299.99</v>
      </c>
      <c r="J80" s="1" t="s">
        <v>20</v>
      </c>
      <c r="K80" s="1" t="s">
        <v>33</v>
      </c>
      <c r="L80" s="1" t="s">
        <v>22</v>
      </c>
      <c r="M80" s="10">
        <v>44982</v>
      </c>
      <c r="N80" s="1">
        <v>299.99</v>
      </c>
      <c r="O80" s="1">
        <f t="shared" si="7"/>
        <v>7309.7999999999993</v>
      </c>
      <c r="P80" s="12" t="str">
        <f t="shared" si="8"/>
        <v>Normal</v>
      </c>
      <c r="Q80" s="12">
        <f t="shared" si="9"/>
        <v>26</v>
      </c>
      <c r="R80" s="12" t="str">
        <f t="shared" si="6"/>
        <v>DK</v>
      </c>
    </row>
    <row r="81" spans="1:18" ht="15.75" customHeight="1" x14ac:dyDescent="0.3">
      <c r="A81" s="1" t="s">
        <v>168</v>
      </c>
      <c r="B81" s="10">
        <v>45501</v>
      </c>
      <c r="C81" s="11" t="s">
        <v>464</v>
      </c>
      <c r="D81" s="1" t="s">
        <v>73</v>
      </c>
      <c r="E81" s="1" t="s">
        <v>96</v>
      </c>
      <c r="F81" s="1" t="s">
        <v>97</v>
      </c>
      <c r="G81" s="1" t="s">
        <v>19</v>
      </c>
      <c r="H81" s="1">
        <v>2</v>
      </c>
      <c r="I81" s="1">
        <v>89.99</v>
      </c>
      <c r="J81" s="1" t="s">
        <v>32</v>
      </c>
      <c r="K81" s="1" t="s">
        <v>33</v>
      </c>
      <c r="L81" s="1" t="s">
        <v>22</v>
      </c>
      <c r="M81" s="10">
        <v>44976</v>
      </c>
      <c r="N81" s="1">
        <v>179.98</v>
      </c>
      <c r="O81" s="1">
        <f t="shared" si="7"/>
        <v>15659.65</v>
      </c>
      <c r="P81" s="12" t="str">
        <f t="shared" si="8"/>
        <v>High Value</v>
      </c>
      <c r="Q81" s="12">
        <f t="shared" si="9"/>
        <v>34</v>
      </c>
      <c r="R81" s="12" t="str">
        <f t="shared" si="6"/>
        <v>MC</v>
      </c>
    </row>
    <row r="82" spans="1:18" ht="15.75" customHeight="1" x14ac:dyDescent="0.3">
      <c r="A82" s="1" t="s">
        <v>169</v>
      </c>
      <c r="B82" s="10">
        <v>45501</v>
      </c>
      <c r="C82" s="11" t="s">
        <v>465</v>
      </c>
      <c r="D82" s="1" t="s">
        <v>119</v>
      </c>
      <c r="E82" s="1" t="s">
        <v>86</v>
      </c>
      <c r="F82" s="1" t="s">
        <v>87</v>
      </c>
      <c r="G82" s="1" t="s">
        <v>42</v>
      </c>
      <c r="H82" s="1">
        <v>3</v>
      </c>
      <c r="I82" s="1">
        <v>299.99</v>
      </c>
      <c r="J82" s="1" t="s">
        <v>20</v>
      </c>
      <c r="K82" s="1" t="s">
        <v>21</v>
      </c>
      <c r="L82" s="1" t="s">
        <v>22</v>
      </c>
      <c r="M82" s="10">
        <v>44732</v>
      </c>
      <c r="N82" s="1">
        <v>899.97</v>
      </c>
      <c r="O82" s="1">
        <f t="shared" si="7"/>
        <v>7309.7999999999993</v>
      </c>
      <c r="P82" s="12" t="str">
        <f t="shared" si="8"/>
        <v>Normal</v>
      </c>
      <c r="Q82" s="12">
        <f t="shared" si="9"/>
        <v>26</v>
      </c>
      <c r="R82" s="12" t="str">
        <f t="shared" si="6"/>
        <v>DK</v>
      </c>
    </row>
    <row r="83" spans="1:18" ht="15.75" customHeight="1" x14ac:dyDescent="0.3">
      <c r="A83" s="1" t="s">
        <v>170</v>
      </c>
      <c r="B83" s="10">
        <v>45503</v>
      </c>
      <c r="C83" s="11" t="s">
        <v>466</v>
      </c>
      <c r="D83" s="1" t="s">
        <v>73</v>
      </c>
      <c r="E83" s="1" t="s">
        <v>68</v>
      </c>
      <c r="F83" s="1" t="s">
        <v>69</v>
      </c>
      <c r="G83" s="1" t="s">
        <v>19</v>
      </c>
      <c r="H83" s="1">
        <v>2</v>
      </c>
      <c r="I83" s="1">
        <v>699.99</v>
      </c>
      <c r="J83" s="1" t="s">
        <v>25</v>
      </c>
      <c r="K83" s="1" t="s">
        <v>37</v>
      </c>
      <c r="L83" s="1" t="s">
        <v>26</v>
      </c>
      <c r="M83" s="10">
        <v>44999</v>
      </c>
      <c r="N83" s="1">
        <v>1399.98</v>
      </c>
      <c r="O83" s="1">
        <f t="shared" si="7"/>
        <v>15659.65</v>
      </c>
      <c r="P83" s="12" t="str">
        <f t="shared" si="8"/>
        <v>High Value</v>
      </c>
      <c r="Q83" s="12">
        <f t="shared" si="9"/>
        <v>31</v>
      </c>
      <c r="R83" s="12" t="str">
        <f t="shared" si="6"/>
        <v>MC</v>
      </c>
    </row>
    <row r="84" spans="1:18" ht="15.75" customHeight="1" x14ac:dyDescent="0.3">
      <c r="A84" s="1" t="s">
        <v>171</v>
      </c>
      <c r="B84" s="10">
        <v>45504</v>
      </c>
      <c r="C84" s="11" t="s">
        <v>467</v>
      </c>
      <c r="D84" s="1" t="s">
        <v>99</v>
      </c>
      <c r="E84" s="1" t="s">
        <v>54</v>
      </c>
      <c r="F84" s="1" t="s">
        <v>55</v>
      </c>
      <c r="G84" s="1" t="s">
        <v>19</v>
      </c>
      <c r="H84" s="1">
        <v>4</v>
      </c>
      <c r="I84" s="1">
        <v>899.99</v>
      </c>
      <c r="J84" s="1" t="s">
        <v>51</v>
      </c>
      <c r="K84" s="1" t="s">
        <v>33</v>
      </c>
      <c r="L84" s="1" t="s">
        <v>34</v>
      </c>
      <c r="M84" s="10">
        <v>44523</v>
      </c>
      <c r="N84" s="1">
        <v>3599.96</v>
      </c>
      <c r="O84" s="1">
        <f t="shared" si="7"/>
        <v>6459.79</v>
      </c>
      <c r="P84" s="12" t="str">
        <f t="shared" si="8"/>
        <v>Normal</v>
      </c>
      <c r="Q84" s="12">
        <f t="shared" si="9"/>
        <v>24</v>
      </c>
      <c r="R84" s="12" t="str">
        <f t="shared" si="6"/>
        <v>HR</v>
      </c>
    </row>
    <row r="85" spans="1:18" ht="15.75" customHeight="1" x14ac:dyDescent="0.3">
      <c r="A85" s="1" t="s">
        <v>172</v>
      </c>
      <c r="B85" s="10">
        <v>45509</v>
      </c>
      <c r="C85" s="11" t="s">
        <v>468</v>
      </c>
      <c r="D85" s="1" t="s">
        <v>173</v>
      </c>
      <c r="E85" s="1" t="s">
        <v>40</v>
      </c>
      <c r="F85" s="1" t="s">
        <v>41</v>
      </c>
      <c r="G85" s="1" t="s">
        <v>42</v>
      </c>
      <c r="H85" s="1">
        <v>2</v>
      </c>
      <c r="I85" s="1">
        <v>149.99</v>
      </c>
      <c r="J85" s="1" t="s">
        <v>25</v>
      </c>
      <c r="K85" s="1" t="s">
        <v>45</v>
      </c>
      <c r="L85" s="1" t="s">
        <v>22</v>
      </c>
      <c r="M85" s="10">
        <v>44542</v>
      </c>
      <c r="N85" s="1">
        <v>299.98</v>
      </c>
      <c r="O85" s="1">
        <f t="shared" si="7"/>
        <v>3649.8599999999997</v>
      </c>
      <c r="P85" s="12" t="str">
        <f t="shared" si="8"/>
        <v>Normal</v>
      </c>
      <c r="Q85" s="12">
        <f t="shared" si="9"/>
        <v>35</v>
      </c>
      <c r="R85" s="12" t="str">
        <f t="shared" si="6"/>
        <v>EH</v>
      </c>
    </row>
    <row r="86" spans="1:18" ht="15.75" customHeight="1" x14ac:dyDescent="0.3">
      <c r="A86" s="1" t="s">
        <v>174</v>
      </c>
      <c r="B86" s="10">
        <v>45510</v>
      </c>
      <c r="C86" s="11" t="s">
        <v>469</v>
      </c>
      <c r="D86" s="1" t="s">
        <v>84</v>
      </c>
      <c r="E86" s="1" t="s">
        <v>40</v>
      </c>
      <c r="F86" s="1" t="s">
        <v>41</v>
      </c>
      <c r="G86" s="1" t="s">
        <v>42</v>
      </c>
      <c r="H86" s="1">
        <v>2</v>
      </c>
      <c r="I86" s="1">
        <v>149.99</v>
      </c>
      <c r="J86" s="1" t="s">
        <v>51</v>
      </c>
      <c r="K86" s="1" t="s">
        <v>56</v>
      </c>
      <c r="L86" s="1" t="s">
        <v>34</v>
      </c>
      <c r="M86" s="10">
        <v>44667</v>
      </c>
      <c r="N86" s="1">
        <v>299.98</v>
      </c>
      <c r="O86" s="1">
        <f t="shared" si="7"/>
        <v>3769.8300000000004</v>
      </c>
      <c r="P86" s="12" t="str">
        <f t="shared" si="8"/>
        <v>Normal</v>
      </c>
      <c r="Q86" s="12">
        <f t="shared" si="9"/>
        <v>35</v>
      </c>
      <c r="R86" s="12" t="str">
        <f t="shared" si="6"/>
        <v>CP</v>
      </c>
    </row>
    <row r="87" spans="1:18" ht="15.75" customHeight="1" x14ac:dyDescent="0.3">
      <c r="A87" s="1" t="s">
        <v>175</v>
      </c>
      <c r="B87" s="10">
        <v>45513</v>
      </c>
      <c r="C87" s="11" t="s">
        <v>470</v>
      </c>
      <c r="D87" s="1" t="s">
        <v>75</v>
      </c>
      <c r="E87" s="1" t="s">
        <v>96</v>
      </c>
      <c r="F87" s="1" t="s">
        <v>97</v>
      </c>
      <c r="G87" s="1" t="s">
        <v>19</v>
      </c>
      <c r="H87" s="1">
        <v>1</v>
      </c>
      <c r="I87" s="1">
        <v>89.99</v>
      </c>
      <c r="J87" s="1" t="s">
        <v>25</v>
      </c>
      <c r="K87" s="1" t="s">
        <v>37</v>
      </c>
      <c r="L87" s="1" t="s">
        <v>34</v>
      </c>
      <c r="M87" s="10">
        <v>45393</v>
      </c>
      <c r="N87" s="1">
        <v>89.99</v>
      </c>
      <c r="O87" s="1">
        <f t="shared" si="7"/>
        <v>1909.93</v>
      </c>
      <c r="P87" s="12" t="str">
        <f t="shared" si="8"/>
        <v>Normal</v>
      </c>
      <c r="Q87" s="12">
        <f t="shared" si="9"/>
        <v>34</v>
      </c>
      <c r="R87" s="12" t="str">
        <f t="shared" si="6"/>
        <v>MG</v>
      </c>
    </row>
    <row r="88" spans="1:18" ht="15.75" customHeight="1" x14ac:dyDescent="0.3">
      <c r="A88" s="1" t="s">
        <v>176</v>
      </c>
      <c r="B88" s="10">
        <v>45515</v>
      </c>
      <c r="C88" s="11" t="s">
        <v>471</v>
      </c>
      <c r="D88" s="1" t="s">
        <v>73</v>
      </c>
      <c r="E88" s="1" t="s">
        <v>86</v>
      </c>
      <c r="F88" s="1" t="s">
        <v>87</v>
      </c>
      <c r="G88" s="1" t="s">
        <v>42</v>
      </c>
      <c r="H88" s="1">
        <v>5</v>
      </c>
      <c r="I88" s="1">
        <v>299.99</v>
      </c>
      <c r="J88" s="1" t="s">
        <v>25</v>
      </c>
      <c r="K88" s="1" t="s">
        <v>37</v>
      </c>
      <c r="L88" s="1" t="s">
        <v>22</v>
      </c>
      <c r="M88" s="10">
        <v>44965</v>
      </c>
      <c r="N88" s="1">
        <v>1499.95</v>
      </c>
      <c r="O88" s="1">
        <f t="shared" si="7"/>
        <v>15659.65</v>
      </c>
      <c r="P88" s="12" t="str">
        <f t="shared" si="8"/>
        <v>High Value</v>
      </c>
      <c r="Q88" s="12">
        <f t="shared" si="9"/>
        <v>26</v>
      </c>
      <c r="R88" s="12" t="str">
        <f t="shared" si="6"/>
        <v>MC</v>
      </c>
    </row>
    <row r="89" spans="1:18" ht="15.75" customHeight="1" x14ac:dyDescent="0.3">
      <c r="A89" s="1" t="s">
        <v>177</v>
      </c>
      <c r="B89" s="10">
        <v>45517</v>
      </c>
      <c r="C89" s="11" t="s">
        <v>472</v>
      </c>
      <c r="D89" s="1" t="s">
        <v>148</v>
      </c>
      <c r="E89" s="1" t="s">
        <v>47</v>
      </c>
      <c r="F89" s="1" t="s">
        <v>48</v>
      </c>
      <c r="G89" s="1" t="s">
        <v>19</v>
      </c>
      <c r="H89" s="1">
        <v>4</v>
      </c>
      <c r="I89" s="1">
        <v>149.99</v>
      </c>
      <c r="J89" s="1" t="s">
        <v>51</v>
      </c>
      <c r="K89" s="1" t="s">
        <v>33</v>
      </c>
      <c r="L89" s="1" t="s">
        <v>26</v>
      </c>
      <c r="M89" s="10">
        <v>44820</v>
      </c>
      <c r="N89" s="1">
        <v>599.96</v>
      </c>
      <c r="O89" s="1">
        <f t="shared" si="7"/>
        <v>1809.84</v>
      </c>
      <c r="P89" s="12" t="str">
        <f t="shared" si="8"/>
        <v>Normal</v>
      </c>
      <c r="Q89" s="12">
        <f t="shared" si="9"/>
        <v>16</v>
      </c>
      <c r="R89" s="12" t="str">
        <f t="shared" si="6"/>
        <v>DM</v>
      </c>
    </row>
    <row r="90" spans="1:18" ht="15.75" customHeight="1" x14ac:dyDescent="0.3">
      <c r="A90" s="1" t="s">
        <v>178</v>
      </c>
      <c r="B90" s="10">
        <v>45517</v>
      </c>
      <c r="C90" s="11" t="s">
        <v>473</v>
      </c>
      <c r="D90" s="1" t="s">
        <v>150</v>
      </c>
      <c r="E90" s="1" t="s">
        <v>17</v>
      </c>
      <c r="F90" s="1" t="s">
        <v>18</v>
      </c>
      <c r="G90" s="1" t="s">
        <v>19</v>
      </c>
      <c r="H90" s="1">
        <v>5</v>
      </c>
      <c r="I90" s="1">
        <v>249.99</v>
      </c>
      <c r="J90" s="1" t="s">
        <v>32</v>
      </c>
      <c r="K90" s="1" t="s">
        <v>56</v>
      </c>
      <c r="L90" s="1" t="s">
        <v>26</v>
      </c>
      <c r="M90" s="10">
        <v>44782</v>
      </c>
      <c r="N90" s="1">
        <v>1249.95</v>
      </c>
      <c r="O90" s="1">
        <f t="shared" si="7"/>
        <v>2099.88</v>
      </c>
      <c r="P90" s="12" t="str">
        <f t="shared" si="8"/>
        <v>Normal</v>
      </c>
      <c r="Q90" s="12">
        <f t="shared" si="9"/>
        <v>26</v>
      </c>
      <c r="R90" s="12" t="str">
        <f t="shared" si="6"/>
        <v>MW</v>
      </c>
    </row>
    <row r="91" spans="1:18" ht="15.75" customHeight="1" x14ac:dyDescent="0.3">
      <c r="A91" s="1" t="s">
        <v>179</v>
      </c>
      <c r="B91" s="10">
        <v>45517</v>
      </c>
      <c r="C91" s="11" t="s">
        <v>474</v>
      </c>
      <c r="D91" s="1" t="s">
        <v>58</v>
      </c>
      <c r="E91" s="1" t="s">
        <v>17</v>
      </c>
      <c r="F91" s="1" t="s">
        <v>18</v>
      </c>
      <c r="G91" s="1" t="s">
        <v>19</v>
      </c>
      <c r="H91" s="1">
        <v>3</v>
      </c>
      <c r="I91" s="1">
        <v>249.99</v>
      </c>
      <c r="J91" s="1" t="s">
        <v>32</v>
      </c>
      <c r="K91" s="1" t="s">
        <v>37</v>
      </c>
      <c r="L91" s="1" t="s">
        <v>26</v>
      </c>
      <c r="M91" s="10">
        <v>44465</v>
      </c>
      <c r="N91" s="1">
        <v>749.97</v>
      </c>
      <c r="O91" s="1">
        <f t="shared" si="7"/>
        <v>8009.7699999999995</v>
      </c>
      <c r="P91" s="12" t="str">
        <f t="shared" si="8"/>
        <v>Normal</v>
      </c>
      <c r="Q91" s="12">
        <f t="shared" si="9"/>
        <v>26</v>
      </c>
      <c r="R91" s="12" t="str">
        <f t="shared" si="6"/>
        <v>KH</v>
      </c>
    </row>
    <row r="92" spans="1:18" ht="15.75" customHeight="1" x14ac:dyDescent="0.3">
      <c r="A92" s="1" t="s">
        <v>180</v>
      </c>
      <c r="B92" s="10">
        <v>45517</v>
      </c>
      <c r="C92" s="11" t="s">
        <v>475</v>
      </c>
      <c r="D92" s="1" t="s">
        <v>36</v>
      </c>
      <c r="E92" s="1" t="s">
        <v>103</v>
      </c>
      <c r="F92" s="1" t="s">
        <v>104</v>
      </c>
      <c r="G92" s="1" t="s">
        <v>42</v>
      </c>
      <c r="H92" s="1">
        <v>4</v>
      </c>
      <c r="I92" s="1">
        <v>199.99</v>
      </c>
      <c r="J92" s="1" t="s">
        <v>20</v>
      </c>
      <c r="K92" s="1" t="s">
        <v>37</v>
      </c>
      <c r="L92" s="1" t="s">
        <v>34</v>
      </c>
      <c r="M92" s="10">
        <v>44458</v>
      </c>
      <c r="N92" s="1">
        <v>799.96</v>
      </c>
      <c r="O92" s="1">
        <f t="shared" si="7"/>
        <v>4309.8099999999995</v>
      </c>
      <c r="P92" s="12" t="str">
        <f t="shared" si="8"/>
        <v>Normal</v>
      </c>
      <c r="Q92" s="12">
        <f t="shared" si="9"/>
        <v>15</v>
      </c>
      <c r="R92" s="12" t="str">
        <f t="shared" si="6"/>
        <v>KB</v>
      </c>
    </row>
    <row r="93" spans="1:18" ht="15.75" customHeight="1" x14ac:dyDescent="0.3">
      <c r="A93" s="1" t="s">
        <v>181</v>
      </c>
      <c r="B93" s="10">
        <v>45519</v>
      </c>
      <c r="C93" s="11" t="s">
        <v>476</v>
      </c>
      <c r="D93" s="1" t="s">
        <v>127</v>
      </c>
      <c r="E93" s="1" t="s">
        <v>103</v>
      </c>
      <c r="F93" s="1" t="s">
        <v>104</v>
      </c>
      <c r="G93" s="1" t="s">
        <v>42</v>
      </c>
      <c r="H93" s="1">
        <v>5</v>
      </c>
      <c r="I93" s="1">
        <v>199.99</v>
      </c>
      <c r="J93" s="1" t="s">
        <v>20</v>
      </c>
      <c r="K93" s="1" t="s">
        <v>37</v>
      </c>
      <c r="L93" s="1" t="s">
        <v>26</v>
      </c>
      <c r="M93" s="10">
        <v>44991</v>
      </c>
      <c r="N93" s="1">
        <v>999.95</v>
      </c>
      <c r="O93" s="1">
        <f t="shared" si="7"/>
        <v>5649.84</v>
      </c>
      <c r="P93" s="12" t="str">
        <f t="shared" si="8"/>
        <v>Normal</v>
      </c>
      <c r="Q93" s="12">
        <f t="shared" si="9"/>
        <v>15</v>
      </c>
      <c r="R93" s="12" t="str">
        <f t="shared" si="6"/>
        <v>BC</v>
      </c>
    </row>
    <row r="94" spans="1:18" ht="15.75" customHeight="1" x14ac:dyDescent="0.3">
      <c r="A94" s="1" t="s">
        <v>182</v>
      </c>
      <c r="B94" s="10">
        <v>45522</v>
      </c>
      <c r="C94" s="11" t="s">
        <v>477</v>
      </c>
      <c r="D94" s="1" t="s">
        <v>73</v>
      </c>
      <c r="E94" s="1" t="s">
        <v>96</v>
      </c>
      <c r="F94" s="1" t="s">
        <v>97</v>
      </c>
      <c r="G94" s="1" t="s">
        <v>19</v>
      </c>
      <c r="H94" s="1">
        <v>2</v>
      </c>
      <c r="I94" s="1">
        <v>89.99</v>
      </c>
      <c r="J94" s="1" t="s">
        <v>20</v>
      </c>
      <c r="K94" s="1" t="s">
        <v>56</v>
      </c>
      <c r="L94" s="1" t="s">
        <v>26</v>
      </c>
      <c r="M94" s="10">
        <v>44972</v>
      </c>
      <c r="N94" s="1">
        <v>179.98</v>
      </c>
      <c r="O94" s="1">
        <f t="shared" si="7"/>
        <v>15659.65</v>
      </c>
      <c r="P94" s="12" t="str">
        <f t="shared" si="8"/>
        <v>High Value</v>
      </c>
      <c r="Q94" s="12">
        <f t="shared" si="9"/>
        <v>34</v>
      </c>
      <c r="R94" s="12" t="str">
        <f t="shared" si="6"/>
        <v>MC</v>
      </c>
    </row>
    <row r="95" spans="1:18" ht="15.75" customHeight="1" x14ac:dyDescent="0.3">
      <c r="A95" s="1" t="s">
        <v>183</v>
      </c>
      <c r="B95" s="10">
        <v>45523</v>
      </c>
      <c r="C95" s="11" t="s">
        <v>478</v>
      </c>
      <c r="D95" s="1" t="s">
        <v>159</v>
      </c>
      <c r="E95" s="1" t="s">
        <v>54</v>
      </c>
      <c r="F95" s="1" t="s">
        <v>55</v>
      </c>
      <c r="G95" s="1" t="s">
        <v>19</v>
      </c>
      <c r="H95" s="1">
        <v>5</v>
      </c>
      <c r="I95" s="1">
        <v>899.99</v>
      </c>
      <c r="J95" s="1" t="s">
        <v>51</v>
      </c>
      <c r="K95" s="1" t="s">
        <v>56</v>
      </c>
      <c r="L95" s="1" t="s">
        <v>22</v>
      </c>
      <c r="M95" s="10">
        <v>44526</v>
      </c>
      <c r="N95" s="1">
        <v>4499.95</v>
      </c>
      <c r="O95" s="1">
        <f t="shared" si="7"/>
        <v>6379.87</v>
      </c>
      <c r="P95" s="12" t="str">
        <f t="shared" si="8"/>
        <v>Normal</v>
      </c>
      <c r="Q95" s="12">
        <f t="shared" si="9"/>
        <v>24</v>
      </c>
      <c r="R95" s="12" t="str">
        <f t="shared" si="6"/>
        <v>GM</v>
      </c>
    </row>
    <row r="96" spans="1:18" ht="15.75" customHeight="1" x14ac:dyDescent="0.3">
      <c r="A96" s="1" t="s">
        <v>184</v>
      </c>
      <c r="B96" s="10">
        <v>45523</v>
      </c>
      <c r="C96" s="11" t="s">
        <v>479</v>
      </c>
      <c r="D96" s="1" t="s">
        <v>89</v>
      </c>
      <c r="E96" s="1" t="s">
        <v>47</v>
      </c>
      <c r="F96" s="1" t="s">
        <v>48</v>
      </c>
      <c r="G96" s="1" t="s">
        <v>19</v>
      </c>
      <c r="H96" s="1">
        <v>3</v>
      </c>
      <c r="I96" s="1">
        <v>149.99</v>
      </c>
      <c r="J96" s="1" t="s">
        <v>32</v>
      </c>
      <c r="K96" s="1" t="s">
        <v>56</v>
      </c>
      <c r="L96" s="1" t="s">
        <v>22</v>
      </c>
      <c r="M96" s="10">
        <v>44574</v>
      </c>
      <c r="N96" s="1">
        <v>449.97</v>
      </c>
      <c r="O96" s="1">
        <f t="shared" si="7"/>
        <v>4189.7700000000004</v>
      </c>
      <c r="P96" s="12" t="str">
        <f t="shared" si="8"/>
        <v>Normal</v>
      </c>
      <c r="Q96" s="12">
        <f t="shared" si="9"/>
        <v>16</v>
      </c>
      <c r="R96" s="12" t="str">
        <f t="shared" si="6"/>
        <v>NC</v>
      </c>
    </row>
    <row r="97" spans="1:18" ht="15.75" customHeight="1" x14ac:dyDescent="0.3">
      <c r="A97" s="1" t="s">
        <v>185</v>
      </c>
      <c r="B97" s="10">
        <v>45526</v>
      </c>
      <c r="C97" s="11" t="s">
        <v>480</v>
      </c>
      <c r="D97" s="1" t="s">
        <v>84</v>
      </c>
      <c r="E97" s="1" t="s">
        <v>40</v>
      </c>
      <c r="F97" s="1" t="s">
        <v>41</v>
      </c>
      <c r="G97" s="1" t="s">
        <v>42</v>
      </c>
      <c r="H97" s="1">
        <v>5</v>
      </c>
      <c r="I97" s="1">
        <v>149.99</v>
      </c>
      <c r="J97" s="1" t="s">
        <v>25</v>
      </c>
      <c r="K97" s="1" t="s">
        <v>21</v>
      </c>
      <c r="L97" s="1" t="s">
        <v>22</v>
      </c>
      <c r="M97" s="10">
        <v>45310</v>
      </c>
      <c r="N97" s="1">
        <v>749.95</v>
      </c>
      <c r="O97" s="1">
        <f t="shared" si="7"/>
        <v>3769.8300000000004</v>
      </c>
      <c r="P97" s="12" t="str">
        <f t="shared" si="8"/>
        <v>Normal</v>
      </c>
      <c r="Q97" s="12">
        <f t="shared" si="9"/>
        <v>35</v>
      </c>
      <c r="R97" s="12" t="str">
        <f t="shared" si="6"/>
        <v>CP</v>
      </c>
    </row>
    <row r="98" spans="1:18" ht="15.75" customHeight="1" x14ac:dyDescent="0.3">
      <c r="A98" s="1" t="s">
        <v>186</v>
      </c>
      <c r="B98" s="10">
        <v>45528</v>
      </c>
      <c r="C98" s="11" t="s">
        <v>481</v>
      </c>
      <c r="D98" s="1" t="s">
        <v>187</v>
      </c>
      <c r="E98" s="1" t="s">
        <v>93</v>
      </c>
      <c r="F98" s="1" t="s">
        <v>94</v>
      </c>
      <c r="G98" s="1" t="s">
        <v>31</v>
      </c>
      <c r="H98" s="1">
        <v>3</v>
      </c>
      <c r="I98" s="1">
        <v>79.989999999999995</v>
      </c>
      <c r="J98" s="1" t="s">
        <v>20</v>
      </c>
      <c r="K98" s="1" t="s">
        <v>21</v>
      </c>
      <c r="L98" s="1" t="s">
        <v>26</v>
      </c>
      <c r="M98" s="10">
        <v>44779</v>
      </c>
      <c r="N98" s="1">
        <v>239.97</v>
      </c>
      <c r="O98" s="1">
        <f t="shared" si="7"/>
        <v>6989.7699999999986</v>
      </c>
      <c r="P98" s="12" t="str">
        <f t="shared" si="8"/>
        <v>Normal</v>
      </c>
      <c r="Q98" s="12">
        <f t="shared" si="9"/>
        <v>14</v>
      </c>
      <c r="R98" s="12" t="str">
        <f t="shared" ref="R98:R129" si="10">UPPER(LEFT(D98,1)&amp;MID(D98,FIND(" ",D98)+1,1))</f>
        <v>LR</v>
      </c>
    </row>
    <row r="99" spans="1:18" ht="15.75" customHeight="1" x14ac:dyDescent="0.3">
      <c r="A99" s="1" t="s">
        <v>188</v>
      </c>
      <c r="B99" s="10">
        <v>45528</v>
      </c>
      <c r="C99" s="11" t="s">
        <v>482</v>
      </c>
      <c r="D99" s="1" t="s">
        <v>117</v>
      </c>
      <c r="E99" s="1" t="s">
        <v>17</v>
      </c>
      <c r="F99" s="1" t="s">
        <v>18</v>
      </c>
      <c r="G99" s="1" t="s">
        <v>19</v>
      </c>
      <c r="H99" s="1">
        <v>2</v>
      </c>
      <c r="I99" s="1">
        <v>249.99</v>
      </c>
      <c r="J99" s="1" t="s">
        <v>20</v>
      </c>
      <c r="K99" s="1" t="s">
        <v>33</v>
      </c>
      <c r="L99" s="1" t="s">
        <v>34</v>
      </c>
      <c r="M99" s="10">
        <v>44572</v>
      </c>
      <c r="N99" s="1">
        <v>499.98</v>
      </c>
      <c r="O99" s="1">
        <f t="shared" si="7"/>
        <v>5519.8899999999994</v>
      </c>
      <c r="P99" s="12" t="str">
        <f t="shared" si="8"/>
        <v>Normal</v>
      </c>
      <c r="Q99" s="12">
        <f t="shared" si="9"/>
        <v>26</v>
      </c>
      <c r="R99" s="12" t="str">
        <f t="shared" si="10"/>
        <v>HM</v>
      </c>
    </row>
    <row r="100" spans="1:18" ht="15.75" customHeight="1" x14ac:dyDescent="0.3">
      <c r="A100" s="1" t="s">
        <v>189</v>
      </c>
      <c r="B100" s="10">
        <v>45532</v>
      </c>
      <c r="C100" s="11" t="s">
        <v>483</v>
      </c>
      <c r="D100" s="1" t="s">
        <v>159</v>
      </c>
      <c r="E100" s="1" t="s">
        <v>68</v>
      </c>
      <c r="F100" s="1" t="s">
        <v>69</v>
      </c>
      <c r="G100" s="1" t="s">
        <v>19</v>
      </c>
      <c r="H100" s="1">
        <v>1</v>
      </c>
      <c r="I100" s="1">
        <v>699.99</v>
      </c>
      <c r="J100" s="1" t="s">
        <v>20</v>
      </c>
      <c r="K100" s="1" t="s">
        <v>21</v>
      </c>
      <c r="L100" s="1" t="s">
        <v>26</v>
      </c>
      <c r="M100" s="10">
        <v>44497</v>
      </c>
      <c r="N100" s="1">
        <v>699.99</v>
      </c>
      <c r="O100" s="1">
        <f t="shared" si="7"/>
        <v>6379.87</v>
      </c>
      <c r="P100" s="12" t="str">
        <f t="shared" si="8"/>
        <v>Normal</v>
      </c>
      <c r="Q100" s="12">
        <f t="shared" si="9"/>
        <v>31</v>
      </c>
      <c r="R100" s="12" t="str">
        <f t="shared" si="10"/>
        <v>GM</v>
      </c>
    </row>
    <row r="101" spans="1:18" ht="15.75" customHeight="1" x14ac:dyDescent="0.3">
      <c r="A101" s="1" t="s">
        <v>190</v>
      </c>
      <c r="B101" s="10">
        <v>45532</v>
      </c>
      <c r="C101" s="11" t="s">
        <v>484</v>
      </c>
      <c r="D101" s="1" t="s">
        <v>191</v>
      </c>
      <c r="E101" s="1" t="s">
        <v>47</v>
      </c>
      <c r="F101" s="1" t="s">
        <v>48</v>
      </c>
      <c r="G101" s="1" t="s">
        <v>19</v>
      </c>
      <c r="H101" s="1">
        <v>3</v>
      </c>
      <c r="I101" s="1">
        <v>149.99</v>
      </c>
      <c r="J101" s="1" t="s">
        <v>20</v>
      </c>
      <c r="K101" s="1" t="s">
        <v>45</v>
      </c>
      <c r="L101" s="1" t="s">
        <v>26</v>
      </c>
      <c r="M101" s="10">
        <v>45212</v>
      </c>
      <c r="N101" s="1">
        <v>449.97</v>
      </c>
      <c r="O101" s="1">
        <f t="shared" si="7"/>
        <v>1149.93</v>
      </c>
      <c r="P101" s="12" t="str">
        <f t="shared" si="8"/>
        <v>Normal</v>
      </c>
      <c r="Q101" s="12">
        <f t="shared" si="9"/>
        <v>16</v>
      </c>
      <c r="R101" s="12" t="str">
        <f t="shared" si="10"/>
        <v>CE</v>
      </c>
    </row>
    <row r="102" spans="1:18" ht="15.75" customHeight="1" x14ac:dyDescent="0.3">
      <c r="A102" s="1" t="s">
        <v>192</v>
      </c>
      <c r="B102" s="10">
        <v>45534</v>
      </c>
      <c r="C102" s="11" t="s">
        <v>485</v>
      </c>
      <c r="D102" s="1" t="s">
        <v>193</v>
      </c>
      <c r="E102" s="1" t="s">
        <v>68</v>
      </c>
      <c r="F102" s="1" t="s">
        <v>69</v>
      </c>
      <c r="G102" s="1" t="s">
        <v>19</v>
      </c>
      <c r="H102" s="1">
        <v>2</v>
      </c>
      <c r="I102" s="1">
        <v>699.99</v>
      </c>
      <c r="J102" s="1" t="s">
        <v>25</v>
      </c>
      <c r="K102" s="1" t="s">
        <v>37</v>
      </c>
      <c r="L102" s="1" t="s">
        <v>26</v>
      </c>
      <c r="M102" s="10">
        <v>44421</v>
      </c>
      <c r="N102" s="1">
        <v>1399.98</v>
      </c>
      <c r="O102" s="1">
        <f t="shared" si="7"/>
        <v>6349.83</v>
      </c>
      <c r="P102" s="12" t="str">
        <f t="shared" si="8"/>
        <v>Normal</v>
      </c>
      <c r="Q102" s="12">
        <f t="shared" si="9"/>
        <v>31</v>
      </c>
      <c r="R102" s="12" t="str">
        <f t="shared" si="10"/>
        <v>SP</v>
      </c>
    </row>
    <row r="103" spans="1:18" ht="15.75" customHeight="1" x14ac:dyDescent="0.3">
      <c r="A103" s="1" t="s">
        <v>194</v>
      </c>
      <c r="B103" s="10">
        <v>45537</v>
      </c>
      <c r="C103" s="11" t="s">
        <v>486</v>
      </c>
      <c r="D103" s="1" t="s">
        <v>191</v>
      </c>
      <c r="E103" s="1" t="s">
        <v>17</v>
      </c>
      <c r="F103" s="1" t="s">
        <v>18</v>
      </c>
      <c r="G103" s="1" t="s">
        <v>19</v>
      </c>
      <c r="H103" s="1">
        <v>1</v>
      </c>
      <c r="I103" s="1">
        <v>249.99</v>
      </c>
      <c r="J103" s="1" t="s">
        <v>25</v>
      </c>
      <c r="K103" s="1" t="s">
        <v>45</v>
      </c>
      <c r="L103" s="1" t="s">
        <v>26</v>
      </c>
      <c r="M103" s="10">
        <v>44685</v>
      </c>
      <c r="N103" s="1">
        <v>249.99</v>
      </c>
      <c r="O103" s="1">
        <f t="shared" si="7"/>
        <v>1149.93</v>
      </c>
      <c r="P103" s="12" t="str">
        <f t="shared" si="8"/>
        <v>Normal</v>
      </c>
      <c r="Q103" s="12">
        <f t="shared" si="9"/>
        <v>26</v>
      </c>
      <c r="R103" s="12" t="str">
        <f t="shared" si="10"/>
        <v>CE</v>
      </c>
    </row>
    <row r="104" spans="1:18" ht="15.75" customHeight="1" x14ac:dyDescent="0.3">
      <c r="A104" s="1" t="s">
        <v>195</v>
      </c>
      <c r="B104" s="10">
        <v>45537</v>
      </c>
      <c r="C104" s="11" t="s">
        <v>487</v>
      </c>
      <c r="D104" s="1" t="s">
        <v>16</v>
      </c>
      <c r="E104" s="1" t="s">
        <v>17</v>
      </c>
      <c r="F104" s="1" t="s">
        <v>18</v>
      </c>
      <c r="G104" s="1" t="s">
        <v>19</v>
      </c>
      <c r="H104" s="1">
        <v>1</v>
      </c>
      <c r="I104" s="1">
        <v>249.99</v>
      </c>
      <c r="J104" s="1" t="s">
        <v>51</v>
      </c>
      <c r="K104" s="1" t="s">
        <v>37</v>
      </c>
      <c r="L104" s="1" t="s">
        <v>26</v>
      </c>
      <c r="M104" s="10">
        <v>45332</v>
      </c>
      <c r="N104" s="1">
        <v>249.99</v>
      </c>
      <c r="O104" s="1">
        <f t="shared" si="7"/>
        <v>8309.739999999998</v>
      </c>
      <c r="P104" s="12" t="str">
        <f t="shared" si="8"/>
        <v>Normal</v>
      </c>
      <c r="Q104" s="12">
        <f t="shared" si="9"/>
        <v>26</v>
      </c>
      <c r="R104" s="12" t="str">
        <f t="shared" si="10"/>
        <v>PB</v>
      </c>
    </row>
    <row r="105" spans="1:18" ht="15.75" customHeight="1" x14ac:dyDescent="0.3">
      <c r="A105" s="1" t="s">
        <v>196</v>
      </c>
      <c r="B105" s="10">
        <v>45538</v>
      </c>
      <c r="C105" s="11" t="s">
        <v>488</v>
      </c>
      <c r="D105" s="1" t="s">
        <v>187</v>
      </c>
      <c r="E105" s="1" t="s">
        <v>68</v>
      </c>
      <c r="F105" s="1" t="s">
        <v>69</v>
      </c>
      <c r="G105" s="1" t="s">
        <v>19</v>
      </c>
      <c r="H105" s="1">
        <v>2</v>
      </c>
      <c r="I105" s="1">
        <v>699.99</v>
      </c>
      <c r="J105" s="1" t="s">
        <v>51</v>
      </c>
      <c r="K105" s="1" t="s">
        <v>21</v>
      </c>
      <c r="L105" s="1" t="s">
        <v>26</v>
      </c>
      <c r="M105" s="10">
        <v>44870</v>
      </c>
      <c r="N105" s="1">
        <v>1399.98</v>
      </c>
      <c r="O105" s="1">
        <f t="shared" si="7"/>
        <v>6989.7699999999986</v>
      </c>
      <c r="P105" s="12" t="str">
        <f t="shared" si="8"/>
        <v>Normal</v>
      </c>
      <c r="Q105" s="12">
        <f t="shared" si="9"/>
        <v>31</v>
      </c>
      <c r="R105" s="12" t="str">
        <f t="shared" si="10"/>
        <v>LR</v>
      </c>
    </row>
    <row r="106" spans="1:18" ht="15.75" customHeight="1" x14ac:dyDescent="0.3">
      <c r="A106" s="1" t="s">
        <v>197</v>
      </c>
      <c r="B106" s="10">
        <v>45541</v>
      </c>
      <c r="C106" s="11" t="s">
        <v>489</v>
      </c>
      <c r="D106" s="1" t="s">
        <v>113</v>
      </c>
      <c r="E106" s="1" t="s">
        <v>29</v>
      </c>
      <c r="F106" s="1" t="s">
        <v>30</v>
      </c>
      <c r="G106" s="1" t="s">
        <v>31</v>
      </c>
      <c r="H106" s="1">
        <v>3</v>
      </c>
      <c r="I106" s="1">
        <v>59.99</v>
      </c>
      <c r="J106" s="1" t="s">
        <v>25</v>
      </c>
      <c r="K106" s="1" t="s">
        <v>21</v>
      </c>
      <c r="L106" s="1" t="s">
        <v>26</v>
      </c>
      <c r="M106" s="10">
        <v>44717</v>
      </c>
      <c r="N106" s="1">
        <v>179.97</v>
      </c>
      <c r="O106" s="1">
        <f t="shared" si="7"/>
        <v>2649.83</v>
      </c>
      <c r="P106" s="12" t="str">
        <f t="shared" si="8"/>
        <v>Normal</v>
      </c>
      <c r="Q106" s="12">
        <f t="shared" si="9"/>
        <v>29</v>
      </c>
      <c r="R106" s="12" t="str">
        <f t="shared" si="10"/>
        <v>ST</v>
      </c>
    </row>
    <row r="107" spans="1:18" ht="15.75" customHeight="1" x14ac:dyDescent="0.3">
      <c r="A107" s="1" t="s">
        <v>198</v>
      </c>
      <c r="B107" s="10">
        <v>45544</v>
      </c>
      <c r="C107" s="11" t="s">
        <v>490</v>
      </c>
      <c r="D107" s="1" t="s">
        <v>108</v>
      </c>
      <c r="E107" s="1" t="s">
        <v>29</v>
      </c>
      <c r="F107" s="1" t="s">
        <v>30</v>
      </c>
      <c r="G107" s="1" t="s">
        <v>31</v>
      </c>
      <c r="H107" s="1">
        <v>3</v>
      </c>
      <c r="I107" s="1">
        <v>59.99</v>
      </c>
      <c r="J107" s="1" t="s">
        <v>32</v>
      </c>
      <c r="K107" s="1" t="s">
        <v>56</v>
      </c>
      <c r="L107" s="1" t="s">
        <v>34</v>
      </c>
      <c r="M107" s="10">
        <v>44748</v>
      </c>
      <c r="N107" s="1">
        <v>179.97</v>
      </c>
      <c r="O107" s="1">
        <f t="shared" si="7"/>
        <v>1229.8800000000001</v>
      </c>
      <c r="P107" s="12" t="str">
        <f t="shared" si="8"/>
        <v>Normal</v>
      </c>
      <c r="Q107" s="12">
        <f t="shared" si="9"/>
        <v>29</v>
      </c>
      <c r="R107" s="12" t="str">
        <f t="shared" si="10"/>
        <v>EW</v>
      </c>
    </row>
    <row r="108" spans="1:18" ht="15.75" customHeight="1" x14ac:dyDescent="0.3">
      <c r="A108" s="1" t="s">
        <v>199</v>
      </c>
      <c r="B108" s="10">
        <v>45544</v>
      </c>
      <c r="C108" s="11" t="s">
        <v>491</v>
      </c>
      <c r="D108" s="1" t="s">
        <v>115</v>
      </c>
      <c r="E108" s="1" t="s">
        <v>93</v>
      </c>
      <c r="F108" s="1" t="s">
        <v>94</v>
      </c>
      <c r="G108" s="1" t="s">
        <v>31</v>
      </c>
      <c r="H108" s="1">
        <v>4</v>
      </c>
      <c r="I108" s="1">
        <v>79.989999999999995</v>
      </c>
      <c r="J108" s="1" t="s">
        <v>20</v>
      </c>
      <c r="K108" s="1" t="s">
        <v>37</v>
      </c>
      <c r="L108" s="1" t="s">
        <v>22</v>
      </c>
      <c r="M108" s="10">
        <v>44530</v>
      </c>
      <c r="N108" s="1">
        <v>319.95999999999998</v>
      </c>
      <c r="O108" s="1">
        <f t="shared" si="7"/>
        <v>4739.8500000000004</v>
      </c>
      <c r="P108" s="12" t="str">
        <f t="shared" si="8"/>
        <v>Normal</v>
      </c>
      <c r="Q108" s="12">
        <f t="shared" si="9"/>
        <v>14</v>
      </c>
      <c r="R108" s="12" t="str">
        <f t="shared" si="10"/>
        <v>JT</v>
      </c>
    </row>
    <row r="109" spans="1:18" ht="15.75" customHeight="1" x14ac:dyDescent="0.3">
      <c r="A109" s="1" t="s">
        <v>200</v>
      </c>
      <c r="B109" s="10">
        <v>45545</v>
      </c>
      <c r="C109" s="11" t="s">
        <v>492</v>
      </c>
      <c r="D109" s="1" t="s">
        <v>50</v>
      </c>
      <c r="E109" s="1" t="s">
        <v>93</v>
      </c>
      <c r="F109" s="1" t="s">
        <v>94</v>
      </c>
      <c r="G109" s="1" t="s">
        <v>31</v>
      </c>
      <c r="H109" s="1">
        <v>1</v>
      </c>
      <c r="I109" s="1">
        <v>79.989999999999995</v>
      </c>
      <c r="J109" s="1" t="s">
        <v>20</v>
      </c>
      <c r="K109" s="1" t="s">
        <v>45</v>
      </c>
      <c r="L109" s="1" t="s">
        <v>22</v>
      </c>
      <c r="M109" s="10">
        <v>44693</v>
      </c>
      <c r="N109" s="1">
        <v>79.989999999999995</v>
      </c>
      <c r="O109" s="1">
        <f t="shared" si="7"/>
        <v>5089.7300000000005</v>
      </c>
      <c r="P109" s="12" t="str">
        <f t="shared" si="8"/>
        <v>Normal</v>
      </c>
      <c r="Q109" s="12">
        <f t="shared" si="9"/>
        <v>14</v>
      </c>
      <c r="R109" s="12" t="str">
        <f t="shared" si="10"/>
        <v>CA</v>
      </c>
    </row>
    <row r="110" spans="1:18" ht="15.75" customHeight="1" x14ac:dyDescent="0.3">
      <c r="A110" s="1" t="s">
        <v>201</v>
      </c>
      <c r="B110" s="10">
        <v>45547</v>
      </c>
      <c r="C110" s="11" t="s">
        <v>493</v>
      </c>
      <c r="D110" s="1" t="s">
        <v>44</v>
      </c>
      <c r="E110" s="1" t="s">
        <v>86</v>
      </c>
      <c r="F110" s="1" t="s">
        <v>87</v>
      </c>
      <c r="G110" s="1" t="s">
        <v>42</v>
      </c>
      <c r="H110" s="1">
        <v>3</v>
      </c>
      <c r="I110" s="1">
        <v>299.99</v>
      </c>
      <c r="J110" s="1" t="s">
        <v>25</v>
      </c>
      <c r="K110" s="1" t="s">
        <v>21</v>
      </c>
      <c r="L110" s="1" t="s">
        <v>26</v>
      </c>
      <c r="M110" s="10">
        <v>44494</v>
      </c>
      <c r="N110" s="1">
        <v>899.97</v>
      </c>
      <c r="O110" s="1">
        <f t="shared" si="7"/>
        <v>8269.7900000000009</v>
      </c>
      <c r="P110" s="12" t="str">
        <f t="shared" si="8"/>
        <v>Normal</v>
      </c>
      <c r="Q110" s="12">
        <f t="shared" si="9"/>
        <v>26</v>
      </c>
      <c r="R110" s="12" t="str">
        <f t="shared" si="10"/>
        <v>DN</v>
      </c>
    </row>
    <row r="111" spans="1:18" ht="15.75" customHeight="1" x14ac:dyDescent="0.3">
      <c r="A111" s="1" t="s">
        <v>202</v>
      </c>
      <c r="B111" s="10">
        <v>45548</v>
      </c>
      <c r="C111" s="11" t="s">
        <v>494</v>
      </c>
      <c r="D111" s="1" t="s">
        <v>36</v>
      </c>
      <c r="E111" s="1" t="s">
        <v>96</v>
      </c>
      <c r="F111" s="1" t="s">
        <v>97</v>
      </c>
      <c r="G111" s="1" t="s">
        <v>19</v>
      </c>
      <c r="H111" s="1">
        <v>2</v>
      </c>
      <c r="I111" s="1">
        <v>89.99</v>
      </c>
      <c r="J111" s="1" t="s">
        <v>25</v>
      </c>
      <c r="K111" s="1" t="s">
        <v>33</v>
      </c>
      <c r="L111" s="1" t="s">
        <v>26</v>
      </c>
      <c r="M111" s="10">
        <v>44641</v>
      </c>
      <c r="N111" s="1">
        <v>179.98</v>
      </c>
      <c r="O111" s="1">
        <f t="shared" si="7"/>
        <v>4309.8099999999995</v>
      </c>
      <c r="P111" s="12" t="str">
        <f t="shared" si="8"/>
        <v>Normal</v>
      </c>
      <c r="Q111" s="12">
        <f t="shared" si="9"/>
        <v>34</v>
      </c>
      <c r="R111" s="12" t="str">
        <f t="shared" si="10"/>
        <v>KB</v>
      </c>
    </row>
    <row r="112" spans="1:18" ht="15.75" customHeight="1" x14ac:dyDescent="0.3">
      <c r="A112" s="1" t="s">
        <v>203</v>
      </c>
      <c r="B112" s="10">
        <v>45550</v>
      </c>
      <c r="C112" s="11" t="s">
        <v>495</v>
      </c>
      <c r="D112" s="1" t="s">
        <v>204</v>
      </c>
      <c r="E112" s="1" t="s">
        <v>47</v>
      </c>
      <c r="F112" s="1" t="s">
        <v>48</v>
      </c>
      <c r="G112" s="1" t="s">
        <v>19</v>
      </c>
      <c r="H112" s="1">
        <v>4</v>
      </c>
      <c r="I112" s="1">
        <v>149.99</v>
      </c>
      <c r="J112" s="1" t="s">
        <v>20</v>
      </c>
      <c r="K112" s="1" t="s">
        <v>37</v>
      </c>
      <c r="L112" s="1" t="s">
        <v>22</v>
      </c>
      <c r="M112" s="10">
        <v>44909</v>
      </c>
      <c r="N112" s="1">
        <v>599.96</v>
      </c>
      <c r="O112" s="1">
        <f t="shared" si="7"/>
        <v>1749.92</v>
      </c>
      <c r="P112" s="12" t="str">
        <f t="shared" si="8"/>
        <v>Normal</v>
      </c>
      <c r="Q112" s="12">
        <f t="shared" si="9"/>
        <v>16</v>
      </c>
      <c r="R112" s="12" t="str">
        <f t="shared" si="10"/>
        <v>RB</v>
      </c>
    </row>
    <row r="113" spans="1:18" ht="15.75" customHeight="1" x14ac:dyDescent="0.3">
      <c r="A113" s="1" t="s">
        <v>205</v>
      </c>
      <c r="B113" s="10">
        <v>45551</v>
      </c>
      <c r="C113" s="11" t="s">
        <v>496</v>
      </c>
      <c r="D113" s="1" t="s">
        <v>58</v>
      </c>
      <c r="E113" s="1" t="s">
        <v>17</v>
      </c>
      <c r="F113" s="1" t="s">
        <v>18</v>
      </c>
      <c r="G113" s="1" t="s">
        <v>19</v>
      </c>
      <c r="H113" s="1">
        <v>2</v>
      </c>
      <c r="I113" s="1">
        <v>249.99</v>
      </c>
      <c r="J113" s="1" t="s">
        <v>32</v>
      </c>
      <c r="K113" s="1" t="s">
        <v>33</v>
      </c>
      <c r="L113" s="1" t="s">
        <v>22</v>
      </c>
      <c r="M113" s="10">
        <v>44993</v>
      </c>
      <c r="N113" s="1">
        <v>499.98</v>
      </c>
      <c r="O113" s="1">
        <f t="shared" si="7"/>
        <v>8009.7699999999995</v>
      </c>
      <c r="P113" s="12" t="str">
        <f t="shared" si="8"/>
        <v>Normal</v>
      </c>
      <c r="Q113" s="12">
        <f t="shared" si="9"/>
        <v>26</v>
      </c>
      <c r="R113" s="12" t="str">
        <f t="shared" si="10"/>
        <v>KH</v>
      </c>
    </row>
    <row r="114" spans="1:18" ht="15.75" customHeight="1" x14ac:dyDescent="0.3">
      <c r="A114" s="1" t="s">
        <v>206</v>
      </c>
      <c r="B114" s="10">
        <v>45551</v>
      </c>
      <c r="C114" s="11" t="s">
        <v>497</v>
      </c>
      <c r="D114" s="1" t="s">
        <v>124</v>
      </c>
      <c r="E114" s="1" t="s">
        <v>103</v>
      </c>
      <c r="F114" s="1" t="s">
        <v>104</v>
      </c>
      <c r="G114" s="1" t="s">
        <v>42</v>
      </c>
      <c r="H114" s="1">
        <v>4</v>
      </c>
      <c r="I114" s="1">
        <v>199.99</v>
      </c>
      <c r="J114" s="1" t="s">
        <v>51</v>
      </c>
      <c r="K114" s="1" t="s">
        <v>56</v>
      </c>
      <c r="L114" s="1" t="s">
        <v>22</v>
      </c>
      <c r="M114" s="10">
        <v>44458</v>
      </c>
      <c r="N114" s="1">
        <v>799.96</v>
      </c>
      <c r="O114" s="1">
        <f t="shared" si="7"/>
        <v>5499.8099999999995</v>
      </c>
      <c r="P114" s="12" t="str">
        <f t="shared" si="8"/>
        <v>Normal</v>
      </c>
      <c r="Q114" s="12">
        <f t="shared" si="9"/>
        <v>15</v>
      </c>
      <c r="R114" s="12" t="str">
        <f t="shared" si="10"/>
        <v>SD</v>
      </c>
    </row>
    <row r="115" spans="1:18" ht="15.75" customHeight="1" x14ac:dyDescent="0.3">
      <c r="A115" s="1" t="s">
        <v>207</v>
      </c>
      <c r="B115" s="10">
        <v>45554</v>
      </c>
      <c r="C115" s="11" t="s">
        <v>498</v>
      </c>
      <c r="D115" s="1" t="s">
        <v>119</v>
      </c>
      <c r="E115" s="1" t="s">
        <v>96</v>
      </c>
      <c r="F115" s="1" t="s">
        <v>97</v>
      </c>
      <c r="G115" s="1" t="s">
        <v>19</v>
      </c>
      <c r="H115" s="1">
        <v>5</v>
      </c>
      <c r="I115" s="1">
        <v>89.99</v>
      </c>
      <c r="J115" s="1" t="s">
        <v>25</v>
      </c>
      <c r="K115" s="1" t="s">
        <v>56</v>
      </c>
      <c r="L115" s="1" t="s">
        <v>26</v>
      </c>
      <c r="M115" s="10">
        <v>44446</v>
      </c>
      <c r="N115" s="1">
        <v>449.95</v>
      </c>
      <c r="O115" s="1">
        <f t="shared" si="7"/>
        <v>7309.7999999999993</v>
      </c>
      <c r="P115" s="12" t="str">
        <f t="shared" si="8"/>
        <v>Normal</v>
      </c>
      <c r="Q115" s="12">
        <f t="shared" si="9"/>
        <v>34</v>
      </c>
      <c r="R115" s="12" t="str">
        <f t="shared" si="10"/>
        <v>DK</v>
      </c>
    </row>
    <row r="116" spans="1:18" ht="15.75" customHeight="1" x14ac:dyDescent="0.3">
      <c r="A116" s="1" t="s">
        <v>208</v>
      </c>
      <c r="B116" s="10">
        <v>45554</v>
      </c>
      <c r="C116" s="11" t="s">
        <v>499</v>
      </c>
      <c r="D116" s="1" t="s">
        <v>209</v>
      </c>
      <c r="E116" s="1" t="s">
        <v>47</v>
      </c>
      <c r="F116" s="1" t="s">
        <v>48</v>
      </c>
      <c r="G116" s="1" t="s">
        <v>19</v>
      </c>
      <c r="H116" s="1">
        <v>1</v>
      </c>
      <c r="I116" s="1">
        <v>149.99</v>
      </c>
      <c r="J116" s="1" t="s">
        <v>32</v>
      </c>
      <c r="K116" s="1" t="s">
        <v>56</v>
      </c>
      <c r="L116" s="1" t="s">
        <v>34</v>
      </c>
      <c r="M116" s="10">
        <v>44482</v>
      </c>
      <c r="N116" s="1">
        <v>149.99</v>
      </c>
      <c r="O116" s="1">
        <f t="shared" si="7"/>
        <v>4749.91</v>
      </c>
      <c r="P116" s="12" t="str">
        <f t="shared" si="8"/>
        <v>Normal</v>
      </c>
      <c r="Q116" s="12">
        <f t="shared" si="9"/>
        <v>16</v>
      </c>
      <c r="R116" s="12" t="str">
        <f t="shared" si="10"/>
        <v>WW</v>
      </c>
    </row>
    <row r="117" spans="1:18" ht="15.75" customHeight="1" x14ac:dyDescent="0.3">
      <c r="A117" s="1" t="s">
        <v>210</v>
      </c>
      <c r="B117" s="10">
        <v>45554</v>
      </c>
      <c r="C117" s="11" t="s">
        <v>500</v>
      </c>
      <c r="D117" s="1" t="s">
        <v>63</v>
      </c>
      <c r="E117" s="1" t="s">
        <v>68</v>
      </c>
      <c r="F117" s="1" t="s">
        <v>69</v>
      </c>
      <c r="G117" s="1" t="s">
        <v>19</v>
      </c>
      <c r="H117" s="1">
        <v>4</v>
      </c>
      <c r="I117" s="1">
        <v>699.99</v>
      </c>
      <c r="J117" s="1" t="s">
        <v>32</v>
      </c>
      <c r="K117" s="1" t="s">
        <v>33</v>
      </c>
      <c r="L117" s="1" t="s">
        <v>22</v>
      </c>
      <c r="M117" s="10">
        <v>44618</v>
      </c>
      <c r="N117" s="1">
        <v>2799.96</v>
      </c>
      <c r="O117" s="1">
        <f t="shared" si="7"/>
        <v>5949.85</v>
      </c>
      <c r="P117" s="12" t="str">
        <f t="shared" si="8"/>
        <v>Normal</v>
      </c>
      <c r="Q117" s="12">
        <f t="shared" si="9"/>
        <v>31</v>
      </c>
      <c r="R117" s="12" t="str">
        <f t="shared" si="10"/>
        <v>PR</v>
      </c>
    </row>
    <row r="118" spans="1:18" ht="15.75" customHeight="1" x14ac:dyDescent="0.3">
      <c r="A118" s="1" t="s">
        <v>211</v>
      </c>
      <c r="B118" s="10">
        <v>45559</v>
      </c>
      <c r="C118" s="11" t="s">
        <v>501</v>
      </c>
      <c r="D118" s="1" t="s">
        <v>193</v>
      </c>
      <c r="E118" s="1" t="s">
        <v>54</v>
      </c>
      <c r="F118" s="1" t="s">
        <v>55</v>
      </c>
      <c r="G118" s="1" t="s">
        <v>19</v>
      </c>
      <c r="H118" s="1">
        <v>3</v>
      </c>
      <c r="I118" s="1">
        <v>899.99</v>
      </c>
      <c r="J118" s="1" t="s">
        <v>25</v>
      </c>
      <c r="K118" s="1" t="s">
        <v>37</v>
      </c>
      <c r="L118" s="1" t="s">
        <v>34</v>
      </c>
      <c r="M118" s="10">
        <v>45157</v>
      </c>
      <c r="N118" s="1">
        <v>2699.97</v>
      </c>
      <c r="O118" s="1">
        <f t="shared" si="7"/>
        <v>6349.83</v>
      </c>
      <c r="P118" s="12" t="str">
        <f t="shared" si="8"/>
        <v>Normal</v>
      </c>
      <c r="Q118" s="12">
        <f t="shared" si="9"/>
        <v>24</v>
      </c>
      <c r="R118" s="12" t="str">
        <f t="shared" si="10"/>
        <v>SP</v>
      </c>
    </row>
    <row r="119" spans="1:18" ht="15.75" customHeight="1" x14ac:dyDescent="0.3">
      <c r="A119" s="1" t="s">
        <v>212</v>
      </c>
      <c r="B119" s="10">
        <v>45560</v>
      </c>
      <c r="C119" s="11" t="s">
        <v>502</v>
      </c>
      <c r="D119" s="1" t="s">
        <v>92</v>
      </c>
      <c r="E119" s="1" t="s">
        <v>40</v>
      </c>
      <c r="F119" s="1" t="s">
        <v>41</v>
      </c>
      <c r="G119" s="1" t="s">
        <v>42</v>
      </c>
      <c r="H119" s="1">
        <v>3</v>
      </c>
      <c r="I119" s="1">
        <v>149.99</v>
      </c>
      <c r="J119" s="1" t="s">
        <v>32</v>
      </c>
      <c r="K119" s="1" t="s">
        <v>56</v>
      </c>
      <c r="L119" s="1" t="s">
        <v>22</v>
      </c>
      <c r="M119" s="10">
        <v>44886</v>
      </c>
      <c r="N119" s="1">
        <v>449.97</v>
      </c>
      <c r="O119" s="1">
        <f t="shared" si="7"/>
        <v>1289.9000000000001</v>
      </c>
      <c r="P119" s="12" t="str">
        <f t="shared" si="8"/>
        <v>Normal</v>
      </c>
      <c r="Q119" s="12">
        <f t="shared" si="9"/>
        <v>35</v>
      </c>
      <c r="R119" s="12" t="str">
        <f t="shared" si="10"/>
        <v>LM</v>
      </c>
    </row>
    <row r="120" spans="1:18" ht="15.75" customHeight="1" x14ac:dyDescent="0.3">
      <c r="A120" s="1" t="s">
        <v>213</v>
      </c>
      <c r="B120" s="10">
        <v>45563</v>
      </c>
      <c r="C120" s="11" t="s">
        <v>503</v>
      </c>
      <c r="D120" s="1" t="s">
        <v>82</v>
      </c>
      <c r="E120" s="1" t="s">
        <v>86</v>
      </c>
      <c r="F120" s="1" t="s">
        <v>87</v>
      </c>
      <c r="G120" s="1" t="s">
        <v>42</v>
      </c>
      <c r="H120" s="1">
        <v>2</v>
      </c>
      <c r="I120" s="1">
        <v>299.99</v>
      </c>
      <c r="J120" s="1" t="s">
        <v>51</v>
      </c>
      <c r="K120" s="1" t="s">
        <v>21</v>
      </c>
      <c r="L120" s="1" t="s">
        <v>22</v>
      </c>
      <c r="M120" s="10">
        <v>44569</v>
      </c>
      <c r="N120" s="1">
        <v>599.98</v>
      </c>
      <c r="O120" s="1">
        <f t="shared" si="7"/>
        <v>9799.73</v>
      </c>
      <c r="P120" s="12" t="str">
        <f t="shared" si="8"/>
        <v>Normal</v>
      </c>
      <c r="Q120" s="12">
        <f t="shared" si="9"/>
        <v>26</v>
      </c>
      <c r="R120" s="12" t="str">
        <f t="shared" si="10"/>
        <v>PM</v>
      </c>
    </row>
    <row r="121" spans="1:18" ht="15.75" customHeight="1" x14ac:dyDescent="0.3">
      <c r="A121" s="1" t="s">
        <v>214</v>
      </c>
      <c r="B121" s="10">
        <v>45564</v>
      </c>
      <c r="C121" s="11" t="s">
        <v>504</v>
      </c>
      <c r="D121" s="1" t="s">
        <v>215</v>
      </c>
      <c r="E121" s="1" t="s">
        <v>103</v>
      </c>
      <c r="F121" s="1" t="s">
        <v>104</v>
      </c>
      <c r="G121" s="1" t="s">
        <v>42</v>
      </c>
      <c r="H121" s="1">
        <v>1</v>
      </c>
      <c r="I121" s="1">
        <v>199.99</v>
      </c>
      <c r="J121" s="1" t="s">
        <v>51</v>
      </c>
      <c r="K121" s="1" t="s">
        <v>56</v>
      </c>
      <c r="L121" s="1" t="s">
        <v>34</v>
      </c>
      <c r="M121" s="10">
        <v>44953</v>
      </c>
      <c r="N121" s="1">
        <v>199.99</v>
      </c>
      <c r="O121" s="1">
        <f t="shared" si="7"/>
        <v>739.93000000000006</v>
      </c>
      <c r="P121" s="12" t="str">
        <f t="shared" si="8"/>
        <v>Normal</v>
      </c>
      <c r="Q121" s="12">
        <f t="shared" si="9"/>
        <v>15</v>
      </c>
      <c r="R121" s="12" t="str">
        <f t="shared" si="10"/>
        <v>RL</v>
      </c>
    </row>
    <row r="122" spans="1:18" ht="15.75" customHeight="1" x14ac:dyDescent="0.3">
      <c r="A122" s="1" t="s">
        <v>216</v>
      </c>
      <c r="B122" s="10">
        <v>45566</v>
      </c>
      <c r="C122" s="11" t="s">
        <v>505</v>
      </c>
      <c r="D122" s="1" t="s">
        <v>39</v>
      </c>
      <c r="E122" s="1" t="s">
        <v>86</v>
      </c>
      <c r="F122" s="1" t="s">
        <v>87</v>
      </c>
      <c r="G122" s="1" t="s">
        <v>42</v>
      </c>
      <c r="H122" s="1">
        <v>4</v>
      </c>
      <c r="I122" s="1">
        <v>299.99</v>
      </c>
      <c r="J122" s="1" t="s">
        <v>20</v>
      </c>
      <c r="K122" s="1" t="s">
        <v>21</v>
      </c>
      <c r="L122" s="1" t="s">
        <v>26</v>
      </c>
      <c r="M122" s="10">
        <v>44460</v>
      </c>
      <c r="N122" s="1">
        <v>1199.96</v>
      </c>
      <c r="O122" s="1">
        <f t="shared" si="7"/>
        <v>6169.7400000000007</v>
      </c>
      <c r="P122" s="12" t="str">
        <f t="shared" si="8"/>
        <v>Normal</v>
      </c>
      <c r="Q122" s="12">
        <f t="shared" si="9"/>
        <v>26</v>
      </c>
      <c r="R122" s="12" t="str">
        <f t="shared" si="10"/>
        <v>MB</v>
      </c>
    </row>
    <row r="123" spans="1:18" ht="15.75" customHeight="1" x14ac:dyDescent="0.3">
      <c r="A123" s="1" t="s">
        <v>217</v>
      </c>
      <c r="B123" s="10">
        <v>45572</v>
      </c>
      <c r="C123" s="11" t="s">
        <v>506</v>
      </c>
      <c r="D123" s="1" t="s">
        <v>75</v>
      </c>
      <c r="E123" s="1" t="s">
        <v>29</v>
      </c>
      <c r="F123" s="1" t="s">
        <v>30</v>
      </c>
      <c r="G123" s="1" t="s">
        <v>31</v>
      </c>
      <c r="H123" s="1">
        <v>2</v>
      </c>
      <c r="I123" s="1">
        <v>59.99</v>
      </c>
      <c r="J123" s="1" t="s">
        <v>25</v>
      </c>
      <c r="K123" s="1" t="s">
        <v>21</v>
      </c>
      <c r="L123" s="1" t="s">
        <v>22</v>
      </c>
      <c r="M123" s="10">
        <v>44579</v>
      </c>
      <c r="N123" s="1">
        <v>119.98</v>
      </c>
      <c r="O123" s="1">
        <f t="shared" si="7"/>
        <v>1909.93</v>
      </c>
      <c r="P123" s="12" t="str">
        <f t="shared" si="8"/>
        <v>Normal</v>
      </c>
      <c r="Q123" s="12">
        <f t="shared" si="9"/>
        <v>29</v>
      </c>
      <c r="R123" s="12" t="str">
        <f t="shared" si="10"/>
        <v>MG</v>
      </c>
    </row>
    <row r="124" spans="1:18" ht="15.75" customHeight="1" x14ac:dyDescent="0.3">
      <c r="A124" s="1" t="s">
        <v>218</v>
      </c>
      <c r="B124" s="10">
        <v>45572</v>
      </c>
      <c r="C124" s="11" t="s">
        <v>507</v>
      </c>
      <c r="D124" s="1" t="s">
        <v>193</v>
      </c>
      <c r="E124" s="1" t="s">
        <v>47</v>
      </c>
      <c r="F124" s="1" t="s">
        <v>48</v>
      </c>
      <c r="G124" s="1" t="s">
        <v>19</v>
      </c>
      <c r="H124" s="1">
        <v>4</v>
      </c>
      <c r="I124" s="1">
        <v>149.99</v>
      </c>
      <c r="J124" s="1" t="s">
        <v>25</v>
      </c>
      <c r="K124" s="1" t="s">
        <v>37</v>
      </c>
      <c r="L124" s="1" t="s">
        <v>26</v>
      </c>
      <c r="M124" s="10">
        <v>45076</v>
      </c>
      <c r="N124" s="1">
        <v>599.96</v>
      </c>
      <c r="O124" s="1">
        <f t="shared" si="7"/>
        <v>6349.83</v>
      </c>
      <c r="P124" s="12" t="str">
        <f t="shared" si="8"/>
        <v>Normal</v>
      </c>
      <c r="Q124" s="12">
        <f t="shared" si="9"/>
        <v>16</v>
      </c>
      <c r="R124" s="12" t="str">
        <f t="shared" si="10"/>
        <v>SP</v>
      </c>
    </row>
    <row r="125" spans="1:18" ht="15.75" customHeight="1" x14ac:dyDescent="0.3">
      <c r="A125" s="1" t="s">
        <v>219</v>
      </c>
      <c r="B125" s="10">
        <v>45573</v>
      </c>
      <c r="C125" s="11" t="s">
        <v>508</v>
      </c>
      <c r="D125" s="1" t="s">
        <v>173</v>
      </c>
      <c r="E125" s="1" t="s">
        <v>68</v>
      </c>
      <c r="F125" s="1" t="s">
        <v>69</v>
      </c>
      <c r="G125" s="1" t="s">
        <v>19</v>
      </c>
      <c r="H125" s="1">
        <v>2</v>
      </c>
      <c r="I125" s="1">
        <v>699.99</v>
      </c>
      <c r="J125" s="1" t="s">
        <v>51</v>
      </c>
      <c r="K125" s="1" t="s">
        <v>56</v>
      </c>
      <c r="L125" s="1" t="s">
        <v>26</v>
      </c>
      <c r="M125" s="10">
        <v>45274</v>
      </c>
      <c r="N125" s="1">
        <v>1399.98</v>
      </c>
      <c r="O125" s="1">
        <f t="shared" si="7"/>
        <v>3649.8599999999997</v>
      </c>
      <c r="P125" s="12" t="str">
        <f t="shared" si="8"/>
        <v>Normal</v>
      </c>
      <c r="Q125" s="12">
        <f t="shared" si="9"/>
        <v>31</v>
      </c>
      <c r="R125" s="12" t="str">
        <f t="shared" si="10"/>
        <v>EH</v>
      </c>
    </row>
    <row r="126" spans="1:18" ht="15.75" customHeight="1" x14ac:dyDescent="0.3">
      <c r="A126" s="1" t="s">
        <v>220</v>
      </c>
      <c r="B126" s="10">
        <v>45573</v>
      </c>
      <c r="C126" s="11" t="s">
        <v>509</v>
      </c>
      <c r="D126" s="1" t="s">
        <v>191</v>
      </c>
      <c r="E126" s="1" t="s">
        <v>40</v>
      </c>
      <c r="F126" s="1" t="s">
        <v>41</v>
      </c>
      <c r="G126" s="1" t="s">
        <v>42</v>
      </c>
      <c r="H126" s="1">
        <v>3</v>
      </c>
      <c r="I126" s="1">
        <v>149.99</v>
      </c>
      <c r="J126" s="1" t="s">
        <v>25</v>
      </c>
      <c r="K126" s="1" t="s">
        <v>33</v>
      </c>
      <c r="L126" s="1" t="s">
        <v>34</v>
      </c>
      <c r="M126" s="10">
        <v>44940</v>
      </c>
      <c r="N126" s="1">
        <v>449.97</v>
      </c>
      <c r="O126" s="1">
        <f t="shared" si="7"/>
        <v>1149.93</v>
      </c>
      <c r="P126" s="12" t="str">
        <f t="shared" si="8"/>
        <v>Normal</v>
      </c>
      <c r="Q126" s="12">
        <f t="shared" si="9"/>
        <v>35</v>
      </c>
      <c r="R126" s="12" t="str">
        <f t="shared" si="10"/>
        <v>CE</v>
      </c>
    </row>
    <row r="127" spans="1:18" ht="15.75" customHeight="1" x14ac:dyDescent="0.3">
      <c r="A127" s="1" t="s">
        <v>221</v>
      </c>
      <c r="B127" s="10">
        <v>45576</v>
      </c>
      <c r="C127" s="11" t="s">
        <v>510</v>
      </c>
      <c r="D127" s="1" t="s">
        <v>119</v>
      </c>
      <c r="E127" s="1" t="s">
        <v>86</v>
      </c>
      <c r="F127" s="1" t="s">
        <v>87</v>
      </c>
      <c r="G127" s="1" t="s">
        <v>42</v>
      </c>
      <c r="H127" s="1">
        <v>3</v>
      </c>
      <c r="I127" s="1">
        <v>299.99</v>
      </c>
      <c r="J127" s="1" t="s">
        <v>25</v>
      </c>
      <c r="K127" s="1" t="s">
        <v>21</v>
      </c>
      <c r="L127" s="1" t="s">
        <v>34</v>
      </c>
      <c r="M127" s="10">
        <v>45174</v>
      </c>
      <c r="N127" s="1">
        <v>899.97</v>
      </c>
      <c r="O127" s="1">
        <f t="shared" si="7"/>
        <v>7309.7999999999993</v>
      </c>
      <c r="P127" s="12" t="str">
        <f t="shared" si="8"/>
        <v>Normal</v>
      </c>
      <c r="Q127" s="12">
        <f t="shared" si="9"/>
        <v>26</v>
      </c>
      <c r="R127" s="12" t="str">
        <f t="shared" si="10"/>
        <v>DK</v>
      </c>
    </row>
    <row r="128" spans="1:18" ht="15.75" customHeight="1" x14ac:dyDescent="0.3">
      <c r="A128" s="1" t="s">
        <v>222</v>
      </c>
      <c r="B128" s="10">
        <v>45579</v>
      </c>
      <c r="C128" s="11" t="s">
        <v>511</v>
      </c>
      <c r="D128" s="1" t="s">
        <v>71</v>
      </c>
      <c r="E128" s="1" t="s">
        <v>54</v>
      </c>
      <c r="F128" s="1" t="s">
        <v>55</v>
      </c>
      <c r="G128" s="1" t="s">
        <v>19</v>
      </c>
      <c r="H128" s="1">
        <v>3</v>
      </c>
      <c r="I128" s="1">
        <v>899.99</v>
      </c>
      <c r="J128" s="1" t="s">
        <v>32</v>
      </c>
      <c r="K128" s="1" t="s">
        <v>45</v>
      </c>
      <c r="L128" s="1" t="s">
        <v>22</v>
      </c>
      <c r="M128" s="10">
        <v>45215</v>
      </c>
      <c r="N128" s="1">
        <v>2699.97</v>
      </c>
      <c r="O128" s="1">
        <f t="shared" si="7"/>
        <v>3779.93</v>
      </c>
      <c r="P128" s="12" t="str">
        <f t="shared" si="8"/>
        <v>Normal</v>
      </c>
      <c r="Q128" s="12">
        <f t="shared" si="9"/>
        <v>24</v>
      </c>
      <c r="R128" s="12" t="str">
        <f t="shared" si="10"/>
        <v>GA</v>
      </c>
    </row>
    <row r="129" spans="1:18" ht="15.75" customHeight="1" x14ac:dyDescent="0.3">
      <c r="A129" s="1" t="s">
        <v>223</v>
      </c>
      <c r="B129" s="10">
        <v>45581</v>
      </c>
      <c r="C129" s="11" t="s">
        <v>512</v>
      </c>
      <c r="D129" s="1" t="s">
        <v>80</v>
      </c>
      <c r="E129" s="1" t="s">
        <v>68</v>
      </c>
      <c r="F129" s="1" t="s">
        <v>69</v>
      </c>
      <c r="G129" s="1" t="s">
        <v>19</v>
      </c>
      <c r="H129" s="1">
        <v>5</v>
      </c>
      <c r="I129" s="1">
        <v>699.99</v>
      </c>
      <c r="J129" s="1" t="s">
        <v>20</v>
      </c>
      <c r="K129" s="1" t="s">
        <v>56</v>
      </c>
      <c r="L129" s="1" t="s">
        <v>34</v>
      </c>
      <c r="M129" s="10">
        <v>45008</v>
      </c>
      <c r="N129" s="1">
        <v>3499.95</v>
      </c>
      <c r="O129" s="1">
        <f t="shared" si="7"/>
        <v>10649.8</v>
      </c>
      <c r="P129" s="12" t="str">
        <f t="shared" si="8"/>
        <v>High Value</v>
      </c>
      <c r="Q129" s="12">
        <f t="shared" si="9"/>
        <v>31</v>
      </c>
      <c r="R129" s="12" t="str">
        <f t="shared" si="10"/>
        <v>BY</v>
      </c>
    </row>
    <row r="130" spans="1:18" ht="15.75" customHeight="1" x14ac:dyDescent="0.3">
      <c r="A130" s="1" t="s">
        <v>224</v>
      </c>
      <c r="B130" s="10">
        <v>45581</v>
      </c>
      <c r="C130" s="11" t="s">
        <v>513</v>
      </c>
      <c r="D130" s="1" t="s">
        <v>138</v>
      </c>
      <c r="E130" s="1" t="s">
        <v>68</v>
      </c>
      <c r="F130" s="1" t="s">
        <v>69</v>
      </c>
      <c r="G130" s="1" t="s">
        <v>19</v>
      </c>
      <c r="H130" s="1">
        <v>4</v>
      </c>
      <c r="I130" s="1">
        <v>699.99</v>
      </c>
      <c r="J130" s="1" t="s">
        <v>25</v>
      </c>
      <c r="K130" s="1" t="s">
        <v>21</v>
      </c>
      <c r="L130" s="1" t="s">
        <v>22</v>
      </c>
      <c r="M130" s="10">
        <v>45385</v>
      </c>
      <c r="N130" s="1">
        <v>2799.96</v>
      </c>
      <c r="O130" s="1">
        <f t="shared" si="7"/>
        <v>3669.8500000000004</v>
      </c>
      <c r="P130" s="12" t="str">
        <f t="shared" si="8"/>
        <v>Normal</v>
      </c>
      <c r="Q130" s="12">
        <f t="shared" si="9"/>
        <v>31</v>
      </c>
      <c r="R130" s="12" t="str">
        <f t="shared" ref="R130:R161" si="11">UPPER(LEFT(D130,1)&amp;MID(D130,FIND(" ",D130)+1,1))</f>
        <v>RR</v>
      </c>
    </row>
    <row r="131" spans="1:18" ht="15.75" customHeight="1" x14ac:dyDescent="0.3">
      <c r="A131" s="1" t="s">
        <v>225</v>
      </c>
      <c r="B131" s="10">
        <v>45581</v>
      </c>
      <c r="C131" s="11" t="s">
        <v>514</v>
      </c>
      <c r="D131" s="1" t="s">
        <v>121</v>
      </c>
      <c r="E131" s="1" t="s">
        <v>54</v>
      </c>
      <c r="F131" s="1" t="s">
        <v>55</v>
      </c>
      <c r="G131" s="1" t="s">
        <v>19</v>
      </c>
      <c r="H131" s="1">
        <v>1</v>
      </c>
      <c r="I131" s="1">
        <v>899.99</v>
      </c>
      <c r="J131" s="1" t="s">
        <v>25</v>
      </c>
      <c r="K131" s="1" t="s">
        <v>56</v>
      </c>
      <c r="L131" s="1" t="s">
        <v>34</v>
      </c>
      <c r="M131" s="10">
        <v>45369</v>
      </c>
      <c r="N131" s="1">
        <v>899.99</v>
      </c>
      <c r="O131" s="1">
        <f t="shared" ref="O131:O194" si="12">SUMIFS($N:$N,$D:$D,D131)</f>
        <v>5619.869999999999</v>
      </c>
      <c r="P131" s="12" t="str">
        <f t="shared" ref="P131:P194" si="13">IF(O131&gt;10000,"High Value","Normal")</f>
        <v>Normal</v>
      </c>
      <c r="Q131" s="12">
        <f t="shared" ref="Q131:Q194" si="14">COUNTIF($F:$F,F131)</f>
        <v>24</v>
      </c>
      <c r="R131" s="12" t="str">
        <f t="shared" si="11"/>
        <v>SB</v>
      </c>
    </row>
    <row r="132" spans="1:18" ht="15.75" customHeight="1" x14ac:dyDescent="0.3">
      <c r="A132" s="1" t="s">
        <v>226</v>
      </c>
      <c r="B132" s="10">
        <v>45583</v>
      </c>
      <c r="C132" s="11" t="s">
        <v>515</v>
      </c>
      <c r="D132" s="1" t="s">
        <v>187</v>
      </c>
      <c r="E132" s="1" t="s">
        <v>47</v>
      </c>
      <c r="F132" s="1" t="s">
        <v>48</v>
      </c>
      <c r="G132" s="1" t="s">
        <v>19</v>
      </c>
      <c r="H132" s="1">
        <v>2</v>
      </c>
      <c r="I132" s="1">
        <v>149.99</v>
      </c>
      <c r="J132" s="1" t="s">
        <v>25</v>
      </c>
      <c r="K132" s="1" t="s">
        <v>45</v>
      </c>
      <c r="L132" s="1" t="s">
        <v>22</v>
      </c>
      <c r="M132" s="10">
        <v>44916</v>
      </c>
      <c r="N132" s="1">
        <v>299.98</v>
      </c>
      <c r="O132" s="1">
        <f t="shared" si="12"/>
        <v>6989.7699999999986</v>
      </c>
      <c r="P132" s="12" t="str">
        <f t="shared" si="13"/>
        <v>Normal</v>
      </c>
      <c r="Q132" s="12">
        <f t="shared" si="14"/>
        <v>16</v>
      </c>
      <c r="R132" s="12" t="str">
        <f t="shared" si="11"/>
        <v>LR</v>
      </c>
    </row>
    <row r="133" spans="1:18" ht="15.75" customHeight="1" x14ac:dyDescent="0.3">
      <c r="A133" s="1" t="s">
        <v>227</v>
      </c>
      <c r="B133" s="10">
        <v>45586</v>
      </c>
      <c r="C133" s="11" t="s">
        <v>516</v>
      </c>
      <c r="D133" s="1" t="s">
        <v>187</v>
      </c>
      <c r="E133" s="1" t="s">
        <v>96</v>
      </c>
      <c r="F133" s="1" t="s">
        <v>97</v>
      </c>
      <c r="G133" s="1" t="s">
        <v>19</v>
      </c>
      <c r="H133" s="1">
        <v>3</v>
      </c>
      <c r="I133" s="1">
        <v>89.99</v>
      </c>
      <c r="J133" s="1" t="s">
        <v>32</v>
      </c>
      <c r="K133" s="1" t="s">
        <v>21</v>
      </c>
      <c r="L133" s="1" t="s">
        <v>22</v>
      </c>
      <c r="M133" s="10">
        <v>44551</v>
      </c>
      <c r="N133" s="1">
        <v>269.97000000000003</v>
      </c>
      <c r="O133" s="1">
        <f t="shared" si="12"/>
        <v>6989.7699999999986</v>
      </c>
      <c r="P133" s="12" t="str">
        <f t="shared" si="13"/>
        <v>Normal</v>
      </c>
      <c r="Q133" s="12">
        <f t="shared" si="14"/>
        <v>34</v>
      </c>
      <c r="R133" s="12" t="str">
        <f t="shared" si="11"/>
        <v>LR</v>
      </c>
    </row>
    <row r="134" spans="1:18" ht="15.75" customHeight="1" x14ac:dyDescent="0.3">
      <c r="A134" s="1" t="s">
        <v>228</v>
      </c>
      <c r="B134" s="10">
        <v>45588</v>
      </c>
      <c r="C134" s="11" t="s">
        <v>517</v>
      </c>
      <c r="D134" s="1" t="s">
        <v>36</v>
      </c>
      <c r="E134" s="1" t="s">
        <v>47</v>
      </c>
      <c r="F134" s="1" t="s">
        <v>48</v>
      </c>
      <c r="G134" s="1" t="s">
        <v>19</v>
      </c>
      <c r="H134" s="1">
        <v>2</v>
      </c>
      <c r="I134" s="1">
        <v>149.99</v>
      </c>
      <c r="J134" s="1" t="s">
        <v>32</v>
      </c>
      <c r="K134" s="1" t="s">
        <v>21</v>
      </c>
      <c r="L134" s="1" t="s">
        <v>22</v>
      </c>
      <c r="M134" s="10">
        <v>44473</v>
      </c>
      <c r="N134" s="1">
        <v>299.98</v>
      </c>
      <c r="O134" s="1">
        <f t="shared" si="12"/>
        <v>4309.8099999999995</v>
      </c>
      <c r="P134" s="12" t="str">
        <f t="shared" si="13"/>
        <v>Normal</v>
      </c>
      <c r="Q134" s="12">
        <f t="shared" si="14"/>
        <v>16</v>
      </c>
      <c r="R134" s="12" t="str">
        <f t="shared" si="11"/>
        <v>KB</v>
      </c>
    </row>
    <row r="135" spans="1:18" ht="15.75" customHeight="1" x14ac:dyDescent="0.3">
      <c r="A135" s="1" t="s">
        <v>229</v>
      </c>
      <c r="B135" s="10">
        <v>45588</v>
      </c>
      <c r="C135" s="11" t="s">
        <v>518</v>
      </c>
      <c r="D135" s="1" t="s">
        <v>124</v>
      </c>
      <c r="E135" s="1" t="s">
        <v>68</v>
      </c>
      <c r="F135" s="1" t="s">
        <v>69</v>
      </c>
      <c r="G135" s="1" t="s">
        <v>19</v>
      </c>
      <c r="H135" s="1">
        <v>2</v>
      </c>
      <c r="I135" s="1">
        <v>699.99</v>
      </c>
      <c r="J135" s="1" t="s">
        <v>20</v>
      </c>
      <c r="K135" s="1" t="s">
        <v>21</v>
      </c>
      <c r="L135" s="1" t="s">
        <v>22</v>
      </c>
      <c r="M135" s="10">
        <v>44992</v>
      </c>
      <c r="N135" s="1">
        <v>1399.98</v>
      </c>
      <c r="O135" s="1">
        <f t="shared" si="12"/>
        <v>5499.8099999999995</v>
      </c>
      <c r="P135" s="12" t="str">
        <f t="shared" si="13"/>
        <v>Normal</v>
      </c>
      <c r="Q135" s="12">
        <f t="shared" si="14"/>
        <v>31</v>
      </c>
      <c r="R135" s="12" t="str">
        <f t="shared" si="11"/>
        <v>SD</v>
      </c>
    </row>
    <row r="136" spans="1:18" ht="15.75" customHeight="1" x14ac:dyDescent="0.3">
      <c r="A136" s="1" t="s">
        <v>230</v>
      </c>
      <c r="B136" s="10">
        <v>45589</v>
      </c>
      <c r="C136" s="11" t="s">
        <v>519</v>
      </c>
      <c r="D136" s="1" t="s">
        <v>127</v>
      </c>
      <c r="E136" s="1" t="s">
        <v>68</v>
      </c>
      <c r="F136" s="1" t="s">
        <v>69</v>
      </c>
      <c r="G136" s="1" t="s">
        <v>19</v>
      </c>
      <c r="H136" s="1">
        <v>5</v>
      </c>
      <c r="I136" s="1">
        <v>699.99</v>
      </c>
      <c r="J136" s="1" t="s">
        <v>20</v>
      </c>
      <c r="K136" s="1" t="s">
        <v>37</v>
      </c>
      <c r="L136" s="1" t="s">
        <v>26</v>
      </c>
      <c r="M136" s="10">
        <v>44635</v>
      </c>
      <c r="N136" s="1">
        <v>3499.95</v>
      </c>
      <c r="O136" s="1">
        <f t="shared" si="12"/>
        <v>5649.84</v>
      </c>
      <c r="P136" s="12" t="str">
        <f t="shared" si="13"/>
        <v>Normal</v>
      </c>
      <c r="Q136" s="12">
        <f t="shared" si="14"/>
        <v>31</v>
      </c>
      <c r="R136" s="12" t="str">
        <f t="shared" si="11"/>
        <v>BC</v>
      </c>
    </row>
    <row r="137" spans="1:18" ht="15.75" customHeight="1" x14ac:dyDescent="0.3">
      <c r="A137" s="1" t="s">
        <v>231</v>
      </c>
      <c r="B137" s="10">
        <v>45592</v>
      </c>
      <c r="C137" s="11" t="s">
        <v>520</v>
      </c>
      <c r="D137" s="1" t="s">
        <v>138</v>
      </c>
      <c r="E137" s="1" t="s">
        <v>96</v>
      </c>
      <c r="F137" s="1" t="s">
        <v>97</v>
      </c>
      <c r="G137" s="1" t="s">
        <v>19</v>
      </c>
      <c r="H137" s="1">
        <v>3</v>
      </c>
      <c r="I137" s="1">
        <v>89.99</v>
      </c>
      <c r="J137" s="1" t="s">
        <v>25</v>
      </c>
      <c r="K137" s="1" t="s">
        <v>37</v>
      </c>
      <c r="L137" s="1" t="s">
        <v>34</v>
      </c>
      <c r="M137" s="10">
        <v>44615</v>
      </c>
      <c r="N137" s="1">
        <v>269.97000000000003</v>
      </c>
      <c r="O137" s="1">
        <f t="shared" si="12"/>
        <v>3669.8500000000004</v>
      </c>
      <c r="P137" s="12" t="str">
        <f t="shared" si="13"/>
        <v>Normal</v>
      </c>
      <c r="Q137" s="12">
        <f t="shared" si="14"/>
        <v>34</v>
      </c>
      <c r="R137" s="12" t="str">
        <f t="shared" si="11"/>
        <v>RR</v>
      </c>
    </row>
    <row r="138" spans="1:18" ht="15.75" customHeight="1" x14ac:dyDescent="0.3">
      <c r="A138" s="1" t="s">
        <v>232</v>
      </c>
      <c r="B138" s="10">
        <v>45597</v>
      </c>
      <c r="C138" s="11" t="s">
        <v>521</v>
      </c>
      <c r="D138" s="1" t="s">
        <v>16</v>
      </c>
      <c r="E138" s="1" t="s">
        <v>17</v>
      </c>
      <c r="F138" s="1" t="s">
        <v>18</v>
      </c>
      <c r="G138" s="1" t="s">
        <v>19</v>
      </c>
      <c r="H138" s="1">
        <v>5</v>
      </c>
      <c r="I138" s="1">
        <v>249.99</v>
      </c>
      <c r="J138" s="1" t="s">
        <v>25</v>
      </c>
      <c r="K138" s="1" t="s">
        <v>33</v>
      </c>
      <c r="L138" s="1" t="s">
        <v>34</v>
      </c>
      <c r="M138" s="10">
        <v>44881</v>
      </c>
      <c r="N138" s="1">
        <v>1249.95</v>
      </c>
      <c r="O138" s="1">
        <f t="shared" si="12"/>
        <v>8309.739999999998</v>
      </c>
      <c r="P138" s="12" t="str">
        <f t="shared" si="13"/>
        <v>Normal</v>
      </c>
      <c r="Q138" s="12">
        <f t="shared" si="14"/>
        <v>26</v>
      </c>
      <c r="R138" s="12" t="str">
        <f t="shared" si="11"/>
        <v>PB</v>
      </c>
    </row>
    <row r="139" spans="1:18" ht="15.75" customHeight="1" x14ac:dyDescent="0.3">
      <c r="A139" s="1" t="s">
        <v>233</v>
      </c>
      <c r="B139" s="10">
        <v>45600</v>
      </c>
      <c r="C139" s="11" t="s">
        <v>522</v>
      </c>
      <c r="D139" s="1" t="s">
        <v>58</v>
      </c>
      <c r="E139" s="1" t="s">
        <v>86</v>
      </c>
      <c r="F139" s="1" t="s">
        <v>87</v>
      </c>
      <c r="G139" s="1" t="s">
        <v>42</v>
      </c>
      <c r="H139" s="1">
        <v>3</v>
      </c>
      <c r="I139" s="1">
        <v>299.99</v>
      </c>
      <c r="J139" s="1" t="s">
        <v>25</v>
      </c>
      <c r="K139" s="1" t="s">
        <v>33</v>
      </c>
      <c r="L139" s="1" t="s">
        <v>34</v>
      </c>
      <c r="M139" s="10">
        <v>44502</v>
      </c>
      <c r="N139" s="1">
        <v>899.97</v>
      </c>
      <c r="O139" s="1">
        <f t="shared" si="12"/>
        <v>8009.7699999999995</v>
      </c>
      <c r="P139" s="12" t="str">
        <f t="shared" si="13"/>
        <v>Normal</v>
      </c>
      <c r="Q139" s="12">
        <f t="shared" si="14"/>
        <v>26</v>
      </c>
      <c r="R139" s="12" t="str">
        <f t="shared" si="11"/>
        <v>KH</v>
      </c>
    </row>
    <row r="140" spans="1:18" ht="15.75" customHeight="1" x14ac:dyDescent="0.3">
      <c r="A140" s="1" t="s">
        <v>234</v>
      </c>
      <c r="B140" s="10">
        <v>45603</v>
      </c>
      <c r="C140" s="11" t="s">
        <v>523</v>
      </c>
      <c r="D140" s="1" t="s">
        <v>82</v>
      </c>
      <c r="E140" s="1" t="s">
        <v>96</v>
      </c>
      <c r="F140" s="1" t="s">
        <v>97</v>
      </c>
      <c r="G140" s="1" t="s">
        <v>19</v>
      </c>
      <c r="H140" s="1">
        <v>3</v>
      </c>
      <c r="I140" s="1">
        <v>89.99</v>
      </c>
      <c r="J140" s="1" t="s">
        <v>25</v>
      </c>
      <c r="K140" s="1" t="s">
        <v>37</v>
      </c>
      <c r="L140" s="1" t="s">
        <v>26</v>
      </c>
      <c r="M140" s="10">
        <v>44420</v>
      </c>
      <c r="N140" s="1">
        <v>269.97000000000003</v>
      </c>
      <c r="O140" s="1">
        <f t="shared" si="12"/>
        <v>9799.73</v>
      </c>
      <c r="P140" s="12" t="str">
        <f t="shared" si="13"/>
        <v>Normal</v>
      </c>
      <c r="Q140" s="12">
        <f t="shared" si="14"/>
        <v>34</v>
      </c>
      <c r="R140" s="12" t="str">
        <f t="shared" si="11"/>
        <v>PM</v>
      </c>
    </row>
    <row r="141" spans="1:18" ht="15.75" customHeight="1" x14ac:dyDescent="0.3">
      <c r="A141" s="1" t="s">
        <v>235</v>
      </c>
      <c r="B141" s="10">
        <v>45604</v>
      </c>
      <c r="C141" s="11" t="s">
        <v>524</v>
      </c>
      <c r="D141" s="1" t="s">
        <v>75</v>
      </c>
      <c r="E141" s="1" t="s">
        <v>40</v>
      </c>
      <c r="F141" s="1" t="s">
        <v>41</v>
      </c>
      <c r="G141" s="1" t="s">
        <v>42</v>
      </c>
      <c r="H141" s="1">
        <v>2</v>
      </c>
      <c r="I141" s="1">
        <v>149.99</v>
      </c>
      <c r="J141" s="1" t="s">
        <v>25</v>
      </c>
      <c r="K141" s="1" t="s">
        <v>45</v>
      </c>
      <c r="L141" s="1" t="s">
        <v>26</v>
      </c>
      <c r="M141" s="10">
        <v>44848</v>
      </c>
      <c r="N141" s="1">
        <v>299.98</v>
      </c>
      <c r="O141" s="1">
        <f t="shared" si="12"/>
        <v>1909.93</v>
      </c>
      <c r="P141" s="12" t="str">
        <f t="shared" si="13"/>
        <v>Normal</v>
      </c>
      <c r="Q141" s="12">
        <f t="shared" si="14"/>
        <v>35</v>
      </c>
      <c r="R141" s="12" t="str">
        <f t="shared" si="11"/>
        <v>MG</v>
      </c>
    </row>
    <row r="142" spans="1:18" ht="15.75" customHeight="1" x14ac:dyDescent="0.3">
      <c r="A142" s="1" t="s">
        <v>236</v>
      </c>
      <c r="B142" s="10">
        <v>45605</v>
      </c>
      <c r="C142" s="11" t="s">
        <v>525</v>
      </c>
      <c r="D142" s="1" t="s">
        <v>150</v>
      </c>
      <c r="E142" s="1" t="s">
        <v>17</v>
      </c>
      <c r="F142" s="1" t="s">
        <v>18</v>
      </c>
      <c r="G142" s="1" t="s">
        <v>19</v>
      </c>
      <c r="H142" s="1">
        <v>1</v>
      </c>
      <c r="I142" s="1">
        <v>249.99</v>
      </c>
      <c r="J142" s="1" t="s">
        <v>25</v>
      </c>
      <c r="K142" s="1" t="s">
        <v>37</v>
      </c>
      <c r="L142" s="1" t="s">
        <v>26</v>
      </c>
      <c r="M142" s="10">
        <v>44828</v>
      </c>
      <c r="N142" s="1">
        <v>249.99</v>
      </c>
      <c r="O142" s="1">
        <f t="shared" si="12"/>
        <v>2099.88</v>
      </c>
      <c r="P142" s="12" t="str">
        <f t="shared" si="13"/>
        <v>Normal</v>
      </c>
      <c r="Q142" s="12">
        <f t="shared" si="14"/>
        <v>26</v>
      </c>
      <c r="R142" s="12" t="str">
        <f t="shared" si="11"/>
        <v>MW</v>
      </c>
    </row>
    <row r="143" spans="1:18" ht="15.75" customHeight="1" x14ac:dyDescent="0.3">
      <c r="A143" s="1" t="s">
        <v>237</v>
      </c>
      <c r="B143" s="10">
        <v>45607</v>
      </c>
      <c r="C143" s="11" t="s">
        <v>526</v>
      </c>
      <c r="D143" s="1" t="s">
        <v>63</v>
      </c>
      <c r="E143" s="1" t="s">
        <v>47</v>
      </c>
      <c r="F143" s="1" t="s">
        <v>48</v>
      </c>
      <c r="G143" s="1" t="s">
        <v>19</v>
      </c>
      <c r="H143" s="1">
        <v>3</v>
      </c>
      <c r="I143" s="1">
        <v>149.99</v>
      </c>
      <c r="J143" s="1" t="s">
        <v>20</v>
      </c>
      <c r="K143" s="1" t="s">
        <v>37</v>
      </c>
      <c r="L143" s="1" t="s">
        <v>22</v>
      </c>
      <c r="M143" s="10">
        <v>44769</v>
      </c>
      <c r="N143" s="1">
        <v>449.97</v>
      </c>
      <c r="O143" s="1">
        <f t="shared" si="12"/>
        <v>5949.85</v>
      </c>
      <c r="P143" s="12" t="str">
        <f t="shared" si="13"/>
        <v>Normal</v>
      </c>
      <c r="Q143" s="12">
        <f t="shared" si="14"/>
        <v>16</v>
      </c>
      <c r="R143" s="12" t="str">
        <f t="shared" si="11"/>
        <v>PR</v>
      </c>
    </row>
    <row r="144" spans="1:18" ht="15.75" customHeight="1" x14ac:dyDescent="0.3">
      <c r="A144" s="1" t="s">
        <v>238</v>
      </c>
      <c r="B144" s="10">
        <v>45607</v>
      </c>
      <c r="C144" s="11" t="s">
        <v>527</v>
      </c>
      <c r="D144" s="1" t="s">
        <v>16</v>
      </c>
      <c r="E144" s="1" t="s">
        <v>29</v>
      </c>
      <c r="F144" s="1" t="s">
        <v>30</v>
      </c>
      <c r="G144" s="1" t="s">
        <v>31</v>
      </c>
      <c r="H144" s="1">
        <v>5</v>
      </c>
      <c r="I144" s="1">
        <v>59.99</v>
      </c>
      <c r="J144" s="1" t="s">
        <v>32</v>
      </c>
      <c r="K144" s="1" t="s">
        <v>45</v>
      </c>
      <c r="L144" s="1" t="s">
        <v>26</v>
      </c>
      <c r="M144" s="10">
        <v>44694</v>
      </c>
      <c r="N144" s="1">
        <v>299.95</v>
      </c>
      <c r="O144" s="1">
        <f t="shared" si="12"/>
        <v>8309.739999999998</v>
      </c>
      <c r="P144" s="12" t="str">
        <f t="shared" si="13"/>
        <v>Normal</v>
      </c>
      <c r="Q144" s="12">
        <f t="shared" si="14"/>
        <v>29</v>
      </c>
      <c r="R144" s="12" t="str">
        <f t="shared" si="11"/>
        <v>PB</v>
      </c>
    </row>
    <row r="145" spans="1:18" ht="15.75" customHeight="1" x14ac:dyDescent="0.3">
      <c r="A145" s="1" t="s">
        <v>239</v>
      </c>
      <c r="B145" s="10">
        <v>45607</v>
      </c>
      <c r="C145" s="11" t="s">
        <v>528</v>
      </c>
      <c r="D145" s="1" t="s">
        <v>82</v>
      </c>
      <c r="E145" s="1" t="s">
        <v>17</v>
      </c>
      <c r="F145" s="1" t="s">
        <v>18</v>
      </c>
      <c r="G145" s="1" t="s">
        <v>19</v>
      </c>
      <c r="H145" s="1">
        <v>4</v>
      </c>
      <c r="I145" s="1">
        <v>249.99</v>
      </c>
      <c r="J145" s="1" t="s">
        <v>25</v>
      </c>
      <c r="K145" s="1" t="s">
        <v>45</v>
      </c>
      <c r="L145" s="1" t="s">
        <v>34</v>
      </c>
      <c r="M145" s="10">
        <v>44659</v>
      </c>
      <c r="N145" s="1">
        <v>999.96</v>
      </c>
      <c r="O145" s="1">
        <f t="shared" si="12"/>
        <v>9799.73</v>
      </c>
      <c r="P145" s="12" t="str">
        <f t="shared" si="13"/>
        <v>Normal</v>
      </c>
      <c r="Q145" s="12">
        <f t="shared" si="14"/>
        <v>26</v>
      </c>
      <c r="R145" s="12" t="str">
        <f t="shared" si="11"/>
        <v>PM</v>
      </c>
    </row>
    <row r="146" spans="1:18" ht="15.75" customHeight="1" x14ac:dyDescent="0.3">
      <c r="A146" s="1" t="s">
        <v>240</v>
      </c>
      <c r="B146" s="10">
        <v>45608</v>
      </c>
      <c r="C146" s="11" t="s">
        <v>529</v>
      </c>
      <c r="D146" s="1" t="s">
        <v>124</v>
      </c>
      <c r="E146" s="1" t="s">
        <v>40</v>
      </c>
      <c r="F146" s="1" t="s">
        <v>41</v>
      </c>
      <c r="G146" s="1" t="s">
        <v>42</v>
      </c>
      <c r="H146" s="1">
        <v>5</v>
      </c>
      <c r="I146" s="1">
        <v>149.99</v>
      </c>
      <c r="J146" s="1" t="s">
        <v>32</v>
      </c>
      <c r="K146" s="1" t="s">
        <v>21</v>
      </c>
      <c r="L146" s="1" t="s">
        <v>22</v>
      </c>
      <c r="M146" s="10">
        <v>44901</v>
      </c>
      <c r="N146" s="1">
        <v>749.95</v>
      </c>
      <c r="O146" s="1">
        <f t="shared" si="12"/>
        <v>5499.8099999999995</v>
      </c>
      <c r="P146" s="12" t="str">
        <f t="shared" si="13"/>
        <v>Normal</v>
      </c>
      <c r="Q146" s="12">
        <f t="shared" si="14"/>
        <v>35</v>
      </c>
      <c r="R146" s="12" t="str">
        <f t="shared" si="11"/>
        <v>SD</v>
      </c>
    </row>
    <row r="147" spans="1:18" ht="15.75" customHeight="1" x14ac:dyDescent="0.3">
      <c r="A147" s="1" t="s">
        <v>241</v>
      </c>
      <c r="B147" s="10">
        <v>45608</v>
      </c>
      <c r="C147" s="11" t="s">
        <v>530</v>
      </c>
      <c r="D147" s="1" t="s">
        <v>71</v>
      </c>
      <c r="E147" s="1" t="s">
        <v>29</v>
      </c>
      <c r="F147" s="1" t="s">
        <v>30</v>
      </c>
      <c r="G147" s="1" t="s">
        <v>31</v>
      </c>
      <c r="H147" s="1">
        <v>3</v>
      </c>
      <c r="I147" s="1">
        <v>59.99</v>
      </c>
      <c r="J147" s="1" t="s">
        <v>51</v>
      </c>
      <c r="K147" s="1" t="s">
        <v>33</v>
      </c>
      <c r="L147" s="1" t="s">
        <v>34</v>
      </c>
      <c r="M147" s="10">
        <v>45260</v>
      </c>
      <c r="N147" s="1">
        <v>179.97</v>
      </c>
      <c r="O147" s="1">
        <f t="shared" si="12"/>
        <v>3779.93</v>
      </c>
      <c r="P147" s="12" t="str">
        <f t="shared" si="13"/>
        <v>Normal</v>
      </c>
      <c r="Q147" s="12">
        <f t="shared" si="14"/>
        <v>29</v>
      </c>
      <c r="R147" s="12" t="str">
        <f t="shared" si="11"/>
        <v>GA</v>
      </c>
    </row>
    <row r="148" spans="1:18" ht="15.75" customHeight="1" x14ac:dyDescent="0.3">
      <c r="A148" s="1" t="s">
        <v>242</v>
      </c>
      <c r="B148" s="10">
        <v>45613</v>
      </c>
      <c r="C148" s="11" t="s">
        <v>531</v>
      </c>
      <c r="D148" s="1" t="s">
        <v>193</v>
      </c>
      <c r="E148" s="1" t="s">
        <v>40</v>
      </c>
      <c r="F148" s="1" t="s">
        <v>41</v>
      </c>
      <c r="G148" s="1" t="s">
        <v>42</v>
      </c>
      <c r="H148" s="1">
        <v>5</v>
      </c>
      <c r="I148" s="1">
        <v>149.99</v>
      </c>
      <c r="J148" s="1" t="s">
        <v>20</v>
      </c>
      <c r="K148" s="1" t="s">
        <v>37</v>
      </c>
      <c r="L148" s="1" t="s">
        <v>22</v>
      </c>
      <c r="M148" s="10">
        <v>44869</v>
      </c>
      <c r="N148" s="1">
        <v>749.95</v>
      </c>
      <c r="O148" s="1">
        <f t="shared" si="12"/>
        <v>6349.83</v>
      </c>
      <c r="P148" s="12" t="str">
        <f t="shared" si="13"/>
        <v>Normal</v>
      </c>
      <c r="Q148" s="12">
        <f t="shared" si="14"/>
        <v>35</v>
      </c>
      <c r="R148" s="12" t="str">
        <f t="shared" si="11"/>
        <v>SP</v>
      </c>
    </row>
    <row r="149" spans="1:18" ht="15.75" customHeight="1" x14ac:dyDescent="0.3">
      <c r="A149" s="1" t="s">
        <v>243</v>
      </c>
      <c r="B149" s="10">
        <v>45613</v>
      </c>
      <c r="C149" s="11" t="s">
        <v>532</v>
      </c>
      <c r="D149" s="1" t="s">
        <v>73</v>
      </c>
      <c r="E149" s="1" t="s">
        <v>68</v>
      </c>
      <c r="F149" s="1" t="s">
        <v>69</v>
      </c>
      <c r="G149" s="1" t="s">
        <v>19</v>
      </c>
      <c r="H149" s="1">
        <v>2</v>
      </c>
      <c r="I149" s="1">
        <v>699.99</v>
      </c>
      <c r="J149" s="1" t="s">
        <v>32</v>
      </c>
      <c r="K149" s="1" t="s">
        <v>45</v>
      </c>
      <c r="L149" s="1" t="s">
        <v>34</v>
      </c>
      <c r="M149" s="10">
        <v>44770</v>
      </c>
      <c r="N149" s="1">
        <v>1399.98</v>
      </c>
      <c r="O149" s="1">
        <f t="shared" si="12"/>
        <v>15659.65</v>
      </c>
      <c r="P149" s="12" t="str">
        <f t="shared" si="13"/>
        <v>High Value</v>
      </c>
      <c r="Q149" s="12">
        <f t="shared" si="14"/>
        <v>31</v>
      </c>
      <c r="R149" s="12" t="str">
        <f t="shared" si="11"/>
        <v>MC</v>
      </c>
    </row>
    <row r="150" spans="1:18" ht="15.75" customHeight="1" x14ac:dyDescent="0.3">
      <c r="A150" s="1" t="s">
        <v>244</v>
      </c>
      <c r="B150" s="10">
        <v>45617</v>
      </c>
      <c r="C150" s="11" t="s">
        <v>533</v>
      </c>
      <c r="D150" s="1" t="s">
        <v>101</v>
      </c>
      <c r="E150" s="1" t="s">
        <v>103</v>
      </c>
      <c r="F150" s="1" t="s">
        <v>104</v>
      </c>
      <c r="G150" s="1" t="s">
        <v>42</v>
      </c>
      <c r="H150" s="1">
        <v>4</v>
      </c>
      <c r="I150" s="1">
        <v>199.99</v>
      </c>
      <c r="J150" s="1" t="s">
        <v>51</v>
      </c>
      <c r="K150" s="1" t="s">
        <v>21</v>
      </c>
      <c r="L150" s="1" t="s">
        <v>26</v>
      </c>
      <c r="M150" s="10">
        <v>44427</v>
      </c>
      <c r="N150" s="1">
        <v>799.96</v>
      </c>
      <c r="O150" s="1">
        <f t="shared" si="12"/>
        <v>11919.769999999999</v>
      </c>
      <c r="P150" s="12" t="str">
        <f t="shared" si="13"/>
        <v>High Value</v>
      </c>
      <c r="Q150" s="12">
        <f t="shared" si="14"/>
        <v>15</v>
      </c>
      <c r="R150" s="12" t="str">
        <f t="shared" si="11"/>
        <v>EM</v>
      </c>
    </row>
    <row r="151" spans="1:18" ht="15.75" customHeight="1" x14ac:dyDescent="0.3">
      <c r="A151" s="1" t="s">
        <v>245</v>
      </c>
      <c r="B151" s="10">
        <v>45619</v>
      </c>
      <c r="C151" s="11" t="s">
        <v>534</v>
      </c>
      <c r="D151" s="1" t="s">
        <v>156</v>
      </c>
      <c r="E151" s="1" t="s">
        <v>29</v>
      </c>
      <c r="F151" s="1" t="s">
        <v>30</v>
      </c>
      <c r="G151" s="1" t="s">
        <v>31</v>
      </c>
      <c r="H151" s="1">
        <v>1</v>
      </c>
      <c r="I151" s="1">
        <v>59.99</v>
      </c>
      <c r="J151" s="1" t="s">
        <v>51</v>
      </c>
      <c r="K151" s="1" t="s">
        <v>45</v>
      </c>
      <c r="L151" s="1" t="s">
        <v>34</v>
      </c>
      <c r="M151" s="10">
        <v>44560</v>
      </c>
      <c r="N151" s="1">
        <v>59.99</v>
      </c>
      <c r="O151" s="1">
        <f t="shared" si="12"/>
        <v>1479.91</v>
      </c>
      <c r="P151" s="12" t="str">
        <f t="shared" si="13"/>
        <v>Normal</v>
      </c>
      <c r="Q151" s="12">
        <f t="shared" si="14"/>
        <v>29</v>
      </c>
      <c r="R151" s="12" t="str">
        <f t="shared" si="11"/>
        <v>FT</v>
      </c>
    </row>
    <row r="152" spans="1:18" ht="15.75" customHeight="1" x14ac:dyDescent="0.3">
      <c r="A152" s="1" t="s">
        <v>246</v>
      </c>
      <c r="B152" s="10">
        <v>45619</v>
      </c>
      <c r="C152" s="11" t="s">
        <v>535</v>
      </c>
      <c r="D152" s="1" t="s">
        <v>124</v>
      </c>
      <c r="E152" s="1" t="s">
        <v>68</v>
      </c>
      <c r="F152" s="1" t="s">
        <v>69</v>
      </c>
      <c r="G152" s="1" t="s">
        <v>19</v>
      </c>
      <c r="H152" s="1">
        <v>3</v>
      </c>
      <c r="I152" s="1">
        <v>699.99</v>
      </c>
      <c r="J152" s="1" t="s">
        <v>32</v>
      </c>
      <c r="K152" s="1" t="s">
        <v>45</v>
      </c>
      <c r="L152" s="1" t="s">
        <v>34</v>
      </c>
      <c r="M152" s="10">
        <v>44583</v>
      </c>
      <c r="N152" s="1">
        <v>2099.9699999999998</v>
      </c>
      <c r="O152" s="1">
        <f t="shared" si="12"/>
        <v>5499.8099999999995</v>
      </c>
      <c r="P152" s="12" t="str">
        <f t="shared" si="13"/>
        <v>Normal</v>
      </c>
      <c r="Q152" s="12">
        <f t="shared" si="14"/>
        <v>31</v>
      </c>
      <c r="R152" s="12" t="str">
        <f t="shared" si="11"/>
        <v>SD</v>
      </c>
    </row>
    <row r="153" spans="1:18" ht="15.75" customHeight="1" x14ac:dyDescent="0.3">
      <c r="A153" s="1" t="s">
        <v>247</v>
      </c>
      <c r="B153" s="10">
        <v>45622</v>
      </c>
      <c r="C153" s="11" t="s">
        <v>536</v>
      </c>
      <c r="D153" s="1" t="s">
        <v>248</v>
      </c>
      <c r="E153" s="1" t="s">
        <v>17</v>
      </c>
      <c r="F153" s="1" t="s">
        <v>18</v>
      </c>
      <c r="G153" s="1" t="s">
        <v>19</v>
      </c>
      <c r="H153" s="1">
        <v>5</v>
      </c>
      <c r="I153" s="1">
        <v>249.99</v>
      </c>
      <c r="J153" s="1" t="s">
        <v>25</v>
      </c>
      <c r="K153" s="1" t="s">
        <v>37</v>
      </c>
      <c r="L153" s="1" t="s">
        <v>22</v>
      </c>
      <c r="M153" s="10">
        <v>44873</v>
      </c>
      <c r="N153" s="1">
        <v>1249.95</v>
      </c>
      <c r="O153" s="1">
        <f t="shared" si="12"/>
        <v>4829.8899999999994</v>
      </c>
      <c r="P153" s="12" t="str">
        <f t="shared" si="13"/>
        <v>Normal</v>
      </c>
      <c r="Q153" s="12">
        <f t="shared" si="14"/>
        <v>26</v>
      </c>
      <c r="R153" s="12" t="str">
        <f t="shared" si="11"/>
        <v>DW</v>
      </c>
    </row>
    <row r="154" spans="1:18" ht="15.75" customHeight="1" x14ac:dyDescent="0.3">
      <c r="A154" s="1" t="s">
        <v>249</v>
      </c>
      <c r="B154" s="10">
        <v>45623</v>
      </c>
      <c r="C154" s="11" t="s">
        <v>537</v>
      </c>
      <c r="D154" s="1" t="s">
        <v>92</v>
      </c>
      <c r="E154" s="1" t="s">
        <v>40</v>
      </c>
      <c r="F154" s="1" t="s">
        <v>41</v>
      </c>
      <c r="G154" s="1" t="s">
        <v>42</v>
      </c>
      <c r="H154" s="1">
        <v>2</v>
      </c>
      <c r="I154" s="1">
        <v>149.99</v>
      </c>
      <c r="J154" s="1" t="s">
        <v>20</v>
      </c>
      <c r="K154" s="1" t="s">
        <v>33</v>
      </c>
      <c r="L154" s="1" t="s">
        <v>34</v>
      </c>
      <c r="M154" s="10">
        <v>45101</v>
      </c>
      <c r="N154" s="1">
        <v>299.98</v>
      </c>
      <c r="O154" s="1">
        <f t="shared" si="12"/>
        <v>1289.9000000000001</v>
      </c>
      <c r="P154" s="12" t="str">
        <f t="shared" si="13"/>
        <v>Normal</v>
      </c>
      <c r="Q154" s="12">
        <f t="shared" si="14"/>
        <v>35</v>
      </c>
      <c r="R154" s="12" t="str">
        <f t="shared" si="11"/>
        <v>LM</v>
      </c>
    </row>
    <row r="155" spans="1:18" ht="15.75" customHeight="1" x14ac:dyDescent="0.3">
      <c r="A155" s="1" t="s">
        <v>250</v>
      </c>
      <c r="B155" s="10">
        <v>45627</v>
      </c>
      <c r="C155" s="11" t="s">
        <v>538</v>
      </c>
      <c r="D155" s="1" t="s">
        <v>28</v>
      </c>
      <c r="E155" s="1" t="s">
        <v>86</v>
      </c>
      <c r="F155" s="1" t="s">
        <v>87</v>
      </c>
      <c r="G155" s="1" t="s">
        <v>42</v>
      </c>
      <c r="H155" s="1">
        <v>3</v>
      </c>
      <c r="I155" s="1">
        <v>299.99</v>
      </c>
      <c r="J155" s="1" t="s">
        <v>20</v>
      </c>
      <c r="K155" s="1" t="s">
        <v>33</v>
      </c>
      <c r="L155" s="1" t="s">
        <v>26</v>
      </c>
      <c r="M155" s="10">
        <v>44659</v>
      </c>
      <c r="N155" s="1">
        <v>899.97</v>
      </c>
      <c r="O155" s="1">
        <f t="shared" si="12"/>
        <v>3259.87</v>
      </c>
      <c r="P155" s="12" t="str">
        <f t="shared" si="13"/>
        <v>Normal</v>
      </c>
      <c r="Q155" s="12">
        <f t="shared" si="14"/>
        <v>26</v>
      </c>
      <c r="R155" s="12" t="str">
        <f t="shared" si="11"/>
        <v>KS</v>
      </c>
    </row>
    <row r="156" spans="1:18" ht="15.75" customHeight="1" x14ac:dyDescent="0.3">
      <c r="A156" s="1" t="s">
        <v>251</v>
      </c>
      <c r="B156" s="10">
        <v>45627</v>
      </c>
      <c r="C156" s="11" t="s">
        <v>539</v>
      </c>
      <c r="D156" s="1" t="s">
        <v>50</v>
      </c>
      <c r="E156" s="1" t="s">
        <v>17</v>
      </c>
      <c r="F156" s="1" t="s">
        <v>18</v>
      </c>
      <c r="G156" s="1" t="s">
        <v>19</v>
      </c>
      <c r="H156" s="1">
        <v>5</v>
      </c>
      <c r="I156" s="1">
        <v>249.99</v>
      </c>
      <c r="J156" s="1" t="s">
        <v>20</v>
      </c>
      <c r="K156" s="1" t="s">
        <v>21</v>
      </c>
      <c r="L156" s="1" t="s">
        <v>26</v>
      </c>
      <c r="M156" s="10">
        <v>44485</v>
      </c>
      <c r="N156" s="1">
        <v>1249.95</v>
      </c>
      <c r="O156" s="1">
        <f t="shared" si="12"/>
        <v>5089.7300000000005</v>
      </c>
      <c r="P156" s="12" t="str">
        <f t="shared" si="13"/>
        <v>Normal</v>
      </c>
      <c r="Q156" s="12">
        <f t="shared" si="14"/>
        <v>26</v>
      </c>
      <c r="R156" s="12" t="str">
        <f t="shared" si="11"/>
        <v>CA</v>
      </c>
    </row>
    <row r="157" spans="1:18" ht="15.75" customHeight="1" x14ac:dyDescent="0.3">
      <c r="A157" s="1" t="s">
        <v>252</v>
      </c>
      <c r="B157" s="10">
        <v>45627</v>
      </c>
      <c r="C157" s="11" t="s">
        <v>540</v>
      </c>
      <c r="D157" s="1" t="s">
        <v>24</v>
      </c>
      <c r="E157" s="1" t="s">
        <v>47</v>
      </c>
      <c r="F157" s="1" t="s">
        <v>48</v>
      </c>
      <c r="G157" s="1" t="s">
        <v>19</v>
      </c>
      <c r="H157" s="1">
        <v>2</v>
      </c>
      <c r="I157" s="1">
        <v>149.99</v>
      </c>
      <c r="J157" s="1" t="s">
        <v>20</v>
      </c>
      <c r="K157" s="1" t="s">
        <v>33</v>
      </c>
      <c r="L157" s="1" t="s">
        <v>26</v>
      </c>
      <c r="M157" s="10">
        <v>44475</v>
      </c>
      <c r="N157" s="1">
        <v>299.98</v>
      </c>
      <c r="O157" s="1">
        <f t="shared" si="12"/>
        <v>6949.84</v>
      </c>
      <c r="P157" s="12" t="str">
        <f t="shared" si="13"/>
        <v>Normal</v>
      </c>
      <c r="Q157" s="12">
        <f t="shared" si="14"/>
        <v>16</v>
      </c>
      <c r="R157" s="12" t="str">
        <f t="shared" si="11"/>
        <v>JJ</v>
      </c>
    </row>
    <row r="158" spans="1:18" ht="15.75" customHeight="1" x14ac:dyDescent="0.3">
      <c r="A158" s="1" t="s">
        <v>253</v>
      </c>
      <c r="B158" s="10">
        <v>45627</v>
      </c>
      <c r="C158" s="11" t="s">
        <v>541</v>
      </c>
      <c r="D158" s="1" t="s">
        <v>73</v>
      </c>
      <c r="E158" s="1" t="s">
        <v>68</v>
      </c>
      <c r="F158" s="1" t="s">
        <v>69</v>
      </c>
      <c r="G158" s="1" t="s">
        <v>19</v>
      </c>
      <c r="H158" s="1">
        <v>5</v>
      </c>
      <c r="I158" s="1">
        <v>699.99</v>
      </c>
      <c r="J158" s="1" t="s">
        <v>51</v>
      </c>
      <c r="K158" s="1" t="s">
        <v>45</v>
      </c>
      <c r="L158" s="1" t="s">
        <v>34</v>
      </c>
      <c r="M158" s="10">
        <v>44944</v>
      </c>
      <c r="N158" s="1">
        <v>3499.95</v>
      </c>
      <c r="O158" s="1">
        <f t="shared" si="12"/>
        <v>15659.65</v>
      </c>
      <c r="P158" s="12" t="str">
        <f t="shared" si="13"/>
        <v>High Value</v>
      </c>
      <c r="Q158" s="12">
        <f t="shared" si="14"/>
        <v>31</v>
      </c>
      <c r="R158" s="12" t="str">
        <f t="shared" si="11"/>
        <v>MC</v>
      </c>
    </row>
    <row r="159" spans="1:18" ht="15.75" customHeight="1" x14ac:dyDescent="0.3">
      <c r="A159" s="1" t="s">
        <v>254</v>
      </c>
      <c r="B159" s="10">
        <v>45629</v>
      </c>
      <c r="C159" s="11" t="s">
        <v>542</v>
      </c>
      <c r="D159" s="1" t="s">
        <v>209</v>
      </c>
      <c r="E159" s="1" t="s">
        <v>17</v>
      </c>
      <c r="F159" s="1" t="s">
        <v>18</v>
      </c>
      <c r="G159" s="1" t="s">
        <v>19</v>
      </c>
      <c r="H159" s="1">
        <v>4</v>
      </c>
      <c r="I159" s="1">
        <v>249.99</v>
      </c>
      <c r="J159" s="1" t="s">
        <v>32</v>
      </c>
      <c r="K159" s="1" t="s">
        <v>56</v>
      </c>
      <c r="L159" s="1" t="s">
        <v>26</v>
      </c>
      <c r="M159" s="10">
        <v>45098</v>
      </c>
      <c r="N159" s="1">
        <v>999.96</v>
      </c>
      <c r="O159" s="1">
        <f t="shared" si="12"/>
        <v>4749.91</v>
      </c>
      <c r="P159" s="12" t="str">
        <f t="shared" si="13"/>
        <v>Normal</v>
      </c>
      <c r="Q159" s="12">
        <f t="shared" si="14"/>
        <v>26</v>
      </c>
      <c r="R159" s="12" t="str">
        <f t="shared" si="11"/>
        <v>WW</v>
      </c>
    </row>
    <row r="160" spans="1:18" ht="15.75" customHeight="1" x14ac:dyDescent="0.3">
      <c r="A160" s="1" t="s">
        <v>255</v>
      </c>
      <c r="B160" s="10">
        <v>45630</v>
      </c>
      <c r="C160" s="11" t="s">
        <v>543</v>
      </c>
      <c r="D160" s="1" t="s">
        <v>44</v>
      </c>
      <c r="E160" s="1" t="s">
        <v>68</v>
      </c>
      <c r="F160" s="1" t="s">
        <v>69</v>
      </c>
      <c r="G160" s="1" t="s">
        <v>19</v>
      </c>
      <c r="H160" s="1">
        <v>4</v>
      </c>
      <c r="I160" s="1">
        <v>699.99</v>
      </c>
      <c r="J160" s="1" t="s">
        <v>25</v>
      </c>
      <c r="K160" s="1" t="s">
        <v>37</v>
      </c>
      <c r="L160" s="1" t="s">
        <v>26</v>
      </c>
      <c r="M160" s="10">
        <v>44703</v>
      </c>
      <c r="N160" s="1">
        <v>2799.96</v>
      </c>
      <c r="O160" s="1">
        <f t="shared" si="12"/>
        <v>8269.7900000000009</v>
      </c>
      <c r="P160" s="12" t="str">
        <f t="shared" si="13"/>
        <v>Normal</v>
      </c>
      <c r="Q160" s="12">
        <f t="shared" si="14"/>
        <v>31</v>
      </c>
      <c r="R160" s="12" t="str">
        <f t="shared" si="11"/>
        <v>DN</v>
      </c>
    </row>
    <row r="161" spans="1:18" ht="15.75" customHeight="1" x14ac:dyDescent="0.3">
      <c r="A161" s="1" t="s">
        <v>256</v>
      </c>
      <c r="B161" s="10">
        <v>45635</v>
      </c>
      <c r="C161" s="11" t="s">
        <v>544</v>
      </c>
      <c r="D161" s="1" t="s">
        <v>89</v>
      </c>
      <c r="E161" s="1" t="s">
        <v>17</v>
      </c>
      <c r="F161" s="1" t="s">
        <v>18</v>
      </c>
      <c r="G161" s="1" t="s">
        <v>19</v>
      </c>
      <c r="H161" s="1">
        <v>2</v>
      </c>
      <c r="I161" s="1">
        <v>249.99</v>
      </c>
      <c r="J161" s="1" t="s">
        <v>25</v>
      </c>
      <c r="K161" s="1" t="s">
        <v>21</v>
      </c>
      <c r="L161" s="1" t="s">
        <v>26</v>
      </c>
      <c r="M161" s="10">
        <v>44396</v>
      </c>
      <c r="N161" s="1">
        <v>499.98</v>
      </c>
      <c r="O161" s="1">
        <f t="shared" si="12"/>
        <v>4189.7700000000004</v>
      </c>
      <c r="P161" s="12" t="str">
        <f t="shared" si="13"/>
        <v>Normal</v>
      </c>
      <c r="Q161" s="12">
        <f t="shared" si="14"/>
        <v>26</v>
      </c>
      <c r="R161" s="12" t="str">
        <f t="shared" si="11"/>
        <v>NC</v>
      </c>
    </row>
    <row r="162" spans="1:18" ht="15.75" customHeight="1" x14ac:dyDescent="0.3">
      <c r="A162" s="1" t="s">
        <v>257</v>
      </c>
      <c r="B162" s="10">
        <v>45635</v>
      </c>
      <c r="C162" s="11" t="s">
        <v>545</v>
      </c>
      <c r="D162" s="1" t="s">
        <v>258</v>
      </c>
      <c r="E162" s="1" t="s">
        <v>29</v>
      </c>
      <c r="F162" s="1" t="s">
        <v>30</v>
      </c>
      <c r="G162" s="1" t="s">
        <v>31</v>
      </c>
      <c r="H162" s="1">
        <v>3</v>
      </c>
      <c r="I162" s="1">
        <v>59.99</v>
      </c>
      <c r="J162" s="1" t="s">
        <v>20</v>
      </c>
      <c r="K162" s="1" t="s">
        <v>21</v>
      </c>
      <c r="L162" s="1" t="s">
        <v>26</v>
      </c>
      <c r="M162" s="10">
        <v>45052</v>
      </c>
      <c r="N162" s="1">
        <v>179.97</v>
      </c>
      <c r="O162" s="1">
        <f t="shared" si="12"/>
        <v>179.97</v>
      </c>
      <c r="P162" s="12" t="str">
        <f t="shared" si="13"/>
        <v>Normal</v>
      </c>
      <c r="Q162" s="12">
        <f t="shared" si="14"/>
        <v>29</v>
      </c>
      <c r="R162" s="12" t="str">
        <f t="shared" ref="R162:R194" si="15">UPPER(LEFT(D162,1)&amp;MID(D162,FIND(" ",D162)+1,1))</f>
        <v>JJ</v>
      </c>
    </row>
    <row r="163" spans="1:18" ht="15.75" customHeight="1" x14ac:dyDescent="0.3">
      <c r="A163" s="1" t="s">
        <v>259</v>
      </c>
      <c r="B163" s="10">
        <v>45635</v>
      </c>
      <c r="C163" s="11" t="s">
        <v>546</v>
      </c>
      <c r="D163" s="1" t="s">
        <v>115</v>
      </c>
      <c r="E163" s="1" t="s">
        <v>93</v>
      </c>
      <c r="F163" s="1" t="s">
        <v>94</v>
      </c>
      <c r="G163" s="1" t="s">
        <v>31</v>
      </c>
      <c r="H163" s="1">
        <v>4</v>
      </c>
      <c r="I163" s="1">
        <v>79.989999999999995</v>
      </c>
      <c r="J163" s="1" t="s">
        <v>51</v>
      </c>
      <c r="K163" s="1" t="s">
        <v>56</v>
      </c>
      <c r="L163" s="1" t="s">
        <v>34</v>
      </c>
      <c r="M163" s="10">
        <v>44921</v>
      </c>
      <c r="N163" s="1">
        <v>319.95999999999998</v>
      </c>
      <c r="O163" s="1">
        <f t="shared" si="12"/>
        <v>4739.8500000000004</v>
      </c>
      <c r="P163" s="12" t="str">
        <f t="shared" si="13"/>
        <v>Normal</v>
      </c>
      <c r="Q163" s="12">
        <f t="shared" si="14"/>
        <v>14</v>
      </c>
      <c r="R163" s="12" t="str">
        <f t="shared" si="15"/>
        <v>JT</v>
      </c>
    </row>
    <row r="164" spans="1:18" ht="15.75" customHeight="1" x14ac:dyDescent="0.3">
      <c r="A164" s="1" t="s">
        <v>260</v>
      </c>
      <c r="B164" s="10">
        <v>45636</v>
      </c>
      <c r="C164" s="11" t="s">
        <v>547</v>
      </c>
      <c r="D164" s="1" t="s">
        <v>99</v>
      </c>
      <c r="E164" s="1" t="s">
        <v>93</v>
      </c>
      <c r="F164" s="1" t="s">
        <v>94</v>
      </c>
      <c r="G164" s="1" t="s">
        <v>31</v>
      </c>
      <c r="H164" s="1">
        <v>3</v>
      </c>
      <c r="I164" s="1">
        <v>79.989999999999995</v>
      </c>
      <c r="J164" s="1" t="s">
        <v>51</v>
      </c>
      <c r="K164" s="1" t="s">
        <v>56</v>
      </c>
      <c r="L164" s="1" t="s">
        <v>34</v>
      </c>
      <c r="M164" s="10">
        <v>44779</v>
      </c>
      <c r="N164" s="1">
        <v>239.97</v>
      </c>
      <c r="O164" s="1">
        <f t="shared" si="12"/>
        <v>6459.79</v>
      </c>
      <c r="P164" s="12" t="str">
        <f t="shared" si="13"/>
        <v>Normal</v>
      </c>
      <c r="Q164" s="12">
        <f t="shared" si="14"/>
        <v>14</v>
      </c>
      <c r="R164" s="12" t="str">
        <f t="shared" si="15"/>
        <v>HR</v>
      </c>
    </row>
    <row r="165" spans="1:18" ht="15.75" customHeight="1" x14ac:dyDescent="0.3">
      <c r="A165" s="1" t="s">
        <v>261</v>
      </c>
      <c r="B165" s="10">
        <v>45638</v>
      </c>
      <c r="C165" s="11" t="s">
        <v>548</v>
      </c>
      <c r="D165" s="1" t="s">
        <v>63</v>
      </c>
      <c r="E165" s="1" t="s">
        <v>54</v>
      </c>
      <c r="F165" s="1" t="s">
        <v>55</v>
      </c>
      <c r="G165" s="1" t="s">
        <v>19</v>
      </c>
      <c r="H165" s="1">
        <v>2</v>
      </c>
      <c r="I165" s="1">
        <v>899.99</v>
      </c>
      <c r="J165" s="1" t="s">
        <v>20</v>
      </c>
      <c r="K165" s="1" t="s">
        <v>37</v>
      </c>
      <c r="L165" s="1" t="s">
        <v>22</v>
      </c>
      <c r="M165" s="10">
        <v>44406</v>
      </c>
      <c r="N165" s="1">
        <v>1799.98</v>
      </c>
      <c r="O165" s="1">
        <f t="shared" si="12"/>
        <v>5949.85</v>
      </c>
      <c r="P165" s="12" t="str">
        <f t="shared" si="13"/>
        <v>Normal</v>
      </c>
      <c r="Q165" s="12">
        <f t="shared" si="14"/>
        <v>24</v>
      </c>
      <c r="R165" s="12" t="str">
        <f t="shared" si="15"/>
        <v>PR</v>
      </c>
    </row>
    <row r="166" spans="1:18" ht="15.75" customHeight="1" x14ac:dyDescent="0.3">
      <c r="A166" s="1" t="s">
        <v>262</v>
      </c>
      <c r="B166" s="10">
        <v>45641</v>
      </c>
      <c r="C166" s="11" t="s">
        <v>549</v>
      </c>
      <c r="D166" s="1" t="s">
        <v>148</v>
      </c>
      <c r="E166" s="1" t="s">
        <v>40</v>
      </c>
      <c r="F166" s="1" t="s">
        <v>41</v>
      </c>
      <c r="G166" s="1" t="s">
        <v>42</v>
      </c>
      <c r="H166" s="1">
        <v>1</v>
      </c>
      <c r="I166" s="1">
        <v>149.99</v>
      </c>
      <c r="J166" s="1" t="s">
        <v>51</v>
      </c>
      <c r="K166" s="1" t="s">
        <v>56</v>
      </c>
      <c r="L166" s="1" t="s">
        <v>34</v>
      </c>
      <c r="M166" s="10">
        <v>45200</v>
      </c>
      <c r="N166" s="1">
        <v>149.99</v>
      </c>
      <c r="O166" s="1">
        <f t="shared" si="12"/>
        <v>1809.84</v>
      </c>
      <c r="P166" s="12" t="str">
        <f t="shared" si="13"/>
        <v>Normal</v>
      </c>
      <c r="Q166" s="12">
        <f t="shared" si="14"/>
        <v>35</v>
      </c>
      <c r="R166" s="12" t="str">
        <f t="shared" si="15"/>
        <v>DM</v>
      </c>
    </row>
    <row r="167" spans="1:18" ht="15.75" customHeight="1" x14ac:dyDescent="0.3">
      <c r="A167" s="1" t="s">
        <v>263</v>
      </c>
      <c r="B167" s="10">
        <v>45641</v>
      </c>
      <c r="C167" s="11" t="s">
        <v>550</v>
      </c>
      <c r="D167" s="1" t="s">
        <v>113</v>
      </c>
      <c r="E167" s="1" t="s">
        <v>86</v>
      </c>
      <c r="F167" s="1" t="s">
        <v>87</v>
      </c>
      <c r="G167" s="1" t="s">
        <v>42</v>
      </c>
      <c r="H167" s="1">
        <v>2</v>
      </c>
      <c r="I167" s="1">
        <v>299.99</v>
      </c>
      <c r="J167" s="1" t="s">
        <v>20</v>
      </c>
      <c r="K167" s="1" t="s">
        <v>56</v>
      </c>
      <c r="L167" s="1" t="s">
        <v>26</v>
      </c>
      <c r="M167" s="10">
        <v>44724</v>
      </c>
      <c r="N167" s="1">
        <v>599.98</v>
      </c>
      <c r="O167" s="1">
        <f t="shared" si="12"/>
        <v>2649.83</v>
      </c>
      <c r="P167" s="12" t="str">
        <f t="shared" si="13"/>
        <v>Normal</v>
      </c>
      <c r="Q167" s="12">
        <f t="shared" si="14"/>
        <v>26</v>
      </c>
      <c r="R167" s="12" t="str">
        <f t="shared" si="15"/>
        <v>ST</v>
      </c>
    </row>
    <row r="168" spans="1:18" ht="15.75" customHeight="1" x14ac:dyDescent="0.3">
      <c r="A168" s="1" t="s">
        <v>264</v>
      </c>
      <c r="B168" s="10">
        <v>45644</v>
      </c>
      <c r="C168" s="11" t="s">
        <v>551</v>
      </c>
      <c r="D168" s="1" t="s">
        <v>108</v>
      </c>
      <c r="E168" s="1" t="s">
        <v>29</v>
      </c>
      <c r="F168" s="1" t="s">
        <v>30</v>
      </c>
      <c r="G168" s="1" t="s">
        <v>31</v>
      </c>
      <c r="H168" s="1">
        <v>2</v>
      </c>
      <c r="I168" s="1">
        <v>59.99</v>
      </c>
      <c r="J168" s="1" t="s">
        <v>20</v>
      </c>
      <c r="K168" s="1" t="s">
        <v>45</v>
      </c>
      <c r="L168" s="1" t="s">
        <v>22</v>
      </c>
      <c r="M168" s="10">
        <v>45191</v>
      </c>
      <c r="N168" s="1">
        <v>119.98</v>
      </c>
      <c r="O168" s="1">
        <f t="shared" si="12"/>
        <v>1229.8800000000001</v>
      </c>
      <c r="P168" s="12" t="str">
        <f t="shared" si="13"/>
        <v>Normal</v>
      </c>
      <c r="Q168" s="12">
        <f t="shared" si="14"/>
        <v>29</v>
      </c>
      <c r="R168" s="12" t="str">
        <f t="shared" si="15"/>
        <v>EW</v>
      </c>
    </row>
    <row r="169" spans="1:18" ht="15.75" customHeight="1" x14ac:dyDescent="0.3">
      <c r="A169" s="1" t="s">
        <v>265</v>
      </c>
      <c r="B169" s="10">
        <v>45645</v>
      </c>
      <c r="C169" s="11" t="s">
        <v>552</v>
      </c>
      <c r="D169" s="1" t="s">
        <v>148</v>
      </c>
      <c r="E169" s="1" t="s">
        <v>96</v>
      </c>
      <c r="F169" s="1" t="s">
        <v>97</v>
      </c>
      <c r="G169" s="1" t="s">
        <v>19</v>
      </c>
      <c r="H169" s="1">
        <v>1</v>
      </c>
      <c r="I169" s="1">
        <v>89.99</v>
      </c>
      <c r="J169" s="1" t="s">
        <v>51</v>
      </c>
      <c r="K169" s="1" t="s">
        <v>21</v>
      </c>
      <c r="L169" s="1" t="s">
        <v>34</v>
      </c>
      <c r="M169" s="10">
        <v>44760</v>
      </c>
      <c r="N169" s="1">
        <v>89.99</v>
      </c>
      <c r="O169" s="1">
        <f t="shared" si="12"/>
        <v>1809.84</v>
      </c>
      <c r="P169" s="12" t="str">
        <f t="shared" si="13"/>
        <v>Normal</v>
      </c>
      <c r="Q169" s="12">
        <f t="shared" si="14"/>
        <v>34</v>
      </c>
      <c r="R169" s="12" t="str">
        <f t="shared" si="15"/>
        <v>DM</v>
      </c>
    </row>
    <row r="170" spans="1:18" ht="15.75" customHeight="1" x14ac:dyDescent="0.3">
      <c r="A170" s="1" t="s">
        <v>266</v>
      </c>
      <c r="B170" s="10">
        <v>45645</v>
      </c>
      <c r="C170" s="11" t="s">
        <v>553</v>
      </c>
      <c r="D170" s="1" t="s">
        <v>119</v>
      </c>
      <c r="E170" s="1" t="s">
        <v>54</v>
      </c>
      <c r="F170" s="1" t="s">
        <v>55</v>
      </c>
      <c r="G170" s="1" t="s">
        <v>19</v>
      </c>
      <c r="H170" s="1">
        <v>5</v>
      </c>
      <c r="I170" s="1">
        <v>899.99</v>
      </c>
      <c r="J170" s="1" t="s">
        <v>51</v>
      </c>
      <c r="K170" s="1" t="s">
        <v>56</v>
      </c>
      <c r="L170" s="1" t="s">
        <v>34</v>
      </c>
      <c r="M170" s="10">
        <v>44625</v>
      </c>
      <c r="N170" s="1">
        <v>4499.95</v>
      </c>
      <c r="O170" s="1">
        <f t="shared" si="12"/>
        <v>7309.7999999999993</v>
      </c>
      <c r="P170" s="12" t="str">
        <f t="shared" si="13"/>
        <v>Normal</v>
      </c>
      <c r="Q170" s="12">
        <f t="shared" si="14"/>
        <v>24</v>
      </c>
      <c r="R170" s="12" t="str">
        <f t="shared" si="15"/>
        <v>DK</v>
      </c>
    </row>
    <row r="171" spans="1:18" ht="15.75" customHeight="1" x14ac:dyDescent="0.3">
      <c r="A171" s="1" t="s">
        <v>267</v>
      </c>
      <c r="B171" s="10">
        <v>45646</v>
      </c>
      <c r="C171" s="11" t="s">
        <v>554</v>
      </c>
      <c r="D171" s="1" t="s">
        <v>39</v>
      </c>
      <c r="E171" s="1" t="s">
        <v>40</v>
      </c>
      <c r="F171" s="1" t="s">
        <v>41</v>
      </c>
      <c r="G171" s="1" t="s">
        <v>42</v>
      </c>
      <c r="H171" s="1">
        <v>2</v>
      </c>
      <c r="I171" s="1">
        <v>149.99</v>
      </c>
      <c r="J171" s="1" t="s">
        <v>20</v>
      </c>
      <c r="K171" s="1" t="s">
        <v>33</v>
      </c>
      <c r="L171" s="1" t="s">
        <v>22</v>
      </c>
      <c r="M171" s="10">
        <v>45239</v>
      </c>
      <c r="N171" s="1">
        <v>299.98</v>
      </c>
      <c r="O171" s="1">
        <f t="shared" si="12"/>
        <v>6169.7400000000007</v>
      </c>
      <c r="P171" s="12" t="str">
        <f t="shared" si="13"/>
        <v>Normal</v>
      </c>
      <c r="Q171" s="12">
        <f t="shared" si="14"/>
        <v>35</v>
      </c>
      <c r="R171" s="12" t="str">
        <f t="shared" si="15"/>
        <v>MB</v>
      </c>
    </row>
    <row r="172" spans="1:18" ht="15.75" customHeight="1" x14ac:dyDescent="0.3">
      <c r="A172" s="1" t="s">
        <v>268</v>
      </c>
      <c r="B172" s="10">
        <v>45648</v>
      </c>
      <c r="C172" s="11" t="s">
        <v>555</v>
      </c>
      <c r="D172" s="1" t="s">
        <v>92</v>
      </c>
      <c r="E172" s="1" t="s">
        <v>47</v>
      </c>
      <c r="F172" s="1" t="s">
        <v>48</v>
      </c>
      <c r="G172" s="1" t="s">
        <v>19</v>
      </c>
      <c r="H172" s="1">
        <v>2</v>
      </c>
      <c r="I172" s="1">
        <v>149.99</v>
      </c>
      <c r="J172" s="1" t="s">
        <v>51</v>
      </c>
      <c r="K172" s="1" t="s">
        <v>45</v>
      </c>
      <c r="L172" s="1" t="s">
        <v>26</v>
      </c>
      <c r="M172" s="10">
        <v>45280</v>
      </c>
      <c r="N172" s="1">
        <v>299.98</v>
      </c>
      <c r="O172" s="1">
        <f t="shared" si="12"/>
        <v>1289.9000000000001</v>
      </c>
      <c r="P172" s="12" t="str">
        <f t="shared" si="13"/>
        <v>Normal</v>
      </c>
      <c r="Q172" s="12">
        <f t="shared" si="14"/>
        <v>16</v>
      </c>
      <c r="R172" s="12" t="str">
        <f t="shared" si="15"/>
        <v>LM</v>
      </c>
    </row>
    <row r="173" spans="1:18" ht="15.75" customHeight="1" x14ac:dyDescent="0.3">
      <c r="A173" s="1" t="s">
        <v>269</v>
      </c>
      <c r="B173" s="10">
        <v>45648</v>
      </c>
      <c r="C173" s="11" t="s">
        <v>556</v>
      </c>
      <c r="D173" s="1" t="s">
        <v>148</v>
      </c>
      <c r="E173" s="1" t="s">
        <v>40</v>
      </c>
      <c r="F173" s="1" t="s">
        <v>41</v>
      </c>
      <c r="G173" s="1" t="s">
        <v>42</v>
      </c>
      <c r="H173" s="1">
        <v>3</v>
      </c>
      <c r="I173" s="1">
        <v>149.99</v>
      </c>
      <c r="J173" s="1" t="s">
        <v>51</v>
      </c>
      <c r="K173" s="1" t="s">
        <v>37</v>
      </c>
      <c r="L173" s="1" t="s">
        <v>34</v>
      </c>
      <c r="M173" s="10">
        <v>44522</v>
      </c>
      <c r="N173" s="1">
        <v>449.97</v>
      </c>
      <c r="O173" s="1">
        <f t="shared" si="12"/>
        <v>1809.84</v>
      </c>
      <c r="P173" s="12" t="str">
        <f t="shared" si="13"/>
        <v>Normal</v>
      </c>
      <c r="Q173" s="12">
        <f t="shared" si="14"/>
        <v>35</v>
      </c>
      <c r="R173" s="12" t="str">
        <f t="shared" si="15"/>
        <v>DM</v>
      </c>
    </row>
    <row r="174" spans="1:18" ht="15.75" customHeight="1" x14ac:dyDescent="0.3">
      <c r="A174" s="1" t="s">
        <v>270</v>
      </c>
      <c r="B174" s="10">
        <v>45649</v>
      </c>
      <c r="C174" s="11" t="s">
        <v>557</v>
      </c>
      <c r="D174" s="1" t="s">
        <v>28</v>
      </c>
      <c r="E174" s="1" t="s">
        <v>86</v>
      </c>
      <c r="F174" s="1" t="s">
        <v>87</v>
      </c>
      <c r="G174" s="1" t="s">
        <v>42</v>
      </c>
      <c r="H174" s="1">
        <v>2</v>
      </c>
      <c r="I174" s="1">
        <v>299.99</v>
      </c>
      <c r="J174" s="1" t="s">
        <v>32</v>
      </c>
      <c r="K174" s="1" t="s">
        <v>33</v>
      </c>
      <c r="L174" s="1" t="s">
        <v>22</v>
      </c>
      <c r="M174" s="10">
        <v>44721</v>
      </c>
      <c r="N174" s="1">
        <v>599.98</v>
      </c>
      <c r="O174" s="1">
        <f t="shared" si="12"/>
        <v>3259.87</v>
      </c>
      <c r="P174" s="12" t="str">
        <f t="shared" si="13"/>
        <v>Normal</v>
      </c>
      <c r="Q174" s="12">
        <f t="shared" si="14"/>
        <v>26</v>
      </c>
      <c r="R174" s="12" t="str">
        <f t="shared" si="15"/>
        <v>KS</v>
      </c>
    </row>
    <row r="175" spans="1:18" ht="15.75" customHeight="1" x14ac:dyDescent="0.3">
      <c r="A175" s="1" t="s">
        <v>271</v>
      </c>
      <c r="B175" s="10">
        <v>45654</v>
      </c>
      <c r="C175" s="11" t="s">
        <v>558</v>
      </c>
      <c r="D175" s="1" t="s">
        <v>39</v>
      </c>
      <c r="E175" s="1" t="s">
        <v>86</v>
      </c>
      <c r="F175" s="1" t="s">
        <v>87</v>
      </c>
      <c r="G175" s="1" t="s">
        <v>42</v>
      </c>
      <c r="H175" s="1">
        <v>2</v>
      </c>
      <c r="I175" s="1">
        <v>299.99</v>
      </c>
      <c r="J175" s="1" t="s">
        <v>20</v>
      </c>
      <c r="K175" s="1" t="s">
        <v>45</v>
      </c>
      <c r="L175" s="1" t="s">
        <v>22</v>
      </c>
      <c r="M175" s="10">
        <v>44771</v>
      </c>
      <c r="N175" s="1">
        <v>599.98</v>
      </c>
      <c r="O175" s="1">
        <f t="shared" si="12"/>
        <v>6169.7400000000007</v>
      </c>
      <c r="P175" s="12" t="str">
        <f t="shared" si="13"/>
        <v>Normal</v>
      </c>
      <c r="Q175" s="12">
        <f t="shared" si="14"/>
        <v>26</v>
      </c>
      <c r="R175" s="12" t="str">
        <f t="shared" si="15"/>
        <v>MB</v>
      </c>
    </row>
    <row r="176" spans="1:18" ht="15.75" customHeight="1" x14ac:dyDescent="0.3">
      <c r="A176" s="1" t="s">
        <v>272</v>
      </c>
      <c r="B176" s="10">
        <v>45654</v>
      </c>
      <c r="C176" s="11" t="s">
        <v>559</v>
      </c>
      <c r="D176" s="1" t="s">
        <v>99</v>
      </c>
      <c r="E176" s="1" t="s">
        <v>103</v>
      </c>
      <c r="F176" s="1" t="s">
        <v>104</v>
      </c>
      <c r="G176" s="1" t="s">
        <v>42</v>
      </c>
      <c r="H176" s="1">
        <v>4</v>
      </c>
      <c r="I176" s="1">
        <v>199.99</v>
      </c>
      <c r="J176" s="1" t="s">
        <v>25</v>
      </c>
      <c r="K176" s="1" t="s">
        <v>21</v>
      </c>
      <c r="L176" s="1" t="s">
        <v>22</v>
      </c>
      <c r="M176" s="10">
        <v>44523</v>
      </c>
      <c r="N176" s="1">
        <v>799.96</v>
      </c>
      <c r="O176" s="1">
        <f t="shared" si="12"/>
        <v>6459.79</v>
      </c>
      <c r="P176" s="12" t="str">
        <f t="shared" si="13"/>
        <v>Normal</v>
      </c>
      <c r="Q176" s="12">
        <f t="shared" si="14"/>
        <v>15</v>
      </c>
      <c r="R176" s="12" t="str">
        <f t="shared" si="15"/>
        <v>HR</v>
      </c>
    </row>
    <row r="177" spans="1:18" ht="15.75" customHeight="1" x14ac:dyDescent="0.3">
      <c r="A177" s="1" t="s">
        <v>273</v>
      </c>
      <c r="B177" s="10">
        <v>45655</v>
      </c>
      <c r="C177" s="11" t="s">
        <v>560</v>
      </c>
      <c r="D177" s="1" t="s">
        <v>53</v>
      </c>
      <c r="E177" s="1" t="s">
        <v>96</v>
      </c>
      <c r="F177" s="1" t="s">
        <v>97</v>
      </c>
      <c r="G177" s="1" t="s">
        <v>19</v>
      </c>
      <c r="H177" s="1">
        <v>1</v>
      </c>
      <c r="I177" s="1">
        <v>89.99</v>
      </c>
      <c r="J177" s="1" t="s">
        <v>25</v>
      </c>
      <c r="K177" s="1" t="s">
        <v>33</v>
      </c>
      <c r="L177" s="1" t="s">
        <v>26</v>
      </c>
      <c r="M177" s="10">
        <v>44591</v>
      </c>
      <c r="N177" s="1">
        <v>89.99</v>
      </c>
      <c r="O177" s="1">
        <f t="shared" si="12"/>
        <v>3509.8999999999996</v>
      </c>
      <c r="P177" s="12" t="str">
        <f t="shared" si="13"/>
        <v>Normal</v>
      </c>
      <c r="Q177" s="12">
        <f t="shared" si="14"/>
        <v>34</v>
      </c>
      <c r="R177" s="12" t="str">
        <f t="shared" si="15"/>
        <v>RT</v>
      </c>
    </row>
    <row r="178" spans="1:18" ht="15.75" customHeight="1" x14ac:dyDescent="0.3">
      <c r="A178" s="1" t="s">
        <v>274</v>
      </c>
      <c r="B178" s="10">
        <v>45655</v>
      </c>
      <c r="C178" s="11" t="s">
        <v>561</v>
      </c>
      <c r="D178" s="1" t="s">
        <v>89</v>
      </c>
      <c r="E178" s="1" t="s">
        <v>40</v>
      </c>
      <c r="F178" s="1" t="s">
        <v>41</v>
      </c>
      <c r="G178" s="1" t="s">
        <v>42</v>
      </c>
      <c r="H178" s="1">
        <v>5</v>
      </c>
      <c r="I178" s="1">
        <v>149.99</v>
      </c>
      <c r="J178" s="1" t="s">
        <v>20</v>
      </c>
      <c r="K178" s="1" t="s">
        <v>21</v>
      </c>
      <c r="L178" s="1" t="s">
        <v>26</v>
      </c>
      <c r="M178" s="10">
        <v>45347</v>
      </c>
      <c r="N178" s="1">
        <v>749.95</v>
      </c>
      <c r="O178" s="1">
        <f t="shared" si="12"/>
        <v>4189.7700000000004</v>
      </c>
      <c r="P178" s="12" t="str">
        <f t="shared" si="13"/>
        <v>Normal</v>
      </c>
      <c r="Q178" s="12">
        <f t="shared" si="14"/>
        <v>35</v>
      </c>
      <c r="R178" s="12" t="str">
        <f t="shared" si="15"/>
        <v>NC</v>
      </c>
    </row>
    <row r="179" spans="1:18" ht="15.75" customHeight="1" x14ac:dyDescent="0.3">
      <c r="A179" s="1" t="s">
        <v>275</v>
      </c>
      <c r="B179" s="10">
        <v>45657</v>
      </c>
      <c r="C179" s="11" t="s">
        <v>562</v>
      </c>
      <c r="D179" s="1" t="s">
        <v>73</v>
      </c>
      <c r="E179" s="1" t="s">
        <v>54</v>
      </c>
      <c r="F179" s="1" t="s">
        <v>55</v>
      </c>
      <c r="G179" s="1" t="s">
        <v>19</v>
      </c>
      <c r="H179" s="1">
        <v>1</v>
      </c>
      <c r="I179" s="1">
        <v>899.99</v>
      </c>
      <c r="J179" s="1" t="s">
        <v>32</v>
      </c>
      <c r="K179" s="1" t="s">
        <v>37</v>
      </c>
      <c r="L179" s="1" t="s">
        <v>26</v>
      </c>
      <c r="M179" s="10">
        <v>45050</v>
      </c>
      <c r="N179" s="1">
        <v>899.99</v>
      </c>
      <c r="O179" s="1">
        <f t="shared" si="12"/>
        <v>15659.65</v>
      </c>
      <c r="P179" s="12" t="str">
        <f t="shared" si="13"/>
        <v>High Value</v>
      </c>
      <c r="Q179" s="12">
        <f t="shared" si="14"/>
        <v>24</v>
      </c>
      <c r="R179" s="12" t="str">
        <f t="shared" si="15"/>
        <v>MC</v>
      </c>
    </row>
    <row r="180" spans="1:18" ht="15.75" customHeight="1" x14ac:dyDescent="0.3">
      <c r="A180" s="1" t="s">
        <v>276</v>
      </c>
      <c r="B180" s="10">
        <v>45660</v>
      </c>
      <c r="C180" s="11" t="s">
        <v>563</v>
      </c>
      <c r="D180" s="1" t="s">
        <v>119</v>
      </c>
      <c r="E180" s="1" t="s">
        <v>96</v>
      </c>
      <c r="F180" s="1" t="s">
        <v>97</v>
      </c>
      <c r="G180" s="1" t="s">
        <v>19</v>
      </c>
      <c r="H180" s="1">
        <v>2</v>
      </c>
      <c r="I180" s="1">
        <v>89.99</v>
      </c>
      <c r="J180" s="1" t="s">
        <v>25</v>
      </c>
      <c r="K180" s="1" t="s">
        <v>33</v>
      </c>
      <c r="L180" s="1" t="s">
        <v>26</v>
      </c>
      <c r="M180" s="10">
        <v>44564</v>
      </c>
      <c r="N180" s="1">
        <v>179.98</v>
      </c>
      <c r="O180" s="1">
        <f t="shared" si="12"/>
        <v>7309.7999999999993</v>
      </c>
      <c r="P180" s="12" t="str">
        <f t="shared" si="13"/>
        <v>Normal</v>
      </c>
      <c r="Q180" s="12">
        <f t="shared" si="14"/>
        <v>34</v>
      </c>
      <c r="R180" s="12" t="str">
        <f t="shared" si="15"/>
        <v>DK</v>
      </c>
    </row>
    <row r="181" spans="1:18" ht="15.75" customHeight="1" x14ac:dyDescent="0.3">
      <c r="A181" s="1" t="s">
        <v>277</v>
      </c>
      <c r="B181" s="10">
        <v>45661</v>
      </c>
      <c r="C181" s="11" t="s">
        <v>564</v>
      </c>
      <c r="D181" s="1" t="s">
        <v>278</v>
      </c>
      <c r="E181" s="1" t="s">
        <v>54</v>
      </c>
      <c r="F181" s="1" t="s">
        <v>55</v>
      </c>
      <c r="G181" s="1" t="s">
        <v>19</v>
      </c>
      <c r="H181" s="1">
        <v>1</v>
      </c>
      <c r="I181" s="1">
        <v>899.99</v>
      </c>
      <c r="J181" s="1" t="s">
        <v>32</v>
      </c>
      <c r="K181" s="1" t="s">
        <v>37</v>
      </c>
      <c r="L181" s="1" t="s">
        <v>34</v>
      </c>
      <c r="M181" s="10">
        <v>44752</v>
      </c>
      <c r="N181" s="1">
        <v>899.99</v>
      </c>
      <c r="O181" s="1">
        <f t="shared" si="12"/>
        <v>1559.94</v>
      </c>
      <c r="P181" s="12" t="str">
        <f t="shared" si="13"/>
        <v>Normal</v>
      </c>
      <c r="Q181" s="12">
        <f t="shared" si="14"/>
        <v>24</v>
      </c>
      <c r="R181" s="12" t="str">
        <f t="shared" si="15"/>
        <v>AE</v>
      </c>
    </row>
    <row r="182" spans="1:18" ht="15.75" customHeight="1" x14ac:dyDescent="0.3">
      <c r="A182" s="1" t="s">
        <v>279</v>
      </c>
      <c r="B182" s="10">
        <v>45663</v>
      </c>
      <c r="C182" s="11" t="s">
        <v>565</v>
      </c>
      <c r="D182" s="1" t="s">
        <v>106</v>
      </c>
      <c r="E182" s="1" t="s">
        <v>47</v>
      </c>
      <c r="F182" s="1" t="s">
        <v>48</v>
      </c>
      <c r="G182" s="1" t="s">
        <v>19</v>
      </c>
      <c r="H182" s="1">
        <v>5</v>
      </c>
      <c r="I182" s="1">
        <v>149.99</v>
      </c>
      <c r="J182" s="1" t="s">
        <v>32</v>
      </c>
      <c r="K182" s="1" t="s">
        <v>56</v>
      </c>
      <c r="L182" s="1" t="s">
        <v>26</v>
      </c>
      <c r="M182" s="10">
        <v>44824</v>
      </c>
      <c r="N182" s="1">
        <v>749.95</v>
      </c>
      <c r="O182" s="1">
        <f t="shared" si="12"/>
        <v>2039.8000000000002</v>
      </c>
      <c r="P182" s="12" t="str">
        <f t="shared" si="13"/>
        <v>Normal</v>
      </c>
      <c r="Q182" s="12">
        <f t="shared" si="14"/>
        <v>16</v>
      </c>
      <c r="R182" s="12" t="str">
        <f t="shared" si="15"/>
        <v>LA</v>
      </c>
    </row>
    <row r="183" spans="1:18" ht="15.75" customHeight="1" x14ac:dyDescent="0.3">
      <c r="A183" s="1" t="s">
        <v>280</v>
      </c>
      <c r="B183" s="10">
        <v>45663</v>
      </c>
      <c r="C183" s="11" t="s">
        <v>566</v>
      </c>
      <c r="D183" s="1" t="s">
        <v>39</v>
      </c>
      <c r="E183" s="1" t="s">
        <v>86</v>
      </c>
      <c r="F183" s="1" t="s">
        <v>87</v>
      </c>
      <c r="G183" s="1" t="s">
        <v>42</v>
      </c>
      <c r="H183" s="1">
        <v>3</v>
      </c>
      <c r="I183" s="1">
        <v>299.99</v>
      </c>
      <c r="J183" s="1" t="s">
        <v>20</v>
      </c>
      <c r="K183" s="1" t="s">
        <v>33</v>
      </c>
      <c r="L183" s="1" t="s">
        <v>34</v>
      </c>
      <c r="M183" s="10">
        <v>44422</v>
      </c>
      <c r="N183" s="1">
        <v>899.97</v>
      </c>
      <c r="O183" s="1">
        <f t="shared" si="12"/>
        <v>6169.7400000000007</v>
      </c>
      <c r="P183" s="12" t="str">
        <f t="shared" si="13"/>
        <v>Normal</v>
      </c>
      <c r="Q183" s="12">
        <f t="shared" si="14"/>
        <v>26</v>
      </c>
      <c r="R183" s="12" t="str">
        <f t="shared" si="15"/>
        <v>MB</v>
      </c>
    </row>
    <row r="184" spans="1:18" ht="15.75" customHeight="1" x14ac:dyDescent="0.3">
      <c r="A184" s="1" t="s">
        <v>281</v>
      </c>
      <c r="B184" s="10">
        <v>45666</v>
      </c>
      <c r="C184" s="11" t="s">
        <v>567</v>
      </c>
      <c r="D184" s="1" t="s">
        <v>58</v>
      </c>
      <c r="E184" s="1" t="s">
        <v>68</v>
      </c>
      <c r="F184" s="1" t="s">
        <v>69</v>
      </c>
      <c r="G184" s="1" t="s">
        <v>19</v>
      </c>
      <c r="H184" s="1">
        <v>3</v>
      </c>
      <c r="I184" s="1">
        <v>699.99</v>
      </c>
      <c r="J184" s="1" t="s">
        <v>25</v>
      </c>
      <c r="K184" s="1" t="s">
        <v>21</v>
      </c>
      <c r="L184" s="1" t="s">
        <v>26</v>
      </c>
      <c r="M184" s="10">
        <v>45105</v>
      </c>
      <c r="N184" s="1">
        <v>2099.9699999999998</v>
      </c>
      <c r="O184" s="1">
        <f t="shared" si="12"/>
        <v>8009.7699999999995</v>
      </c>
      <c r="P184" s="12" t="str">
        <f t="shared" si="13"/>
        <v>Normal</v>
      </c>
      <c r="Q184" s="12">
        <f t="shared" si="14"/>
        <v>31</v>
      </c>
      <c r="R184" s="12" t="str">
        <f t="shared" si="15"/>
        <v>KH</v>
      </c>
    </row>
    <row r="185" spans="1:18" ht="15.75" customHeight="1" x14ac:dyDescent="0.3">
      <c r="A185" s="1" t="s">
        <v>282</v>
      </c>
      <c r="B185" s="10">
        <v>45667</v>
      </c>
      <c r="C185" s="11" t="s">
        <v>568</v>
      </c>
      <c r="D185" s="1" t="s">
        <v>89</v>
      </c>
      <c r="E185" s="1" t="s">
        <v>103</v>
      </c>
      <c r="F185" s="1" t="s">
        <v>104</v>
      </c>
      <c r="G185" s="1" t="s">
        <v>42</v>
      </c>
      <c r="H185" s="1">
        <v>5</v>
      </c>
      <c r="I185" s="1">
        <v>199.99</v>
      </c>
      <c r="J185" s="1" t="s">
        <v>32</v>
      </c>
      <c r="K185" s="1" t="s">
        <v>21</v>
      </c>
      <c r="L185" s="1" t="s">
        <v>34</v>
      </c>
      <c r="M185" s="10">
        <v>44633</v>
      </c>
      <c r="N185" s="1">
        <v>999.95</v>
      </c>
      <c r="O185" s="1">
        <f t="shared" si="12"/>
        <v>4189.7700000000004</v>
      </c>
      <c r="P185" s="12" t="str">
        <f t="shared" si="13"/>
        <v>Normal</v>
      </c>
      <c r="Q185" s="12">
        <f t="shared" si="14"/>
        <v>15</v>
      </c>
      <c r="R185" s="12" t="str">
        <f t="shared" si="15"/>
        <v>NC</v>
      </c>
    </row>
    <row r="186" spans="1:18" ht="15.75" customHeight="1" x14ac:dyDescent="0.3">
      <c r="A186" s="1" t="s">
        <v>283</v>
      </c>
      <c r="B186" s="10">
        <v>45667</v>
      </c>
      <c r="C186" s="11" t="s">
        <v>569</v>
      </c>
      <c r="D186" s="1" t="s">
        <v>78</v>
      </c>
      <c r="E186" s="1" t="s">
        <v>17</v>
      </c>
      <c r="F186" s="1" t="s">
        <v>18</v>
      </c>
      <c r="G186" s="1" t="s">
        <v>19</v>
      </c>
      <c r="H186" s="1">
        <v>5</v>
      </c>
      <c r="I186" s="1">
        <v>249.99</v>
      </c>
      <c r="J186" s="1" t="s">
        <v>25</v>
      </c>
      <c r="K186" s="1" t="s">
        <v>33</v>
      </c>
      <c r="L186" s="1" t="s">
        <v>22</v>
      </c>
      <c r="M186" s="10">
        <v>45330</v>
      </c>
      <c r="N186" s="1">
        <v>1249.95</v>
      </c>
      <c r="O186" s="1">
        <f t="shared" si="12"/>
        <v>4789.7900000000009</v>
      </c>
      <c r="P186" s="12" t="str">
        <f t="shared" si="13"/>
        <v>Normal</v>
      </c>
      <c r="Q186" s="12">
        <f t="shared" si="14"/>
        <v>26</v>
      </c>
      <c r="R186" s="12" t="str">
        <f t="shared" si="15"/>
        <v>VS</v>
      </c>
    </row>
    <row r="187" spans="1:18" ht="15.75" customHeight="1" x14ac:dyDescent="0.3">
      <c r="A187" s="1" t="s">
        <v>284</v>
      </c>
      <c r="B187" s="10">
        <v>45668</v>
      </c>
      <c r="C187" s="11" t="s">
        <v>570</v>
      </c>
      <c r="D187" s="1" t="s">
        <v>113</v>
      </c>
      <c r="E187" s="1" t="s">
        <v>47</v>
      </c>
      <c r="F187" s="1" t="s">
        <v>48</v>
      </c>
      <c r="G187" s="1" t="s">
        <v>19</v>
      </c>
      <c r="H187" s="1">
        <v>4</v>
      </c>
      <c r="I187" s="1">
        <v>149.99</v>
      </c>
      <c r="J187" s="1" t="s">
        <v>51</v>
      </c>
      <c r="K187" s="1" t="s">
        <v>56</v>
      </c>
      <c r="L187" s="1" t="s">
        <v>34</v>
      </c>
      <c r="M187" s="10">
        <v>44536</v>
      </c>
      <c r="N187" s="1">
        <v>599.96</v>
      </c>
      <c r="O187" s="1">
        <f t="shared" si="12"/>
        <v>2649.83</v>
      </c>
      <c r="P187" s="12" t="str">
        <f t="shared" si="13"/>
        <v>Normal</v>
      </c>
      <c r="Q187" s="12">
        <f t="shared" si="14"/>
        <v>16</v>
      </c>
      <c r="R187" s="12" t="str">
        <f t="shared" si="15"/>
        <v>ST</v>
      </c>
    </row>
    <row r="188" spans="1:18" ht="15.75" customHeight="1" x14ac:dyDescent="0.3">
      <c r="A188" s="1" t="s">
        <v>285</v>
      </c>
      <c r="B188" s="10">
        <v>45668</v>
      </c>
      <c r="C188" s="11" t="s">
        <v>571</v>
      </c>
      <c r="D188" s="1" t="s">
        <v>67</v>
      </c>
      <c r="E188" s="1" t="s">
        <v>68</v>
      </c>
      <c r="F188" s="1" t="s">
        <v>69</v>
      </c>
      <c r="G188" s="1" t="s">
        <v>19</v>
      </c>
      <c r="H188" s="1">
        <v>3</v>
      </c>
      <c r="I188" s="1">
        <v>699.99</v>
      </c>
      <c r="J188" s="1" t="s">
        <v>20</v>
      </c>
      <c r="K188" s="1" t="s">
        <v>37</v>
      </c>
      <c r="L188" s="1" t="s">
        <v>26</v>
      </c>
      <c r="M188" s="10">
        <v>44602</v>
      </c>
      <c r="N188" s="1">
        <v>2099.9699999999998</v>
      </c>
      <c r="O188" s="1">
        <f t="shared" si="12"/>
        <v>4199.9399999999996</v>
      </c>
      <c r="P188" s="12" t="str">
        <f t="shared" si="13"/>
        <v>Normal</v>
      </c>
      <c r="Q188" s="12">
        <f t="shared" si="14"/>
        <v>31</v>
      </c>
      <c r="R188" s="12" t="str">
        <f t="shared" si="15"/>
        <v>MR</v>
      </c>
    </row>
    <row r="189" spans="1:18" ht="15.75" customHeight="1" x14ac:dyDescent="0.3">
      <c r="A189" s="1" t="s">
        <v>286</v>
      </c>
      <c r="B189" s="10">
        <v>45670</v>
      </c>
      <c r="C189" s="11" t="s">
        <v>572</v>
      </c>
      <c r="D189" s="1" t="s">
        <v>248</v>
      </c>
      <c r="E189" s="1" t="s">
        <v>93</v>
      </c>
      <c r="F189" s="1" t="s">
        <v>94</v>
      </c>
      <c r="G189" s="1" t="s">
        <v>31</v>
      </c>
      <c r="H189" s="1">
        <v>1</v>
      </c>
      <c r="I189" s="1">
        <v>79.989999999999995</v>
      </c>
      <c r="J189" s="1" t="s">
        <v>25</v>
      </c>
      <c r="K189" s="1" t="s">
        <v>33</v>
      </c>
      <c r="L189" s="1" t="s">
        <v>22</v>
      </c>
      <c r="M189" s="10">
        <v>45322</v>
      </c>
      <c r="N189" s="1">
        <v>79.989999999999995</v>
      </c>
      <c r="O189" s="1">
        <f t="shared" si="12"/>
        <v>4829.8899999999994</v>
      </c>
      <c r="P189" s="12" t="str">
        <f t="shared" si="13"/>
        <v>Normal</v>
      </c>
      <c r="Q189" s="12">
        <f t="shared" si="14"/>
        <v>14</v>
      </c>
      <c r="R189" s="12" t="str">
        <f t="shared" si="15"/>
        <v>DW</v>
      </c>
    </row>
    <row r="190" spans="1:18" ht="15.75" customHeight="1" x14ac:dyDescent="0.3">
      <c r="A190" s="1" t="s">
        <v>287</v>
      </c>
      <c r="B190" s="10">
        <v>45670</v>
      </c>
      <c r="C190" s="11" t="s">
        <v>573</v>
      </c>
      <c r="D190" s="1" t="s">
        <v>73</v>
      </c>
      <c r="E190" s="1" t="s">
        <v>86</v>
      </c>
      <c r="F190" s="1" t="s">
        <v>87</v>
      </c>
      <c r="G190" s="1" t="s">
        <v>42</v>
      </c>
      <c r="H190" s="1">
        <v>1</v>
      </c>
      <c r="I190" s="1">
        <v>299.99</v>
      </c>
      <c r="J190" s="1" t="s">
        <v>25</v>
      </c>
      <c r="K190" s="1" t="s">
        <v>37</v>
      </c>
      <c r="L190" s="1" t="s">
        <v>22</v>
      </c>
      <c r="M190" s="10">
        <v>44436</v>
      </c>
      <c r="N190" s="1">
        <v>299.99</v>
      </c>
      <c r="O190" s="1">
        <f t="shared" si="12"/>
        <v>15659.65</v>
      </c>
      <c r="P190" s="12" t="str">
        <f t="shared" si="13"/>
        <v>High Value</v>
      </c>
      <c r="Q190" s="12">
        <f t="shared" si="14"/>
        <v>26</v>
      </c>
      <c r="R190" s="12" t="str">
        <f t="shared" si="15"/>
        <v>MC</v>
      </c>
    </row>
    <row r="191" spans="1:18" ht="15.75" customHeight="1" x14ac:dyDescent="0.3">
      <c r="A191" s="1" t="s">
        <v>288</v>
      </c>
      <c r="B191" s="10">
        <v>45671</v>
      </c>
      <c r="C191" s="11" t="s">
        <v>574</v>
      </c>
      <c r="D191" s="1" t="s">
        <v>127</v>
      </c>
      <c r="E191" s="1" t="s">
        <v>17</v>
      </c>
      <c r="F191" s="1" t="s">
        <v>18</v>
      </c>
      <c r="G191" s="1" t="s">
        <v>19</v>
      </c>
      <c r="H191" s="1">
        <v>4</v>
      </c>
      <c r="I191" s="1">
        <v>249.99</v>
      </c>
      <c r="J191" s="1" t="s">
        <v>25</v>
      </c>
      <c r="K191" s="1" t="s">
        <v>37</v>
      </c>
      <c r="L191" s="1" t="s">
        <v>26</v>
      </c>
      <c r="M191" s="10">
        <v>44460</v>
      </c>
      <c r="N191" s="1">
        <v>999.96</v>
      </c>
      <c r="O191" s="1">
        <f t="shared" si="12"/>
        <v>5649.84</v>
      </c>
      <c r="P191" s="12" t="str">
        <f t="shared" si="13"/>
        <v>Normal</v>
      </c>
      <c r="Q191" s="12">
        <f t="shared" si="14"/>
        <v>26</v>
      </c>
      <c r="R191" s="12" t="str">
        <f t="shared" si="15"/>
        <v>BC</v>
      </c>
    </row>
    <row r="192" spans="1:18" ht="15.75" customHeight="1" x14ac:dyDescent="0.3">
      <c r="A192" s="1" t="s">
        <v>289</v>
      </c>
      <c r="B192" s="10">
        <v>45671</v>
      </c>
      <c r="C192" s="11" t="s">
        <v>575</v>
      </c>
      <c r="D192" s="1" t="s">
        <v>99</v>
      </c>
      <c r="E192" s="1" t="s">
        <v>47</v>
      </c>
      <c r="F192" s="1" t="s">
        <v>48</v>
      </c>
      <c r="G192" s="1" t="s">
        <v>19</v>
      </c>
      <c r="H192" s="1">
        <v>2</v>
      </c>
      <c r="I192" s="1">
        <v>149.99</v>
      </c>
      <c r="J192" s="1" t="s">
        <v>20</v>
      </c>
      <c r="K192" s="1" t="s">
        <v>37</v>
      </c>
      <c r="L192" s="1" t="s">
        <v>34</v>
      </c>
      <c r="M192" s="10">
        <v>44913</v>
      </c>
      <c r="N192" s="1">
        <v>299.98</v>
      </c>
      <c r="O192" s="1">
        <f t="shared" si="12"/>
        <v>6459.79</v>
      </c>
      <c r="P192" s="12" t="str">
        <f t="shared" si="13"/>
        <v>Normal</v>
      </c>
      <c r="Q192" s="12">
        <f t="shared" si="14"/>
        <v>16</v>
      </c>
      <c r="R192" s="12" t="str">
        <f t="shared" si="15"/>
        <v>HR</v>
      </c>
    </row>
    <row r="193" spans="1:18" ht="15.75" customHeight="1" x14ac:dyDescent="0.3">
      <c r="A193" s="1" t="s">
        <v>290</v>
      </c>
      <c r="B193" s="10">
        <v>45671</v>
      </c>
      <c r="C193" s="11" t="s">
        <v>576</v>
      </c>
      <c r="D193" s="1" t="s">
        <v>193</v>
      </c>
      <c r="E193" s="1" t="s">
        <v>86</v>
      </c>
      <c r="F193" s="1" t="s">
        <v>87</v>
      </c>
      <c r="G193" s="1" t="s">
        <v>42</v>
      </c>
      <c r="H193" s="1">
        <v>3</v>
      </c>
      <c r="I193" s="1">
        <v>299.99</v>
      </c>
      <c r="J193" s="1" t="s">
        <v>25</v>
      </c>
      <c r="K193" s="1" t="s">
        <v>33</v>
      </c>
      <c r="L193" s="1" t="s">
        <v>22</v>
      </c>
      <c r="M193" s="10">
        <v>45204</v>
      </c>
      <c r="N193" s="1">
        <v>899.97</v>
      </c>
      <c r="O193" s="1">
        <f t="shared" si="12"/>
        <v>6349.83</v>
      </c>
      <c r="P193" s="12" t="str">
        <f t="shared" si="13"/>
        <v>Normal</v>
      </c>
      <c r="Q193" s="12">
        <f t="shared" si="14"/>
        <v>26</v>
      </c>
      <c r="R193" s="12" t="str">
        <f t="shared" si="15"/>
        <v>SP</v>
      </c>
    </row>
    <row r="194" spans="1:18" ht="15.75" customHeight="1" x14ac:dyDescent="0.3">
      <c r="A194" s="1" t="s">
        <v>291</v>
      </c>
      <c r="B194" s="10">
        <v>45673</v>
      </c>
      <c r="C194" s="11" t="s">
        <v>577</v>
      </c>
      <c r="D194" s="1" t="s">
        <v>187</v>
      </c>
      <c r="E194" s="1" t="s">
        <v>103</v>
      </c>
      <c r="F194" s="1" t="s">
        <v>104</v>
      </c>
      <c r="G194" s="1" t="s">
        <v>42</v>
      </c>
      <c r="H194" s="1">
        <v>4</v>
      </c>
      <c r="I194" s="1">
        <v>199.99</v>
      </c>
      <c r="J194" s="1" t="s">
        <v>51</v>
      </c>
      <c r="K194" s="1" t="s">
        <v>33</v>
      </c>
      <c r="L194" s="1" t="s">
        <v>34</v>
      </c>
      <c r="M194" s="10">
        <v>44544</v>
      </c>
      <c r="N194" s="1">
        <v>799.96</v>
      </c>
      <c r="O194" s="1">
        <f t="shared" si="12"/>
        <v>6989.7699999999986</v>
      </c>
      <c r="P194" s="12" t="str">
        <f t="shared" si="13"/>
        <v>Normal</v>
      </c>
      <c r="Q194" s="12">
        <f t="shared" si="14"/>
        <v>15</v>
      </c>
      <c r="R194" s="12" t="str">
        <f t="shared" si="15"/>
        <v>LR</v>
      </c>
    </row>
    <row r="195" spans="1:18" ht="15.75" customHeight="1" x14ac:dyDescent="0.3">
      <c r="A195" s="1" t="s">
        <v>292</v>
      </c>
      <c r="B195" s="10">
        <v>45673</v>
      </c>
      <c r="C195" s="11" t="s">
        <v>578</v>
      </c>
      <c r="D195" s="1" t="s">
        <v>173</v>
      </c>
      <c r="E195" s="1" t="s">
        <v>86</v>
      </c>
      <c r="F195" s="1" t="s">
        <v>87</v>
      </c>
      <c r="G195" s="1" t="s">
        <v>42</v>
      </c>
      <c r="H195" s="1">
        <v>5</v>
      </c>
      <c r="I195" s="1">
        <v>299.99</v>
      </c>
      <c r="J195" s="1" t="s">
        <v>51</v>
      </c>
      <c r="K195" s="1" t="s">
        <v>21</v>
      </c>
      <c r="L195" s="1" t="s">
        <v>22</v>
      </c>
      <c r="M195" s="10">
        <v>44431</v>
      </c>
      <c r="N195" s="1">
        <v>1499.95</v>
      </c>
      <c r="O195" s="1">
        <f t="shared" ref="O195:O251" si="16">SUMIFS($N:$N,$D:$D,D195)</f>
        <v>3649.8599999999997</v>
      </c>
      <c r="P195" s="12" t="str">
        <f t="shared" ref="P195:P251" si="17">IF(O195&gt;10000,"High Value","Normal")</f>
        <v>Normal</v>
      </c>
      <c r="Q195" s="12">
        <f t="shared" ref="Q195:Q251" si="18">COUNTIF($F:$F,F195)</f>
        <v>26</v>
      </c>
      <c r="R195" s="12" t="str">
        <f t="shared" ref="R195:R251" si="19">UPPER(LEFT(D195,1)&amp;MID(D195,FIND(" ",D195)+1,1))</f>
        <v>EH</v>
      </c>
    </row>
    <row r="196" spans="1:18" ht="15.75" customHeight="1" x14ac:dyDescent="0.3">
      <c r="A196" s="1" t="s">
        <v>293</v>
      </c>
      <c r="B196" s="10">
        <v>45673</v>
      </c>
      <c r="C196" s="11" t="s">
        <v>579</v>
      </c>
      <c r="D196" s="1" t="s">
        <v>53</v>
      </c>
      <c r="E196" s="1" t="s">
        <v>40</v>
      </c>
      <c r="F196" s="1" t="s">
        <v>41</v>
      </c>
      <c r="G196" s="1" t="s">
        <v>42</v>
      </c>
      <c r="H196" s="1">
        <v>3</v>
      </c>
      <c r="I196" s="1">
        <v>149.99</v>
      </c>
      <c r="J196" s="1" t="s">
        <v>25</v>
      </c>
      <c r="K196" s="1" t="s">
        <v>56</v>
      </c>
      <c r="L196" s="1" t="s">
        <v>34</v>
      </c>
      <c r="M196" s="10">
        <v>44395</v>
      </c>
      <c r="N196" s="1">
        <v>449.97</v>
      </c>
      <c r="O196" s="1">
        <f t="shared" si="16"/>
        <v>3509.8999999999996</v>
      </c>
      <c r="P196" s="12" t="str">
        <f t="shared" si="17"/>
        <v>Normal</v>
      </c>
      <c r="Q196" s="12">
        <f t="shared" si="18"/>
        <v>35</v>
      </c>
      <c r="R196" s="12" t="str">
        <f t="shared" si="19"/>
        <v>RT</v>
      </c>
    </row>
    <row r="197" spans="1:18" ht="15.75" customHeight="1" x14ac:dyDescent="0.3">
      <c r="A197" s="1" t="s">
        <v>294</v>
      </c>
      <c r="B197" s="10">
        <v>45676</v>
      </c>
      <c r="C197" s="11" t="s">
        <v>580</v>
      </c>
      <c r="D197" s="1" t="s">
        <v>106</v>
      </c>
      <c r="E197" s="1" t="s">
        <v>29</v>
      </c>
      <c r="F197" s="1" t="s">
        <v>30</v>
      </c>
      <c r="G197" s="1" t="s">
        <v>31</v>
      </c>
      <c r="H197" s="1">
        <v>5</v>
      </c>
      <c r="I197" s="1">
        <v>59.99</v>
      </c>
      <c r="J197" s="1" t="s">
        <v>51</v>
      </c>
      <c r="K197" s="1" t="s">
        <v>56</v>
      </c>
      <c r="L197" s="1" t="s">
        <v>22</v>
      </c>
      <c r="M197" s="10">
        <v>44642</v>
      </c>
      <c r="N197" s="1">
        <v>299.95</v>
      </c>
      <c r="O197" s="1">
        <f t="shared" si="16"/>
        <v>2039.8000000000002</v>
      </c>
      <c r="P197" s="12" t="str">
        <f t="shared" si="17"/>
        <v>Normal</v>
      </c>
      <c r="Q197" s="12">
        <f t="shared" si="18"/>
        <v>29</v>
      </c>
      <c r="R197" s="12" t="str">
        <f t="shared" si="19"/>
        <v>LA</v>
      </c>
    </row>
    <row r="198" spans="1:18" ht="15.75" customHeight="1" x14ac:dyDescent="0.3">
      <c r="A198" s="1" t="s">
        <v>295</v>
      </c>
      <c r="B198" s="10">
        <v>45682</v>
      </c>
      <c r="C198" s="11" t="s">
        <v>581</v>
      </c>
      <c r="D198" s="1" t="s">
        <v>60</v>
      </c>
      <c r="E198" s="1" t="s">
        <v>29</v>
      </c>
      <c r="F198" s="1" t="s">
        <v>30</v>
      </c>
      <c r="G198" s="1" t="s">
        <v>31</v>
      </c>
      <c r="H198" s="1">
        <v>4</v>
      </c>
      <c r="I198" s="1">
        <v>59.99</v>
      </c>
      <c r="J198" s="1" t="s">
        <v>51</v>
      </c>
      <c r="K198" s="1" t="s">
        <v>56</v>
      </c>
      <c r="L198" s="1" t="s">
        <v>34</v>
      </c>
      <c r="M198" s="10">
        <v>44564</v>
      </c>
      <c r="N198" s="1">
        <v>239.96</v>
      </c>
      <c r="O198" s="1">
        <f t="shared" si="16"/>
        <v>1979.89</v>
      </c>
      <c r="P198" s="12" t="str">
        <f t="shared" si="17"/>
        <v>Normal</v>
      </c>
      <c r="Q198" s="12">
        <f t="shared" si="18"/>
        <v>29</v>
      </c>
      <c r="R198" s="12" t="str">
        <f t="shared" si="19"/>
        <v>SG</v>
      </c>
    </row>
    <row r="199" spans="1:18" ht="15.75" customHeight="1" x14ac:dyDescent="0.3">
      <c r="A199" s="1" t="s">
        <v>296</v>
      </c>
      <c r="B199" s="10">
        <v>45683</v>
      </c>
      <c r="C199" s="11" t="s">
        <v>582</v>
      </c>
      <c r="D199" s="1" t="s">
        <v>44</v>
      </c>
      <c r="E199" s="1" t="s">
        <v>17</v>
      </c>
      <c r="F199" s="1" t="s">
        <v>18</v>
      </c>
      <c r="G199" s="1" t="s">
        <v>19</v>
      </c>
      <c r="H199" s="1">
        <v>4</v>
      </c>
      <c r="I199" s="1">
        <v>249.99</v>
      </c>
      <c r="J199" s="1" t="s">
        <v>51</v>
      </c>
      <c r="K199" s="1" t="s">
        <v>21</v>
      </c>
      <c r="L199" s="1" t="s">
        <v>26</v>
      </c>
      <c r="M199" s="10">
        <v>45217</v>
      </c>
      <c r="N199" s="1">
        <v>999.96</v>
      </c>
      <c r="O199" s="1">
        <f t="shared" si="16"/>
        <v>8269.7900000000009</v>
      </c>
      <c r="P199" s="12" t="str">
        <f t="shared" si="17"/>
        <v>Normal</v>
      </c>
      <c r="Q199" s="12">
        <f t="shared" si="18"/>
        <v>26</v>
      </c>
      <c r="R199" s="12" t="str">
        <f t="shared" si="19"/>
        <v>DN</v>
      </c>
    </row>
    <row r="200" spans="1:18" ht="15.75" customHeight="1" x14ac:dyDescent="0.3">
      <c r="A200" s="1" t="s">
        <v>297</v>
      </c>
      <c r="B200" s="10">
        <v>45686</v>
      </c>
      <c r="C200" s="11" t="s">
        <v>583</v>
      </c>
      <c r="D200" s="1" t="s">
        <v>209</v>
      </c>
      <c r="E200" s="1" t="s">
        <v>54</v>
      </c>
      <c r="F200" s="1" t="s">
        <v>55</v>
      </c>
      <c r="G200" s="1" t="s">
        <v>19</v>
      </c>
      <c r="H200" s="1">
        <v>4</v>
      </c>
      <c r="I200" s="1">
        <v>899.99</v>
      </c>
      <c r="J200" s="1" t="s">
        <v>32</v>
      </c>
      <c r="K200" s="1" t="s">
        <v>21</v>
      </c>
      <c r="L200" s="1" t="s">
        <v>22</v>
      </c>
      <c r="M200" s="10">
        <v>44734</v>
      </c>
      <c r="N200" s="1">
        <v>3599.96</v>
      </c>
      <c r="O200" s="1">
        <f t="shared" si="16"/>
        <v>4749.91</v>
      </c>
      <c r="P200" s="12" t="str">
        <f t="shared" si="17"/>
        <v>Normal</v>
      </c>
      <c r="Q200" s="12">
        <f t="shared" si="18"/>
        <v>24</v>
      </c>
      <c r="R200" s="12" t="str">
        <f t="shared" si="19"/>
        <v>WW</v>
      </c>
    </row>
    <row r="201" spans="1:18" ht="15.75" customHeight="1" x14ac:dyDescent="0.3">
      <c r="A201" s="1" t="s">
        <v>298</v>
      </c>
      <c r="B201" s="10">
        <v>45686</v>
      </c>
      <c r="C201" s="11" t="s">
        <v>584</v>
      </c>
      <c r="D201" s="1" t="s">
        <v>73</v>
      </c>
      <c r="E201" s="1" t="s">
        <v>86</v>
      </c>
      <c r="F201" s="1" t="s">
        <v>87</v>
      </c>
      <c r="G201" s="1" t="s">
        <v>42</v>
      </c>
      <c r="H201" s="1">
        <v>3</v>
      </c>
      <c r="I201" s="1">
        <v>299.99</v>
      </c>
      <c r="J201" s="1" t="s">
        <v>51</v>
      </c>
      <c r="K201" s="1" t="s">
        <v>45</v>
      </c>
      <c r="L201" s="1" t="s">
        <v>34</v>
      </c>
      <c r="M201" s="10">
        <v>44952</v>
      </c>
      <c r="N201" s="1">
        <v>899.97</v>
      </c>
      <c r="O201" s="1">
        <f t="shared" si="16"/>
        <v>15659.65</v>
      </c>
      <c r="P201" s="12" t="str">
        <f t="shared" si="17"/>
        <v>High Value</v>
      </c>
      <c r="Q201" s="12">
        <f t="shared" si="18"/>
        <v>26</v>
      </c>
      <c r="R201" s="12" t="str">
        <f t="shared" si="19"/>
        <v>MC</v>
      </c>
    </row>
    <row r="202" spans="1:18" ht="15.75" customHeight="1" x14ac:dyDescent="0.3">
      <c r="A202" s="1" t="s">
        <v>299</v>
      </c>
      <c r="B202" s="10">
        <v>45686</v>
      </c>
      <c r="C202" s="11" t="s">
        <v>585</v>
      </c>
      <c r="D202" s="1" t="s">
        <v>248</v>
      </c>
      <c r="E202" s="1" t="s">
        <v>68</v>
      </c>
      <c r="F202" s="1" t="s">
        <v>69</v>
      </c>
      <c r="G202" s="1" t="s">
        <v>19</v>
      </c>
      <c r="H202" s="1">
        <v>2</v>
      </c>
      <c r="I202" s="1">
        <v>699.99</v>
      </c>
      <c r="J202" s="1" t="s">
        <v>51</v>
      </c>
      <c r="K202" s="1" t="s">
        <v>21</v>
      </c>
      <c r="L202" s="1" t="s">
        <v>26</v>
      </c>
      <c r="M202" s="10">
        <v>44681</v>
      </c>
      <c r="N202" s="1">
        <v>1399.98</v>
      </c>
      <c r="O202" s="1">
        <f t="shared" si="16"/>
        <v>4829.8899999999994</v>
      </c>
      <c r="P202" s="12" t="str">
        <f t="shared" si="17"/>
        <v>Normal</v>
      </c>
      <c r="Q202" s="12">
        <f t="shared" si="18"/>
        <v>31</v>
      </c>
      <c r="R202" s="12" t="str">
        <f t="shared" si="19"/>
        <v>DW</v>
      </c>
    </row>
    <row r="203" spans="1:18" ht="15.75" customHeight="1" x14ac:dyDescent="0.3">
      <c r="A203" s="1" t="s">
        <v>300</v>
      </c>
      <c r="B203" s="10">
        <v>45688</v>
      </c>
      <c r="C203" s="11" t="s">
        <v>586</v>
      </c>
      <c r="D203" s="1" t="s">
        <v>58</v>
      </c>
      <c r="E203" s="1" t="s">
        <v>68</v>
      </c>
      <c r="F203" s="1" t="s">
        <v>69</v>
      </c>
      <c r="G203" s="1" t="s">
        <v>19</v>
      </c>
      <c r="H203" s="1">
        <v>4</v>
      </c>
      <c r="I203" s="1">
        <v>699.99</v>
      </c>
      <c r="J203" s="1" t="s">
        <v>51</v>
      </c>
      <c r="K203" s="1" t="s">
        <v>45</v>
      </c>
      <c r="L203" s="1" t="s">
        <v>26</v>
      </c>
      <c r="M203" s="10">
        <v>44692</v>
      </c>
      <c r="N203" s="1">
        <v>2799.96</v>
      </c>
      <c r="O203" s="1">
        <f t="shared" si="16"/>
        <v>8009.7699999999995</v>
      </c>
      <c r="P203" s="12" t="str">
        <f t="shared" si="17"/>
        <v>Normal</v>
      </c>
      <c r="Q203" s="12">
        <f t="shared" si="18"/>
        <v>31</v>
      </c>
      <c r="R203" s="12" t="str">
        <f t="shared" si="19"/>
        <v>KH</v>
      </c>
    </row>
    <row r="204" spans="1:18" ht="15.75" customHeight="1" x14ac:dyDescent="0.3">
      <c r="A204" s="1" t="s">
        <v>301</v>
      </c>
      <c r="B204" s="10">
        <v>45688</v>
      </c>
      <c r="C204" s="11" t="s">
        <v>587</v>
      </c>
      <c r="D204" s="1" t="s">
        <v>101</v>
      </c>
      <c r="E204" s="1" t="s">
        <v>96</v>
      </c>
      <c r="F204" s="1" t="s">
        <v>97</v>
      </c>
      <c r="G204" s="1" t="s">
        <v>19</v>
      </c>
      <c r="H204" s="1">
        <v>2</v>
      </c>
      <c r="I204" s="1">
        <v>89.99</v>
      </c>
      <c r="J204" s="1" t="s">
        <v>51</v>
      </c>
      <c r="K204" s="1" t="s">
        <v>33</v>
      </c>
      <c r="L204" s="1" t="s">
        <v>22</v>
      </c>
      <c r="M204" s="10">
        <v>44777</v>
      </c>
      <c r="N204" s="1">
        <v>179.98</v>
      </c>
      <c r="O204" s="1">
        <f t="shared" si="16"/>
        <v>11919.769999999999</v>
      </c>
      <c r="P204" s="12" t="str">
        <f t="shared" si="17"/>
        <v>High Value</v>
      </c>
      <c r="Q204" s="12">
        <f t="shared" si="18"/>
        <v>34</v>
      </c>
      <c r="R204" s="12" t="str">
        <f t="shared" si="19"/>
        <v>EM</v>
      </c>
    </row>
    <row r="205" spans="1:18" ht="15.75" customHeight="1" x14ac:dyDescent="0.3">
      <c r="A205" s="1" t="s">
        <v>302</v>
      </c>
      <c r="B205" s="10">
        <v>45688</v>
      </c>
      <c r="C205" s="11" t="s">
        <v>588</v>
      </c>
      <c r="D205" s="1" t="s">
        <v>39</v>
      </c>
      <c r="E205" s="1" t="s">
        <v>96</v>
      </c>
      <c r="F205" s="1" t="s">
        <v>97</v>
      </c>
      <c r="G205" s="1" t="s">
        <v>19</v>
      </c>
      <c r="H205" s="1">
        <v>3</v>
      </c>
      <c r="I205" s="1">
        <v>89.99</v>
      </c>
      <c r="J205" s="1" t="s">
        <v>51</v>
      </c>
      <c r="K205" s="1" t="s">
        <v>33</v>
      </c>
      <c r="L205" s="1" t="s">
        <v>26</v>
      </c>
      <c r="M205" s="10">
        <v>45307</v>
      </c>
      <c r="N205" s="1">
        <v>269.97000000000003</v>
      </c>
      <c r="O205" s="1">
        <f t="shared" si="16"/>
        <v>6169.7400000000007</v>
      </c>
      <c r="P205" s="12" t="str">
        <f t="shared" si="17"/>
        <v>Normal</v>
      </c>
      <c r="Q205" s="12">
        <f t="shared" si="18"/>
        <v>34</v>
      </c>
      <c r="R205" s="12" t="str">
        <f t="shared" si="19"/>
        <v>MB</v>
      </c>
    </row>
    <row r="206" spans="1:18" ht="15.75" customHeight="1" x14ac:dyDescent="0.3">
      <c r="A206" s="1" t="s">
        <v>303</v>
      </c>
      <c r="B206" s="10">
        <v>45692</v>
      </c>
      <c r="C206" s="11" t="s">
        <v>589</v>
      </c>
      <c r="D206" s="1" t="s">
        <v>278</v>
      </c>
      <c r="E206" s="1" t="s">
        <v>29</v>
      </c>
      <c r="F206" s="1" t="s">
        <v>30</v>
      </c>
      <c r="G206" s="1" t="s">
        <v>31</v>
      </c>
      <c r="H206" s="1">
        <v>1</v>
      </c>
      <c r="I206" s="1">
        <v>59.99</v>
      </c>
      <c r="J206" s="1" t="s">
        <v>51</v>
      </c>
      <c r="K206" s="1" t="s">
        <v>21</v>
      </c>
      <c r="L206" s="1" t="s">
        <v>34</v>
      </c>
      <c r="M206" s="10">
        <v>45045</v>
      </c>
      <c r="N206" s="1">
        <v>59.99</v>
      </c>
      <c r="O206" s="1">
        <f t="shared" si="16"/>
        <v>1559.94</v>
      </c>
      <c r="P206" s="12" t="str">
        <f t="shared" si="17"/>
        <v>Normal</v>
      </c>
      <c r="Q206" s="12">
        <f t="shared" si="18"/>
        <v>29</v>
      </c>
      <c r="R206" s="12" t="str">
        <f t="shared" si="19"/>
        <v>AE</v>
      </c>
    </row>
    <row r="207" spans="1:18" ht="15.75" customHeight="1" x14ac:dyDescent="0.3">
      <c r="A207" s="1" t="s">
        <v>304</v>
      </c>
      <c r="B207" s="10">
        <v>45695</v>
      </c>
      <c r="C207" s="11" t="s">
        <v>590</v>
      </c>
      <c r="D207" s="1" t="s">
        <v>204</v>
      </c>
      <c r="E207" s="1" t="s">
        <v>40</v>
      </c>
      <c r="F207" s="1" t="s">
        <v>41</v>
      </c>
      <c r="G207" s="1" t="s">
        <v>42</v>
      </c>
      <c r="H207" s="1">
        <v>3</v>
      </c>
      <c r="I207" s="1">
        <v>149.99</v>
      </c>
      <c r="J207" s="1" t="s">
        <v>51</v>
      </c>
      <c r="K207" s="1" t="s">
        <v>37</v>
      </c>
      <c r="L207" s="1" t="s">
        <v>26</v>
      </c>
      <c r="M207" s="10">
        <v>44564</v>
      </c>
      <c r="N207" s="1">
        <v>449.97</v>
      </c>
      <c r="O207" s="1">
        <f t="shared" si="16"/>
        <v>1749.92</v>
      </c>
      <c r="P207" s="12" t="str">
        <f t="shared" si="17"/>
        <v>Normal</v>
      </c>
      <c r="Q207" s="12">
        <f t="shared" si="18"/>
        <v>35</v>
      </c>
      <c r="R207" s="12" t="str">
        <f t="shared" si="19"/>
        <v>RB</v>
      </c>
    </row>
    <row r="208" spans="1:18" ht="15.75" customHeight="1" x14ac:dyDescent="0.3">
      <c r="A208" s="1" t="s">
        <v>305</v>
      </c>
      <c r="B208" s="10">
        <v>45695</v>
      </c>
      <c r="C208" s="11" t="s">
        <v>591</v>
      </c>
      <c r="D208" s="1" t="s">
        <v>78</v>
      </c>
      <c r="E208" s="1" t="s">
        <v>86</v>
      </c>
      <c r="F208" s="1" t="s">
        <v>87</v>
      </c>
      <c r="G208" s="1" t="s">
        <v>42</v>
      </c>
      <c r="H208" s="1">
        <v>5</v>
      </c>
      <c r="I208" s="1">
        <v>299.99</v>
      </c>
      <c r="J208" s="1" t="s">
        <v>25</v>
      </c>
      <c r="K208" s="1" t="s">
        <v>33</v>
      </c>
      <c r="L208" s="1" t="s">
        <v>22</v>
      </c>
      <c r="M208" s="10">
        <v>44959</v>
      </c>
      <c r="N208" s="1">
        <v>1499.95</v>
      </c>
      <c r="O208" s="1">
        <f t="shared" si="16"/>
        <v>4789.7900000000009</v>
      </c>
      <c r="P208" s="12" t="str">
        <f t="shared" si="17"/>
        <v>Normal</v>
      </c>
      <c r="Q208" s="12">
        <f t="shared" si="18"/>
        <v>26</v>
      </c>
      <c r="R208" s="12" t="str">
        <f t="shared" si="19"/>
        <v>VS</v>
      </c>
    </row>
    <row r="209" spans="1:18" ht="15.75" customHeight="1" x14ac:dyDescent="0.3">
      <c r="A209" s="1" t="s">
        <v>306</v>
      </c>
      <c r="B209" s="10">
        <v>45696</v>
      </c>
      <c r="C209" s="11" t="s">
        <v>592</v>
      </c>
      <c r="D209" s="1" t="s">
        <v>121</v>
      </c>
      <c r="E209" s="1" t="s">
        <v>29</v>
      </c>
      <c r="F209" s="1" t="s">
        <v>30</v>
      </c>
      <c r="G209" s="1" t="s">
        <v>31</v>
      </c>
      <c r="H209" s="1">
        <v>5</v>
      </c>
      <c r="I209" s="1">
        <v>59.99</v>
      </c>
      <c r="J209" s="1" t="s">
        <v>51</v>
      </c>
      <c r="K209" s="1" t="s">
        <v>21</v>
      </c>
      <c r="L209" s="1" t="s">
        <v>34</v>
      </c>
      <c r="M209" s="10">
        <v>45177</v>
      </c>
      <c r="N209" s="1">
        <v>299.95</v>
      </c>
      <c r="O209" s="1">
        <f t="shared" si="16"/>
        <v>5619.869999999999</v>
      </c>
      <c r="P209" s="12" t="str">
        <f t="shared" si="17"/>
        <v>Normal</v>
      </c>
      <c r="Q209" s="12">
        <f t="shared" si="18"/>
        <v>29</v>
      </c>
      <c r="R209" s="12" t="str">
        <f t="shared" si="19"/>
        <v>SB</v>
      </c>
    </row>
    <row r="210" spans="1:18" ht="15.75" customHeight="1" x14ac:dyDescent="0.3">
      <c r="A210" s="1" t="s">
        <v>307</v>
      </c>
      <c r="B210" s="10">
        <v>45701</v>
      </c>
      <c r="C210" s="11" t="s">
        <v>593</v>
      </c>
      <c r="D210" s="1" t="s">
        <v>89</v>
      </c>
      <c r="E210" s="1" t="s">
        <v>93</v>
      </c>
      <c r="F210" s="1" t="s">
        <v>94</v>
      </c>
      <c r="G210" s="1" t="s">
        <v>31</v>
      </c>
      <c r="H210" s="1">
        <v>3</v>
      </c>
      <c r="I210" s="1">
        <v>79.989999999999995</v>
      </c>
      <c r="J210" s="1" t="s">
        <v>20</v>
      </c>
      <c r="K210" s="1" t="s">
        <v>56</v>
      </c>
      <c r="L210" s="1" t="s">
        <v>26</v>
      </c>
      <c r="M210" s="10">
        <v>44436</v>
      </c>
      <c r="N210" s="1">
        <v>239.97</v>
      </c>
      <c r="O210" s="1">
        <f t="shared" si="16"/>
        <v>4189.7700000000004</v>
      </c>
      <c r="P210" s="12" t="str">
        <f t="shared" si="17"/>
        <v>Normal</v>
      </c>
      <c r="Q210" s="12">
        <f t="shared" si="18"/>
        <v>14</v>
      </c>
      <c r="R210" s="12" t="str">
        <f t="shared" si="19"/>
        <v>NC</v>
      </c>
    </row>
    <row r="211" spans="1:18" ht="15.75" customHeight="1" x14ac:dyDescent="0.3">
      <c r="A211" s="1" t="s">
        <v>308</v>
      </c>
      <c r="B211" s="10">
        <v>45704</v>
      </c>
      <c r="C211" s="11" t="s">
        <v>594</v>
      </c>
      <c r="D211" s="1" t="s">
        <v>28</v>
      </c>
      <c r="E211" s="1" t="s">
        <v>103</v>
      </c>
      <c r="F211" s="1" t="s">
        <v>104</v>
      </c>
      <c r="G211" s="1" t="s">
        <v>42</v>
      </c>
      <c r="H211" s="1">
        <v>3</v>
      </c>
      <c r="I211" s="1">
        <v>199.99</v>
      </c>
      <c r="J211" s="1" t="s">
        <v>20</v>
      </c>
      <c r="K211" s="1" t="s">
        <v>21</v>
      </c>
      <c r="L211" s="1" t="s">
        <v>22</v>
      </c>
      <c r="M211" s="10">
        <v>44735</v>
      </c>
      <c r="N211" s="1">
        <v>599.97</v>
      </c>
      <c r="O211" s="1">
        <f t="shared" si="16"/>
        <v>3259.87</v>
      </c>
      <c r="P211" s="12" t="str">
        <f t="shared" si="17"/>
        <v>Normal</v>
      </c>
      <c r="Q211" s="12">
        <f t="shared" si="18"/>
        <v>15</v>
      </c>
      <c r="R211" s="12" t="str">
        <f t="shared" si="19"/>
        <v>KS</v>
      </c>
    </row>
    <row r="212" spans="1:18" ht="15.75" customHeight="1" x14ac:dyDescent="0.3">
      <c r="A212" s="1" t="s">
        <v>309</v>
      </c>
      <c r="B212" s="10">
        <v>45704</v>
      </c>
      <c r="C212" s="11" t="s">
        <v>595</v>
      </c>
      <c r="D212" s="1" t="s">
        <v>16</v>
      </c>
      <c r="E212" s="1" t="s">
        <v>96</v>
      </c>
      <c r="F212" s="1" t="s">
        <v>97</v>
      </c>
      <c r="G212" s="1" t="s">
        <v>19</v>
      </c>
      <c r="H212" s="1">
        <v>2</v>
      </c>
      <c r="I212" s="1">
        <v>89.99</v>
      </c>
      <c r="J212" s="1" t="s">
        <v>32</v>
      </c>
      <c r="K212" s="1" t="s">
        <v>21</v>
      </c>
      <c r="L212" s="1" t="s">
        <v>22</v>
      </c>
      <c r="M212" s="10">
        <v>45257</v>
      </c>
      <c r="N212" s="1">
        <v>179.98</v>
      </c>
      <c r="O212" s="1">
        <f t="shared" si="16"/>
        <v>8309.739999999998</v>
      </c>
      <c r="P212" s="12" t="str">
        <f t="shared" si="17"/>
        <v>Normal</v>
      </c>
      <c r="Q212" s="12">
        <f t="shared" si="18"/>
        <v>34</v>
      </c>
      <c r="R212" s="12" t="str">
        <f t="shared" si="19"/>
        <v>PB</v>
      </c>
    </row>
    <row r="213" spans="1:18" ht="15.75" customHeight="1" x14ac:dyDescent="0.3">
      <c r="A213" s="1" t="s">
        <v>310</v>
      </c>
      <c r="B213" s="10">
        <v>45705</v>
      </c>
      <c r="C213" s="11" t="s">
        <v>596</v>
      </c>
      <c r="D213" s="1" t="s">
        <v>215</v>
      </c>
      <c r="E213" s="1" t="s">
        <v>40</v>
      </c>
      <c r="F213" s="1" t="s">
        <v>41</v>
      </c>
      <c r="G213" s="1" t="s">
        <v>42</v>
      </c>
      <c r="H213" s="1">
        <v>2</v>
      </c>
      <c r="I213" s="1">
        <v>149.99</v>
      </c>
      <c r="J213" s="1" t="s">
        <v>20</v>
      </c>
      <c r="K213" s="1" t="s">
        <v>33</v>
      </c>
      <c r="L213" s="1" t="s">
        <v>26</v>
      </c>
      <c r="M213" s="10">
        <v>44728</v>
      </c>
      <c r="N213" s="1">
        <v>299.98</v>
      </c>
      <c r="O213" s="1">
        <f t="shared" si="16"/>
        <v>739.93000000000006</v>
      </c>
      <c r="P213" s="12" t="str">
        <f t="shared" si="17"/>
        <v>Normal</v>
      </c>
      <c r="Q213" s="12">
        <f t="shared" si="18"/>
        <v>35</v>
      </c>
      <c r="R213" s="12" t="str">
        <f t="shared" si="19"/>
        <v>RL</v>
      </c>
    </row>
    <row r="214" spans="1:18" ht="15.75" customHeight="1" x14ac:dyDescent="0.3">
      <c r="A214" s="1" t="s">
        <v>311</v>
      </c>
      <c r="B214" s="10">
        <v>45707</v>
      </c>
      <c r="C214" s="11" t="s">
        <v>597</v>
      </c>
      <c r="D214" s="1" t="s">
        <v>101</v>
      </c>
      <c r="E214" s="1" t="s">
        <v>68</v>
      </c>
      <c r="F214" s="1" t="s">
        <v>69</v>
      </c>
      <c r="G214" s="1" t="s">
        <v>19</v>
      </c>
      <c r="H214" s="1">
        <v>5</v>
      </c>
      <c r="I214" s="1">
        <v>699.99</v>
      </c>
      <c r="J214" s="1" t="s">
        <v>32</v>
      </c>
      <c r="K214" s="1" t="s">
        <v>33</v>
      </c>
      <c r="L214" s="1" t="s">
        <v>26</v>
      </c>
      <c r="M214" s="10">
        <v>45352</v>
      </c>
      <c r="N214" s="1">
        <v>3499.95</v>
      </c>
      <c r="O214" s="1">
        <f t="shared" si="16"/>
        <v>11919.769999999999</v>
      </c>
      <c r="P214" s="12" t="str">
        <f t="shared" si="17"/>
        <v>High Value</v>
      </c>
      <c r="Q214" s="12">
        <f t="shared" si="18"/>
        <v>31</v>
      </c>
      <c r="R214" s="12" t="str">
        <f t="shared" si="19"/>
        <v>EM</v>
      </c>
    </row>
    <row r="215" spans="1:18" ht="15.75" customHeight="1" x14ac:dyDescent="0.3">
      <c r="A215" s="1" t="s">
        <v>312</v>
      </c>
      <c r="B215" s="10">
        <v>45707</v>
      </c>
      <c r="C215" s="11" t="s">
        <v>598</v>
      </c>
      <c r="D215" s="1" t="s">
        <v>39</v>
      </c>
      <c r="E215" s="1" t="s">
        <v>40</v>
      </c>
      <c r="F215" s="1" t="s">
        <v>41</v>
      </c>
      <c r="G215" s="1" t="s">
        <v>42</v>
      </c>
      <c r="H215" s="1">
        <v>3</v>
      </c>
      <c r="I215" s="1">
        <v>149.99</v>
      </c>
      <c r="J215" s="1" t="s">
        <v>32</v>
      </c>
      <c r="K215" s="1" t="s">
        <v>21</v>
      </c>
      <c r="L215" s="1" t="s">
        <v>34</v>
      </c>
      <c r="M215" s="10">
        <v>44633</v>
      </c>
      <c r="N215" s="1">
        <v>449.97</v>
      </c>
      <c r="O215" s="1">
        <f t="shared" si="16"/>
        <v>6169.7400000000007</v>
      </c>
      <c r="P215" s="12" t="str">
        <f t="shared" si="17"/>
        <v>Normal</v>
      </c>
      <c r="Q215" s="12">
        <f t="shared" si="18"/>
        <v>35</v>
      </c>
      <c r="R215" s="12" t="str">
        <f t="shared" si="19"/>
        <v>MB</v>
      </c>
    </row>
    <row r="216" spans="1:18" ht="15.75" customHeight="1" x14ac:dyDescent="0.3">
      <c r="A216" s="1" t="s">
        <v>313</v>
      </c>
      <c r="B216" s="10">
        <v>45708</v>
      </c>
      <c r="C216" s="11" t="s">
        <v>599</v>
      </c>
      <c r="D216" s="1" t="s">
        <v>80</v>
      </c>
      <c r="E216" s="1" t="s">
        <v>54</v>
      </c>
      <c r="F216" s="1" t="s">
        <v>55</v>
      </c>
      <c r="G216" s="1" t="s">
        <v>19</v>
      </c>
      <c r="H216" s="1">
        <v>3</v>
      </c>
      <c r="I216" s="1">
        <v>899.99</v>
      </c>
      <c r="J216" s="1" t="s">
        <v>20</v>
      </c>
      <c r="K216" s="1" t="s">
        <v>56</v>
      </c>
      <c r="L216" s="1" t="s">
        <v>34</v>
      </c>
      <c r="M216" s="10">
        <v>44613</v>
      </c>
      <c r="N216" s="1">
        <v>2699.97</v>
      </c>
      <c r="O216" s="1">
        <f t="shared" si="16"/>
        <v>10649.8</v>
      </c>
      <c r="P216" s="12" t="str">
        <f t="shared" si="17"/>
        <v>High Value</v>
      </c>
      <c r="Q216" s="12">
        <f t="shared" si="18"/>
        <v>24</v>
      </c>
      <c r="R216" s="12" t="str">
        <f t="shared" si="19"/>
        <v>BY</v>
      </c>
    </row>
    <row r="217" spans="1:18" ht="15.75" customHeight="1" x14ac:dyDescent="0.3">
      <c r="A217" s="1" t="s">
        <v>314</v>
      </c>
      <c r="B217" s="10">
        <v>45708</v>
      </c>
      <c r="C217" s="11" t="s">
        <v>600</v>
      </c>
      <c r="D217" s="1" t="s">
        <v>156</v>
      </c>
      <c r="E217" s="1" t="s">
        <v>103</v>
      </c>
      <c r="F217" s="1" t="s">
        <v>104</v>
      </c>
      <c r="G217" s="1" t="s">
        <v>42</v>
      </c>
      <c r="H217" s="1">
        <v>3</v>
      </c>
      <c r="I217" s="1">
        <v>199.99</v>
      </c>
      <c r="J217" s="1" t="s">
        <v>20</v>
      </c>
      <c r="K217" s="1" t="s">
        <v>45</v>
      </c>
      <c r="L217" s="1" t="s">
        <v>26</v>
      </c>
      <c r="M217" s="10">
        <v>44823</v>
      </c>
      <c r="N217" s="1">
        <v>599.97</v>
      </c>
      <c r="O217" s="1">
        <f t="shared" si="16"/>
        <v>1479.91</v>
      </c>
      <c r="P217" s="12" t="str">
        <f t="shared" si="17"/>
        <v>Normal</v>
      </c>
      <c r="Q217" s="12">
        <f t="shared" si="18"/>
        <v>15</v>
      </c>
      <c r="R217" s="12" t="str">
        <f t="shared" si="19"/>
        <v>FT</v>
      </c>
    </row>
    <row r="218" spans="1:18" ht="15.75" customHeight="1" x14ac:dyDescent="0.3">
      <c r="A218" s="1" t="s">
        <v>315</v>
      </c>
      <c r="B218" s="10">
        <v>45710</v>
      </c>
      <c r="C218" s="11" t="s">
        <v>601</v>
      </c>
      <c r="D218" s="1" t="s">
        <v>50</v>
      </c>
      <c r="E218" s="1" t="s">
        <v>86</v>
      </c>
      <c r="F218" s="1" t="s">
        <v>87</v>
      </c>
      <c r="G218" s="1" t="s">
        <v>42</v>
      </c>
      <c r="H218" s="1">
        <v>5</v>
      </c>
      <c r="I218" s="1">
        <v>299.99</v>
      </c>
      <c r="J218" s="1" t="s">
        <v>20</v>
      </c>
      <c r="K218" s="1" t="s">
        <v>45</v>
      </c>
      <c r="L218" s="1" t="s">
        <v>34</v>
      </c>
      <c r="M218" s="10">
        <v>45142</v>
      </c>
      <c r="N218" s="1">
        <v>1499.95</v>
      </c>
      <c r="O218" s="1">
        <f t="shared" si="16"/>
        <v>5089.7300000000005</v>
      </c>
      <c r="P218" s="12" t="str">
        <f t="shared" si="17"/>
        <v>Normal</v>
      </c>
      <c r="Q218" s="12">
        <f t="shared" si="18"/>
        <v>26</v>
      </c>
      <c r="R218" s="12" t="str">
        <f t="shared" si="19"/>
        <v>CA</v>
      </c>
    </row>
    <row r="219" spans="1:18" ht="15.75" customHeight="1" x14ac:dyDescent="0.3">
      <c r="A219" s="1" t="s">
        <v>316</v>
      </c>
      <c r="B219" s="10">
        <v>45710</v>
      </c>
      <c r="C219" s="11" t="s">
        <v>602</v>
      </c>
      <c r="D219" s="1" t="s">
        <v>121</v>
      </c>
      <c r="E219" s="1" t="s">
        <v>68</v>
      </c>
      <c r="F219" s="1" t="s">
        <v>69</v>
      </c>
      <c r="G219" s="1" t="s">
        <v>19</v>
      </c>
      <c r="H219" s="1">
        <v>1</v>
      </c>
      <c r="I219" s="1">
        <v>699.99</v>
      </c>
      <c r="J219" s="1" t="s">
        <v>32</v>
      </c>
      <c r="K219" s="1" t="s">
        <v>45</v>
      </c>
      <c r="L219" s="1" t="s">
        <v>22</v>
      </c>
      <c r="M219" s="10">
        <v>44934</v>
      </c>
      <c r="N219" s="1">
        <v>699.99</v>
      </c>
      <c r="O219" s="1">
        <f t="shared" si="16"/>
        <v>5619.869999999999</v>
      </c>
      <c r="P219" s="12" t="str">
        <f t="shared" si="17"/>
        <v>Normal</v>
      </c>
      <c r="Q219" s="12">
        <f t="shared" si="18"/>
        <v>31</v>
      </c>
      <c r="R219" s="12" t="str">
        <f t="shared" si="19"/>
        <v>SB</v>
      </c>
    </row>
    <row r="220" spans="1:18" ht="15.75" customHeight="1" x14ac:dyDescent="0.3">
      <c r="A220" s="1" t="s">
        <v>317</v>
      </c>
      <c r="B220" s="10">
        <v>45711</v>
      </c>
      <c r="C220" s="11" t="s">
        <v>603</v>
      </c>
      <c r="D220" s="1" t="s">
        <v>204</v>
      </c>
      <c r="E220" s="1" t="s">
        <v>68</v>
      </c>
      <c r="F220" s="1" t="s">
        <v>69</v>
      </c>
      <c r="G220" s="1" t="s">
        <v>19</v>
      </c>
      <c r="H220" s="1">
        <v>1</v>
      </c>
      <c r="I220" s="1">
        <v>699.99</v>
      </c>
      <c r="J220" s="1" t="s">
        <v>20</v>
      </c>
      <c r="K220" s="1" t="s">
        <v>37</v>
      </c>
      <c r="L220" s="1" t="s">
        <v>26</v>
      </c>
      <c r="M220" s="10">
        <v>44583</v>
      </c>
      <c r="N220" s="1">
        <v>699.99</v>
      </c>
      <c r="O220" s="1">
        <f t="shared" si="16"/>
        <v>1749.92</v>
      </c>
      <c r="P220" s="12" t="str">
        <f t="shared" si="17"/>
        <v>Normal</v>
      </c>
      <c r="Q220" s="12">
        <f t="shared" si="18"/>
        <v>31</v>
      </c>
      <c r="R220" s="12" t="str">
        <f t="shared" si="19"/>
        <v>RB</v>
      </c>
    </row>
    <row r="221" spans="1:18" ht="15.75" customHeight="1" x14ac:dyDescent="0.3">
      <c r="A221" s="1" t="s">
        <v>318</v>
      </c>
      <c r="B221" s="10">
        <v>45711</v>
      </c>
      <c r="C221" s="11" t="s">
        <v>604</v>
      </c>
      <c r="D221" s="1" t="s">
        <v>278</v>
      </c>
      <c r="E221" s="1" t="s">
        <v>40</v>
      </c>
      <c r="F221" s="1" t="s">
        <v>41</v>
      </c>
      <c r="G221" s="1" t="s">
        <v>42</v>
      </c>
      <c r="H221" s="1">
        <v>4</v>
      </c>
      <c r="I221" s="1">
        <v>149.99</v>
      </c>
      <c r="J221" s="1" t="s">
        <v>32</v>
      </c>
      <c r="K221" s="1" t="s">
        <v>37</v>
      </c>
      <c r="L221" s="1" t="s">
        <v>26</v>
      </c>
      <c r="M221" s="10">
        <v>44412</v>
      </c>
      <c r="N221" s="1">
        <v>599.96</v>
      </c>
      <c r="O221" s="1">
        <f t="shared" si="16"/>
        <v>1559.94</v>
      </c>
      <c r="P221" s="12" t="str">
        <f t="shared" si="17"/>
        <v>Normal</v>
      </c>
      <c r="Q221" s="12">
        <f t="shared" si="18"/>
        <v>35</v>
      </c>
      <c r="R221" s="12" t="str">
        <f t="shared" si="19"/>
        <v>AE</v>
      </c>
    </row>
    <row r="222" spans="1:18" ht="15.75" customHeight="1" x14ac:dyDescent="0.3">
      <c r="A222" s="1" t="s">
        <v>319</v>
      </c>
      <c r="B222" s="10">
        <v>45711</v>
      </c>
      <c r="C222" s="11" t="s">
        <v>605</v>
      </c>
      <c r="D222" s="1" t="s">
        <v>173</v>
      </c>
      <c r="E222" s="1" t="s">
        <v>96</v>
      </c>
      <c r="F222" s="1" t="s">
        <v>97</v>
      </c>
      <c r="G222" s="1" t="s">
        <v>19</v>
      </c>
      <c r="H222" s="1">
        <v>5</v>
      </c>
      <c r="I222" s="1">
        <v>89.99</v>
      </c>
      <c r="J222" s="1" t="s">
        <v>32</v>
      </c>
      <c r="K222" s="1" t="s">
        <v>45</v>
      </c>
      <c r="L222" s="1" t="s">
        <v>26</v>
      </c>
      <c r="M222" s="10">
        <v>45140</v>
      </c>
      <c r="N222" s="1">
        <v>449.95</v>
      </c>
      <c r="O222" s="1">
        <f t="shared" si="16"/>
        <v>3649.8599999999997</v>
      </c>
      <c r="P222" s="12" t="str">
        <f t="shared" si="17"/>
        <v>Normal</v>
      </c>
      <c r="Q222" s="12">
        <f t="shared" si="18"/>
        <v>34</v>
      </c>
      <c r="R222" s="12" t="str">
        <f t="shared" si="19"/>
        <v>EH</v>
      </c>
    </row>
    <row r="223" spans="1:18" ht="15.75" customHeight="1" x14ac:dyDescent="0.3">
      <c r="A223" s="1" t="s">
        <v>320</v>
      </c>
      <c r="B223" s="10">
        <v>45712</v>
      </c>
      <c r="C223" s="11" t="s">
        <v>606</v>
      </c>
      <c r="D223" s="1" t="s">
        <v>113</v>
      </c>
      <c r="E223" s="1" t="s">
        <v>103</v>
      </c>
      <c r="F223" s="1" t="s">
        <v>104</v>
      </c>
      <c r="G223" s="1" t="s">
        <v>42</v>
      </c>
      <c r="H223" s="1">
        <v>2</v>
      </c>
      <c r="I223" s="1">
        <v>199.99</v>
      </c>
      <c r="J223" s="1" t="s">
        <v>20</v>
      </c>
      <c r="K223" s="1" t="s">
        <v>21</v>
      </c>
      <c r="L223" s="1" t="s">
        <v>26</v>
      </c>
      <c r="M223" s="10">
        <v>44573</v>
      </c>
      <c r="N223" s="1">
        <v>399.98</v>
      </c>
      <c r="O223" s="1">
        <f t="shared" si="16"/>
        <v>2649.83</v>
      </c>
      <c r="P223" s="12" t="str">
        <f t="shared" si="17"/>
        <v>Normal</v>
      </c>
      <c r="Q223" s="12">
        <f t="shared" si="18"/>
        <v>15</v>
      </c>
      <c r="R223" s="12" t="str">
        <f t="shared" si="19"/>
        <v>ST</v>
      </c>
    </row>
    <row r="224" spans="1:18" ht="15.75" customHeight="1" x14ac:dyDescent="0.3">
      <c r="A224" s="1" t="s">
        <v>321</v>
      </c>
      <c r="B224" s="10">
        <v>45715</v>
      </c>
      <c r="C224" s="11" t="s">
        <v>607</v>
      </c>
      <c r="D224" s="1" t="s">
        <v>215</v>
      </c>
      <c r="E224" s="1" t="s">
        <v>29</v>
      </c>
      <c r="F224" s="1" t="s">
        <v>30</v>
      </c>
      <c r="G224" s="1" t="s">
        <v>31</v>
      </c>
      <c r="H224" s="1">
        <v>4</v>
      </c>
      <c r="I224" s="1">
        <v>59.99</v>
      </c>
      <c r="J224" s="1" t="s">
        <v>20</v>
      </c>
      <c r="K224" s="1" t="s">
        <v>45</v>
      </c>
      <c r="L224" s="1" t="s">
        <v>34</v>
      </c>
      <c r="M224" s="10">
        <v>45070</v>
      </c>
      <c r="N224" s="1">
        <v>239.96</v>
      </c>
      <c r="O224" s="1">
        <f t="shared" si="16"/>
        <v>739.93000000000006</v>
      </c>
      <c r="P224" s="12" t="str">
        <f t="shared" si="17"/>
        <v>Normal</v>
      </c>
      <c r="Q224" s="12">
        <f t="shared" si="18"/>
        <v>29</v>
      </c>
      <c r="R224" s="12" t="str">
        <f t="shared" si="19"/>
        <v>RL</v>
      </c>
    </row>
    <row r="225" spans="1:18" ht="15.75" customHeight="1" x14ac:dyDescent="0.3">
      <c r="A225" s="1" t="s">
        <v>322</v>
      </c>
      <c r="B225" s="10">
        <v>45715</v>
      </c>
      <c r="C225" s="11" t="s">
        <v>608</v>
      </c>
      <c r="D225" s="1" t="s">
        <v>78</v>
      </c>
      <c r="E225" s="1" t="s">
        <v>86</v>
      </c>
      <c r="F225" s="1" t="s">
        <v>87</v>
      </c>
      <c r="G225" s="1" t="s">
        <v>42</v>
      </c>
      <c r="H225" s="1">
        <v>2</v>
      </c>
      <c r="I225" s="1">
        <v>299.99</v>
      </c>
      <c r="J225" s="1" t="s">
        <v>32</v>
      </c>
      <c r="K225" s="1" t="s">
        <v>33</v>
      </c>
      <c r="L225" s="1" t="s">
        <v>22</v>
      </c>
      <c r="M225" s="10">
        <v>44576</v>
      </c>
      <c r="N225" s="1">
        <v>599.98</v>
      </c>
      <c r="O225" s="1">
        <f t="shared" si="16"/>
        <v>4789.7900000000009</v>
      </c>
      <c r="P225" s="12" t="str">
        <f t="shared" si="17"/>
        <v>Normal</v>
      </c>
      <c r="Q225" s="12">
        <f t="shared" si="18"/>
        <v>26</v>
      </c>
      <c r="R225" s="12" t="str">
        <f t="shared" si="19"/>
        <v>VS</v>
      </c>
    </row>
    <row r="226" spans="1:18" ht="15.75" customHeight="1" x14ac:dyDescent="0.3">
      <c r="A226" s="1" t="s">
        <v>323</v>
      </c>
      <c r="B226" s="10">
        <v>45718</v>
      </c>
      <c r="C226" s="11" t="s">
        <v>609</v>
      </c>
      <c r="D226" s="1" t="s">
        <v>50</v>
      </c>
      <c r="E226" s="1" t="s">
        <v>40</v>
      </c>
      <c r="F226" s="1" t="s">
        <v>41</v>
      </c>
      <c r="G226" s="1" t="s">
        <v>42</v>
      </c>
      <c r="H226" s="1">
        <v>2</v>
      </c>
      <c r="I226" s="1">
        <v>149.99</v>
      </c>
      <c r="J226" s="1" t="s">
        <v>20</v>
      </c>
      <c r="K226" s="1" t="s">
        <v>21</v>
      </c>
      <c r="L226" s="1" t="s">
        <v>22</v>
      </c>
      <c r="M226" s="10">
        <v>45068</v>
      </c>
      <c r="N226" s="1">
        <v>299.98</v>
      </c>
      <c r="O226" s="1">
        <f t="shared" si="16"/>
        <v>5089.7300000000005</v>
      </c>
      <c r="P226" s="12" t="str">
        <f t="shared" si="17"/>
        <v>Normal</v>
      </c>
      <c r="Q226" s="12">
        <f t="shared" si="18"/>
        <v>35</v>
      </c>
      <c r="R226" s="12" t="str">
        <f t="shared" si="19"/>
        <v>CA</v>
      </c>
    </row>
    <row r="227" spans="1:18" ht="15.75" customHeight="1" x14ac:dyDescent="0.3">
      <c r="A227" s="1" t="s">
        <v>324</v>
      </c>
      <c r="B227" s="10">
        <v>45720</v>
      </c>
      <c r="C227" s="11" t="s">
        <v>610</v>
      </c>
      <c r="D227" s="1" t="s">
        <v>187</v>
      </c>
      <c r="E227" s="1" t="s">
        <v>68</v>
      </c>
      <c r="F227" s="1" t="s">
        <v>69</v>
      </c>
      <c r="G227" s="1" t="s">
        <v>19</v>
      </c>
      <c r="H227" s="1">
        <v>5</v>
      </c>
      <c r="I227" s="1">
        <v>699.99</v>
      </c>
      <c r="J227" s="1" t="s">
        <v>51</v>
      </c>
      <c r="K227" s="1" t="s">
        <v>56</v>
      </c>
      <c r="L227" s="1" t="s">
        <v>26</v>
      </c>
      <c r="M227" s="10">
        <v>45161</v>
      </c>
      <c r="N227" s="1">
        <v>3499.95</v>
      </c>
      <c r="O227" s="1">
        <f t="shared" si="16"/>
        <v>6989.7699999999986</v>
      </c>
      <c r="P227" s="12" t="str">
        <f t="shared" si="17"/>
        <v>Normal</v>
      </c>
      <c r="Q227" s="12">
        <f t="shared" si="18"/>
        <v>31</v>
      </c>
      <c r="R227" s="12" t="str">
        <f t="shared" si="19"/>
        <v>LR</v>
      </c>
    </row>
    <row r="228" spans="1:18" ht="15.75" customHeight="1" x14ac:dyDescent="0.3">
      <c r="A228" s="1" t="s">
        <v>325</v>
      </c>
      <c r="B228" s="10">
        <v>45721</v>
      </c>
      <c r="C228" s="11" t="s">
        <v>611</v>
      </c>
      <c r="D228" s="1" t="s">
        <v>65</v>
      </c>
      <c r="E228" s="1" t="s">
        <v>29</v>
      </c>
      <c r="F228" s="1" t="s">
        <v>30</v>
      </c>
      <c r="G228" s="1" t="s">
        <v>31</v>
      </c>
      <c r="H228" s="1">
        <v>5</v>
      </c>
      <c r="I228" s="1">
        <v>59.99</v>
      </c>
      <c r="J228" s="1" t="s">
        <v>20</v>
      </c>
      <c r="K228" s="1" t="s">
        <v>45</v>
      </c>
      <c r="L228" s="1" t="s">
        <v>26</v>
      </c>
      <c r="M228" s="10">
        <v>45291</v>
      </c>
      <c r="N228" s="1">
        <v>299.95</v>
      </c>
      <c r="O228" s="1">
        <f t="shared" si="16"/>
        <v>479.91999999999996</v>
      </c>
      <c r="P228" s="12" t="str">
        <f t="shared" si="17"/>
        <v>Normal</v>
      </c>
      <c r="Q228" s="12">
        <f t="shared" si="18"/>
        <v>29</v>
      </c>
      <c r="R228" s="12" t="str">
        <f t="shared" si="19"/>
        <v>DG</v>
      </c>
    </row>
    <row r="229" spans="1:18" ht="15.75" customHeight="1" x14ac:dyDescent="0.3">
      <c r="A229" s="1" t="s">
        <v>326</v>
      </c>
      <c r="B229" s="10">
        <v>45723</v>
      </c>
      <c r="C229" s="11" t="s">
        <v>612</v>
      </c>
      <c r="D229" s="1" t="s">
        <v>16</v>
      </c>
      <c r="E229" s="1" t="s">
        <v>96</v>
      </c>
      <c r="F229" s="1" t="s">
        <v>97</v>
      </c>
      <c r="G229" s="1" t="s">
        <v>19</v>
      </c>
      <c r="H229" s="1">
        <v>2</v>
      </c>
      <c r="I229" s="1">
        <v>89.99</v>
      </c>
      <c r="J229" s="1" t="s">
        <v>25</v>
      </c>
      <c r="K229" s="1" t="s">
        <v>45</v>
      </c>
      <c r="L229" s="1" t="s">
        <v>26</v>
      </c>
      <c r="M229" s="10">
        <v>45295</v>
      </c>
      <c r="N229" s="1">
        <v>179.98</v>
      </c>
      <c r="O229" s="1">
        <f t="shared" si="16"/>
        <v>8309.739999999998</v>
      </c>
      <c r="P229" s="12" t="str">
        <f t="shared" si="17"/>
        <v>Normal</v>
      </c>
      <c r="Q229" s="12">
        <f t="shared" si="18"/>
        <v>34</v>
      </c>
      <c r="R229" s="12" t="str">
        <f t="shared" si="19"/>
        <v>PB</v>
      </c>
    </row>
    <row r="230" spans="1:18" ht="15.75" customHeight="1" x14ac:dyDescent="0.3">
      <c r="A230" s="1" t="s">
        <v>327</v>
      </c>
      <c r="B230" s="10">
        <v>45723</v>
      </c>
      <c r="C230" s="11" t="s">
        <v>613</v>
      </c>
      <c r="D230" s="1" t="s">
        <v>99</v>
      </c>
      <c r="E230" s="1" t="s">
        <v>17</v>
      </c>
      <c r="F230" s="1" t="s">
        <v>18</v>
      </c>
      <c r="G230" s="1" t="s">
        <v>19</v>
      </c>
      <c r="H230" s="1">
        <v>5</v>
      </c>
      <c r="I230" s="1">
        <v>249.99</v>
      </c>
      <c r="J230" s="1" t="s">
        <v>20</v>
      </c>
      <c r="K230" s="1" t="s">
        <v>56</v>
      </c>
      <c r="L230" s="1" t="s">
        <v>34</v>
      </c>
      <c r="M230" s="10">
        <v>44540</v>
      </c>
      <c r="N230" s="1">
        <v>1249.95</v>
      </c>
      <c r="O230" s="1">
        <f t="shared" si="16"/>
        <v>6459.79</v>
      </c>
      <c r="P230" s="12" t="str">
        <f t="shared" si="17"/>
        <v>Normal</v>
      </c>
      <c r="Q230" s="12">
        <f t="shared" si="18"/>
        <v>26</v>
      </c>
      <c r="R230" s="12" t="str">
        <f t="shared" si="19"/>
        <v>HR</v>
      </c>
    </row>
    <row r="231" spans="1:18" ht="15.75" customHeight="1" x14ac:dyDescent="0.3">
      <c r="A231" s="1" t="s">
        <v>328</v>
      </c>
      <c r="B231" s="10">
        <v>45724</v>
      </c>
      <c r="C231" s="11" t="s">
        <v>614</v>
      </c>
      <c r="D231" s="1" t="s">
        <v>187</v>
      </c>
      <c r="E231" s="1" t="s">
        <v>40</v>
      </c>
      <c r="F231" s="1" t="s">
        <v>41</v>
      </c>
      <c r="G231" s="1" t="s">
        <v>42</v>
      </c>
      <c r="H231" s="1">
        <v>2</v>
      </c>
      <c r="I231" s="1">
        <v>149.99</v>
      </c>
      <c r="J231" s="1" t="s">
        <v>32</v>
      </c>
      <c r="K231" s="1" t="s">
        <v>21</v>
      </c>
      <c r="L231" s="1" t="s">
        <v>26</v>
      </c>
      <c r="M231" s="10">
        <v>44632</v>
      </c>
      <c r="N231" s="1">
        <v>299.98</v>
      </c>
      <c r="O231" s="1">
        <f t="shared" si="16"/>
        <v>6989.7699999999986</v>
      </c>
      <c r="P231" s="12" t="str">
        <f t="shared" si="17"/>
        <v>Normal</v>
      </c>
      <c r="Q231" s="12">
        <f t="shared" si="18"/>
        <v>35</v>
      </c>
      <c r="R231" s="12" t="str">
        <f t="shared" si="19"/>
        <v>LR</v>
      </c>
    </row>
    <row r="232" spans="1:18" ht="15.75" customHeight="1" x14ac:dyDescent="0.3">
      <c r="A232" s="1" t="s">
        <v>329</v>
      </c>
      <c r="B232" s="10">
        <v>45724</v>
      </c>
      <c r="C232" s="11" t="s">
        <v>615</v>
      </c>
      <c r="D232" s="1" t="s">
        <v>117</v>
      </c>
      <c r="E232" s="1" t="s">
        <v>54</v>
      </c>
      <c r="F232" s="1" t="s">
        <v>55</v>
      </c>
      <c r="G232" s="1" t="s">
        <v>19</v>
      </c>
      <c r="H232" s="1">
        <v>5</v>
      </c>
      <c r="I232" s="1">
        <v>899.99</v>
      </c>
      <c r="J232" s="1" t="s">
        <v>32</v>
      </c>
      <c r="K232" s="1" t="s">
        <v>56</v>
      </c>
      <c r="L232" s="1" t="s">
        <v>26</v>
      </c>
      <c r="M232" s="10">
        <v>45389</v>
      </c>
      <c r="N232" s="1">
        <v>4499.95</v>
      </c>
      <c r="O232" s="1">
        <f t="shared" si="16"/>
        <v>5519.8899999999994</v>
      </c>
      <c r="P232" s="12" t="str">
        <f t="shared" si="17"/>
        <v>Normal</v>
      </c>
      <c r="Q232" s="12">
        <f t="shared" si="18"/>
        <v>24</v>
      </c>
      <c r="R232" s="12" t="str">
        <f t="shared" si="19"/>
        <v>HM</v>
      </c>
    </row>
    <row r="233" spans="1:18" ht="15.75" customHeight="1" x14ac:dyDescent="0.3">
      <c r="A233" s="1" t="s">
        <v>330</v>
      </c>
      <c r="B233" s="10">
        <v>45724</v>
      </c>
      <c r="C233" s="11" t="s">
        <v>616</v>
      </c>
      <c r="D233" s="1" t="s">
        <v>50</v>
      </c>
      <c r="E233" s="1" t="s">
        <v>40</v>
      </c>
      <c r="F233" s="1" t="s">
        <v>41</v>
      </c>
      <c r="G233" s="1" t="s">
        <v>42</v>
      </c>
      <c r="H233" s="1">
        <v>4</v>
      </c>
      <c r="I233" s="1">
        <v>149.99</v>
      </c>
      <c r="J233" s="1" t="s">
        <v>20</v>
      </c>
      <c r="K233" s="1" t="s">
        <v>21</v>
      </c>
      <c r="L233" s="1" t="s">
        <v>34</v>
      </c>
      <c r="M233" s="10">
        <v>45263</v>
      </c>
      <c r="N233" s="1">
        <v>599.96</v>
      </c>
      <c r="O233" s="1">
        <f t="shared" si="16"/>
        <v>5089.7300000000005</v>
      </c>
      <c r="P233" s="12" t="str">
        <f t="shared" si="17"/>
        <v>Normal</v>
      </c>
      <c r="Q233" s="12">
        <f t="shared" si="18"/>
        <v>35</v>
      </c>
      <c r="R233" s="12" t="str">
        <f t="shared" si="19"/>
        <v>CA</v>
      </c>
    </row>
    <row r="234" spans="1:18" ht="15.75" customHeight="1" x14ac:dyDescent="0.3">
      <c r="A234" s="1" t="s">
        <v>331</v>
      </c>
      <c r="B234" s="10">
        <v>45726</v>
      </c>
      <c r="C234" s="11" t="s">
        <v>617</v>
      </c>
      <c r="D234" s="1" t="s">
        <v>117</v>
      </c>
      <c r="E234" s="1" t="s">
        <v>17</v>
      </c>
      <c r="F234" s="1" t="s">
        <v>18</v>
      </c>
      <c r="G234" s="1" t="s">
        <v>19</v>
      </c>
      <c r="H234" s="1">
        <v>1</v>
      </c>
      <c r="I234" s="1">
        <v>249.99</v>
      </c>
      <c r="J234" s="1" t="s">
        <v>20</v>
      </c>
      <c r="K234" s="1" t="s">
        <v>37</v>
      </c>
      <c r="L234" s="1" t="s">
        <v>34</v>
      </c>
      <c r="M234" s="10">
        <v>45117</v>
      </c>
      <c r="N234" s="1">
        <v>249.99</v>
      </c>
      <c r="O234" s="1">
        <f t="shared" si="16"/>
        <v>5519.8899999999994</v>
      </c>
      <c r="P234" s="12" t="str">
        <f t="shared" si="17"/>
        <v>Normal</v>
      </c>
      <c r="Q234" s="12">
        <f t="shared" si="18"/>
        <v>26</v>
      </c>
      <c r="R234" s="12" t="str">
        <f t="shared" si="19"/>
        <v>HM</v>
      </c>
    </row>
    <row r="235" spans="1:18" ht="15.75" customHeight="1" x14ac:dyDescent="0.3">
      <c r="A235" s="1" t="s">
        <v>332</v>
      </c>
      <c r="B235" s="10">
        <v>45734</v>
      </c>
      <c r="C235" s="11" t="s">
        <v>618</v>
      </c>
      <c r="D235" s="1" t="s">
        <v>156</v>
      </c>
      <c r="E235" s="1" t="s">
        <v>29</v>
      </c>
      <c r="F235" s="1" t="s">
        <v>30</v>
      </c>
      <c r="G235" s="1" t="s">
        <v>31</v>
      </c>
      <c r="H235" s="1">
        <v>2</v>
      </c>
      <c r="I235" s="1">
        <v>59.99</v>
      </c>
      <c r="J235" s="1" t="s">
        <v>25</v>
      </c>
      <c r="K235" s="1" t="s">
        <v>45</v>
      </c>
      <c r="L235" s="1" t="s">
        <v>22</v>
      </c>
      <c r="M235" s="10">
        <v>45193</v>
      </c>
      <c r="N235" s="1">
        <v>119.98</v>
      </c>
      <c r="O235" s="1">
        <f t="shared" si="16"/>
        <v>1479.91</v>
      </c>
      <c r="P235" s="12" t="str">
        <f t="shared" si="17"/>
        <v>Normal</v>
      </c>
      <c r="Q235" s="12">
        <f t="shared" si="18"/>
        <v>29</v>
      </c>
      <c r="R235" s="12" t="str">
        <f t="shared" si="19"/>
        <v>FT</v>
      </c>
    </row>
    <row r="236" spans="1:18" ht="15.75" customHeight="1" x14ac:dyDescent="0.3">
      <c r="A236" s="1" t="s">
        <v>333</v>
      </c>
      <c r="B236" s="10">
        <v>45737</v>
      </c>
      <c r="C236" s="11" t="s">
        <v>619</v>
      </c>
      <c r="D236" s="1" t="s">
        <v>108</v>
      </c>
      <c r="E236" s="1" t="s">
        <v>40</v>
      </c>
      <c r="F236" s="1" t="s">
        <v>41</v>
      </c>
      <c r="G236" s="1" t="s">
        <v>42</v>
      </c>
      <c r="H236" s="1">
        <v>2</v>
      </c>
      <c r="I236" s="1">
        <v>149.99</v>
      </c>
      <c r="J236" s="1" t="s">
        <v>20</v>
      </c>
      <c r="K236" s="1" t="s">
        <v>45</v>
      </c>
      <c r="L236" s="1" t="s">
        <v>26</v>
      </c>
      <c r="M236" s="10">
        <v>45233</v>
      </c>
      <c r="N236" s="1">
        <v>299.98</v>
      </c>
      <c r="O236" s="1">
        <f t="shared" si="16"/>
        <v>1229.8800000000001</v>
      </c>
      <c r="P236" s="12" t="str">
        <f t="shared" si="17"/>
        <v>Normal</v>
      </c>
      <c r="Q236" s="12">
        <f t="shared" si="18"/>
        <v>35</v>
      </c>
      <c r="R236" s="12" t="str">
        <f t="shared" si="19"/>
        <v>EW</v>
      </c>
    </row>
    <row r="237" spans="1:18" ht="15.75" customHeight="1" x14ac:dyDescent="0.3">
      <c r="A237" s="1" t="s">
        <v>334</v>
      </c>
      <c r="B237" s="10">
        <v>45737</v>
      </c>
      <c r="C237" s="11" t="s">
        <v>620</v>
      </c>
      <c r="D237" s="1" t="s">
        <v>121</v>
      </c>
      <c r="E237" s="1" t="s">
        <v>54</v>
      </c>
      <c r="F237" s="1" t="s">
        <v>55</v>
      </c>
      <c r="G237" s="1" t="s">
        <v>19</v>
      </c>
      <c r="H237" s="1">
        <v>3</v>
      </c>
      <c r="I237" s="1">
        <v>899.99</v>
      </c>
      <c r="J237" s="1" t="s">
        <v>51</v>
      </c>
      <c r="K237" s="1" t="s">
        <v>37</v>
      </c>
      <c r="L237" s="1" t="s">
        <v>26</v>
      </c>
      <c r="M237" s="10">
        <v>44876</v>
      </c>
      <c r="N237" s="1">
        <v>2699.97</v>
      </c>
      <c r="O237" s="1">
        <f t="shared" si="16"/>
        <v>5619.869999999999</v>
      </c>
      <c r="P237" s="12" t="str">
        <f t="shared" si="17"/>
        <v>Normal</v>
      </c>
      <c r="Q237" s="12">
        <f t="shared" si="18"/>
        <v>24</v>
      </c>
      <c r="R237" s="12" t="str">
        <f t="shared" si="19"/>
        <v>SB</v>
      </c>
    </row>
    <row r="238" spans="1:18" ht="15.75" customHeight="1" x14ac:dyDescent="0.3">
      <c r="A238" s="1" t="s">
        <v>335</v>
      </c>
      <c r="B238" s="10">
        <v>45737</v>
      </c>
      <c r="C238" s="11" t="s">
        <v>621</v>
      </c>
      <c r="D238" s="1" t="s">
        <v>44</v>
      </c>
      <c r="E238" s="1" t="s">
        <v>54</v>
      </c>
      <c r="F238" s="1" t="s">
        <v>55</v>
      </c>
      <c r="G238" s="1" t="s">
        <v>19</v>
      </c>
      <c r="H238" s="1">
        <v>3</v>
      </c>
      <c r="I238" s="1">
        <v>899.99</v>
      </c>
      <c r="J238" s="1" t="s">
        <v>32</v>
      </c>
      <c r="K238" s="1" t="s">
        <v>37</v>
      </c>
      <c r="L238" s="1" t="s">
        <v>22</v>
      </c>
      <c r="M238" s="10">
        <v>44975</v>
      </c>
      <c r="N238" s="1">
        <v>2699.97</v>
      </c>
      <c r="O238" s="1">
        <f t="shared" si="16"/>
        <v>8269.7900000000009</v>
      </c>
      <c r="P238" s="12" t="str">
        <f t="shared" si="17"/>
        <v>Normal</v>
      </c>
      <c r="Q238" s="12">
        <f t="shared" si="18"/>
        <v>24</v>
      </c>
      <c r="R238" s="12" t="str">
        <f t="shared" si="19"/>
        <v>DN</v>
      </c>
    </row>
    <row r="239" spans="1:18" ht="15.75" customHeight="1" x14ac:dyDescent="0.3">
      <c r="A239" s="1" t="s">
        <v>336</v>
      </c>
      <c r="B239" s="10">
        <v>45739</v>
      </c>
      <c r="C239" s="11" t="s">
        <v>622</v>
      </c>
      <c r="D239" s="1" t="s">
        <v>16</v>
      </c>
      <c r="E239" s="1" t="s">
        <v>86</v>
      </c>
      <c r="F239" s="1" t="s">
        <v>87</v>
      </c>
      <c r="G239" s="1" t="s">
        <v>42</v>
      </c>
      <c r="H239" s="1">
        <v>3</v>
      </c>
      <c r="I239" s="1">
        <v>299.99</v>
      </c>
      <c r="J239" s="1" t="s">
        <v>25</v>
      </c>
      <c r="K239" s="1" t="s">
        <v>45</v>
      </c>
      <c r="L239" s="1" t="s">
        <v>26</v>
      </c>
      <c r="M239" s="10">
        <v>45234</v>
      </c>
      <c r="N239" s="1">
        <v>899.97</v>
      </c>
      <c r="O239" s="1">
        <f t="shared" si="16"/>
        <v>8309.739999999998</v>
      </c>
      <c r="P239" s="12" t="str">
        <f t="shared" si="17"/>
        <v>Normal</v>
      </c>
      <c r="Q239" s="12">
        <f t="shared" si="18"/>
        <v>26</v>
      </c>
      <c r="R239" s="12" t="str">
        <f t="shared" si="19"/>
        <v>PB</v>
      </c>
    </row>
    <row r="240" spans="1:18" ht="15.75" customHeight="1" x14ac:dyDescent="0.3">
      <c r="A240" s="1" t="s">
        <v>337</v>
      </c>
      <c r="B240" s="10">
        <v>45740</v>
      </c>
      <c r="C240" s="11" t="s">
        <v>623</v>
      </c>
      <c r="D240" s="1" t="s">
        <v>338</v>
      </c>
      <c r="E240" s="1" t="s">
        <v>40</v>
      </c>
      <c r="F240" s="1" t="s">
        <v>41</v>
      </c>
      <c r="G240" s="1" t="s">
        <v>42</v>
      </c>
      <c r="H240" s="1">
        <v>4</v>
      </c>
      <c r="I240" s="1">
        <v>149.99</v>
      </c>
      <c r="J240" s="1" t="s">
        <v>32</v>
      </c>
      <c r="K240" s="1" t="s">
        <v>45</v>
      </c>
      <c r="L240" s="1" t="s">
        <v>34</v>
      </c>
      <c r="M240" s="10">
        <v>44560</v>
      </c>
      <c r="N240" s="1">
        <v>599.96</v>
      </c>
      <c r="O240" s="1">
        <f t="shared" si="16"/>
        <v>599.96</v>
      </c>
      <c r="P240" s="12" t="str">
        <f t="shared" si="17"/>
        <v>Normal</v>
      </c>
      <c r="Q240" s="12">
        <f t="shared" si="18"/>
        <v>35</v>
      </c>
      <c r="R240" s="12" t="str">
        <f t="shared" si="19"/>
        <v>JS</v>
      </c>
    </row>
    <row r="241" spans="1:18" ht="15.75" customHeight="1" x14ac:dyDescent="0.3">
      <c r="A241" s="1" t="s">
        <v>339</v>
      </c>
      <c r="B241" s="10">
        <v>45743</v>
      </c>
      <c r="C241" s="11" t="s">
        <v>624</v>
      </c>
      <c r="D241" s="1" t="s">
        <v>84</v>
      </c>
      <c r="E241" s="1" t="s">
        <v>93</v>
      </c>
      <c r="F241" s="1" t="s">
        <v>94</v>
      </c>
      <c r="G241" s="1" t="s">
        <v>31</v>
      </c>
      <c r="H241" s="1">
        <v>4</v>
      </c>
      <c r="I241" s="1">
        <v>79.989999999999995</v>
      </c>
      <c r="J241" s="1" t="s">
        <v>25</v>
      </c>
      <c r="K241" s="1" t="s">
        <v>21</v>
      </c>
      <c r="L241" s="1" t="s">
        <v>22</v>
      </c>
      <c r="M241" s="10">
        <v>45288</v>
      </c>
      <c r="N241" s="1">
        <v>319.95999999999998</v>
      </c>
      <c r="O241" s="1">
        <f t="shared" si="16"/>
        <v>3769.8300000000004</v>
      </c>
      <c r="P241" s="12" t="str">
        <f t="shared" si="17"/>
        <v>Normal</v>
      </c>
      <c r="Q241" s="12">
        <f t="shared" si="18"/>
        <v>14</v>
      </c>
      <c r="R241" s="12" t="str">
        <f t="shared" si="19"/>
        <v>CP</v>
      </c>
    </row>
    <row r="242" spans="1:18" ht="15.75" customHeight="1" x14ac:dyDescent="0.3">
      <c r="A242" s="1" t="s">
        <v>340</v>
      </c>
      <c r="B242" s="10">
        <v>45745</v>
      </c>
      <c r="C242" s="11" t="s">
        <v>625</v>
      </c>
      <c r="D242" s="1" t="s">
        <v>150</v>
      </c>
      <c r="E242" s="1" t="s">
        <v>96</v>
      </c>
      <c r="F242" s="1" t="s">
        <v>97</v>
      </c>
      <c r="G242" s="1" t="s">
        <v>19</v>
      </c>
      <c r="H242" s="1">
        <v>5</v>
      </c>
      <c r="I242" s="1">
        <v>89.99</v>
      </c>
      <c r="J242" s="1" t="s">
        <v>32</v>
      </c>
      <c r="K242" s="1" t="s">
        <v>33</v>
      </c>
      <c r="L242" s="1" t="s">
        <v>22</v>
      </c>
      <c r="M242" s="10">
        <v>44704</v>
      </c>
      <c r="N242" s="1">
        <v>449.95</v>
      </c>
      <c r="O242" s="1">
        <f t="shared" si="16"/>
        <v>2099.88</v>
      </c>
      <c r="P242" s="12" t="str">
        <f t="shared" si="17"/>
        <v>Normal</v>
      </c>
      <c r="Q242" s="12">
        <f t="shared" si="18"/>
        <v>34</v>
      </c>
      <c r="R242" s="12" t="str">
        <f t="shared" si="19"/>
        <v>MW</v>
      </c>
    </row>
    <row r="243" spans="1:18" ht="15.75" customHeight="1" x14ac:dyDescent="0.3">
      <c r="A243" s="1" t="s">
        <v>341</v>
      </c>
      <c r="B243" s="10">
        <v>45746</v>
      </c>
      <c r="C243" s="11" t="s">
        <v>626</v>
      </c>
      <c r="D243" s="1" t="s">
        <v>78</v>
      </c>
      <c r="E243" s="1" t="s">
        <v>40</v>
      </c>
      <c r="F243" s="1" t="s">
        <v>41</v>
      </c>
      <c r="G243" s="1" t="s">
        <v>42</v>
      </c>
      <c r="H243" s="1">
        <v>3</v>
      </c>
      <c r="I243" s="1">
        <v>149.99</v>
      </c>
      <c r="J243" s="1" t="s">
        <v>32</v>
      </c>
      <c r="K243" s="1" t="s">
        <v>21</v>
      </c>
      <c r="L243" s="1" t="s">
        <v>34</v>
      </c>
      <c r="M243" s="10">
        <v>45171</v>
      </c>
      <c r="N243" s="1">
        <v>449.97</v>
      </c>
      <c r="O243" s="1">
        <f t="shared" si="16"/>
        <v>4789.7900000000009</v>
      </c>
      <c r="P243" s="12" t="str">
        <f t="shared" si="17"/>
        <v>Normal</v>
      </c>
      <c r="Q243" s="12">
        <f t="shared" si="18"/>
        <v>35</v>
      </c>
      <c r="R243" s="12" t="str">
        <f t="shared" si="19"/>
        <v>VS</v>
      </c>
    </row>
    <row r="244" spans="1:18" ht="15.75" customHeight="1" x14ac:dyDescent="0.3">
      <c r="A244" s="1" t="s">
        <v>342</v>
      </c>
      <c r="B244" s="10">
        <v>45746</v>
      </c>
      <c r="C244" s="11" t="s">
        <v>627</v>
      </c>
      <c r="D244" s="1" t="s">
        <v>58</v>
      </c>
      <c r="E244" s="1" t="s">
        <v>96</v>
      </c>
      <c r="F244" s="1" t="s">
        <v>97</v>
      </c>
      <c r="G244" s="1" t="s">
        <v>19</v>
      </c>
      <c r="H244" s="1">
        <v>2</v>
      </c>
      <c r="I244" s="1">
        <v>89.99</v>
      </c>
      <c r="J244" s="1" t="s">
        <v>51</v>
      </c>
      <c r="K244" s="1" t="s">
        <v>45</v>
      </c>
      <c r="L244" s="1" t="s">
        <v>26</v>
      </c>
      <c r="M244" s="10">
        <v>44522</v>
      </c>
      <c r="N244" s="1">
        <v>179.98</v>
      </c>
      <c r="O244" s="1">
        <f t="shared" si="16"/>
        <v>8009.7699999999995</v>
      </c>
      <c r="P244" s="12" t="str">
        <f t="shared" si="17"/>
        <v>Normal</v>
      </c>
      <c r="Q244" s="12">
        <f t="shared" si="18"/>
        <v>34</v>
      </c>
      <c r="R244" s="12" t="str">
        <f t="shared" si="19"/>
        <v>KH</v>
      </c>
    </row>
    <row r="245" spans="1:18" ht="15.75" customHeight="1" x14ac:dyDescent="0.3">
      <c r="A245" s="1" t="s">
        <v>343</v>
      </c>
      <c r="B245" s="10">
        <v>45748</v>
      </c>
      <c r="C245" s="11" t="s">
        <v>628</v>
      </c>
      <c r="D245" s="1" t="s">
        <v>84</v>
      </c>
      <c r="E245" s="1" t="s">
        <v>68</v>
      </c>
      <c r="F245" s="1" t="s">
        <v>69</v>
      </c>
      <c r="G245" s="1" t="s">
        <v>19</v>
      </c>
      <c r="H245" s="1">
        <v>2</v>
      </c>
      <c r="I245" s="1">
        <v>699.99</v>
      </c>
      <c r="J245" s="1" t="s">
        <v>32</v>
      </c>
      <c r="K245" s="1" t="s">
        <v>37</v>
      </c>
      <c r="L245" s="1" t="s">
        <v>34</v>
      </c>
      <c r="M245" s="10">
        <v>44618</v>
      </c>
      <c r="N245" s="1">
        <v>1399.98</v>
      </c>
      <c r="O245" s="1">
        <f t="shared" si="16"/>
        <v>3769.8300000000004</v>
      </c>
      <c r="P245" s="12" t="str">
        <f t="shared" si="17"/>
        <v>Normal</v>
      </c>
      <c r="Q245" s="12">
        <f t="shared" si="18"/>
        <v>31</v>
      </c>
      <c r="R245" s="12" t="str">
        <f t="shared" si="19"/>
        <v>CP</v>
      </c>
    </row>
    <row r="246" spans="1:18" ht="15.75" customHeight="1" x14ac:dyDescent="0.3">
      <c r="A246" s="1" t="s">
        <v>344</v>
      </c>
      <c r="B246" s="10">
        <v>45749</v>
      </c>
      <c r="C246" s="11" t="s">
        <v>629</v>
      </c>
      <c r="D246" s="1" t="s">
        <v>101</v>
      </c>
      <c r="E246" s="1" t="s">
        <v>54</v>
      </c>
      <c r="F246" s="1" t="s">
        <v>55</v>
      </c>
      <c r="G246" s="1" t="s">
        <v>19</v>
      </c>
      <c r="H246" s="1">
        <v>3</v>
      </c>
      <c r="I246" s="1">
        <v>899.99</v>
      </c>
      <c r="J246" s="1" t="s">
        <v>20</v>
      </c>
      <c r="K246" s="1" t="s">
        <v>21</v>
      </c>
      <c r="L246" s="1" t="s">
        <v>34</v>
      </c>
      <c r="M246" s="10">
        <v>44953</v>
      </c>
      <c r="N246" s="1">
        <v>2699.97</v>
      </c>
      <c r="O246" s="1">
        <f t="shared" si="16"/>
        <v>11919.769999999999</v>
      </c>
      <c r="P246" s="12" t="str">
        <f t="shared" si="17"/>
        <v>High Value</v>
      </c>
      <c r="Q246" s="12">
        <f t="shared" si="18"/>
        <v>24</v>
      </c>
      <c r="R246" s="12" t="str">
        <f t="shared" si="19"/>
        <v>EM</v>
      </c>
    </row>
    <row r="247" spans="1:18" ht="15.75" customHeight="1" x14ac:dyDescent="0.3">
      <c r="A247" s="1" t="s">
        <v>345</v>
      </c>
      <c r="B247" s="10">
        <v>45755</v>
      </c>
      <c r="C247" s="11" t="s">
        <v>630</v>
      </c>
      <c r="D247" s="1" t="s">
        <v>78</v>
      </c>
      <c r="E247" s="1" t="s">
        <v>93</v>
      </c>
      <c r="F247" s="1" t="s">
        <v>94</v>
      </c>
      <c r="G247" s="1" t="s">
        <v>31</v>
      </c>
      <c r="H247" s="1">
        <v>3</v>
      </c>
      <c r="I247" s="1">
        <v>79.989999999999995</v>
      </c>
      <c r="J247" s="1" t="s">
        <v>25</v>
      </c>
      <c r="K247" s="1" t="s">
        <v>37</v>
      </c>
      <c r="L247" s="1" t="s">
        <v>22</v>
      </c>
      <c r="M247" s="10">
        <v>44511</v>
      </c>
      <c r="N247" s="1">
        <v>239.97</v>
      </c>
      <c r="O247" s="1">
        <f t="shared" si="16"/>
        <v>4789.7900000000009</v>
      </c>
      <c r="P247" s="12" t="str">
        <f t="shared" si="17"/>
        <v>Normal</v>
      </c>
      <c r="Q247" s="12">
        <f t="shared" si="18"/>
        <v>14</v>
      </c>
      <c r="R247" s="12" t="str">
        <f t="shared" si="19"/>
        <v>VS</v>
      </c>
    </row>
    <row r="248" spans="1:18" ht="15.75" customHeight="1" x14ac:dyDescent="0.3">
      <c r="A248" s="1" t="s">
        <v>346</v>
      </c>
      <c r="B248" s="10">
        <v>45756</v>
      </c>
      <c r="C248" s="11" t="s">
        <v>631</v>
      </c>
      <c r="D248" s="1" t="s">
        <v>53</v>
      </c>
      <c r="E248" s="1" t="s">
        <v>96</v>
      </c>
      <c r="F248" s="1" t="s">
        <v>97</v>
      </c>
      <c r="G248" s="1" t="s">
        <v>19</v>
      </c>
      <c r="H248" s="1">
        <v>1</v>
      </c>
      <c r="I248" s="1">
        <v>89.99</v>
      </c>
      <c r="J248" s="1" t="s">
        <v>51</v>
      </c>
      <c r="K248" s="1" t="s">
        <v>56</v>
      </c>
      <c r="L248" s="1" t="s">
        <v>22</v>
      </c>
      <c r="M248" s="10">
        <v>45346</v>
      </c>
      <c r="N248" s="1">
        <v>89.99</v>
      </c>
      <c r="O248" s="1">
        <f t="shared" si="16"/>
        <v>3509.8999999999996</v>
      </c>
      <c r="P248" s="12" t="str">
        <f t="shared" si="17"/>
        <v>Normal</v>
      </c>
      <c r="Q248" s="12">
        <f t="shared" si="18"/>
        <v>34</v>
      </c>
      <c r="R248" s="12" t="str">
        <f t="shared" si="19"/>
        <v>RT</v>
      </c>
    </row>
    <row r="249" spans="1:18" ht="15.75" customHeight="1" x14ac:dyDescent="0.3">
      <c r="A249" s="1" t="s">
        <v>347</v>
      </c>
      <c r="B249" s="10">
        <v>45758</v>
      </c>
      <c r="C249" s="11" t="s">
        <v>632</v>
      </c>
      <c r="D249" s="1" t="s">
        <v>248</v>
      </c>
      <c r="E249" s="1" t="s">
        <v>68</v>
      </c>
      <c r="F249" s="1" t="s">
        <v>69</v>
      </c>
      <c r="G249" s="1" t="s">
        <v>19</v>
      </c>
      <c r="H249" s="1">
        <v>3</v>
      </c>
      <c r="I249" s="1">
        <v>699.99</v>
      </c>
      <c r="J249" s="1" t="s">
        <v>32</v>
      </c>
      <c r="K249" s="1" t="s">
        <v>37</v>
      </c>
      <c r="L249" s="1" t="s">
        <v>22</v>
      </c>
      <c r="M249" s="10">
        <v>44909</v>
      </c>
      <c r="N249" s="1">
        <v>2099.9699999999998</v>
      </c>
      <c r="O249" s="1">
        <f t="shared" si="16"/>
        <v>4829.8899999999994</v>
      </c>
      <c r="P249" s="12" t="str">
        <f t="shared" si="17"/>
        <v>Normal</v>
      </c>
      <c r="Q249" s="12">
        <f t="shared" si="18"/>
        <v>31</v>
      </c>
      <c r="R249" s="12" t="str">
        <f t="shared" si="19"/>
        <v>DW</v>
      </c>
    </row>
    <row r="250" spans="1:18" ht="15.75" customHeight="1" x14ac:dyDescent="0.3">
      <c r="A250" s="1" t="s">
        <v>348</v>
      </c>
      <c r="B250" s="10">
        <v>45758</v>
      </c>
      <c r="C250" s="11" t="s">
        <v>633</v>
      </c>
      <c r="D250" s="1" t="s">
        <v>187</v>
      </c>
      <c r="E250" s="1" t="s">
        <v>96</v>
      </c>
      <c r="F250" s="1" t="s">
        <v>97</v>
      </c>
      <c r="G250" s="1" t="s">
        <v>19</v>
      </c>
      <c r="H250" s="1">
        <v>2</v>
      </c>
      <c r="I250" s="1">
        <v>89.99</v>
      </c>
      <c r="J250" s="1" t="s">
        <v>51</v>
      </c>
      <c r="K250" s="1" t="s">
        <v>56</v>
      </c>
      <c r="L250" s="1" t="s">
        <v>22</v>
      </c>
      <c r="M250" s="10">
        <v>45088</v>
      </c>
      <c r="N250" s="1">
        <v>179.98</v>
      </c>
      <c r="O250" s="1">
        <f t="shared" si="16"/>
        <v>6989.7699999999986</v>
      </c>
      <c r="P250" s="12" t="str">
        <f t="shared" si="17"/>
        <v>Normal</v>
      </c>
      <c r="Q250" s="12">
        <f t="shared" si="18"/>
        <v>34</v>
      </c>
      <c r="R250" s="12" t="str">
        <f t="shared" si="19"/>
        <v>LR</v>
      </c>
    </row>
    <row r="251" spans="1:18" ht="15.75" customHeight="1" x14ac:dyDescent="0.3">
      <c r="A251" s="1" t="s">
        <v>349</v>
      </c>
      <c r="B251" s="10">
        <v>45758</v>
      </c>
      <c r="C251" s="11" t="s">
        <v>634</v>
      </c>
      <c r="D251" s="1" t="s">
        <v>113</v>
      </c>
      <c r="E251" s="1" t="s">
        <v>96</v>
      </c>
      <c r="F251" s="1" t="s">
        <v>97</v>
      </c>
      <c r="G251" s="1" t="s">
        <v>19</v>
      </c>
      <c r="H251" s="1">
        <v>3</v>
      </c>
      <c r="I251" s="1">
        <v>89.99</v>
      </c>
      <c r="J251" s="1" t="s">
        <v>51</v>
      </c>
      <c r="K251" s="1" t="s">
        <v>37</v>
      </c>
      <c r="L251" s="1" t="s">
        <v>26</v>
      </c>
      <c r="M251" s="10">
        <v>44878</v>
      </c>
      <c r="N251" s="1">
        <v>269.97000000000003</v>
      </c>
      <c r="O251" s="1">
        <f t="shared" si="16"/>
        <v>2649.83</v>
      </c>
      <c r="P251" s="12" t="str">
        <f t="shared" si="17"/>
        <v>Normal</v>
      </c>
      <c r="Q251" s="12">
        <f t="shared" si="18"/>
        <v>34</v>
      </c>
      <c r="R251" s="12" t="str">
        <f t="shared" si="19"/>
        <v>ST</v>
      </c>
    </row>
    <row r="252" spans="1:18" ht="15.75" customHeight="1" x14ac:dyDescent="0.3"/>
    <row r="253" spans="1:18" ht="15.75" customHeight="1" x14ac:dyDescent="0.3"/>
    <row r="254" spans="1:18" ht="15.75" customHeight="1" x14ac:dyDescent="0.3"/>
    <row r="255" spans="1:18" ht="15.75" customHeight="1" x14ac:dyDescent="0.3"/>
    <row r="256" spans="1:18"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0" show="0">
    <scenario name="qty_200" locked="1" count="1" user="Meet" comment="Created by Meet on 17-02-2026">
      <inputCells r="W13" val="200" numFmtId="1"/>
    </scenario>
    <scenario name="qty_500" locked="1" count="1" user="Meet" comment="Created by Meet on 17-02-2026_x000a_Modified by Meet on 17-02-2026">
      <inputCells r="W13" val="500" numFmtId="1"/>
    </scenario>
  </scenarios>
  <mergeCells count="3">
    <mergeCell ref="V1:W1"/>
    <mergeCell ref="V12:W12"/>
    <mergeCell ref="V19:W19"/>
  </mergeCells>
  <phoneticPr fontId="13" type="noConversion"/>
  <conditionalFormatting sqref="C1:C1048576">
    <cfRule type="duplicateValues" dxfId="1" priority="3"/>
  </conditionalFormatting>
  <conditionalFormatting sqref="N1:N1048576">
    <cfRule type="iconSet" priority="1">
      <iconSet>
        <cfvo type="percent" val="0"/>
        <cfvo type="percent" val="33"/>
        <cfvo type="percent" val="67"/>
      </iconSet>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3D54-EAF9-416F-869B-5B8F24A0B298}">
  <dimension ref="A2:C51"/>
  <sheetViews>
    <sheetView workbookViewId="0">
      <selection sqref="A1:A1048576"/>
    </sheetView>
  </sheetViews>
  <sheetFormatPr defaultRowHeight="14.4" x14ac:dyDescent="0.3"/>
  <cols>
    <col min="1" max="1" width="16" customWidth="1"/>
    <col min="2" max="2" width="31.33203125" bestFit="1" customWidth="1"/>
  </cols>
  <sheetData>
    <row r="2" spans="1:3" x14ac:dyDescent="0.3">
      <c r="A2" t="str" cm="1">
        <f t="array" ref="A2:A51">_xlfn.UNIQUE('Final Project Dataset'!D2:D251)</f>
        <v>Paul Baker</v>
      </c>
      <c r="B2">
        <f>SUMIFS('Final Project Dataset'!N:N,
        'Final Project Dataset'!D:D,
        A2)</f>
        <v>8309.739999999998</v>
      </c>
      <c r="C2" t="str">
        <f>IF(B2&gt;10000,"High Value","Normal")</f>
        <v>Normal</v>
      </c>
    </row>
    <row r="3" spans="1:3" x14ac:dyDescent="0.3">
      <c r="A3" t="str">
        <v>Joseph Jackson</v>
      </c>
      <c r="B3">
        <f>SUMIFS('Final Project Dataset'!N:N,
        'Final Project Dataset'!D:D,
        A3)</f>
        <v>6949.84</v>
      </c>
      <c r="C3" t="str">
        <f t="shared" ref="C3:C51" si="0">IF(B3&gt;10000,"High Value","Normal")</f>
        <v>Normal</v>
      </c>
    </row>
    <row r="4" spans="1:3" x14ac:dyDescent="0.3">
      <c r="A4" t="str">
        <v>Kevin Scott</v>
      </c>
      <c r="B4">
        <f>SUMIFS('Final Project Dataset'!N:N,
        'Final Project Dataset'!D:D,
        A4)</f>
        <v>3259.87</v>
      </c>
      <c r="C4" t="str">
        <f t="shared" si="0"/>
        <v>Normal</v>
      </c>
    </row>
    <row r="5" spans="1:3" x14ac:dyDescent="0.3">
      <c r="A5" t="str">
        <v>Kathleen Bennett</v>
      </c>
      <c r="B5">
        <f>SUMIFS('Final Project Dataset'!N:N,
        'Final Project Dataset'!D:D,
        A5)</f>
        <v>4309.8099999999995</v>
      </c>
      <c r="C5" t="str">
        <f t="shared" si="0"/>
        <v>Normal</v>
      </c>
    </row>
    <row r="6" spans="1:3" x14ac:dyDescent="0.3">
      <c r="A6" t="str">
        <v>Michael Brown</v>
      </c>
      <c r="B6">
        <f>SUMIFS('Final Project Dataset'!N:N,
        'Final Project Dataset'!D:D,
        A6)</f>
        <v>6169.7400000000007</v>
      </c>
      <c r="C6" t="str">
        <f t="shared" si="0"/>
        <v>Normal</v>
      </c>
    </row>
    <row r="7" spans="1:3" x14ac:dyDescent="0.3">
      <c r="A7" t="str">
        <v>Dorothy Nelson</v>
      </c>
      <c r="B7">
        <f>SUMIFS('Final Project Dataset'!N:N,
        'Final Project Dataset'!D:D,
        A7)</f>
        <v>8269.7900000000009</v>
      </c>
      <c r="C7" t="str">
        <f t="shared" si="0"/>
        <v>Normal</v>
      </c>
    </row>
    <row r="8" spans="1:3" x14ac:dyDescent="0.3">
      <c r="A8" t="str">
        <v>Charles Allen</v>
      </c>
      <c r="B8">
        <f>SUMIFS('Final Project Dataset'!N:N,
        'Final Project Dataset'!D:D,
        A8)</f>
        <v>5089.7300000000005</v>
      </c>
      <c r="C8" t="str">
        <f t="shared" si="0"/>
        <v>Normal</v>
      </c>
    </row>
    <row r="9" spans="1:3" x14ac:dyDescent="0.3">
      <c r="A9" t="str">
        <v>Robert Thomas</v>
      </c>
      <c r="B9">
        <f>SUMIFS('Final Project Dataset'!N:N,
        'Final Project Dataset'!D:D,
        A9)</f>
        <v>3509.8999999999996</v>
      </c>
      <c r="C9" t="str">
        <f t="shared" si="0"/>
        <v>Normal</v>
      </c>
    </row>
    <row r="10" spans="1:3" x14ac:dyDescent="0.3">
      <c r="A10" t="str">
        <v>Karen Hill</v>
      </c>
      <c r="B10">
        <f>SUMIFS('Final Project Dataset'!N:N,
        'Final Project Dataset'!D:D,
        A10)</f>
        <v>8009.7699999999995</v>
      </c>
      <c r="C10" t="str">
        <f t="shared" si="0"/>
        <v>Normal</v>
      </c>
    </row>
    <row r="11" spans="1:3" x14ac:dyDescent="0.3">
      <c r="A11" t="str">
        <v>Susan Green</v>
      </c>
      <c r="B11">
        <f>SUMIFS('Final Project Dataset'!N:N,
        'Final Project Dataset'!D:D,
        A11)</f>
        <v>1979.89</v>
      </c>
      <c r="C11" t="str">
        <f t="shared" si="0"/>
        <v>Normal</v>
      </c>
    </row>
    <row r="12" spans="1:3" x14ac:dyDescent="0.3">
      <c r="A12" t="str">
        <v>Peter Richardson</v>
      </c>
      <c r="B12">
        <f>SUMIFS('Final Project Dataset'!N:N,
        'Final Project Dataset'!D:D,
        A12)</f>
        <v>5949.85</v>
      </c>
      <c r="C12" t="str">
        <f t="shared" si="0"/>
        <v>Normal</v>
      </c>
    </row>
    <row r="13" spans="1:3" x14ac:dyDescent="0.3">
      <c r="A13" t="str">
        <v>Dennis Gray</v>
      </c>
      <c r="B13">
        <f>SUMIFS('Final Project Dataset'!N:N,
        'Final Project Dataset'!D:D,
        A13)</f>
        <v>479.91999999999996</v>
      </c>
      <c r="C13" t="str">
        <f t="shared" si="0"/>
        <v>Normal</v>
      </c>
    </row>
    <row r="14" spans="1:3" x14ac:dyDescent="0.3">
      <c r="A14" t="str">
        <v>Michelle Rogers</v>
      </c>
      <c r="B14">
        <f>SUMIFS('Final Project Dataset'!N:N,
        'Final Project Dataset'!D:D,
        A14)</f>
        <v>4199.9399999999996</v>
      </c>
      <c r="C14" t="str">
        <f t="shared" si="0"/>
        <v>Normal</v>
      </c>
    </row>
    <row r="15" spans="1:3" x14ac:dyDescent="0.3">
      <c r="A15" t="str">
        <v>George Adams</v>
      </c>
      <c r="B15">
        <f>SUMIFS('Final Project Dataset'!N:N,
        'Final Project Dataset'!D:D,
        A15)</f>
        <v>3779.93</v>
      </c>
      <c r="C15" t="str">
        <f t="shared" si="0"/>
        <v>Normal</v>
      </c>
    </row>
    <row r="16" spans="1:3" x14ac:dyDescent="0.3">
      <c r="A16" t="str">
        <v>Mark Carter</v>
      </c>
      <c r="B16">
        <f>SUMIFS('Final Project Dataset'!N:N,
        'Final Project Dataset'!D:D,
        A16)</f>
        <v>15659.65</v>
      </c>
      <c r="C16" t="str">
        <f t="shared" si="0"/>
        <v>High Value</v>
      </c>
    </row>
    <row r="17" spans="1:3" x14ac:dyDescent="0.3">
      <c r="A17" t="str">
        <v>Maria Garcia</v>
      </c>
      <c r="B17">
        <f>SUMIFS('Final Project Dataset'!N:N,
        'Final Project Dataset'!D:D,
        A17)</f>
        <v>1909.93</v>
      </c>
      <c r="C17" t="str">
        <f t="shared" si="0"/>
        <v>Normal</v>
      </c>
    </row>
    <row r="18" spans="1:3" x14ac:dyDescent="0.3">
      <c r="A18" t="str">
        <v>Virginia Sanders</v>
      </c>
      <c r="B18">
        <f>SUMIFS('Final Project Dataset'!N:N,
        'Final Project Dataset'!D:D,
        A18)</f>
        <v>4789.7900000000009</v>
      </c>
      <c r="C18" t="str">
        <f t="shared" si="0"/>
        <v>Normal</v>
      </c>
    </row>
    <row r="19" spans="1:3" x14ac:dyDescent="0.3">
      <c r="A19" t="str">
        <v>Barbara Young</v>
      </c>
      <c r="B19">
        <f>SUMIFS('Final Project Dataset'!N:N,
        'Final Project Dataset'!D:D,
        A19)</f>
        <v>10649.8</v>
      </c>
      <c r="C19" t="str">
        <f t="shared" si="0"/>
        <v>High Value</v>
      </c>
    </row>
    <row r="20" spans="1:3" x14ac:dyDescent="0.3">
      <c r="A20" t="str">
        <v>Patricia Moore</v>
      </c>
      <c r="B20">
        <f>SUMIFS('Final Project Dataset'!N:N,
        'Final Project Dataset'!D:D,
        A20)</f>
        <v>9799.73</v>
      </c>
      <c r="C20" t="str">
        <f t="shared" si="0"/>
        <v>Normal</v>
      </c>
    </row>
    <row r="21" spans="1:3" x14ac:dyDescent="0.3">
      <c r="A21" t="str">
        <v>Cynthia Price</v>
      </c>
      <c r="B21">
        <f>SUMIFS('Final Project Dataset'!N:N,
        'Final Project Dataset'!D:D,
        A21)</f>
        <v>3769.8300000000004</v>
      </c>
      <c r="C21" t="str">
        <f t="shared" si="0"/>
        <v>Normal</v>
      </c>
    </row>
    <row r="22" spans="1:3" x14ac:dyDescent="0.3">
      <c r="A22" t="str">
        <v>Nancy Collins</v>
      </c>
      <c r="B22">
        <f>SUMIFS('Final Project Dataset'!N:N,
        'Final Project Dataset'!D:D,
        A22)</f>
        <v>4189.7700000000004</v>
      </c>
      <c r="C22" t="str">
        <f t="shared" si="0"/>
        <v>Normal</v>
      </c>
    </row>
    <row r="23" spans="1:3" x14ac:dyDescent="0.3">
      <c r="A23" t="str">
        <v>Linda Martin</v>
      </c>
      <c r="B23">
        <f>SUMIFS('Final Project Dataset'!N:N,
        'Final Project Dataset'!D:D,
        A23)</f>
        <v>1289.9000000000001</v>
      </c>
      <c r="C23" t="str">
        <f t="shared" si="0"/>
        <v>Normal</v>
      </c>
    </row>
    <row r="24" spans="1:3" x14ac:dyDescent="0.3">
      <c r="A24" t="str">
        <v>Helen Roberts</v>
      </c>
      <c r="B24">
        <f>SUMIFS('Final Project Dataset'!N:N,
        'Final Project Dataset'!D:D,
        A24)</f>
        <v>6459.79</v>
      </c>
      <c r="C24" t="str">
        <f t="shared" si="0"/>
        <v>Normal</v>
      </c>
    </row>
    <row r="25" spans="1:3" x14ac:dyDescent="0.3">
      <c r="A25" t="str">
        <v>Edward Mitchell</v>
      </c>
      <c r="B25">
        <f>SUMIFS('Final Project Dataset'!N:N,
        'Final Project Dataset'!D:D,
        A25)</f>
        <v>11919.769999999999</v>
      </c>
      <c r="C25" t="str">
        <f t="shared" si="0"/>
        <v>High Value</v>
      </c>
    </row>
    <row r="26" spans="1:3" x14ac:dyDescent="0.3">
      <c r="A26" t="str">
        <v>Lisa Anderson</v>
      </c>
      <c r="B26">
        <f>SUMIFS('Final Project Dataset'!N:N,
        'Final Project Dataset'!D:D,
        A26)</f>
        <v>2039.8000000000002</v>
      </c>
      <c r="C26" t="str">
        <f t="shared" si="0"/>
        <v>Normal</v>
      </c>
    </row>
    <row r="27" spans="1:3" x14ac:dyDescent="0.3">
      <c r="A27" t="str">
        <v>Emma Wilson</v>
      </c>
      <c r="B27">
        <f>SUMIFS('Final Project Dataset'!N:N,
        'Final Project Dataset'!D:D,
        A27)</f>
        <v>1229.8800000000001</v>
      </c>
      <c r="C27" t="str">
        <f t="shared" si="0"/>
        <v>Normal</v>
      </c>
    </row>
    <row r="28" spans="1:3" x14ac:dyDescent="0.3">
      <c r="A28" t="str">
        <v>Steven Turner</v>
      </c>
      <c r="B28">
        <f>SUMIFS('Final Project Dataset'!N:N,
        'Final Project Dataset'!D:D,
        A28)</f>
        <v>2649.83</v>
      </c>
      <c r="C28" t="str">
        <f t="shared" si="0"/>
        <v>Normal</v>
      </c>
    </row>
    <row r="29" spans="1:3" x14ac:dyDescent="0.3">
      <c r="A29" t="str">
        <v>Jennifer Taylor</v>
      </c>
      <c r="B29">
        <f>SUMIFS('Final Project Dataset'!N:N,
        'Final Project Dataset'!D:D,
        A29)</f>
        <v>4739.8500000000004</v>
      </c>
      <c r="C29" t="str">
        <f t="shared" si="0"/>
        <v>Normal</v>
      </c>
    </row>
    <row r="30" spans="1:3" x14ac:dyDescent="0.3">
      <c r="A30" t="str">
        <v>Harry Morgan</v>
      </c>
      <c r="B30">
        <f>SUMIFS('Final Project Dataset'!N:N,
        'Final Project Dataset'!D:D,
        A30)</f>
        <v>5519.8899999999994</v>
      </c>
      <c r="C30" t="str">
        <f t="shared" si="0"/>
        <v>Normal</v>
      </c>
    </row>
    <row r="31" spans="1:3" x14ac:dyDescent="0.3">
      <c r="A31" t="str">
        <v>Daniel King</v>
      </c>
      <c r="B31">
        <f>SUMIFS('Final Project Dataset'!N:N,
        'Final Project Dataset'!D:D,
        A31)</f>
        <v>7309.7999999999993</v>
      </c>
      <c r="C31" t="str">
        <f t="shared" si="0"/>
        <v>Normal</v>
      </c>
    </row>
    <row r="32" spans="1:3" x14ac:dyDescent="0.3">
      <c r="A32" t="str">
        <v>Sharon Butler</v>
      </c>
      <c r="B32">
        <f>SUMIFS('Final Project Dataset'!N:N,
        'Final Project Dataset'!D:D,
        A32)</f>
        <v>5619.869999999999</v>
      </c>
      <c r="C32" t="str">
        <f t="shared" si="0"/>
        <v>Normal</v>
      </c>
    </row>
    <row r="33" spans="1:3" x14ac:dyDescent="0.3">
      <c r="A33" t="str">
        <v>Sarah Davis</v>
      </c>
      <c r="B33">
        <f>SUMIFS('Final Project Dataset'!N:N,
        'Final Project Dataset'!D:D,
        A33)</f>
        <v>5499.8099999999995</v>
      </c>
      <c r="C33" t="str">
        <f t="shared" si="0"/>
        <v>Normal</v>
      </c>
    </row>
    <row r="34" spans="1:3" x14ac:dyDescent="0.3">
      <c r="A34" t="str">
        <v>Betty Campbell</v>
      </c>
      <c r="B34">
        <f>SUMIFS('Final Project Dataset'!N:N,
        'Final Project Dataset'!D:D,
        A34)</f>
        <v>5649.84</v>
      </c>
      <c r="C34" t="str">
        <f t="shared" si="0"/>
        <v>Normal</v>
      </c>
    </row>
    <row r="35" spans="1:3" x14ac:dyDescent="0.3">
      <c r="A35" t="str">
        <v>Julie Foster</v>
      </c>
      <c r="B35">
        <f>SUMIFS('Final Project Dataset'!N:N,
        'Final Project Dataset'!D:D,
        A35)</f>
        <v>239.96</v>
      </c>
      <c r="C35" t="str">
        <f t="shared" si="0"/>
        <v>Normal</v>
      </c>
    </row>
    <row r="36" spans="1:3" x14ac:dyDescent="0.3">
      <c r="A36" t="str">
        <v>Raymond Ross</v>
      </c>
      <c r="B36">
        <f>SUMIFS('Final Project Dataset'!N:N,
        'Final Project Dataset'!D:D,
        A36)</f>
        <v>3669.8500000000004</v>
      </c>
      <c r="C36" t="str">
        <f t="shared" si="0"/>
        <v>Normal</v>
      </c>
    </row>
    <row r="37" spans="1:3" x14ac:dyDescent="0.3">
      <c r="A37" t="str">
        <v>David Martinez</v>
      </c>
      <c r="B37">
        <f>SUMIFS('Final Project Dataset'!N:N,
        'Final Project Dataset'!D:D,
        A37)</f>
        <v>1809.84</v>
      </c>
      <c r="C37" t="str">
        <f t="shared" si="0"/>
        <v>Normal</v>
      </c>
    </row>
    <row r="38" spans="1:3" x14ac:dyDescent="0.3">
      <c r="A38" t="str">
        <v>Margaret Wright</v>
      </c>
      <c r="B38">
        <f>SUMIFS('Final Project Dataset'!N:N,
        'Final Project Dataset'!D:D,
        A38)</f>
        <v>2099.88</v>
      </c>
      <c r="C38" t="str">
        <f t="shared" si="0"/>
        <v>Normal</v>
      </c>
    </row>
    <row r="39" spans="1:3" x14ac:dyDescent="0.3">
      <c r="A39" t="str">
        <v>Frank Torres</v>
      </c>
      <c r="B39">
        <f>SUMIFS('Final Project Dataset'!N:N,
        'Final Project Dataset'!D:D,
        A39)</f>
        <v>1479.91</v>
      </c>
      <c r="C39" t="str">
        <f t="shared" si="0"/>
        <v>Normal</v>
      </c>
    </row>
    <row r="40" spans="1:3" x14ac:dyDescent="0.3">
      <c r="A40" t="str">
        <v>Gerald Murphy</v>
      </c>
      <c r="B40">
        <f>SUMIFS('Final Project Dataset'!N:N,
        'Final Project Dataset'!D:D,
        A40)</f>
        <v>6379.87</v>
      </c>
      <c r="C40" t="str">
        <f t="shared" si="0"/>
        <v>Normal</v>
      </c>
    </row>
    <row r="41" spans="1:3" x14ac:dyDescent="0.3">
      <c r="A41" t="str">
        <v>Elizabeth Hall</v>
      </c>
      <c r="B41">
        <f>SUMIFS('Final Project Dataset'!N:N,
        'Final Project Dataset'!D:D,
        A41)</f>
        <v>3649.8599999999997</v>
      </c>
      <c r="C41" t="str">
        <f t="shared" si="0"/>
        <v>Normal</v>
      </c>
    </row>
    <row r="42" spans="1:3" x14ac:dyDescent="0.3">
      <c r="A42" t="str">
        <v>Lawrence Reed</v>
      </c>
      <c r="B42">
        <f>SUMIFS('Final Project Dataset'!N:N,
        'Final Project Dataset'!D:D,
        A42)</f>
        <v>6989.7699999999986</v>
      </c>
      <c r="C42" t="str">
        <f t="shared" si="0"/>
        <v>Normal</v>
      </c>
    </row>
    <row r="43" spans="1:3" x14ac:dyDescent="0.3">
      <c r="A43" t="str">
        <v>Carol Evans</v>
      </c>
      <c r="B43">
        <f>SUMIFS('Final Project Dataset'!N:N,
        'Final Project Dataset'!D:D,
        A43)</f>
        <v>1149.93</v>
      </c>
      <c r="C43" t="str">
        <f t="shared" si="0"/>
        <v>Normal</v>
      </c>
    </row>
    <row r="44" spans="1:3" x14ac:dyDescent="0.3">
      <c r="A44" t="str">
        <v>Sandra Phillips</v>
      </c>
      <c r="B44">
        <f>SUMIFS('Final Project Dataset'!N:N,
        'Final Project Dataset'!D:D,
        A44)</f>
        <v>6349.83</v>
      </c>
      <c r="C44" t="str">
        <f t="shared" si="0"/>
        <v>Normal</v>
      </c>
    </row>
    <row r="45" spans="1:3" x14ac:dyDescent="0.3">
      <c r="A45" t="str">
        <v>Ruth Brooks</v>
      </c>
      <c r="B45">
        <f>SUMIFS('Final Project Dataset'!N:N,
        'Final Project Dataset'!D:D,
        A45)</f>
        <v>1749.92</v>
      </c>
      <c r="C45" t="str">
        <f t="shared" si="0"/>
        <v>Normal</v>
      </c>
    </row>
    <row r="46" spans="1:3" x14ac:dyDescent="0.3">
      <c r="A46" t="str">
        <v>William White</v>
      </c>
      <c r="B46">
        <f>SUMIFS('Final Project Dataset'!N:N,
        'Final Project Dataset'!D:D,
        A46)</f>
        <v>4749.91</v>
      </c>
      <c r="C46" t="str">
        <f t="shared" si="0"/>
        <v>Normal</v>
      </c>
    </row>
    <row r="47" spans="1:3" x14ac:dyDescent="0.3">
      <c r="A47" t="str">
        <v>Richard Lee</v>
      </c>
      <c r="B47">
        <f>SUMIFS('Final Project Dataset'!N:N,
        'Final Project Dataset'!D:D,
        A47)</f>
        <v>739.93000000000006</v>
      </c>
      <c r="C47" t="str">
        <f t="shared" si="0"/>
        <v>Normal</v>
      </c>
    </row>
    <row r="48" spans="1:3" x14ac:dyDescent="0.3">
      <c r="A48" t="str">
        <v>Douglas Watson</v>
      </c>
      <c r="B48">
        <f>SUMIFS('Final Project Dataset'!N:N,
        'Final Project Dataset'!D:D,
        A48)</f>
        <v>4829.8899999999994</v>
      </c>
      <c r="C48" t="str">
        <f t="shared" si="0"/>
        <v>Normal</v>
      </c>
    </row>
    <row r="49" spans="1:3" x14ac:dyDescent="0.3">
      <c r="A49" t="str">
        <v>James Johnson</v>
      </c>
      <c r="B49">
        <f>SUMIFS('Final Project Dataset'!N:N,
        'Final Project Dataset'!D:D,
        A49)</f>
        <v>179.97</v>
      </c>
      <c r="C49" t="str">
        <f t="shared" si="0"/>
        <v>Normal</v>
      </c>
    </row>
    <row r="50" spans="1:3" x14ac:dyDescent="0.3">
      <c r="A50" t="str">
        <v>Arthur Edwards</v>
      </c>
      <c r="B50">
        <f>SUMIFS('Final Project Dataset'!N:N,
        'Final Project Dataset'!D:D,
        A50)</f>
        <v>1559.94</v>
      </c>
      <c r="C50" t="str">
        <f t="shared" si="0"/>
        <v>Normal</v>
      </c>
    </row>
    <row r="51" spans="1:3" x14ac:dyDescent="0.3">
      <c r="A51" t="str">
        <v>John Smith</v>
      </c>
      <c r="B51">
        <f>SUMIFS('Final Project Dataset'!N:N,
        'Final Project Dataset'!D:D,
        A51)</f>
        <v>599.96</v>
      </c>
      <c r="C51" t="str">
        <f t="shared" si="0"/>
        <v>Normal</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15BE1-4D6D-4B4C-AFA7-D47F6C54350E}">
  <dimension ref="A1:O132"/>
  <sheetViews>
    <sheetView workbookViewId="0">
      <selection activeCell="A2" sqref="A2"/>
    </sheetView>
  </sheetViews>
  <sheetFormatPr defaultRowHeight="14.4" x14ac:dyDescent="0.3"/>
  <cols>
    <col min="1" max="1" width="15.6640625" customWidth="1"/>
    <col min="2" max="2" width="9.44140625" customWidth="1"/>
    <col min="3" max="3" width="11.33203125" style="13" customWidth="1"/>
    <col min="4" max="13" width="15.6640625" customWidth="1"/>
    <col min="14" max="14" width="15.6640625" style="13" customWidth="1"/>
    <col min="15" max="15" width="15.6640625" customWidth="1"/>
  </cols>
  <sheetData>
    <row r="1" spans="1:15" x14ac:dyDescent="0.3">
      <c r="A1" s="14" t="s">
        <v>636</v>
      </c>
      <c r="B1" s="15" t="s">
        <v>1</v>
      </c>
      <c r="C1" s="16" t="s">
        <v>2</v>
      </c>
      <c r="D1" s="17" t="s">
        <v>3</v>
      </c>
      <c r="E1" s="17" t="s">
        <v>4</v>
      </c>
      <c r="F1" s="17" t="s">
        <v>5</v>
      </c>
      <c r="G1" s="17" t="s">
        <v>6</v>
      </c>
      <c r="H1" s="17" t="s">
        <v>7</v>
      </c>
      <c r="I1" s="17" t="s">
        <v>8</v>
      </c>
      <c r="J1" s="17" t="s">
        <v>9</v>
      </c>
      <c r="K1" s="17" t="s">
        <v>10</v>
      </c>
      <c r="L1" s="17" t="s">
        <v>11</v>
      </c>
      <c r="M1" s="17" t="s">
        <v>12</v>
      </c>
      <c r="N1" s="16" t="s">
        <v>13</v>
      </c>
      <c r="O1" s="17" t="s">
        <v>14</v>
      </c>
    </row>
    <row r="2" spans="1:15" x14ac:dyDescent="0.3">
      <c r="A2" t="s">
        <v>19</v>
      </c>
      <c r="B2" t="str" cm="1">
        <f t="array" ref="B2:O132">_xlfn._xlws.FILTER('Final Project Dataset'!A:N,'Final Project Dataset'!G:G=Filter!A2,"-")</f>
        <v>TRX0155</v>
      </c>
      <c r="C2" s="13">
        <v>45393</v>
      </c>
      <c r="D2" t="str">
        <v>CUST01</v>
      </c>
      <c r="E2" t="str">
        <v>Paul Baker</v>
      </c>
      <c r="F2" t="str">
        <v>P009</v>
      </c>
      <c r="G2" t="str">
        <v>Monitor</v>
      </c>
      <c r="H2" t="str">
        <v>Electronics</v>
      </c>
      <c r="I2">
        <v>3</v>
      </c>
      <c r="J2">
        <v>249.99</v>
      </c>
      <c r="K2" t="str">
        <v>Cash</v>
      </c>
      <c r="L2" t="str">
        <v>Central</v>
      </c>
      <c r="M2" t="str">
        <v>Basic</v>
      </c>
      <c r="N2" s="13">
        <v>44425</v>
      </c>
      <c r="O2">
        <v>749.97</v>
      </c>
    </row>
    <row r="3" spans="1:15" x14ac:dyDescent="0.3">
      <c r="B3" t="str">
        <v>TRX0023</v>
      </c>
      <c r="C3" s="13">
        <v>45396</v>
      </c>
      <c r="D3" t="str">
        <v>CUST02</v>
      </c>
      <c r="E3" t="str">
        <v>Joseph Jackson</v>
      </c>
      <c r="F3" t="str">
        <v>P009</v>
      </c>
      <c r="G3" t="str">
        <v>Monitor</v>
      </c>
      <c r="H3" t="str">
        <v>Electronics</v>
      </c>
      <c r="I3">
        <v>3</v>
      </c>
      <c r="J3">
        <v>249.99</v>
      </c>
      <c r="K3" t="str">
        <v>Credit Card</v>
      </c>
      <c r="L3" t="str">
        <v>Central</v>
      </c>
      <c r="M3" t="str">
        <v>Premium</v>
      </c>
      <c r="N3" s="13">
        <v>44575</v>
      </c>
      <c r="O3">
        <v>749.97</v>
      </c>
    </row>
    <row r="4" spans="1:15" x14ac:dyDescent="0.3">
      <c r="B4" t="str">
        <v>TRX0193</v>
      </c>
      <c r="C4" s="13">
        <v>45403</v>
      </c>
      <c r="D4" t="str">
        <v>CUST07</v>
      </c>
      <c r="E4" t="str">
        <v>Dorothy Nelson</v>
      </c>
      <c r="F4" t="str">
        <v>P003</v>
      </c>
      <c r="G4" t="str">
        <v>Headphones</v>
      </c>
      <c r="H4" t="str">
        <v>Electronics</v>
      </c>
      <c r="I4">
        <v>5</v>
      </c>
      <c r="J4">
        <v>149.99</v>
      </c>
      <c r="K4" t="str">
        <v>Credit Card</v>
      </c>
      <c r="L4" t="str">
        <v>Central</v>
      </c>
      <c r="M4" t="str">
        <v>Standard</v>
      </c>
      <c r="N4" s="13">
        <v>44418</v>
      </c>
      <c r="O4">
        <v>749.95</v>
      </c>
    </row>
    <row r="5" spans="1:15" x14ac:dyDescent="0.3">
      <c r="B5" t="str">
        <v>TRX0135</v>
      </c>
      <c r="C5" s="13">
        <v>45405</v>
      </c>
      <c r="D5" t="str">
        <v>CUST09</v>
      </c>
      <c r="E5" t="str">
        <v>Robert Thomas</v>
      </c>
      <c r="F5" t="str">
        <v>P001</v>
      </c>
      <c r="G5" t="str">
        <v>Laptop</v>
      </c>
      <c r="H5" t="str">
        <v>Electronics</v>
      </c>
      <c r="I5">
        <v>3</v>
      </c>
      <c r="J5">
        <v>899.99</v>
      </c>
      <c r="K5" t="str">
        <v>PayPal</v>
      </c>
      <c r="L5" t="str">
        <v>East</v>
      </c>
      <c r="M5" t="str">
        <v>Standard</v>
      </c>
      <c r="N5" s="13">
        <v>45299</v>
      </c>
      <c r="O5">
        <v>2699.97</v>
      </c>
    </row>
    <row r="6" spans="1:15" x14ac:dyDescent="0.3">
      <c r="B6" t="str">
        <v>TRX0191</v>
      </c>
      <c r="C6" s="13">
        <v>45409</v>
      </c>
      <c r="D6" t="str">
        <v>CUST15</v>
      </c>
      <c r="E6" t="str">
        <v>Michelle Rogers</v>
      </c>
      <c r="F6" t="str">
        <v>P002</v>
      </c>
      <c r="G6" t="str">
        <v>Smartphone</v>
      </c>
      <c r="H6" t="str">
        <v>Electronics</v>
      </c>
      <c r="I6">
        <v>3</v>
      </c>
      <c r="J6">
        <v>699.99</v>
      </c>
      <c r="K6" t="str">
        <v>Credit Card</v>
      </c>
      <c r="L6" t="str">
        <v>West</v>
      </c>
      <c r="M6" t="str">
        <v>Basic</v>
      </c>
      <c r="N6" s="13">
        <v>44577</v>
      </c>
      <c r="O6">
        <v>2099.9699999999998</v>
      </c>
    </row>
    <row r="7" spans="1:15" x14ac:dyDescent="0.3">
      <c r="B7" t="str">
        <v>TRX0230</v>
      </c>
      <c r="C7" s="13">
        <v>45409</v>
      </c>
      <c r="D7" t="str">
        <v>CUST16</v>
      </c>
      <c r="E7" t="str">
        <v>George Adams</v>
      </c>
      <c r="F7" t="str">
        <v>P001</v>
      </c>
      <c r="G7" t="str">
        <v>Laptop</v>
      </c>
      <c r="H7" t="str">
        <v>Electronics</v>
      </c>
      <c r="I7">
        <v>1</v>
      </c>
      <c r="J7">
        <v>899.99</v>
      </c>
      <c r="K7" t="str">
        <v>Debit Card</v>
      </c>
      <c r="L7" t="str">
        <v>North</v>
      </c>
      <c r="M7" t="str">
        <v>Standard</v>
      </c>
      <c r="N7" s="13">
        <v>44920</v>
      </c>
      <c r="O7">
        <v>899.99</v>
      </c>
    </row>
    <row r="8" spans="1:15" x14ac:dyDescent="0.3">
      <c r="B8" t="str">
        <v>TRX0134</v>
      </c>
      <c r="C8" s="13">
        <v>45410</v>
      </c>
      <c r="D8" t="str">
        <v>CUST18</v>
      </c>
      <c r="E8" t="str">
        <v>Maria Garcia</v>
      </c>
      <c r="F8" t="str">
        <v>P002</v>
      </c>
      <c r="G8" t="str">
        <v>Smartphone</v>
      </c>
      <c r="H8" t="str">
        <v>Electronics</v>
      </c>
      <c r="I8">
        <v>2</v>
      </c>
      <c r="J8">
        <v>699.99</v>
      </c>
      <c r="K8" t="str">
        <v>Cash</v>
      </c>
      <c r="L8" t="str">
        <v>North</v>
      </c>
      <c r="M8" t="str">
        <v>Basic</v>
      </c>
      <c r="N8" s="13">
        <v>44781</v>
      </c>
      <c r="O8">
        <v>1399.98</v>
      </c>
    </row>
    <row r="9" spans="1:15" x14ac:dyDescent="0.3">
      <c r="B9" t="str">
        <v>TRX0122</v>
      </c>
      <c r="C9" s="13">
        <v>45410</v>
      </c>
      <c r="D9" t="str">
        <v>CUST19</v>
      </c>
      <c r="E9" t="str">
        <v>Mark Carter</v>
      </c>
      <c r="F9" t="str">
        <v>P001</v>
      </c>
      <c r="G9" t="str">
        <v>Laptop</v>
      </c>
      <c r="H9" t="str">
        <v>Electronics</v>
      </c>
      <c r="I9">
        <v>4</v>
      </c>
      <c r="J9">
        <v>899.99</v>
      </c>
      <c r="K9" t="str">
        <v>Credit Card</v>
      </c>
      <c r="L9" t="str">
        <v>West</v>
      </c>
      <c r="M9" t="str">
        <v>Standard</v>
      </c>
      <c r="N9" s="13">
        <v>45327</v>
      </c>
      <c r="O9">
        <v>3599.96</v>
      </c>
    </row>
    <row r="10" spans="1:15" x14ac:dyDescent="0.3">
      <c r="B10" t="str">
        <v>TRX0222</v>
      </c>
      <c r="C10" s="13">
        <v>45410</v>
      </c>
      <c r="D10" t="str">
        <v>CUST20</v>
      </c>
      <c r="E10" t="str">
        <v>Virginia Sanders</v>
      </c>
      <c r="F10" t="str">
        <v>P009</v>
      </c>
      <c r="G10" t="str">
        <v>Monitor</v>
      </c>
      <c r="H10" t="str">
        <v>Electronics</v>
      </c>
      <c r="I10">
        <v>3</v>
      </c>
      <c r="J10">
        <v>249.99</v>
      </c>
      <c r="K10" t="str">
        <v>Credit Card</v>
      </c>
      <c r="L10" t="str">
        <v>North</v>
      </c>
      <c r="M10" t="str">
        <v>Premium</v>
      </c>
      <c r="N10" s="13">
        <v>45224</v>
      </c>
      <c r="O10">
        <v>749.97</v>
      </c>
    </row>
    <row r="11" spans="1:15" x14ac:dyDescent="0.3">
      <c r="B11" t="str">
        <v>TRX0231</v>
      </c>
      <c r="C11" s="13">
        <v>45412</v>
      </c>
      <c r="D11" t="str">
        <v>CUST21</v>
      </c>
      <c r="E11" t="str">
        <v>Barbara Young</v>
      </c>
      <c r="F11" t="str">
        <v>P002</v>
      </c>
      <c r="G11" t="str">
        <v>Smartphone</v>
      </c>
      <c r="H11" t="str">
        <v>Electronics</v>
      </c>
      <c r="I11">
        <v>5</v>
      </c>
      <c r="J11">
        <v>699.99</v>
      </c>
      <c r="K11" t="str">
        <v>Cash</v>
      </c>
      <c r="L11" t="str">
        <v>West</v>
      </c>
      <c r="M11" t="str">
        <v>Basic</v>
      </c>
      <c r="N11" s="13">
        <v>45167</v>
      </c>
      <c r="O11">
        <v>3499.95</v>
      </c>
    </row>
    <row r="12" spans="1:15" x14ac:dyDescent="0.3">
      <c r="B12" t="str">
        <v>TRX0239</v>
      </c>
      <c r="C12" s="13">
        <v>45413</v>
      </c>
      <c r="D12" t="str">
        <v>CUST22</v>
      </c>
      <c r="E12" t="str">
        <v>Patricia Moore</v>
      </c>
      <c r="F12" t="str">
        <v>P002</v>
      </c>
      <c r="G12" t="str">
        <v>Smartphone</v>
      </c>
      <c r="H12" t="str">
        <v>Electronics</v>
      </c>
      <c r="I12">
        <v>4</v>
      </c>
      <c r="J12">
        <v>699.99</v>
      </c>
      <c r="K12" t="str">
        <v>Cash</v>
      </c>
      <c r="L12" t="str">
        <v>East</v>
      </c>
      <c r="M12" t="str">
        <v>Standard</v>
      </c>
      <c r="N12" s="13">
        <v>44409</v>
      </c>
      <c r="O12">
        <v>2799.96</v>
      </c>
    </row>
    <row r="13" spans="1:15" x14ac:dyDescent="0.3">
      <c r="B13" t="str">
        <v>TRX0204</v>
      </c>
      <c r="C13" s="13">
        <v>45415</v>
      </c>
      <c r="D13" t="str">
        <v>CUST23</v>
      </c>
      <c r="E13" t="str">
        <v>Cynthia Price</v>
      </c>
      <c r="F13" t="str">
        <v>P009</v>
      </c>
      <c r="G13" t="str">
        <v>Monitor</v>
      </c>
      <c r="H13" t="str">
        <v>Electronics</v>
      </c>
      <c r="I13">
        <v>4</v>
      </c>
      <c r="J13">
        <v>249.99</v>
      </c>
      <c r="K13" t="str">
        <v>PayPal</v>
      </c>
      <c r="L13" t="str">
        <v>North</v>
      </c>
      <c r="M13" t="str">
        <v>Standard</v>
      </c>
      <c r="N13" s="13">
        <v>44468</v>
      </c>
      <c r="O13">
        <v>999.96</v>
      </c>
    </row>
    <row r="14" spans="1:15" x14ac:dyDescent="0.3">
      <c r="B14" t="str">
        <v>TRX0071</v>
      </c>
      <c r="C14" s="13">
        <v>45422</v>
      </c>
      <c r="D14" t="str">
        <v>CUST25</v>
      </c>
      <c r="E14" t="str">
        <v>Nancy Collins</v>
      </c>
      <c r="F14" t="str">
        <v>P009</v>
      </c>
      <c r="G14" t="str">
        <v>Monitor</v>
      </c>
      <c r="H14" t="str">
        <v>Electronics</v>
      </c>
      <c r="I14">
        <v>5</v>
      </c>
      <c r="J14">
        <v>249.99</v>
      </c>
      <c r="K14" t="str">
        <v>Credit Card</v>
      </c>
      <c r="L14" t="str">
        <v>West</v>
      </c>
      <c r="M14" t="str">
        <v>Standard</v>
      </c>
      <c r="N14" s="13">
        <v>44525</v>
      </c>
      <c r="O14">
        <v>1249.95</v>
      </c>
    </row>
    <row r="15" spans="1:15" x14ac:dyDescent="0.3">
      <c r="B15" t="str">
        <v>TRX0004</v>
      </c>
      <c r="C15" s="13">
        <v>45424</v>
      </c>
      <c r="D15" t="str">
        <v>CUST28</v>
      </c>
      <c r="E15" t="str">
        <v>Patricia Moore</v>
      </c>
      <c r="F15" t="str">
        <v>P010</v>
      </c>
      <c r="G15" t="str">
        <v>Keyboard</v>
      </c>
      <c r="H15" t="str">
        <v>Electronics</v>
      </c>
      <c r="I15">
        <v>5</v>
      </c>
      <c r="J15">
        <v>89.99</v>
      </c>
      <c r="K15" t="str">
        <v>Cash</v>
      </c>
      <c r="L15" t="str">
        <v>North</v>
      </c>
      <c r="M15" t="str">
        <v>Premium</v>
      </c>
      <c r="N15" s="13">
        <v>44919</v>
      </c>
      <c r="O15">
        <v>449.95</v>
      </c>
    </row>
    <row r="16" spans="1:15" x14ac:dyDescent="0.3">
      <c r="B16" t="str">
        <v>TRX0041</v>
      </c>
      <c r="C16" s="13">
        <v>45432</v>
      </c>
      <c r="D16" t="str">
        <v>CUST34</v>
      </c>
      <c r="E16" t="str">
        <v>Kevin Scott</v>
      </c>
      <c r="F16" t="str">
        <v>P001</v>
      </c>
      <c r="G16" t="str">
        <v>Laptop</v>
      </c>
      <c r="H16" t="str">
        <v>Electronics</v>
      </c>
      <c r="I16">
        <v>1</v>
      </c>
      <c r="J16">
        <v>899.99</v>
      </c>
      <c r="K16" t="str">
        <v>Credit Card</v>
      </c>
      <c r="L16" t="str">
        <v>West</v>
      </c>
      <c r="M16" t="str">
        <v>Premium</v>
      </c>
      <c r="N16" s="13">
        <v>44578</v>
      </c>
      <c r="O16">
        <v>899.99</v>
      </c>
    </row>
    <row r="17" spans="2:15" x14ac:dyDescent="0.3">
      <c r="B17" t="str">
        <v>TRX0015</v>
      </c>
      <c r="C17" s="13">
        <v>45440</v>
      </c>
      <c r="D17" t="str">
        <v>CUST38</v>
      </c>
      <c r="E17" t="str">
        <v>Jennifer Taylor</v>
      </c>
      <c r="F17" t="str">
        <v>P002</v>
      </c>
      <c r="G17" t="str">
        <v>Smartphone</v>
      </c>
      <c r="H17" t="str">
        <v>Electronics</v>
      </c>
      <c r="I17">
        <v>5</v>
      </c>
      <c r="J17">
        <v>699.99</v>
      </c>
      <c r="K17" t="str">
        <v>PayPal</v>
      </c>
      <c r="L17" t="str">
        <v>West</v>
      </c>
      <c r="M17" t="str">
        <v>Standard</v>
      </c>
      <c r="N17" s="13">
        <v>44407</v>
      </c>
      <c r="O17">
        <v>3499.95</v>
      </c>
    </row>
    <row r="18" spans="2:15" x14ac:dyDescent="0.3">
      <c r="B18" t="str">
        <v>TRX0202</v>
      </c>
      <c r="C18" s="13">
        <v>45441</v>
      </c>
      <c r="D18" t="str">
        <v>CUST39</v>
      </c>
      <c r="E18" t="str">
        <v>Harry Morgan</v>
      </c>
      <c r="F18" t="str">
        <v>P010</v>
      </c>
      <c r="G18" t="str">
        <v>Keyboard</v>
      </c>
      <c r="H18" t="str">
        <v>Electronics</v>
      </c>
      <c r="I18">
        <v>3</v>
      </c>
      <c r="J18">
        <v>89.99</v>
      </c>
      <c r="K18" t="str">
        <v>PayPal</v>
      </c>
      <c r="L18" t="str">
        <v>Central</v>
      </c>
      <c r="M18" t="str">
        <v>Premium</v>
      </c>
      <c r="N18" s="13">
        <v>45120</v>
      </c>
      <c r="O18">
        <v>269.97000000000003</v>
      </c>
    </row>
    <row r="19" spans="2:15" x14ac:dyDescent="0.3">
      <c r="B19" t="str">
        <v>TRX0117</v>
      </c>
      <c r="C19" s="13">
        <v>45444</v>
      </c>
      <c r="D19" t="str">
        <v>CUST42</v>
      </c>
      <c r="E19" t="str">
        <v>Charles Allen</v>
      </c>
      <c r="F19" t="str">
        <v>P010</v>
      </c>
      <c r="G19" t="str">
        <v>Keyboard</v>
      </c>
      <c r="H19" t="str">
        <v>Electronics</v>
      </c>
      <c r="I19">
        <v>1</v>
      </c>
      <c r="J19">
        <v>89.99</v>
      </c>
      <c r="K19" t="str">
        <v>Cash</v>
      </c>
      <c r="L19" t="str">
        <v>North</v>
      </c>
      <c r="M19" t="str">
        <v>Basic</v>
      </c>
      <c r="N19" s="13">
        <v>45141</v>
      </c>
      <c r="O19">
        <v>89.99</v>
      </c>
    </row>
    <row r="20" spans="2:15" x14ac:dyDescent="0.3">
      <c r="B20" t="str">
        <v>TRX0208</v>
      </c>
      <c r="C20" s="13">
        <v>45446</v>
      </c>
      <c r="D20" t="str">
        <v>CUST43</v>
      </c>
      <c r="E20" t="str">
        <v>Sarah Davis</v>
      </c>
      <c r="F20" t="str">
        <v>P010</v>
      </c>
      <c r="G20" t="str">
        <v>Keyboard</v>
      </c>
      <c r="H20" t="str">
        <v>Electronics</v>
      </c>
      <c r="I20">
        <v>5</v>
      </c>
      <c r="J20">
        <v>89.99</v>
      </c>
      <c r="K20" t="str">
        <v>Credit Card</v>
      </c>
      <c r="L20" t="str">
        <v>East</v>
      </c>
      <c r="M20" t="str">
        <v>Standard</v>
      </c>
      <c r="N20" s="13">
        <v>44587</v>
      </c>
      <c r="O20">
        <v>449.95</v>
      </c>
    </row>
    <row r="21" spans="2:15" x14ac:dyDescent="0.3">
      <c r="B21" t="str">
        <v>TRX0234</v>
      </c>
      <c r="C21" s="13">
        <v>45449</v>
      </c>
      <c r="D21" t="str">
        <v>CUST44</v>
      </c>
      <c r="E21" t="str">
        <v>Joseph Jackson</v>
      </c>
      <c r="F21" t="str">
        <v>P009</v>
      </c>
      <c r="G21" t="str">
        <v>Monitor</v>
      </c>
      <c r="H21" t="str">
        <v>Electronics</v>
      </c>
      <c r="I21">
        <v>5</v>
      </c>
      <c r="J21">
        <v>249.99</v>
      </c>
      <c r="K21" t="str">
        <v>Credit Card</v>
      </c>
      <c r="L21" t="str">
        <v>East</v>
      </c>
      <c r="M21" t="str">
        <v>Standard</v>
      </c>
      <c r="N21" s="13">
        <v>44707</v>
      </c>
      <c r="O21">
        <v>1249.95</v>
      </c>
    </row>
    <row r="22" spans="2:15" x14ac:dyDescent="0.3">
      <c r="B22" t="str">
        <v>TRX0121</v>
      </c>
      <c r="C22" s="13">
        <v>45449</v>
      </c>
      <c r="D22" t="str">
        <v>CUST45</v>
      </c>
      <c r="E22" t="str">
        <v>Betty Campbell</v>
      </c>
      <c r="F22" t="str">
        <v>P010</v>
      </c>
      <c r="G22" t="str">
        <v>Keyboard</v>
      </c>
      <c r="H22" t="str">
        <v>Electronics</v>
      </c>
      <c r="I22">
        <v>1</v>
      </c>
      <c r="J22">
        <v>89.99</v>
      </c>
      <c r="K22" t="str">
        <v>Credit Card</v>
      </c>
      <c r="L22" t="str">
        <v>South</v>
      </c>
      <c r="M22" t="str">
        <v>Standard</v>
      </c>
      <c r="N22" s="13">
        <v>44582</v>
      </c>
      <c r="O22">
        <v>89.99</v>
      </c>
    </row>
    <row r="23" spans="2:15" x14ac:dyDescent="0.3">
      <c r="B23" t="str">
        <v>TRX0088</v>
      </c>
      <c r="C23" s="13">
        <v>45456</v>
      </c>
      <c r="D23" t="str">
        <v>CUST48</v>
      </c>
      <c r="E23" t="str">
        <v>Lisa Anderson</v>
      </c>
      <c r="F23" t="str">
        <v>P010</v>
      </c>
      <c r="G23" t="str">
        <v>Keyboard</v>
      </c>
      <c r="H23" t="str">
        <v>Electronics</v>
      </c>
      <c r="I23">
        <v>5</v>
      </c>
      <c r="J23">
        <v>89.99</v>
      </c>
      <c r="K23" t="str">
        <v>Cash</v>
      </c>
      <c r="L23" t="str">
        <v>Central</v>
      </c>
      <c r="M23" t="str">
        <v>Premium</v>
      </c>
      <c r="N23" s="13">
        <v>44579</v>
      </c>
      <c r="O23">
        <v>449.95</v>
      </c>
    </row>
    <row r="24" spans="2:15" x14ac:dyDescent="0.3">
      <c r="B24" t="str">
        <v>TRX0115</v>
      </c>
      <c r="C24" s="13">
        <v>45459</v>
      </c>
      <c r="D24" t="str">
        <v>CUST49</v>
      </c>
      <c r="E24" t="str">
        <v>Patricia Moore</v>
      </c>
      <c r="F24" t="str">
        <v>P010</v>
      </c>
      <c r="G24" t="str">
        <v>Keyboard</v>
      </c>
      <c r="H24" t="str">
        <v>Electronics</v>
      </c>
      <c r="I24">
        <v>2</v>
      </c>
      <c r="J24">
        <v>89.99</v>
      </c>
      <c r="K24" t="str">
        <v>Credit Card</v>
      </c>
      <c r="L24" t="str">
        <v>South</v>
      </c>
      <c r="M24" t="str">
        <v>Premium</v>
      </c>
      <c r="N24" s="13">
        <v>44471</v>
      </c>
      <c r="O24">
        <v>179.98</v>
      </c>
    </row>
    <row r="25" spans="2:15" x14ac:dyDescent="0.3">
      <c r="B25" t="str">
        <v>TRX0154</v>
      </c>
      <c r="C25" s="13">
        <v>45459</v>
      </c>
      <c r="D25" t="str">
        <v>CUST50</v>
      </c>
      <c r="E25" t="str">
        <v>Paul Baker</v>
      </c>
      <c r="F25" t="str">
        <v>P001</v>
      </c>
      <c r="G25" t="str">
        <v>Laptop</v>
      </c>
      <c r="H25" t="str">
        <v>Electronics</v>
      </c>
      <c r="I25">
        <v>5</v>
      </c>
      <c r="J25">
        <v>899.99</v>
      </c>
      <c r="K25" t="str">
        <v>Credit Card</v>
      </c>
      <c r="L25" t="str">
        <v>South</v>
      </c>
      <c r="M25" t="str">
        <v>Standard</v>
      </c>
      <c r="N25" s="13">
        <v>44974</v>
      </c>
      <c r="O25">
        <v>4499.95</v>
      </c>
    </row>
    <row r="26" spans="2:15" x14ac:dyDescent="0.3">
      <c r="B26" t="str">
        <v>TRX0044</v>
      </c>
      <c r="C26" s="13">
        <v>45459</v>
      </c>
      <c r="D26" t="str">
        <v>CUST51</v>
      </c>
      <c r="E26" t="str">
        <v>Edward Mitchell</v>
      </c>
      <c r="F26" t="str">
        <v>P001</v>
      </c>
      <c r="G26" t="str">
        <v>Laptop</v>
      </c>
      <c r="H26" t="str">
        <v>Electronics</v>
      </c>
      <c r="I26">
        <v>5</v>
      </c>
      <c r="J26">
        <v>899.99</v>
      </c>
      <c r="K26" t="str">
        <v>PayPal</v>
      </c>
      <c r="L26" t="str">
        <v>East</v>
      </c>
      <c r="M26" t="str">
        <v>Premium</v>
      </c>
      <c r="N26" s="13">
        <v>45278</v>
      </c>
      <c r="O26">
        <v>4499.95</v>
      </c>
    </row>
    <row r="27" spans="2:15" x14ac:dyDescent="0.3">
      <c r="B27" t="str">
        <v>TRX0025</v>
      </c>
      <c r="C27" s="13">
        <v>45468</v>
      </c>
      <c r="D27" t="str">
        <v>CUST54</v>
      </c>
      <c r="E27" t="str">
        <v>Raymond Ross</v>
      </c>
      <c r="F27" t="str">
        <v>P010</v>
      </c>
      <c r="G27" t="str">
        <v>Keyboard</v>
      </c>
      <c r="H27" t="str">
        <v>Electronics</v>
      </c>
      <c r="I27">
        <v>4</v>
      </c>
      <c r="J27">
        <v>89.99</v>
      </c>
      <c r="K27" t="str">
        <v>Debit Card</v>
      </c>
      <c r="L27" t="str">
        <v>South</v>
      </c>
      <c r="M27" t="str">
        <v>Basic</v>
      </c>
      <c r="N27" s="13">
        <v>45281</v>
      </c>
      <c r="O27">
        <v>359.96</v>
      </c>
    </row>
    <row r="28" spans="2:15" x14ac:dyDescent="0.3">
      <c r="B28" t="str">
        <v>TRX0007</v>
      </c>
      <c r="C28" s="13">
        <v>45469</v>
      </c>
      <c r="D28" t="str">
        <v>CUST56</v>
      </c>
      <c r="E28" t="str">
        <v>Robert Thomas</v>
      </c>
      <c r="F28" t="str">
        <v>P010</v>
      </c>
      <c r="G28" t="str">
        <v>Keyboard</v>
      </c>
      <c r="H28" t="str">
        <v>Electronics</v>
      </c>
      <c r="I28">
        <v>2</v>
      </c>
      <c r="J28">
        <v>89.99</v>
      </c>
      <c r="K28" t="str">
        <v>Cash</v>
      </c>
      <c r="L28" t="str">
        <v>West</v>
      </c>
      <c r="M28" t="str">
        <v>Basic</v>
      </c>
      <c r="N28" s="13">
        <v>44438</v>
      </c>
      <c r="O28">
        <v>179.98</v>
      </c>
    </row>
    <row r="29" spans="2:15" x14ac:dyDescent="0.3">
      <c r="B29" t="str">
        <v>TRX0184</v>
      </c>
      <c r="C29" s="13">
        <v>45471</v>
      </c>
      <c r="D29" t="str">
        <v>CUST57</v>
      </c>
      <c r="E29" t="str">
        <v>Kathleen Bennett</v>
      </c>
      <c r="F29" t="str">
        <v>P002</v>
      </c>
      <c r="G29" t="str">
        <v>Smartphone</v>
      </c>
      <c r="H29" t="str">
        <v>Electronics</v>
      </c>
      <c r="I29">
        <v>3</v>
      </c>
      <c r="J29">
        <v>699.99</v>
      </c>
      <c r="K29" t="str">
        <v>Credit Card</v>
      </c>
      <c r="L29" t="str">
        <v>East</v>
      </c>
      <c r="M29" t="str">
        <v>Premium</v>
      </c>
      <c r="N29" s="13">
        <v>45102</v>
      </c>
      <c r="O29">
        <v>2099.9699999999998</v>
      </c>
    </row>
    <row r="30" spans="2:15" x14ac:dyDescent="0.3">
      <c r="B30" t="str">
        <v>TRX0104</v>
      </c>
      <c r="C30" s="13">
        <v>45471</v>
      </c>
      <c r="D30" t="str">
        <v>CUST58</v>
      </c>
      <c r="E30" t="str">
        <v>Patricia Moore</v>
      </c>
      <c r="F30" t="str">
        <v>P001</v>
      </c>
      <c r="G30" t="str">
        <v>Laptop</v>
      </c>
      <c r="H30" t="str">
        <v>Electronics</v>
      </c>
      <c r="I30">
        <v>4</v>
      </c>
      <c r="J30">
        <v>899.99</v>
      </c>
      <c r="K30" t="str">
        <v>Credit Card</v>
      </c>
      <c r="L30" t="str">
        <v>East</v>
      </c>
      <c r="M30" t="str">
        <v>Premium</v>
      </c>
      <c r="N30" s="13">
        <v>44993</v>
      </c>
      <c r="O30">
        <v>3599.96</v>
      </c>
    </row>
    <row r="31" spans="2:15" x14ac:dyDescent="0.3">
      <c r="B31" t="str">
        <v>TRX0096</v>
      </c>
      <c r="C31" s="13">
        <v>45474</v>
      </c>
      <c r="D31" t="str">
        <v>CUST60</v>
      </c>
      <c r="E31" t="str">
        <v>Emma Wilson</v>
      </c>
      <c r="F31" t="str">
        <v>P010</v>
      </c>
      <c r="G31" t="str">
        <v>Keyboard</v>
      </c>
      <c r="H31" t="str">
        <v>Electronics</v>
      </c>
      <c r="I31">
        <v>2</v>
      </c>
      <c r="J31">
        <v>89.99</v>
      </c>
      <c r="K31" t="str">
        <v>PayPal</v>
      </c>
      <c r="L31" t="str">
        <v>Central</v>
      </c>
      <c r="M31" t="str">
        <v>Premium</v>
      </c>
      <c r="N31" s="13">
        <v>45275</v>
      </c>
      <c r="O31">
        <v>179.98</v>
      </c>
    </row>
    <row r="32" spans="2:15" x14ac:dyDescent="0.3">
      <c r="B32" t="str">
        <v>TRX0192</v>
      </c>
      <c r="C32" s="13">
        <v>45475</v>
      </c>
      <c r="D32" t="str">
        <v>CUST61</v>
      </c>
      <c r="E32" t="str">
        <v>Charles Allen</v>
      </c>
      <c r="F32" t="str">
        <v>P010</v>
      </c>
      <c r="G32" t="str">
        <v>Keyboard</v>
      </c>
      <c r="H32" t="str">
        <v>Electronics</v>
      </c>
      <c r="I32">
        <v>1</v>
      </c>
      <c r="J32">
        <v>89.99</v>
      </c>
      <c r="K32" t="str">
        <v>PayPal</v>
      </c>
      <c r="L32" t="str">
        <v>West</v>
      </c>
      <c r="M32" t="str">
        <v>Standard</v>
      </c>
      <c r="N32" s="13">
        <v>44802</v>
      </c>
      <c r="O32">
        <v>89.99</v>
      </c>
    </row>
    <row r="33" spans="2:15" x14ac:dyDescent="0.3">
      <c r="B33" t="str">
        <v>TRX0052</v>
      </c>
      <c r="C33" s="13">
        <v>45476</v>
      </c>
      <c r="D33" t="str">
        <v>CUST62</v>
      </c>
      <c r="E33" t="str">
        <v>Susan Green</v>
      </c>
      <c r="F33" t="str">
        <v>P010</v>
      </c>
      <c r="G33" t="str">
        <v>Keyboard</v>
      </c>
      <c r="H33" t="str">
        <v>Electronics</v>
      </c>
      <c r="I33">
        <v>1</v>
      </c>
      <c r="J33">
        <v>89.99</v>
      </c>
      <c r="K33" t="str">
        <v>Cash</v>
      </c>
      <c r="L33" t="str">
        <v>South</v>
      </c>
      <c r="M33" t="str">
        <v>Standard</v>
      </c>
      <c r="N33" s="13">
        <v>44611</v>
      </c>
      <c r="O33">
        <v>89.99</v>
      </c>
    </row>
    <row r="34" spans="2:15" x14ac:dyDescent="0.3">
      <c r="B34" t="str">
        <v>TRX0113</v>
      </c>
      <c r="C34" s="13">
        <v>45481</v>
      </c>
      <c r="D34" t="str">
        <v>CUST65</v>
      </c>
      <c r="E34" t="str">
        <v>Michael Brown</v>
      </c>
      <c r="F34" t="str">
        <v>P002</v>
      </c>
      <c r="G34" t="str">
        <v>Smartphone</v>
      </c>
      <c r="H34" t="str">
        <v>Electronics</v>
      </c>
      <c r="I34">
        <v>2</v>
      </c>
      <c r="J34">
        <v>699.99</v>
      </c>
      <c r="K34" t="str">
        <v>PayPal</v>
      </c>
      <c r="L34" t="str">
        <v>East</v>
      </c>
      <c r="M34" t="str">
        <v>Premium</v>
      </c>
      <c r="N34" s="13">
        <v>45389</v>
      </c>
      <c r="O34">
        <v>1399.98</v>
      </c>
    </row>
    <row r="35" spans="2:15" x14ac:dyDescent="0.3">
      <c r="B35" t="str">
        <v>TRX0114</v>
      </c>
      <c r="C35" s="13">
        <v>45481</v>
      </c>
      <c r="D35" t="str">
        <v>CUST66</v>
      </c>
      <c r="E35" t="str">
        <v>Barbara Young</v>
      </c>
      <c r="F35" t="str">
        <v>P010</v>
      </c>
      <c r="G35" t="str">
        <v>Keyboard</v>
      </c>
      <c r="H35" t="str">
        <v>Electronics</v>
      </c>
      <c r="I35">
        <v>5</v>
      </c>
      <c r="J35">
        <v>89.99</v>
      </c>
      <c r="K35" t="str">
        <v>Debit Card</v>
      </c>
      <c r="L35" t="str">
        <v>North</v>
      </c>
      <c r="M35" t="str">
        <v>Premium</v>
      </c>
      <c r="N35" s="13">
        <v>45161</v>
      </c>
      <c r="O35">
        <v>449.95</v>
      </c>
    </row>
    <row r="36" spans="2:15" x14ac:dyDescent="0.3">
      <c r="B36" t="str">
        <v>TRX0018</v>
      </c>
      <c r="C36" s="13">
        <v>45484</v>
      </c>
      <c r="D36" t="str">
        <v>CUST68</v>
      </c>
      <c r="E36" t="str">
        <v>Joseph Jackson</v>
      </c>
      <c r="F36" t="str">
        <v>P003</v>
      </c>
      <c r="G36" t="str">
        <v>Headphones</v>
      </c>
      <c r="H36" t="str">
        <v>Electronics</v>
      </c>
      <c r="I36">
        <v>1</v>
      </c>
      <c r="J36">
        <v>149.99</v>
      </c>
      <c r="K36" t="str">
        <v>Cash</v>
      </c>
      <c r="L36" t="str">
        <v>Central</v>
      </c>
      <c r="M36" t="str">
        <v>Standard</v>
      </c>
      <c r="N36" s="13">
        <v>44909</v>
      </c>
      <c r="O36">
        <v>149.99</v>
      </c>
    </row>
    <row r="37" spans="2:15" x14ac:dyDescent="0.3">
      <c r="B37" t="str">
        <v>TRX0162</v>
      </c>
      <c r="C37" s="13">
        <v>45496</v>
      </c>
      <c r="D37" t="str">
        <v>CUST74</v>
      </c>
      <c r="E37" t="str">
        <v>Sharon Butler</v>
      </c>
      <c r="F37" t="str">
        <v>P001</v>
      </c>
      <c r="G37" t="str">
        <v>Laptop</v>
      </c>
      <c r="H37" t="str">
        <v>Electronics</v>
      </c>
      <c r="I37">
        <v>1</v>
      </c>
      <c r="J37">
        <v>899.99</v>
      </c>
      <c r="K37" t="str">
        <v>Cash</v>
      </c>
      <c r="L37" t="str">
        <v>Central</v>
      </c>
      <c r="M37" t="str">
        <v>Standard</v>
      </c>
      <c r="N37" s="13">
        <v>45179</v>
      </c>
      <c r="O37">
        <v>899.99</v>
      </c>
    </row>
    <row r="38" spans="2:15" x14ac:dyDescent="0.3">
      <c r="B38" t="str">
        <v>TRX0244</v>
      </c>
      <c r="C38" s="13">
        <v>45497</v>
      </c>
      <c r="D38" t="str">
        <v>CUST75</v>
      </c>
      <c r="E38" t="str">
        <v>Joseph Jackson</v>
      </c>
      <c r="F38" t="str">
        <v>P001</v>
      </c>
      <c r="G38" t="str">
        <v>Laptop</v>
      </c>
      <c r="H38" t="str">
        <v>Electronics</v>
      </c>
      <c r="I38">
        <v>5</v>
      </c>
      <c r="J38">
        <v>899.99</v>
      </c>
      <c r="K38" t="str">
        <v>Debit Card</v>
      </c>
      <c r="L38" t="str">
        <v>South</v>
      </c>
      <c r="M38" t="str">
        <v>Standard</v>
      </c>
      <c r="N38" s="13">
        <v>44899</v>
      </c>
      <c r="O38">
        <v>4499.95</v>
      </c>
    </row>
    <row r="39" spans="2:15" x14ac:dyDescent="0.3">
      <c r="B39" t="str">
        <v>TRX0215</v>
      </c>
      <c r="C39" s="13">
        <v>45498</v>
      </c>
      <c r="D39" t="str">
        <v>CUST77</v>
      </c>
      <c r="E39" t="str">
        <v>Gerald Murphy</v>
      </c>
      <c r="F39" t="str">
        <v>P009</v>
      </c>
      <c r="G39" t="str">
        <v>Monitor</v>
      </c>
      <c r="H39" t="str">
        <v>Electronics</v>
      </c>
      <c r="I39">
        <v>4</v>
      </c>
      <c r="J39">
        <v>249.99</v>
      </c>
      <c r="K39" t="str">
        <v>Debit Card</v>
      </c>
      <c r="L39" t="str">
        <v>Central</v>
      </c>
      <c r="M39" t="str">
        <v>Standard</v>
      </c>
      <c r="N39" s="13">
        <v>45127</v>
      </c>
      <c r="O39">
        <v>999.96</v>
      </c>
    </row>
    <row r="40" spans="2:15" x14ac:dyDescent="0.3">
      <c r="B40" t="str">
        <v>TRX0080</v>
      </c>
      <c r="C40" s="13">
        <v>45500</v>
      </c>
      <c r="D40" t="str">
        <v>CUST78</v>
      </c>
      <c r="E40" t="str">
        <v>Barbara Young</v>
      </c>
      <c r="F40" t="str">
        <v>P009</v>
      </c>
      <c r="G40" t="str">
        <v>Monitor</v>
      </c>
      <c r="H40" t="str">
        <v>Electronics</v>
      </c>
      <c r="I40">
        <v>2</v>
      </c>
      <c r="J40">
        <v>249.99</v>
      </c>
      <c r="K40" t="str">
        <v>Cash</v>
      </c>
      <c r="L40" t="str">
        <v>North</v>
      </c>
      <c r="M40" t="str">
        <v>Premium</v>
      </c>
      <c r="N40" s="13">
        <v>45164</v>
      </c>
      <c r="O40">
        <v>499.98</v>
      </c>
    </row>
    <row r="41" spans="2:15" x14ac:dyDescent="0.3">
      <c r="B41" t="str">
        <v>TRX0157</v>
      </c>
      <c r="C41" s="13">
        <v>45501</v>
      </c>
      <c r="D41" t="str">
        <v>CUST80</v>
      </c>
      <c r="E41" t="str">
        <v>Mark Carter</v>
      </c>
      <c r="F41" t="str">
        <v>P010</v>
      </c>
      <c r="G41" t="str">
        <v>Keyboard</v>
      </c>
      <c r="H41" t="str">
        <v>Electronics</v>
      </c>
      <c r="I41">
        <v>2</v>
      </c>
      <c r="J41">
        <v>89.99</v>
      </c>
      <c r="K41" t="str">
        <v>PayPal</v>
      </c>
      <c r="L41" t="str">
        <v>South</v>
      </c>
      <c r="M41" t="str">
        <v>Basic</v>
      </c>
      <c r="N41" s="13">
        <v>44976</v>
      </c>
      <c r="O41">
        <v>179.98</v>
      </c>
    </row>
    <row r="42" spans="2:15" x14ac:dyDescent="0.3">
      <c r="B42" t="str">
        <v>TRX0217</v>
      </c>
      <c r="C42" s="13">
        <v>45503</v>
      </c>
      <c r="D42" t="str">
        <v>CUST82</v>
      </c>
      <c r="E42" t="str">
        <v>Mark Carter</v>
      </c>
      <c r="F42" t="str">
        <v>P002</v>
      </c>
      <c r="G42" t="str">
        <v>Smartphone</v>
      </c>
      <c r="H42" t="str">
        <v>Electronics</v>
      </c>
      <c r="I42">
        <v>2</v>
      </c>
      <c r="J42">
        <v>699.99</v>
      </c>
      <c r="K42" t="str">
        <v>Credit Card</v>
      </c>
      <c r="L42" t="str">
        <v>North</v>
      </c>
      <c r="M42" t="str">
        <v>Premium</v>
      </c>
      <c r="N42" s="13">
        <v>44999</v>
      </c>
      <c r="O42">
        <v>1399.98</v>
      </c>
    </row>
    <row r="43" spans="2:15" x14ac:dyDescent="0.3">
      <c r="B43" t="str">
        <v>TRX0249</v>
      </c>
      <c r="C43" s="13">
        <v>45504</v>
      </c>
      <c r="D43" t="str">
        <v>CUST83</v>
      </c>
      <c r="E43" t="str">
        <v>Helen Roberts</v>
      </c>
      <c r="F43" t="str">
        <v>P001</v>
      </c>
      <c r="G43" t="str">
        <v>Laptop</v>
      </c>
      <c r="H43" t="str">
        <v>Electronics</v>
      </c>
      <c r="I43">
        <v>4</v>
      </c>
      <c r="J43">
        <v>899.99</v>
      </c>
      <c r="K43" t="str">
        <v>Debit Card</v>
      </c>
      <c r="L43" t="str">
        <v>South</v>
      </c>
      <c r="M43" t="str">
        <v>Standard</v>
      </c>
      <c r="N43" s="13">
        <v>44523</v>
      </c>
      <c r="O43">
        <v>3599.96</v>
      </c>
    </row>
    <row r="44" spans="2:15" x14ac:dyDescent="0.3">
      <c r="B44" t="str">
        <v>TRX0101</v>
      </c>
      <c r="C44" s="13">
        <v>45513</v>
      </c>
      <c r="D44" t="str">
        <v>CUST86</v>
      </c>
      <c r="E44" t="str">
        <v>Maria Garcia</v>
      </c>
      <c r="F44" t="str">
        <v>P010</v>
      </c>
      <c r="G44" t="str">
        <v>Keyboard</v>
      </c>
      <c r="H44" t="str">
        <v>Electronics</v>
      </c>
      <c r="I44">
        <v>1</v>
      </c>
      <c r="J44">
        <v>89.99</v>
      </c>
      <c r="K44" t="str">
        <v>Credit Card</v>
      </c>
      <c r="L44" t="str">
        <v>North</v>
      </c>
      <c r="M44" t="str">
        <v>Standard</v>
      </c>
      <c r="N44" s="13">
        <v>45393</v>
      </c>
      <c r="O44">
        <v>89.99</v>
      </c>
    </row>
    <row r="45" spans="2:15" x14ac:dyDescent="0.3">
      <c r="B45" t="str">
        <v>TRX0020</v>
      </c>
      <c r="C45" s="13">
        <v>45517</v>
      </c>
      <c r="D45" t="str">
        <v>CUST88</v>
      </c>
      <c r="E45" t="str">
        <v>David Martinez</v>
      </c>
      <c r="F45" t="str">
        <v>P003</v>
      </c>
      <c r="G45" t="str">
        <v>Headphones</v>
      </c>
      <c r="H45" t="str">
        <v>Electronics</v>
      </c>
      <c r="I45">
        <v>4</v>
      </c>
      <c r="J45">
        <v>149.99</v>
      </c>
      <c r="K45" t="str">
        <v>Debit Card</v>
      </c>
      <c r="L45" t="str">
        <v>South</v>
      </c>
      <c r="M45" t="str">
        <v>Premium</v>
      </c>
      <c r="N45" s="13">
        <v>44820</v>
      </c>
      <c r="O45">
        <v>599.96</v>
      </c>
    </row>
    <row r="46" spans="2:15" x14ac:dyDescent="0.3">
      <c r="B46" t="str">
        <v>TRX0075</v>
      </c>
      <c r="C46" s="13">
        <v>45517</v>
      </c>
      <c r="D46" t="str">
        <v>CUST89</v>
      </c>
      <c r="E46" t="str">
        <v>Margaret Wright</v>
      </c>
      <c r="F46" t="str">
        <v>P009</v>
      </c>
      <c r="G46" t="str">
        <v>Monitor</v>
      </c>
      <c r="H46" t="str">
        <v>Electronics</v>
      </c>
      <c r="I46">
        <v>5</v>
      </c>
      <c r="J46">
        <v>249.99</v>
      </c>
      <c r="K46" t="str">
        <v>PayPal</v>
      </c>
      <c r="L46" t="str">
        <v>East</v>
      </c>
      <c r="M46" t="str">
        <v>Premium</v>
      </c>
      <c r="N46" s="13">
        <v>44782</v>
      </c>
      <c r="O46">
        <v>1249.95</v>
      </c>
    </row>
    <row r="47" spans="2:15" x14ac:dyDescent="0.3">
      <c r="B47" t="str">
        <v>TRX0098</v>
      </c>
      <c r="C47" s="13">
        <v>45517</v>
      </c>
      <c r="D47" t="str">
        <v>CUST90</v>
      </c>
      <c r="E47" t="str">
        <v>Karen Hill</v>
      </c>
      <c r="F47" t="str">
        <v>P009</v>
      </c>
      <c r="G47" t="str">
        <v>Monitor</v>
      </c>
      <c r="H47" t="str">
        <v>Electronics</v>
      </c>
      <c r="I47">
        <v>3</v>
      </c>
      <c r="J47">
        <v>249.99</v>
      </c>
      <c r="K47" t="str">
        <v>PayPal</v>
      </c>
      <c r="L47" t="str">
        <v>North</v>
      </c>
      <c r="M47" t="str">
        <v>Premium</v>
      </c>
      <c r="N47" s="13">
        <v>44465</v>
      </c>
      <c r="O47">
        <v>749.97</v>
      </c>
    </row>
    <row r="48" spans="2:15" x14ac:dyDescent="0.3">
      <c r="B48" t="str">
        <v>TRX0140</v>
      </c>
      <c r="C48" s="13">
        <v>45522</v>
      </c>
      <c r="D48" t="str">
        <v>CUST93</v>
      </c>
      <c r="E48" t="str">
        <v>Mark Carter</v>
      </c>
      <c r="F48" t="str">
        <v>P010</v>
      </c>
      <c r="G48" t="str">
        <v>Keyboard</v>
      </c>
      <c r="H48" t="str">
        <v>Electronics</v>
      </c>
      <c r="I48">
        <v>2</v>
      </c>
      <c r="J48">
        <v>89.99</v>
      </c>
      <c r="K48" t="str">
        <v>Cash</v>
      </c>
      <c r="L48" t="str">
        <v>East</v>
      </c>
      <c r="M48" t="str">
        <v>Premium</v>
      </c>
      <c r="N48" s="13">
        <v>44972</v>
      </c>
      <c r="O48">
        <v>179.98</v>
      </c>
    </row>
    <row r="49" spans="2:15" x14ac:dyDescent="0.3">
      <c r="B49" t="str">
        <v>TRX0132</v>
      </c>
      <c r="C49" s="13">
        <v>45523</v>
      </c>
      <c r="D49" t="str">
        <v>CUST94</v>
      </c>
      <c r="E49" t="str">
        <v>Gerald Murphy</v>
      </c>
      <c r="F49" t="str">
        <v>P001</v>
      </c>
      <c r="G49" t="str">
        <v>Laptop</v>
      </c>
      <c r="H49" t="str">
        <v>Electronics</v>
      </c>
      <c r="I49">
        <v>5</v>
      </c>
      <c r="J49">
        <v>899.99</v>
      </c>
      <c r="K49" t="str">
        <v>Debit Card</v>
      </c>
      <c r="L49" t="str">
        <v>East</v>
      </c>
      <c r="M49" t="str">
        <v>Basic</v>
      </c>
      <c r="N49" s="13">
        <v>44526</v>
      </c>
      <c r="O49">
        <v>4499.95</v>
      </c>
    </row>
    <row r="50" spans="2:15" x14ac:dyDescent="0.3">
      <c r="B50" t="str">
        <v>TRX0031</v>
      </c>
      <c r="C50" s="13">
        <v>45523</v>
      </c>
      <c r="D50" t="str">
        <v>CUST95</v>
      </c>
      <c r="E50" t="str">
        <v>Nancy Collins</v>
      </c>
      <c r="F50" t="str">
        <v>P003</v>
      </c>
      <c r="G50" t="str">
        <v>Headphones</v>
      </c>
      <c r="H50" t="str">
        <v>Electronics</v>
      </c>
      <c r="I50">
        <v>3</v>
      </c>
      <c r="J50">
        <v>149.99</v>
      </c>
      <c r="K50" t="str">
        <v>PayPal</v>
      </c>
      <c r="L50" t="str">
        <v>East</v>
      </c>
      <c r="M50" t="str">
        <v>Basic</v>
      </c>
      <c r="N50" s="13">
        <v>44574</v>
      </c>
      <c r="O50">
        <v>449.97</v>
      </c>
    </row>
    <row r="51" spans="2:15" x14ac:dyDescent="0.3">
      <c r="B51" t="str">
        <v>TRX0037</v>
      </c>
      <c r="C51" s="13">
        <v>45528</v>
      </c>
      <c r="D51" t="str">
        <v>CUST98</v>
      </c>
      <c r="E51" t="str">
        <v>Harry Morgan</v>
      </c>
      <c r="F51" t="str">
        <v>P009</v>
      </c>
      <c r="G51" t="str">
        <v>Monitor</v>
      </c>
      <c r="H51" t="str">
        <v>Electronics</v>
      </c>
      <c r="I51">
        <v>2</v>
      </c>
      <c r="J51">
        <v>249.99</v>
      </c>
      <c r="K51" t="str">
        <v>Cash</v>
      </c>
      <c r="L51" t="str">
        <v>South</v>
      </c>
      <c r="M51" t="str">
        <v>Standard</v>
      </c>
      <c r="N51" s="13">
        <v>44572</v>
      </c>
      <c r="O51">
        <v>499.98</v>
      </c>
    </row>
    <row r="52" spans="2:15" x14ac:dyDescent="0.3">
      <c r="B52" t="str">
        <v>TRX0058</v>
      </c>
      <c r="C52" s="13">
        <v>45532</v>
      </c>
      <c r="D52" t="str">
        <v>CUST99</v>
      </c>
      <c r="E52" t="str">
        <v>Gerald Murphy</v>
      </c>
      <c r="F52" t="str">
        <v>P002</v>
      </c>
      <c r="G52" t="str">
        <v>Smartphone</v>
      </c>
      <c r="H52" t="str">
        <v>Electronics</v>
      </c>
      <c r="I52">
        <v>1</v>
      </c>
      <c r="J52">
        <v>699.99</v>
      </c>
      <c r="K52" t="str">
        <v>Cash</v>
      </c>
      <c r="L52" t="str">
        <v>Central</v>
      </c>
      <c r="M52" t="str">
        <v>Premium</v>
      </c>
      <c r="N52" s="13">
        <v>44497</v>
      </c>
      <c r="O52">
        <v>699.99</v>
      </c>
    </row>
    <row r="53" spans="2:15" x14ac:dyDescent="0.3">
      <c r="B53" t="str">
        <v>TRX0170</v>
      </c>
      <c r="C53" s="13">
        <v>45532</v>
      </c>
      <c r="D53" t="str">
        <v>CUST100</v>
      </c>
      <c r="E53" t="str">
        <v>Carol Evans</v>
      </c>
      <c r="F53" t="str">
        <v>P003</v>
      </c>
      <c r="G53" t="str">
        <v>Headphones</v>
      </c>
      <c r="H53" t="str">
        <v>Electronics</v>
      </c>
      <c r="I53">
        <v>3</v>
      </c>
      <c r="J53">
        <v>149.99</v>
      </c>
      <c r="K53" t="str">
        <v>Cash</v>
      </c>
      <c r="L53" t="str">
        <v>West</v>
      </c>
      <c r="M53" t="str">
        <v>Premium</v>
      </c>
      <c r="N53" s="13">
        <v>45212</v>
      </c>
      <c r="O53">
        <v>449.97</v>
      </c>
    </row>
    <row r="54" spans="2:15" x14ac:dyDescent="0.3">
      <c r="B54" t="str">
        <v>TRX0248</v>
      </c>
      <c r="C54" s="13">
        <v>45534</v>
      </c>
      <c r="D54" t="str">
        <v>CUST101</v>
      </c>
      <c r="E54" t="str">
        <v>Sandra Phillips</v>
      </c>
      <c r="F54" t="str">
        <v>P002</v>
      </c>
      <c r="G54" t="str">
        <v>Smartphone</v>
      </c>
      <c r="H54" t="str">
        <v>Electronics</v>
      </c>
      <c r="I54">
        <v>2</v>
      </c>
      <c r="J54">
        <v>699.99</v>
      </c>
      <c r="K54" t="str">
        <v>Credit Card</v>
      </c>
      <c r="L54" t="str">
        <v>North</v>
      </c>
      <c r="M54" t="str">
        <v>Premium</v>
      </c>
      <c r="N54" s="13">
        <v>44421</v>
      </c>
      <c r="O54">
        <v>1399.98</v>
      </c>
    </row>
    <row r="55" spans="2:15" x14ac:dyDescent="0.3">
      <c r="B55" t="str">
        <v>TRX0099</v>
      </c>
      <c r="C55" s="13">
        <v>45537</v>
      </c>
      <c r="D55" t="str">
        <v>CUST102</v>
      </c>
      <c r="E55" t="str">
        <v>Carol Evans</v>
      </c>
      <c r="F55" t="str">
        <v>P009</v>
      </c>
      <c r="G55" t="str">
        <v>Monitor</v>
      </c>
      <c r="H55" t="str">
        <v>Electronics</v>
      </c>
      <c r="I55">
        <v>1</v>
      </c>
      <c r="J55">
        <v>249.99</v>
      </c>
      <c r="K55" t="str">
        <v>Credit Card</v>
      </c>
      <c r="L55" t="str">
        <v>West</v>
      </c>
      <c r="M55" t="str">
        <v>Premium</v>
      </c>
      <c r="N55" s="13">
        <v>44685</v>
      </c>
      <c r="O55">
        <v>249.99</v>
      </c>
    </row>
    <row r="56" spans="2:15" x14ac:dyDescent="0.3">
      <c r="B56" t="str">
        <v>TRX0074</v>
      </c>
      <c r="C56" s="13">
        <v>45537</v>
      </c>
      <c r="D56" t="str">
        <v>CUST103</v>
      </c>
      <c r="E56" t="str">
        <v>Paul Baker</v>
      </c>
      <c r="F56" t="str">
        <v>P009</v>
      </c>
      <c r="G56" t="str">
        <v>Monitor</v>
      </c>
      <c r="H56" t="str">
        <v>Electronics</v>
      </c>
      <c r="I56">
        <v>1</v>
      </c>
      <c r="J56">
        <v>249.99</v>
      </c>
      <c r="K56" t="str">
        <v>Debit Card</v>
      </c>
      <c r="L56" t="str">
        <v>North</v>
      </c>
      <c r="M56" t="str">
        <v>Premium</v>
      </c>
      <c r="N56" s="13">
        <v>45332</v>
      </c>
      <c r="O56">
        <v>249.99</v>
      </c>
    </row>
    <row r="57" spans="2:15" x14ac:dyDescent="0.3">
      <c r="B57" t="str">
        <v>TRX0225</v>
      </c>
      <c r="C57" s="13">
        <v>45538</v>
      </c>
      <c r="D57" t="str">
        <v>CUST104</v>
      </c>
      <c r="E57" t="str">
        <v>Lawrence Reed</v>
      </c>
      <c r="F57" t="str">
        <v>P002</v>
      </c>
      <c r="G57" t="str">
        <v>Smartphone</v>
      </c>
      <c r="H57" t="str">
        <v>Electronics</v>
      </c>
      <c r="I57">
        <v>2</v>
      </c>
      <c r="J57">
        <v>699.99</v>
      </c>
      <c r="K57" t="str">
        <v>Debit Card</v>
      </c>
      <c r="L57" t="str">
        <v>Central</v>
      </c>
      <c r="M57" t="str">
        <v>Premium</v>
      </c>
      <c r="N57" s="13">
        <v>44870</v>
      </c>
      <c r="O57">
        <v>1399.98</v>
      </c>
    </row>
    <row r="58" spans="2:15" x14ac:dyDescent="0.3">
      <c r="B58" t="str">
        <v>TRX0211</v>
      </c>
      <c r="C58" s="13">
        <v>45548</v>
      </c>
      <c r="D58" t="str">
        <v>CUST110</v>
      </c>
      <c r="E58" t="str">
        <v>Kathleen Bennett</v>
      </c>
      <c r="F58" t="str">
        <v>P010</v>
      </c>
      <c r="G58" t="str">
        <v>Keyboard</v>
      </c>
      <c r="H58" t="str">
        <v>Electronics</v>
      </c>
      <c r="I58">
        <v>2</v>
      </c>
      <c r="J58">
        <v>89.99</v>
      </c>
      <c r="K58" t="str">
        <v>Credit Card</v>
      </c>
      <c r="L58" t="str">
        <v>South</v>
      </c>
      <c r="M58" t="str">
        <v>Premium</v>
      </c>
      <c r="N58" s="13">
        <v>44641</v>
      </c>
      <c r="O58">
        <v>179.98</v>
      </c>
    </row>
    <row r="59" spans="2:15" x14ac:dyDescent="0.3">
      <c r="B59" t="str">
        <v>TRX0005</v>
      </c>
      <c r="C59" s="13">
        <v>45550</v>
      </c>
      <c r="D59" t="str">
        <v>CUST111</v>
      </c>
      <c r="E59" t="str">
        <v>Ruth Brooks</v>
      </c>
      <c r="F59" t="str">
        <v>P003</v>
      </c>
      <c r="G59" t="str">
        <v>Headphones</v>
      </c>
      <c r="H59" t="str">
        <v>Electronics</v>
      </c>
      <c r="I59">
        <v>4</v>
      </c>
      <c r="J59">
        <v>149.99</v>
      </c>
      <c r="K59" t="str">
        <v>Cash</v>
      </c>
      <c r="L59" t="str">
        <v>North</v>
      </c>
      <c r="M59" t="str">
        <v>Basic</v>
      </c>
      <c r="N59" s="13">
        <v>44909</v>
      </c>
      <c r="O59">
        <v>599.96</v>
      </c>
    </row>
    <row r="60" spans="2:15" x14ac:dyDescent="0.3">
      <c r="B60" t="str">
        <v>TRX0195</v>
      </c>
      <c r="C60" s="13">
        <v>45551</v>
      </c>
      <c r="D60" t="str">
        <v>CUST112</v>
      </c>
      <c r="E60" t="str">
        <v>Karen Hill</v>
      </c>
      <c r="F60" t="str">
        <v>P009</v>
      </c>
      <c r="G60" t="str">
        <v>Monitor</v>
      </c>
      <c r="H60" t="str">
        <v>Electronics</v>
      </c>
      <c r="I60">
        <v>2</v>
      </c>
      <c r="J60">
        <v>249.99</v>
      </c>
      <c r="K60" t="str">
        <v>PayPal</v>
      </c>
      <c r="L60" t="str">
        <v>South</v>
      </c>
      <c r="M60" t="str">
        <v>Basic</v>
      </c>
      <c r="N60" s="13">
        <v>44993</v>
      </c>
      <c r="O60">
        <v>499.98</v>
      </c>
    </row>
    <row r="61" spans="2:15" x14ac:dyDescent="0.3">
      <c r="B61" t="str">
        <v>TRX0077</v>
      </c>
      <c r="C61" s="13">
        <v>45554</v>
      </c>
      <c r="D61" t="str">
        <v>CUST114</v>
      </c>
      <c r="E61" t="str">
        <v>Daniel King</v>
      </c>
      <c r="F61" t="str">
        <v>P010</v>
      </c>
      <c r="G61" t="str">
        <v>Keyboard</v>
      </c>
      <c r="H61" t="str">
        <v>Electronics</v>
      </c>
      <c r="I61">
        <v>5</v>
      </c>
      <c r="J61">
        <v>89.99</v>
      </c>
      <c r="K61" t="str">
        <v>Credit Card</v>
      </c>
      <c r="L61" t="str">
        <v>East</v>
      </c>
      <c r="M61" t="str">
        <v>Premium</v>
      </c>
      <c r="N61" s="13">
        <v>44446</v>
      </c>
      <c r="O61">
        <v>449.95</v>
      </c>
    </row>
    <row r="62" spans="2:15" x14ac:dyDescent="0.3">
      <c r="B62" t="str">
        <v>TRX0111</v>
      </c>
      <c r="C62" s="13">
        <v>45554</v>
      </c>
      <c r="D62" t="str">
        <v>CUST115</v>
      </c>
      <c r="E62" t="str">
        <v>William White</v>
      </c>
      <c r="F62" t="str">
        <v>P003</v>
      </c>
      <c r="G62" t="str">
        <v>Headphones</v>
      </c>
      <c r="H62" t="str">
        <v>Electronics</v>
      </c>
      <c r="I62">
        <v>1</v>
      </c>
      <c r="J62">
        <v>149.99</v>
      </c>
      <c r="K62" t="str">
        <v>PayPal</v>
      </c>
      <c r="L62" t="str">
        <v>East</v>
      </c>
      <c r="M62" t="str">
        <v>Standard</v>
      </c>
      <c r="N62" s="13">
        <v>44482</v>
      </c>
      <c r="O62">
        <v>149.99</v>
      </c>
    </row>
    <row r="63" spans="2:15" x14ac:dyDescent="0.3">
      <c r="B63" t="str">
        <v>TRX0123</v>
      </c>
      <c r="C63" s="13">
        <v>45554</v>
      </c>
      <c r="D63" t="str">
        <v>CUST116</v>
      </c>
      <c r="E63" t="str">
        <v>Peter Richardson</v>
      </c>
      <c r="F63" t="str">
        <v>P002</v>
      </c>
      <c r="G63" t="str">
        <v>Smartphone</v>
      </c>
      <c r="H63" t="str">
        <v>Electronics</v>
      </c>
      <c r="I63">
        <v>4</v>
      </c>
      <c r="J63">
        <v>699.99</v>
      </c>
      <c r="K63" t="str">
        <v>PayPal</v>
      </c>
      <c r="L63" t="str">
        <v>South</v>
      </c>
      <c r="M63" t="str">
        <v>Basic</v>
      </c>
      <c r="N63" s="13">
        <v>44618</v>
      </c>
      <c r="O63">
        <v>2799.96</v>
      </c>
    </row>
    <row r="64" spans="2:15" x14ac:dyDescent="0.3">
      <c r="B64" t="str">
        <v>TRX0177</v>
      </c>
      <c r="C64" s="13">
        <v>45559</v>
      </c>
      <c r="D64" t="str">
        <v>CUST117</v>
      </c>
      <c r="E64" t="str">
        <v>Sandra Phillips</v>
      </c>
      <c r="F64" t="str">
        <v>P001</v>
      </c>
      <c r="G64" t="str">
        <v>Laptop</v>
      </c>
      <c r="H64" t="str">
        <v>Electronics</v>
      </c>
      <c r="I64">
        <v>3</v>
      </c>
      <c r="J64">
        <v>899.99</v>
      </c>
      <c r="K64" t="str">
        <v>Credit Card</v>
      </c>
      <c r="L64" t="str">
        <v>North</v>
      </c>
      <c r="M64" t="str">
        <v>Standard</v>
      </c>
      <c r="N64" s="13">
        <v>45157</v>
      </c>
      <c r="O64">
        <v>2699.97</v>
      </c>
    </row>
    <row r="65" spans="2:15" x14ac:dyDescent="0.3">
      <c r="B65" t="str">
        <v>TRX0203</v>
      </c>
      <c r="C65" s="13">
        <v>45572</v>
      </c>
      <c r="D65" t="str">
        <v>CUST123</v>
      </c>
      <c r="E65" t="str">
        <v>Sandra Phillips</v>
      </c>
      <c r="F65" t="str">
        <v>P003</v>
      </c>
      <c r="G65" t="str">
        <v>Headphones</v>
      </c>
      <c r="H65" t="str">
        <v>Electronics</v>
      </c>
      <c r="I65">
        <v>4</v>
      </c>
      <c r="J65">
        <v>149.99</v>
      </c>
      <c r="K65" t="str">
        <v>Credit Card</v>
      </c>
      <c r="L65" t="str">
        <v>North</v>
      </c>
      <c r="M65" t="str">
        <v>Premium</v>
      </c>
      <c r="N65" s="13">
        <v>45076</v>
      </c>
      <c r="O65">
        <v>599.96</v>
      </c>
    </row>
    <row r="66" spans="2:15" x14ac:dyDescent="0.3">
      <c r="B66" t="str">
        <v>TRX0055</v>
      </c>
      <c r="C66" s="13">
        <v>45573</v>
      </c>
      <c r="D66" t="str">
        <v>CUST124</v>
      </c>
      <c r="E66" t="str">
        <v>Elizabeth Hall</v>
      </c>
      <c r="F66" t="str">
        <v>P002</v>
      </c>
      <c r="G66" t="str">
        <v>Smartphone</v>
      </c>
      <c r="H66" t="str">
        <v>Electronics</v>
      </c>
      <c r="I66">
        <v>2</v>
      </c>
      <c r="J66">
        <v>699.99</v>
      </c>
      <c r="K66" t="str">
        <v>Debit Card</v>
      </c>
      <c r="L66" t="str">
        <v>East</v>
      </c>
      <c r="M66" t="str">
        <v>Premium</v>
      </c>
      <c r="N66" s="13">
        <v>45274</v>
      </c>
      <c r="O66">
        <v>1399.98</v>
      </c>
    </row>
    <row r="67" spans="2:15" x14ac:dyDescent="0.3">
      <c r="B67" t="str">
        <v>TRX0158</v>
      </c>
      <c r="C67" s="13">
        <v>45579</v>
      </c>
      <c r="D67" t="str">
        <v>CUST127</v>
      </c>
      <c r="E67" t="str">
        <v>George Adams</v>
      </c>
      <c r="F67" t="str">
        <v>P001</v>
      </c>
      <c r="G67" t="str">
        <v>Laptop</v>
      </c>
      <c r="H67" t="str">
        <v>Electronics</v>
      </c>
      <c r="I67">
        <v>3</v>
      </c>
      <c r="J67">
        <v>899.99</v>
      </c>
      <c r="K67" t="str">
        <v>PayPal</v>
      </c>
      <c r="L67" t="str">
        <v>West</v>
      </c>
      <c r="M67" t="str">
        <v>Basic</v>
      </c>
      <c r="N67" s="13">
        <v>45215</v>
      </c>
      <c r="O67">
        <v>2699.97</v>
      </c>
    </row>
    <row r="68" spans="2:15" x14ac:dyDescent="0.3">
      <c r="B68" t="str">
        <v>TRX0173</v>
      </c>
      <c r="C68" s="13">
        <v>45581</v>
      </c>
      <c r="D68" t="str">
        <v>CUST128</v>
      </c>
      <c r="E68" t="str">
        <v>Barbara Young</v>
      </c>
      <c r="F68" t="str">
        <v>P002</v>
      </c>
      <c r="G68" t="str">
        <v>Smartphone</v>
      </c>
      <c r="H68" t="str">
        <v>Electronics</v>
      </c>
      <c r="I68">
        <v>5</v>
      </c>
      <c r="J68">
        <v>699.99</v>
      </c>
      <c r="K68" t="str">
        <v>Cash</v>
      </c>
      <c r="L68" t="str">
        <v>East</v>
      </c>
      <c r="M68" t="str">
        <v>Standard</v>
      </c>
      <c r="N68" s="13">
        <v>45008</v>
      </c>
      <c r="O68">
        <v>3499.95</v>
      </c>
    </row>
    <row r="69" spans="2:15" x14ac:dyDescent="0.3">
      <c r="B69" t="str">
        <v>TRX0034</v>
      </c>
      <c r="C69" s="13">
        <v>45581</v>
      </c>
      <c r="D69" t="str">
        <v>CUST129</v>
      </c>
      <c r="E69" t="str">
        <v>Raymond Ross</v>
      </c>
      <c r="F69" t="str">
        <v>P002</v>
      </c>
      <c r="G69" t="str">
        <v>Smartphone</v>
      </c>
      <c r="H69" t="str">
        <v>Electronics</v>
      </c>
      <c r="I69">
        <v>4</v>
      </c>
      <c r="J69">
        <v>699.99</v>
      </c>
      <c r="K69" t="str">
        <v>Credit Card</v>
      </c>
      <c r="L69" t="str">
        <v>Central</v>
      </c>
      <c r="M69" t="str">
        <v>Basic</v>
      </c>
      <c r="N69" s="13">
        <v>45385</v>
      </c>
      <c r="O69">
        <v>2799.96</v>
      </c>
    </row>
    <row r="70" spans="2:15" x14ac:dyDescent="0.3">
      <c r="B70" t="str">
        <v>TRX0189</v>
      </c>
      <c r="C70" s="13">
        <v>45581</v>
      </c>
      <c r="D70" t="str">
        <v>CUST130</v>
      </c>
      <c r="E70" t="str">
        <v>Sharon Butler</v>
      </c>
      <c r="F70" t="str">
        <v>P001</v>
      </c>
      <c r="G70" t="str">
        <v>Laptop</v>
      </c>
      <c r="H70" t="str">
        <v>Electronics</v>
      </c>
      <c r="I70">
        <v>1</v>
      </c>
      <c r="J70">
        <v>899.99</v>
      </c>
      <c r="K70" t="str">
        <v>Credit Card</v>
      </c>
      <c r="L70" t="str">
        <v>East</v>
      </c>
      <c r="M70" t="str">
        <v>Standard</v>
      </c>
      <c r="N70" s="13">
        <v>45369</v>
      </c>
      <c r="O70">
        <v>899.99</v>
      </c>
    </row>
    <row r="71" spans="2:15" x14ac:dyDescent="0.3">
      <c r="B71" t="str">
        <v>TRX0190</v>
      </c>
      <c r="C71" s="13">
        <v>45583</v>
      </c>
      <c r="D71" t="str">
        <v>CUST131</v>
      </c>
      <c r="E71" t="str">
        <v>Lawrence Reed</v>
      </c>
      <c r="F71" t="str">
        <v>P003</v>
      </c>
      <c r="G71" t="str">
        <v>Headphones</v>
      </c>
      <c r="H71" t="str">
        <v>Electronics</v>
      </c>
      <c r="I71">
        <v>2</v>
      </c>
      <c r="J71">
        <v>149.99</v>
      </c>
      <c r="K71" t="str">
        <v>Credit Card</v>
      </c>
      <c r="L71" t="str">
        <v>West</v>
      </c>
      <c r="M71" t="str">
        <v>Basic</v>
      </c>
      <c r="N71" s="13">
        <v>44916</v>
      </c>
      <c r="O71">
        <v>299.98</v>
      </c>
    </row>
    <row r="72" spans="2:15" x14ac:dyDescent="0.3">
      <c r="B72" t="str">
        <v>TRX0079</v>
      </c>
      <c r="C72" s="13">
        <v>45586</v>
      </c>
      <c r="D72" t="str">
        <v>CUST132</v>
      </c>
      <c r="E72" t="str">
        <v>Lawrence Reed</v>
      </c>
      <c r="F72" t="str">
        <v>P010</v>
      </c>
      <c r="G72" t="str">
        <v>Keyboard</v>
      </c>
      <c r="H72" t="str">
        <v>Electronics</v>
      </c>
      <c r="I72">
        <v>3</v>
      </c>
      <c r="J72">
        <v>89.99</v>
      </c>
      <c r="K72" t="str">
        <v>PayPal</v>
      </c>
      <c r="L72" t="str">
        <v>Central</v>
      </c>
      <c r="M72" t="str">
        <v>Basic</v>
      </c>
      <c r="N72" s="13">
        <v>44551</v>
      </c>
      <c r="O72">
        <v>269.97000000000003</v>
      </c>
    </row>
    <row r="73" spans="2:15" x14ac:dyDescent="0.3">
      <c r="B73" t="str">
        <v>TRX0095</v>
      </c>
      <c r="C73" s="13">
        <v>45588</v>
      </c>
      <c r="D73" t="str">
        <v>CUST133</v>
      </c>
      <c r="E73" t="str">
        <v>Kathleen Bennett</v>
      </c>
      <c r="F73" t="str">
        <v>P003</v>
      </c>
      <c r="G73" t="str">
        <v>Headphones</v>
      </c>
      <c r="H73" t="str">
        <v>Electronics</v>
      </c>
      <c r="I73">
        <v>2</v>
      </c>
      <c r="J73">
        <v>149.99</v>
      </c>
      <c r="K73" t="str">
        <v>PayPal</v>
      </c>
      <c r="L73" t="str">
        <v>Central</v>
      </c>
      <c r="M73" t="str">
        <v>Basic</v>
      </c>
      <c r="N73" s="13">
        <v>44473</v>
      </c>
      <c r="O73">
        <v>299.98</v>
      </c>
    </row>
    <row r="74" spans="2:15" x14ac:dyDescent="0.3">
      <c r="B74" t="str">
        <v>TRX0009</v>
      </c>
      <c r="C74" s="13">
        <v>45588</v>
      </c>
      <c r="D74" t="str">
        <v>CUST134</v>
      </c>
      <c r="E74" t="str">
        <v>Sarah Davis</v>
      </c>
      <c r="F74" t="str">
        <v>P002</v>
      </c>
      <c r="G74" t="str">
        <v>Smartphone</v>
      </c>
      <c r="H74" t="str">
        <v>Electronics</v>
      </c>
      <c r="I74">
        <v>2</v>
      </c>
      <c r="J74">
        <v>699.99</v>
      </c>
      <c r="K74" t="str">
        <v>Cash</v>
      </c>
      <c r="L74" t="str">
        <v>Central</v>
      </c>
      <c r="M74" t="str">
        <v>Basic</v>
      </c>
      <c r="N74" s="13">
        <v>44992</v>
      </c>
      <c r="O74">
        <v>1399.98</v>
      </c>
    </row>
    <row r="75" spans="2:15" x14ac:dyDescent="0.3">
      <c r="B75" t="str">
        <v>TRX0167</v>
      </c>
      <c r="C75" s="13">
        <v>45589</v>
      </c>
      <c r="D75" t="str">
        <v>CUST135</v>
      </c>
      <c r="E75" t="str">
        <v>Betty Campbell</v>
      </c>
      <c r="F75" t="str">
        <v>P002</v>
      </c>
      <c r="G75" t="str">
        <v>Smartphone</v>
      </c>
      <c r="H75" t="str">
        <v>Electronics</v>
      </c>
      <c r="I75">
        <v>5</v>
      </c>
      <c r="J75">
        <v>699.99</v>
      </c>
      <c r="K75" t="str">
        <v>Cash</v>
      </c>
      <c r="L75" t="str">
        <v>North</v>
      </c>
      <c r="M75" t="str">
        <v>Premium</v>
      </c>
      <c r="N75" s="13">
        <v>44635</v>
      </c>
      <c r="O75">
        <v>3499.95</v>
      </c>
    </row>
    <row r="76" spans="2:15" x14ac:dyDescent="0.3">
      <c r="B76" t="str">
        <v>TRX0153</v>
      </c>
      <c r="C76" s="13">
        <v>45592</v>
      </c>
      <c r="D76" t="str">
        <v>CUST136</v>
      </c>
      <c r="E76" t="str">
        <v>Raymond Ross</v>
      </c>
      <c r="F76" t="str">
        <v>P010</v>
      </c>
      <c r="G76" t="str">
        <v>Keyboard</v>
      </c>
      <c r="H76" t="str">
        <v>Electronics</v>
      </c>
      <c r="I76">
        <v>3</v>
      </c>
      <c r="J76">
        <v>89.99</v>
      </c>
      <c r="K76" t="str">
        <v>Credit Card</v>
      </c>
      <c r="L76" t="str">
        <v>North</v>
      </c>
      <c r="M76" t="str">
        <v>Standard</v>
      </c>
      <c r="N76" s="13">
        <v>44615</v>
      </c>
      <c r="O76">
        <v>269.97000000000003</v>
      </c>
    </row>
    <row r="77" spans="2:15" x14ac:dyDescent="0.3">
      <c r="B77" t="str">
        <v>TRX0057</v>
      </c>
      <c r="C77" s="13">
        <v>45597</v>
      </c>
      <c r="D77" t="str">
        <v>CUST137</v>
      </c>
      <c r="E77" t="str">
        <v>Paul Baker</v>
      </c>
      <c r="F77" t="str">
        <v>P009</v>
      </c>
      <c r="G77" t="str">
        <v>Monitor</v>
      </c>
      <c r="H77" t="str">
        <v>Electronics</v>
      </c>
      <c r="I77">
        <v>5</v>
      </c>
      <c r="J77">
        <v>249.99</v>
      </c>
      <c r="K77" t="str">
        <v>Credit Card</v>
      </c>
      <c r="L77" t="str">
        <v>South</v>
      </c>
      <c r="M77" t="str">
        <v>Standard</v>
      </c>
      <c r="N77" s="13">
        <v>44881</v>
      </c>
      <c r="O77">
        <v>1249.95</v>
      </c>
    </row>
    <row r="78" spans="2:15" x14ac:dyDescent="0.3">
      <c r="B78" t="str">
        <v>TRX0060</v>
      </c>
      <c r="C78" s="13">
        <v>45603</v>
      </c>
      <c r="D78" t="str">
        <v>CUST139</v>
      </c>
      <c r="E78" t="str">
        <v>Patricia Moore</v>
      </c>
      <c r="F78" t="str">
        <v>P010</v>
      </c>
      <c r="G78" t="str">
        <v>Keyboard</v>
      </c>
      <c r="H78" t="str">
        <v>Electronics</v>
      </c>
      <c r="I78">
        <v>3</v>
      </c>
      <c r="J78">
        <v>89.99</v>
      </c>
      <c r="K78" t="str">
        <v>Credit Card</v>
      </c>
      <c r="L78" t="str">
        <v>North</v>
      </c>
      <c r="M78" t="str">
        <v>Premium</v>
      </c>
      <c r="N78" s="13">
        <v>44420</v>
      </c>
      <c r="O78">
        <v>269.97000000000003</v>
      </c>
    </row>
    <row r="79" spans="2:15" x14ac:dyDescent="0.3">
      <c r="B79" t="str">
        <v>TRX0090</v>
      </c>
      <c r="C79" s="13">
        <v>45605</v>
      </c>
      <c r="D79" t="str">
        <v>CUST141</v>
      </c>
      <c r="E79" t="str">
        <v>Margaret Wright</v>
      </c>
      <c r="F79" t="str">
        <v>P009</v>
      </c>
      <c r="G79" t="str">
        <v>Monitor</v>
      </c>
      <c r="H79" t="str">
        <v>Electronics</v>
      </c>
      <c r="I79">
        <v>1</v>
      </c>
      <c r="J79">
        <v>249.99</v>
      </c>
      <c r="K79" t="str">
        <v>Credit Card</v>
      </c>
      <c r="L79" t="str">
        <v>North</v>
      </c>
      <c r="M79" t="str">
        <v>Premium</v>
      </c>
      <c r="N79" s="13">
        <v>44828</v>
      </c>
      <c r="O79">
        <v>249.99</v>
      </c>
    </row>
    <row r="80" spans="2:15" x14ac:dyDescent="0.3">
      <c r="B80" t="str">
        <v>TRX0035</v>
      </c>
      <c r="C80" s="13">
        <v>45607</v>
      </c>
      <c r="D80" t="str">
        <v>CUST142</v>
      </c>
      <c r="E80" t="str">
        <v>Peter Richardson</v>
      </c>
      <c r="F80" t="str">
        <v>P003</v>
      </c>
      <c r="G80" t="str">
        <v>Headphones</v>
      </c>
      <c r="H80" t="str">
        <v>Electronics</v>
      </c>
      <c r="I80">
        <v>3</v>
      </c>
      <c r="J80">
        <v>149.99</v>
      </c>
      <c r="K80" t="str">
        <v>Cash</v>
      </c>
      <c r="L80" t="str">
        <v>North</v>
      </c>
      <c r="M80" t="str">
        <v>Basic</v>
      </c>
      <c r="N80" s="13">
        <v>44769</v>
      </c>
      <c r="O80">
        <v>449.97</v>
      </c>
    </row>
    <row r="81" spans="2:15" x14ac:dyDescent="0.3">
      <c r="B81" t="str">
        <v>TRX0076</v>
      </c>
      <c r="C81" s="13">
        <v>45607</v>
      </c>
      <c r="D81" t="str">
        <v>CUST144</v>
      </c>
      <c r="E81" t="str">
        <v>Patricia Moore</v>
      </c>
      <c r="F81" t="str">
        <v>P009</v>
      </c>
      <c r="G81" t="str">
        <v>Monitor</v>
      </c>
      <c r="H81" t="str">
        <v>Electronics</v>
      </c>
      <c r="I81">
        <v>4</v>
      </c>
      <c r="J81">
        <v>249.99</v>
      </c>
      <c r="K81" t="str">
        <v>Credit Card</v>
      </c>
      <c r="L81" t="str">
        <v>West</v>
      </c>
      <c r="M81" t="str">
        <v>Standard</v>
      </c>
      <c r="N81" s="13">
        <v>44659</v>
      </c>
      <c r="O81">
        <v>999.96</v>
      </c>
    </row>
    <row r="82" spans="2:15" x14ac:dyDescent="0.3">
      <c r="B82" t="str">
        <v>TRX0033</v>
      </c>
      <c r="C82" s="13">
        <v>45613</v>
      </c>
      <c r="D82" t="str">
        <v>CUST148</v>
      </c>
      <c r="E82" t="str">
        <v>Mark Carter</v>
      </c>
      <c r="F82" t="str">
        <v>P002</v>
      </c>
      <c r="G82" t="str">
        <v>Smartphone</v>
      </c>
      <c r="H82" t="str">
        <v>Electronics</v>
      </c>
      <c r="I82">
        <v>2</v>
      </c>
      <c r="J82">
        <v>699.99</v>
      </c>
      <c r="K82" t="str">
        <v>PayPal</v>
      </c>
      <c r="L82" t="str">
        <v>West</v>
      </c>
      <c r="M82" t="str">
        <v>Standard</v>
      </c>
      <c r="N82" s="13">
        <v>44770</v>
      </c>
      <c r="O82">
        <v>1399.98</v>
      </c>
    </row>
    <row r="83" spans="2:15" x14ac:dyDescent="0.3">
      <c r="B83" t="str">
        <v>TRX0148</v>
      </c>
      <c r="C83" s="13">
        <v>45619</v>
      </c>
      <c r="D83" t="str">
        <v>CUST151</v>
      </c>
      <c r="E83" t="str">
        <v>Sarah Davis</v>
      </c>
      <c r="F83" t="str">
        <v>P002</v>
      </c>
      <c r="G83" t="str">
        <v>Smartphone</v>
      </c>
      <c r="H83" t="str">
        <v>Electronics</v>
      </c>
      <c r="I83">
        <v>3</v>
      </c>
      <c r="J83">
        <v>699.99</v>
      </c>
      <c r="K83" t="str">
        <v>PayPal</v>
      </c>
      <c r="L83" t="str">
        <v>West</v>
      </c>
      <c r="M83" t="str">
        <v>Standard</v>
      </c>
      <c r="N83" s="13">
        <v>44583</v>
      </c>
      <c r="O83">
        <v>2099.9699999999998</v>
      </c>
    </row>
    <row r="84" spans="2:15" x14ac:dyDescent="0.3">
      <c r="B84" t="str">
        <v>TRX0012</v>
      </c>
      <c r="C84" s="13">
        <v>45622</v>
      </c>
      <c r="D84" t="str">
        <v>CUST152</v>
      </c>
      <c r="E84" t="str">
        <v>Douglas Watson</v>
      </c>
      <c r="F84" t="str">
        <v>P009</v>
      </c>
      <c r="G84" t="str">
        <v>Monitor</v>
      </c>
      <c r="H84" t="str">
        <v>Electronics</v>
      </c>
      <c r="I84">
        <v>5</v>
      </c>
      <c r="J84">
        <v>249.99</v>
      </c>
      <c r="K84" t="str">
        <v>Credit Card</v>
      </c>
      <c r="L84" t="str">
        <v>North</v>
      </c>
      <c r="M84" t="str">
        <v>Basic</v>
      </c>
      <c r="N84" s="13">
        <v>44873</v>
      </c>
      <c r="O84">
        <v>1249.95</v>
      </c>
    </row>
    <row r="85" spans="2:15" x14ac:dyDescent="0.3">
      <c r="B85" t="str">
        <v>TRX0094</v>
      </c>
      <c r="C85" s="13">
        <v>45627</v>
      </c>
      <c r="D85" t="str">
        <v>CUST155</v>
      </c>
      <c r="E85" t="str">
        <v>Charles Allen</v>
      </c>
      <c r="F85" t="str">
        <v>P009</v>
      </c>
      <c r="G85" t="str">
        <v>Monitor</v>
      </c>
      <c r="H85" t="str">
        <v>Electronics</v>
      </c>
      <c r="I85">
        <v>5</v>
      </c>
      <c r="J85">
        <v>249.99</v>
      </c>
      <c r="K85" t="str">
        <v>Cash</v>
      </c>
      <c r="L85" t="str">
        <v>Central</v>
      </c>
      <c r="M85" t="str">
        <v>Premium</v>
      </c>
      <c r="N85" s="13">
        <v>44485</v>
      </c>
      <c r="O85">
        <v>1249.95</v>
      </c>
    </row>
    <row r="86" spans="2:15" x14ac:dyDescent="0.3">
      <c r="B86" t="str">
        <v>TRX0133</v>
      </c>
      <c r="C86" s="13">
        <v>45627</v>
      </c>
      <c r="D86" t="str">
        <v>CUST156</v>
      </c>
      <c r="E86" t="str">
        <v>Joseph Jackson</v>
      </c>
      <c r="F86" t="str">
        <v>P003</v>
      </c>
      <c r="G86" t="str">
        <v>Headphones</v>
      </c>
      <c r="H86" t="str">
        <v>Electronics</v>
      </c>
      <c r="I86">
        <v>2</v>
      </c>
      <c r="J86">
        <v>149.99</v>
      </c>
      <c r="K86" t="str">
        <v>Cash</v>
      </c>
      <c r="L86" t="str">
        <v>South</v>
      </c>
      <c r="M86" t="str">
        <v>Premium</v>
      </c>
      <c r="N86" s="13">
        <v>44475</v>
      </c>
      <c r="O86">
        <v>299.98</v>
      </c>
    </row>
    <row r="87" spans="2:15" x14ac:dyDescent="0.3">
      <c r="B87" t="str">
        <v>TRX0201</v>
      </c>
      <c r="C87" s="13">
        <v>45627</v>
      </c>
      <c r="D87" t="str">
        <v>CUST157</v>
      </c>
      <c r="E87" t="str">
        <v>Mark Carter</v>
      </c>
      <c r="F87" t="str">
        <v>P002</v>
      </c>
      <c r="G87" t="str">
        <v>Smartphone</v>
      </c>
      <c r="H87" t="str">
        <v>Electronics</v>
      </c>
      <c r="I87">
        <v>5</v>
      </c>
      <c r="J87">
        <v>699.99</v>
      </c>
      <c r="K87" t="str">
        <v>Debit Card</v>
      </c>
      <c r="L87" t="str">
        <v>West</v>
      </c>
      <c r="M87" t="str">
        <v>Standard</v>
      </c>
      <c r="N87" s="13">
        <v>44944</v>
      </c>
      <c r="O87">
        <v>3499.95</v>
      </c>
    </row>
    <row r="88" spans="2:15" x14ac:dyDescent="0.3">
      <c r="B88" t="str">
        <v>TRX0137</v>
      </c>
      <c r="C88" s="13">
        <v>45629</v>
      </c>
      <c r="D88" t="str">
        <v>CUST158</v>
      </c>
      <c r="E88" t="str">
        <v>William White</v>
      </c>
      <c r="F88" t="str">
        <v>P009</v>
      </c>
      <c r="G88" t="str">
        <v>Monitor</v>
      </c>
      <c r="H88" t="str">
        <v>Electronics</v>
      </c>
      <c r="I88">
        <v>4</v>
      </c>
      <c r="J88">
        <v>249.99</v>
      </c>
      <c r="K88" t="str">
        <v>PayPal</v>
      </c>
      <c r="L88" t="str">
        <v>East</v>
      </c>
      <c r="M88" t="str">
        <v>Premium</v>
      </c>
      <c r="N88" s="13">
        <v>45098</v>
      </c>
      <c r="O88">
        <v>999.96</v>
      </c>
    </row>
    <row r="89" spans="2:15" x14ac:dyDescent="0.3">
      <c r="B89" t="str">
        <v>TRX0066</v>
      </c>
      <c r="C89" s="13">
        <v>45630</v>
      </c>
      <c r="D89" t="str">
        <v>CUST159</v>
      </c>
      <c r="E89" t="str">
        <v>Dorothy Nelson</v>
      </c>
      <c r="F89" t="str">
        <v>P002</v>
      </c>
      <c r="G89" t="str">
        <v>Smartphone</v>
      </c>
      <c r="H89" t="str">
        <v>Electronics</v>
      </c>
      <c r="I89">
        <v>4</v>
      </c>
      <c r="J89">
        <v>699.99</v>
      </c>
      <c r="K89" t="str">
        <v>Credit Card</v>
      </c>
      <c r="L89" t="str">
        <v>North</v>
      </c>
      <c r="M89" t="str">
        <v>Premium</v>
      </c>
      <c r="N89" s="13">
        <v>44703</v>
      </c>
      <c r="O89">
        <v>2799.96</v>
      </c>
    </row>
    <row r="90" spans="2:15" x14ac:dyDescent="0.3">
      <c r="B90" t="str">
        <v>TRX0180</v>
      </c>
      <c r="C90" s="13">
        <v>45635</v>
      </c>
      <c r="D90" t="str">
        <v>CUST160</v>
      </c>
      <c r="E90" t="str">
        <v>Nancy Collins</v>
      </c>
      <c r="F90" t="str">
        <v>P009</v>
      </c>
      <c r="G90" t="str">
        <v>Monitor</v>
      </c>
      <c r="H90" t="str">
        <v>Electronics</v>
      </c>
      <c r="I90">
        <v>2</v>
      </c>
      <c r="J90">
        <v>249.99</v>
      </c>
      <c r="K90" t="str">
        <v>Credit Card</v>
      </c>
      <c r="L90" t="str">
        <v>Central</v>
      </c>
      <c r="M90" t="str">
        <v>Premium</v>
      </c>
      <c r="N90" s="13">
        <v>44396</v>
      </c>
      <c r="O90">
        <v>499.98</v>
      </c>
    </row>
    <row r="91" spans="2:15" x14ac:dyDescent="0.3">
      <c r="B91" t="str">
        <v>TRX0032</v>
      </c>
      <c r="C91" s="13">
        <v>45638</v>
      </c>
      <c r="D91" t="str">
        <v>CUST164</v>
      </c>
      <c r="E91" t="str">
        <v>Peter Richardson</v>
      </c>
      <c r="F91" t="str">
        <v>P001</v>
      </c>
      <c r="G91" t="str">
        <v>Laptop</v>
      </c>
      <c r="H91" t="str">
        <v>Electronics</v>
      </c>
      <c r="I91">
        <v>2</v>
      </c>
      <c r="J91">
        <v>899.99</v>
      </c>
      <c r="K91" t="str">
        <v>Cash</v>
      </c>
      <c r="L91" t="str">
        <v>North</v>
      </c>
      <c r="M91" t="str">
        <v>Basic</v>
      </c>
      <c r="N91" s="13">
        <v>44406</v>
      </c>
      <c r="O91">
        <v>1799.98</v>
      </c>
    </row>
    <row r="92" spans="2:15" x14ac:dyDescent="0.3">
      <c r="B92" t="str">
        <v>TRX0183</v>
      </c>
      <c r="C92" s="13">
        <v>45645</v>
      </c>
      <c r="D92" t="str">
        <v>CUST168</v>
      </c>
      <c r="E92" t="str">
        <v>David Martinez</v>
      </c>
      <c r="F92" t="str">
        <v>P010</v>
      </c>
      <c r="G92" t="str">
        <v>Keyboard</v>
      </c>
      <c r="H92" t="str">
        <v>Electronics</v>
      </c>
      <c r="I92">
        <v>1</v>
      </c>
      <c r="J92">
        <v>89.99</v>
      </c>
      <c r="K92" t="str">
        <v>Debit Card</v>
      </c>
      <c r="L92" t="str">
        <v>Central</v>
      </c>
      <c r="M92" t="str">
        <v>Standard</v>
      </c>
      <c r="N92" s="13">
        <v>44760</v>
      </c>
      <c r="O92">
        <v>89.99</v>
      </c>
    </row>
    <row r="93" spans="2:15" x14ac:dyDescent="0.3">
      <c r="B93" t="str">
        <v>TRX0163</v>
      </c>
      <c r="C93" s="13">
        <v>45645</v>
      </c>
      <c r="D93" t="str">
        <v>CUST169</v>
      </c>
      <c r="E93" t="str">
        <v>Daniel King</v>
      </c>
      <c r="F93" t="str">
        <v>P001</v>
      </c>
      <c r="G93" t="str">
        <v>Laptop</v>
      </c>
      <c r="H93" t="str">
        <v>Electronics</v>
      </c>
      <c r="I93">
        <v>5</v>
      </c>
      <c r="J93">
        <v>899.99</v>
      </c>
      <c r="K93" t="str">
        <v>Debit Card</v>
      </c>
      <c r="L93" t="str">
        <v>East</v>
      </c>
      <c r="M93" t="str">
        <v>Standard</v>
      </c>
      <c r="N93" s="13">
        <v>44625</v>
      </c>
      <c r="O93">
        <v>4499.95</v>
      </c>
    </row>
    <row r="94" spans="2:15" x14ac:dyDescent="0.3">
      <c r="B94" t="str">
        <v>TRX0164</v>
      </c>
      <c r="C94" s="13">
        <v>45648</v>
      </c>
      <c r="D94" t="str">
        <v>CUST171</v>
      </c>
      <c r="E94" t="str">
        <v>Linda Martin</v>
      </c>
      <c r="F94" t="str">
        <v>P003</v>
      </c>
      <c r="G94" t="str">
        <v>Headphones</v>
      </c>
      <c r="H94" t="str">
        <v>Electronics</v>
      </c>
      <c r="I94">
        <v>2</v>
      </c>
      <c r="J94">
        <v>149.99</v>
      </c>
      <c r="K94" t="str">
        <v>Debit Card</v>
      </c>
      <c r="L94" t="str">
        <v>West</v>
      </c>
      <c r="M94" t="str">
        <v>Premium</v>
      </c>
      <c r="N94" s="13">
        <v>45280</v>
      </c>
      <c r="O94">
        <v>299.98</v>
      </c>
    </row>
    <row r="95" spans="2:15" x14ac:dyDescent="0.3">
      <c r="B95" t="str">
        <v>TRX0156</v>
      </c>
      <c r="C95" s="13">
        <v>45655</v>
      </c>
      <c r="D95" t="str">
        <v>CUST176</v>
      </c>
      <c r="E95" t="str">
        <v>Robert Thomas</v>
      </c>
      <c r="F95" t="str">
        <v>P010</v>
      </c>
      <c r="G95" t="str">
        <v>Keyboard</v>
      </c>
      <c r="H95" t="str">
        <v>Electronics</v>
      </c>
      <c r="I95">
        <v>1</v>
      </c>
      <c r="J95">
        <v>89.99</v>
      </c>
      <c r="K95" t="str">
        <v>Credit Card</v>
      </c>
      <c r="L95" t="str">
        <v>South</v>
      </c>
      <c r="M95" t="str">
        <v>Premium</v>
      </c>
      <c r="N95" s="13">
        <v>44591</v>
      </c>
      <c r="O95">
        <v>89.99</v>
      </c>
    </row>
    <row r="96" spans="2:15" x14ac:dyDescent="0.3">
      <c r="B96" t="str">
        <v>TRX0207</v>
      </c>
      <c r="C96" s="13">
        <v>45657</v>
      </c>
      <c r="D96" t="str">
        <v>CUST178</v>
      </c>
      <c r="E96" t="str">
        <v>Mark Carter</v>
      </c>
      <c r="F96" t="str">
        <v>P001</v>
      </c>
      <c r="G96" t="str">
        <v>Laptop</v>
      </c>
      <c r="H96" t="str">
        <v>Electronics</v>
      </c>
      <c r="I96">
        <v>1</v>
      </c>
      <c r="J96">
        <v>899.99</v>
      </c>
      <c r="K96" t="str">
        <v>PayPal</v>
      </c>
      <c r="L96" t="str">
        <v>North</v>
      </c>
      <c r="M96" t="str">
        <v>Premium</v>
      </c>
      <c r="N96" s="13">
        <v>45050</v>
      </c>
      <c r="O96">
        <v>899.99</v>
      </c>
    </row>
    <row r="97" spans="2:15" x14ac:dyDescent="0.3">
      <c r="B97" t="str">
        <v>TRX0056</v>
      </c>
      <c r="C97" s="13">
        <v>45660</v>
      </c>
      <c r="D97" t="str">
        <v>CUST179</v>
      </c>
      <c r="E97" t="str">
        <v>Daniel King</v>
      </c>
      <c r="F97" t="str">
        <v>P010</v>
      </c>
      <c r="G97" t="str">
        <v>Keyboard</v>
      </c>
      <c r="H97" t="str">
        <v>Electronics</v>
      </c>
      <c r="I97">
        <v>2</v>
      </c>
      <c r="J97">
        <v>89.99</v>
      </c>
      <c r="K97" t="str">
        <v>Credit Card</v>
      </c>
      <c r="L97" t="str">
        <v>South</v>
      </c>
      <c r="M97" t="str">
        <v>Premium</v>
      </c>
      <c r="N97" s="13">
        <v>44564</v>
      </c>
      <c r="O97">
        <v>179.98</v>
      </c>
    </row>
    <row r="98" spans="2:15" x14ac:dyDescent="0.3">
      <c r="B98" t="str">
        <v>TRX0026</v>
      </c>
      <c r="C98" s="13">
        <v>45661</v>
      </c>
      <c r="D98" t="str">
        <v>CUST180</v>
      </c>
      <c r="E98" t="str">
        <v>Arthur Edwards</v>
      </c>
      <c r="F98" t="str">
        <v>P001</v>
      </c>
      <c r="G98" t="str">
        <v>Laptop</v>
      </c>
      <c r="H98" t="str">
        <v>Electronics</v>
      </c>
      <c r="I98">
        <v>1</v>
      </c>
      <c r="J98">
        <v>899.99</v>
      </c>
      <c r="K98" t="str">
        <v>PayPal</v>
      </c>
      <c r="L98" t="str">
        <v>North</v>
      </c>
      <c r="M98" t="str">
        <v>Standard</v>
      </c>
      <c r="N98" s="13">
        <v>44752</v>
      </c>
      <c r="O98">
        <v>899.99</v>
      </c>
    </row>
    <row r="99" spans="2:15" x14ac:dyDescent="0.3">
      <c r="B99" t="str">
        <v>TRX0237</v>
      </c>
      <c r="C99" s="13">
        <v>45663</v>
      </c>
      <c r="D99" t="str">
        <v>CUST181</v>
      </c>
      <c r="E99" t="str">
        <v>Lisa Anderson</v>
      </c>
      <c r="F99" t="str">
        <v>P003</v>
      </c>
      <c r="G99" t="str">
        <v>Headphones</v>
      </c>
      <c r="H99" t="str">
        <v>Electronics</v>
      </c>
      <c r="I99">
        <v>5</v>
      </c>
      <c r="J99">
        <v>149.99</v>
      </c>
      <c r="K99" t="str">
        <v>PayPal</v>
      </c>
      <c r="L99" t="str">
        <v>East</v>
      </c>
      <c r="M99" t="str">
        <v>Premium</v>
      </c>
      <c r="N99" s="13">
        <v>44824</v>
      </c>
      <c r="O99">
        <v>749.95</v>
      </c>
    </row>
    <row r="100" spans="2:15" x14ac:dyDescent="0.3">
      <c r="B100" t="str">
        <v>TRX0125</v>
      </c>
      <c r="C100" s="13">
        <v>45666</v>
      </c>
      <c r="D100" t="str">
        <v>CUST183</v>
      </c>
      <c r="E100" t="str">
        <v>Karen Hill</v>
      </c>
      <c r="F100" t="str">
        <v>P002</v>
      </c>
      <c r="G100" t="str">
        <v>Smartphone</v>
      </c>
      <c r="H100" t="str">
        <v>Electronics</v>
      </c>
      <c r="I100">
        <v>3</v>
      </c>
      <c r="J100">
        <v>699.99</v>
      </c>
      <c r="K100" t="str">
        <v>Credit Card</v>
      </c>
      <c r="L100" t="str">
        <v>Central</v>
      </c>
      <c r="M100" t="str">
        <v>Premium</v>
      </c>
      <c r="N100" s="13">
        <v>45105</v>
      </c>
      <c r="O100">
        <v>2099.9699999999998</v>
      </c>
    </row>
    <row r="101" spans="2:15" x14ac:dyDescent="0.3">
      <c r="B101" t="str">
        <v>TRX0243</v>
      </c>
      <c r="C101" s="13">
        <v>45667</v>
      </c>
      <c r="D101" t="str">
        <v>CUST185</v>
      </c>
      <c r="E101" t="str">
        <v>Virginia Sanders</v>
      </c>
      <c r="F101" t="str">
        <v>P009</v>
      </c>
      <c r="G101" t="str">
        <v>Monitor</v>
      </c>
      <c r="H101" t="str">
        <v>Electronics</v>
      </c>
      <c r="I101">
        <v>5</v>
      </c>
      <c r="J101">
        <v>249.99</v>
      </c>
      <c r="K101" t="str">
        <v>Credit Card</v>
      </c>
      <c r="L101" t="str">
        <v>South</v>
      </c>
      <c r="M101" t="str">
        <v>Basic</v>
      </c>
      <c r="N101" s="13">
        <v>45330</v>
      </c>
      <c r="O101">
        <v>1249.95</v>
      </c>
    </row>
    <row r="102" spans="2:15" x14ac:dyDescent="0.3">
      <c r="B102" t="str">
        <v>TRX0084</v>
      </c>
      <c r="C102" s="13">
        <v>45668</v>
      </c>
      <c r="D102" t="str">
        <v>CUST186</v>
      </c>
      <c r="E102" t="str">
        <v>Steven Turner</v>
      </c>
      <c r="F102" t="str">
        <v>P003</v>
      </c>
      <c r="G102" t="str">
        <v>Headphones</v>
      </c>
      <c r="H102" t="str">
        <v>Electronics</v>
      </c>
      <c r="I102">
        <v>4</v>
      </c>
      <c r="J102">
        <v>149.99</v>
      </c>
      <c r="K102" t="str">
        <v>Debit Card</v>
      </c>
      <c r="L102" t="str">
        <v>East</v>
      </c>
      <c r="M102" t="str">
        <v>Standard</v>
      </c>
      <c r="N102" s="13">
        <v>44536</v>
      </c>
      <c r="O102">
        <v>599.96</v>
      </c>
    </row>
    <row r="103" spans="2:15" x14ac:dyDescent="0.3">
      <c r="B103" t="str">
        <v>TRX0238</v>
      </c>
      <c r="C103" s="13">
        <v>45668</v>
      </c>
      <c r="D103" t="str">
        <v>CUST187</v>
      </c>
      <c r="E103" t="str">
        <v>Michelle Rogers</v>
      </c>
      <c r="F103" t="str">
        <v>P002</v>
      </c>
      <c r="G103" t="str">
        <v>Smartphone</v>
      </c>
      <c r="H103" t="str">
        <v>Electronics</v>
      </c>
      <c r="I103">
        <v>3</v>
      </c>
      <c r="J103">
        <v>699.99</v>
      </c>
      <c r="K103" t="str">
        <v>Cash</v>
      </c>
      <c r="L103" t="str">
        <v>North</v>
      </c>
      <c r="M103" t="str">
        <v>Premium</v>
      </c>
      <c r="N103" s="13">
        <v>44602</v>
      </c>
      <c r="O103">
        <v>2099.9699999999998</v>
      </c>
    </row>
    <row r="104" spans="2:15" x14ac:dyDescent="0.3">
      <c r="B104" t="str">
        <v>TRX0087</v>
      </c>
      <c r="C104" s="13">
        <v>45671</v>
      </c>
      <c r="D104" t="str">
        <v>CUST190</v>
      </c>
      <c r="E104" t="str">
        <v>Betty Campbell</v>
      </c>
      <c r="F104" t="str">
        <v>P009</v>
      </c>
      <c r="G104" t="str">
        <v>Monitor</v>
      </c>
      <c r="H104" t="str">
        <v>Electronics</v>
      </c>
      <c r="I104">
        <v>4</v>
      </c>
      <c r="J104">
        <v>249.99</v>
      </c>
      <c r="K104" t="str">
        <v>Credit Card</v>
      </c>
      <c r="L104" t="str">
        <v>North</v>
      </c>
      <c r="M104" t="str">
        <v>Premium</v>
      </c>
      <c r="N104" s="13">
        <v>44460</v>
      </c>
      <c r="O104">
        <v>999.96</v>
      </c>
    </row>
    <row r="105" spans="2:15" x14ac:dyDescent="0.3">
      <c r="B105" t="str">
        <v>TRX0107</v>
      </c>
      <c r="C105" s="13">
        <v>45671</v>
      </c>
      <c r="D105" t="str">
        <v>CUST191</v>
      </c>
      <c r="E105" t="str">
        <v>Helen Roberts</v>
      </c>
      <c r="F105" t="str">
        <v>P003</v>
      </c>
      <c r="G105" t="str">
        <v>Headphones</v>
      </c>
      <c r="H105" t="str">
        <v>Electronics</v>
      </c>
      <c r="I105">
        <v>2</v>
      </c>
      <c r="J105">
        <v>149.99</v>
      </c>
      <c r="K105" t="str">
        <v>Cash</v>
      </c>
      <c r="L105" t="str">
        <v>North</v>
      </c>
      <c r="M105" t="str">
        <v>Standard</v>
      </c>
      <c r="N105" s="13">
        <v>44913</v>
      </c>
      <c r="O105">
        <v>299.98</v>
      </c>
    </row>
    <row r="106" spans="2:15" x14ac:dyDescent="0.3">
      <c r="B106" t="str">
        <v>TRX0159</v>
      </c>
      <c r="C106" s="13">
        <v>45683</v>
      </c>
      <c r="D106" t="str">
        <v>CUST198</v>
      </c>
      <c r="E106" t="str">
        <v>Dorothy Nelson</v>
      </c>
      <c r="F106" t="str">
        <v>P009</v>
      </c>
      <c r="G106" t="str">
        <v>Monitor</v>
      </c>
      <c r="H106" t="str">
        <v>Electronics</v>
      </c>
      <c r="I106">
        <v>4</v>
      </c>
      <c r="J106">
        <v>249.99</v>
      </c>
      <c r="K106" t="str">
        <v>Debit Card</v>
      </c>
      <c r="L106" t="str">
        <v>Central</v>
      </c>
      <c r="M106" t="str">
        <v>Premium</v>
      </c>
      <c r="N106" s="13">
        <v>45217</v>
      </c>
      <c r="O106">
        <v>999.96</v>
      </c>
    </row>
    <row r="107" spans="2:15" x14ac:dyDescent="0.3">
      <c r="B107" t="str">
        <v>TRX0030</v>
      </c>
      <c r="C107" s="13">
        <v>45686</v>
      </c>
      <c r="D107" t="str">
        <v>CUST199</v>
      </c>
      <c r="E107" t="str">
        <v>William White</v>
      </c>
      <c r="F107" t="str">
        <v>P001</v>
      </c>
      <c r="G107" t="str">
        <v>Laptop</v>
      </c>
      <c r="H107" t="str">
        <v>Electronics</v>
      </c>
      <c r="I107">
        <v>4</v>
      </c>
      <c r="J107">
        <v>899.99</v>
      </c>
      <c r="K107" t="str">
        <v>PayPal</v>
      </c>
      <c r="L107" t="str">
        <v>Central</v>
      </c>
      <c r="M107" t="str">
        <v>Basic</v>
      </c>
      <c r="N107" s="13">
        <v>44734</v>
      </c>
      <c r="O107">
        <v>3599.96</v>
      </c>
    </row>
    <row r="108" spans="2:15" x14ac:dyDescent="0.3">
      <c r="B108" t="str">
        <v>TRX0188</v>
      </c>
      <c r="C108" s="13">
        <v>45686</v>
      </c>
      <c r="D108" t="str">
        <v>CUST201</v>
      </c>
      <c r="E108" t="str">
        <v>Douglas Watson</v>
      </c>
      <c r="F108" t="str">
        <v>P002</v>
      </c>
      <c r="G108" t="str">
        <v>Smartphone</v>
      </c>
      <c r="H108" t="str">
        <v>Electronics</v>
      </c>
      <c r="I108">
        <v>2</v>
      </c>
      <c r="J108">
        <v>699.99</v>
      </c>
      <c r="K108" t="str">
        <v>Debit Card</v>
      </c>
      <c r="L108" t="str">
        <v>Central</v>
      </c>
      <c r="M108" t="str">
        <v>Premium</v>
      </c>
      <c r="N108" s="13">
        <v>44681</v>
      </c>
      <c r="O108">
        <v>1399.98</v>
      </c>
    </row>
    <row r="109" spans="2:15" x14ac:dyDescent="0.3">
      <c r="B109" t="str">
        <v>TRX0010</v>
      </c>
      <c r="C109" s="13">
        <v>45688</v>
      </c>
      <c r="D109" t="str">
        <v>CUST202</v>
      </c>
      <c r="E109" t="str">
        <v>Karen Hill</v>
      </c>
      <c r="F109" t="str">
        <v>P002</v>
      </c>
      <c r="G109" t="str">
        <v>Smartphone</v>
      </c>
      <c r="H109" t="str">
        <v>Electronics</v>
      </c>
      <c r="I109">
        <v>4</v>
      </c>
      <c r="J109">
        <v>699.99</v>
      </c>
      <c r="K109" t="str">
        <v>Debit Card</v>
      </c>
      <c r="L109" t="str">
        <v>West</v>
      </c>
      <c r="M109" t="str">
        <v>Premium</v>
      </c>
      <c r="N109" s="13">
        <v>44692</v>
      </c>
      <c r="O109">
        <v>2799.96</v>
      </c>
    </row>
    <row r="110" spans="2:15" x14ac:dyDescent="0.3">
      <c r="B110" t="str">
        <v>TRX0069</v>
      </c>
      <c r="C110" s="13">
        <v>45688</v>
      </c>
      <c r="D110" t="str">
        <v>CUST203</v>
      </c>
      <c r="E110" t="str">
        <v>Edward Mitchell</v>
      </c>
      <c r="F110" t="str">
        <v>P010</v>
      </c>
      <c r="G110" t="str">
        <v>Keyboard</v>
      </c>
      <c r="H110" t="str">
        <v>Electronics</v>
      </c>
      <c r="I110">
        <v>2</v>
      </c>
      <c r="J110">
        <v>89.99</v>
      </c>
      <c r="K110" t="str">
        <v>Debit Card</v>
      </c>
      <c r="L110" t="str">
        <v>South</v>
      </c>
      <c r="M110" t="str">
        <v>Basic</v>
      </c>
      <c r="N110" s="13">
        <v>44777</v>
      </c>
      <c r="O110">
        <v>179.98</v>
      </c>
    </row>
    <row r="111" spans="2:15" x14ac:dyDescent="0.3">
      <c r="B111" t="str">
        <v>TRX0166</v>
      </c>
      <c r="C111" s="13">
        <v>45688</v>
      </c>
      <c r="D111" t="str">
        <v>CUST204</v>
      </c>
      <c r="E111" t="str">
        <v>Michael Brown</v>
      </c>
      <c r="F111" t="str">
        <v>P010</v>
      </c>
      <c r="G111" t="str">
        <v>Keyboard</v>
      </c>
      <c r="H111" t="str">
        <v>Electronics</v>
      </c>
      <c r="I111">
        <v>3</v>
      </c>
      <c r="J111">
        <v>89.99</v>
      </c>
      <c r="K111" t="str">
        <v>Debit Card</v>
      </c>
      <c r="L111" t="str">
        <v>South</v>
      </c>
      <c r="M111" t="str">
        <v>Premium</v>
      </c>
      <c r="N111" s="13">
        <v>45307</v>
      </c>
      <c r="O111">
        <v>269.97000000000003</v>
      </c>
    </row>
    <row r="112" spans="2:15" x14ac:dyDescent="0.3">
      <c r="B112" t="str">
        <v>TRX0196</v>
      </c>
      <c r="C112" s="13">
        <v>45704</v>
      </c>
      <c r="D112" t="str">
        <v>CUST211</v>
      </c>
      <c r="E112" t="str">
        <v>Paul Baker</v>
      </c>
      <c r="F112" t="str">
        <v>P010</v>
      </c>
      <c r="G112" t="str">
        <v>Keyboard</v>
      </c>
      <c r="H112" t="str">
        <v>Electronics</v>
      </c>
      <c r="I112">
        <v>2</v>
      </c>
      <c r="J112">
        <v>89.99</v>
      </c>
      <c r="K112" t="str">
        <v>PayPal</v>
      </c>
      <c r="L112" t="str">
        <v>Central</v>
      </c>
      <c r="M112" t="str">
        <v>Basic</v>
      </c>
      <c r="N112" s="13">
        <v>45257</v>
      </c>
      <c r="O112">
        <v>179.98</v>
      </c>
    </row>
    <row r="113" spans="2:15" x14ac:dyDescent="0.3">
      <c r="B113" t="str">
        <v>TRX0179</v>
      </c>
      <c r="C113" s="13">
        <v>45707</v>
      </c>
      <c r="D113" t="str">
        <v>CUST213</v>
      </c>
      <c r="E113" t="str">
        <v>Edward Mitchell</v>
      </c>
      <c r="F113" t="str">
        <v>P002</v>
      </c>
      <c r="G113" t="str">
        <v>Smartphone</v>
      </c>
      <c r="H113" t="str">
        <v>Electronics</v>
      </c>
      <c r="I113">
        <v>5</v>
      </c>
      <c r="J113">
        <v>699.99</v>
      </c>
      <c r="K113" t="str">
        <v>PayPal</v>
      </c>
      <c r="L113" t="str">
        <v>South</v>
      </c>
      <c r="M113" t="str">
        <v>Premium</v>
      </c>
      <c r="N113" s="13">
        <v>45352</v>
      </c>
      <c r="O113">
        <v>3499.95</v>
      </c>
    </row>
    <row r="114" spans="2:15" x14ac:dyDescent="0.3">
      <c r="B114" t="str">
        <v>TRX0214</v>
      </c>
      <c r="C114" s="13">
        <v>45708</v>
      </c>
      <c r="D114" t="str">
        <v>CUST215</v>
      </c>
      <c r="E114" t="str">
        <v>Barbara Young</v>
      </c>
      <c r="F114" t="str">
        <v>P001</v>
      </c>
      <c r="G114" t="str">
        <v>Laptop</v>
      </c>
      <c r="H114" t="str">
        <v>Electronics</v>
      </c>
      <c r="I114">
        <v>3</v>
      </c>
      <c r="J114">
        <v>899.99</v>
      </c>
      <c r="K114" t="str">
        <v>Cash</v>
      </c>
      <c r="L114" t="str">
        <v>East</v>
      </c>
      <c r="M114" t="str">
        <v>Standard</v>
      </c>
      <c r="N114" s="13">
        <v>44613</v>
      </c>
      <c r="O114">
        <v>2699.97</v>
      </c>
    </row>
    <row r="115" spans="2:15" x14ac:dyDescent="0.3">
      <c r="B115" t="str">
        <v>TRX0151</v>
      </c>
      <c r="C115" s="13">
        <v>45710</v>
      </c>
      <c r="D115" t="str">
        <v>CUST218</v>
      </c>
      <c r="E115" t="str">
        <v>Sharon Butler</v>
      </c>
      <c r="F115" t="str">
        <v>P002</v>
      </c>
      <c r="G115" t="str">
        <v>Smartphone</v>
      </c>
      <c r="H115" t="str">
        <v>Electronics</v>
      </c>
      <c r="I115">
        <v>1</v>
      </c>
      <c r="J115">
        <v>699.99</v>
      </c>
      <c r="K115" t="str">
        <v>PayPal</v>
      </c>
      <c r="L115" t="str">
        <v>West</v>
      </c>
      <c r="M115" t="str">
        <v>Basic</v>
      </c>
      <c r="N115" s="13">
        <v>44934</v>
      </c>
      <c r="O115">
        <v>699.99</v>
      </c>
    </row>
    <row r="116" spans="2:15" x14ac:dyDescent="0.3">
      <c r="B116" t="str">
        <v>TRX0047</v>
      </c>
      <c r="C116" s="13">
        <v>45711</v>
      </c>
      <c r="D116" t="str">
        <v>CUST219</v>
      </c>
      <c r="E116" t="str">
        <v>Ruth Brooks</v>
      </c>
      <c r="F116" t="str">
        <v>P002</v>
      </c>
      <c r="G116" t="str">
        <v>Smartphone</v>
      </c>
      <c r="H116" t="str">
        <v>Electronics</v>
      </c>
      <c r="I116">
        <v>1</v>
      </c>
      <c r="J116">
        <v>699.99</v>
      </c>
      <c r="K116" t="str">
        <v>Cash</v>
      </c>
      <c r="L116" t="str">
        <v>North</v>
      </c>
      <c r="M116" t="str">
        <v>Premium</v>
      </c>
      <c r="N116" s="13">
        <v>44583</v>
      </c>
      <c r="O116">
        <v>699.99</v>
      </c>
    </row>
    <row r="117" spans="2:15" x14ac:dyDescent="0.3">
      <c r="B117" t="str">
        <v>TRX0062</v>
      </c>
      <c r="C117" s="13">
        <v>45711</v>
      </c>
      <c r="D117" t="str">
        <v>CUST221</v>
      </c>
      <c r="E117" t="str">
        <v>Elizabeth Hall</v>
      </c>
      <c r="F117" t="str">
        <v>P010</v>
      </c>
      <c r="G117" t="str">
        <v>Keyboard</v>
      </c>
      <c r="H117" t="str">
        <v>Electronics</v>
      </c>
      <c r="I117">
        <v>5</v>
      </c>
      <c r="J117">
        <v>89.99</v>
      </c>
      <c r="K117" t="str">
        <v>PayPal</v>
      </c>
      <c r="L117" t="str">
        <v>West</v>
      </c>
      <c r="M117" t="str">
        <v>Premium</v>
      </c>
      <c r="N117" s="13">
        <v>45140</v>
      </c>
      <c r="O117">
        <v>449.95</v>
      </c>
    </row>
    <row r="118" spans="2:15" x14ac:dyDescent="0.3">
      <c r="B118" t="str">
        <v>TRX0226</v>
      </c>
      <c r="C118" s="13">
        <v>45720</v>
      </c>
      <c r="D118" t="str">
        <v>CUST226</v>
      </c>
      <c r="E118" t="str">
        <v>Lawrence Reed</v>
      </c>
      <c r="F118" t="str">
        <v>P002</v>
      </c>
      <c r="G118" t="str">
        <v>Smartphone</v>
      </c>
      <c r="H118" t="str">
        <v>Electronics</v>
      </c>
      <c r="I118">
        <v>5</v>
      </c>
      <c r="J118">
        <v>699.99</v>
      </c>
      <c r="K118" t="str">
        <v>Debit Card</v>
      </c>
      <c r="L118" t="str">
        <v>East</v>
      </c>
      <c r="M118" t="str">
        <v>Premium</v>
      </c>
      <c r="N118" s="13">
        <v>45161</v>
      </c>
      <c r="O118">
        <v>3499.95</v>
      </c>
    </row>
    <row r="119" spans="2:15" x14ac:dyDescent="0.3">
      <c r="B119" t="str">
        <v>TRX0233</v>
      </c>
      <c r="C119" s="13">
        <v>45723</v>
      </c>
      <c r="D119" t="str">
        <v>CUST228</v>
      </c>
      <c r="E119" t="str">
        <v>Paul Baker</v>
      </c>
      <c r="F119" t="str">
        <v>P010</v>
      </c>
      <c r="G119" t="str">
        <v>Keyboard</v>
      </c>
      <c r="H119" t="str">
        <v>Electronics</v>
      </c>
      <c r="I119">
        <v>2</v>
      </c>
      <c r="J119">
        <v>89.99</v>
      </c>
      <c r="K119" t="str">
        <v>Credit Card</v>
      </c>
      <c r="L119" t="str">
        <v>West</v>
      </c>
      <c r="M119" t="str">
        <v>Premium</v>
      </c>
      <c r="N119" s="13">
        <v>45295</v>
      </c>
      <c r="O119">
        <v>179.98</v>
      </c>
    </row>
    <row r="120" spans="2:15" x14ac:dyDescent="0.3">
      <c r="B120" t="str">
        <v>TRX0175</v>
      </c>
      <c r="C120" s="13">
        <v>45723</v>
      </c>
      <c r="D120" t="str">
        <v>CUST229</v>
      </c>
      <c r="E120" t="str">
        <v>Helen Roberts</v>
      </c>
      <c r="F120" t="str">
        <v>P009</v>
      </c>
      <c r="G120" t="str">
        <v>Monitor</v>
      </c>
      <c r="H120" t="str">
        <v>Electronics</v>
      </c>
      <c r="I120">
        <v>5</v>
      </c>
      <c r="J120">
        <v>249.99</v>
      </c>
      <c r="K120" t="str">
        <v>Cash</v>
      </c>
      <c r="L120" t="str">
        <v>East</v>
      </c>
      <c r="M120" t="str">
        <v>Standard</v>
      </c>
      <c r="N120" s="13">
        <v>44540</v>
      </c>
      <c r="O120">
        <v>1249.95</v>
      </c>
    </row>
    <row r="121" spans="2:15" x14ac:dyDescent="0.3">
      <c r="B121" t="str">
        <v>TRX0016</v>
      </c>
      <c r="C121" s="13">
        <v>45724</v>
      </c>
      <c r="D121" t="str">
        <v>CUST231</v>
      </c>
      <c r="E121" t="str">
        <v>Harry Morgan</v>
      </c>
      <c r="F121" t="str">
        <v>P001</v>
      </c>
      <c r="G121" t="str">
        <v>Laptop</v>
      </c>
      <c r="H121" t="str">
        <v>Electronics</v>
      </c>
      <c r="I121">
        <v>5</v>
      </c>
      <c r="J121">
        <v>899.99</v>
      </c>
      <c r="K121" t="str">
        <v>PayPal</v>
      </c>
      <c r="L121" t="str">
        <v>East</v>
      </c>
      <c r="M121" t="str">
        <v>Premium</v>
      </c>
      <c r="N121" s="13">
        <v>45389</v>
      </c>
      <c r="O121">
        <v>4499.95</v>
      </c>
    </row>
    <row r="122" spans="2:15" x14ac:dyDescent="0.3">
      <c r="B122" t="str">
        <v>TRX0038</v>
      </c>
      <c r="C122" s="13">
        <v>45726</v>
      </c>
      <c r="D122" t="str">
        <v>CUST233</v>
      </c>
      <c r="E122" t="str">
        <v>Harry Morgan</v>
      </c>
      <c r="F122" t="str">
        <v>P009</v>
      </c>
      <c r="G122" t="str">
        <v>Monitor</v>
      </c>
      <c r="H122" t="str">
        <v>Electronics</v>
      </c>
      <c r="I122">
        <v>1</v>
      </c>
      <c r="J122">
        <v>249.99</v>
      </c>
      <c r="K122" t="str">
        <v>Cash</v>
      </c>
      <c r="L122" t="str">
        <v>North</v>
      </c>
      <c r="M122" t="str">
        <v>Standard</v>
      </c>
      <c r="N122" s="13">
        <v>45117</v>
      </c>
      <c r="O122">
        <v>249.99</v>
      </c>
    </row>
    <row r="123" spans="2:15" x14ac:dyDescent="0.3">
      <c r="B123" t="str">
        <v>TRX0124</v>
      </c>
      <c r="C123" s="13">
        <v>45737</v>
      </c>
      <c r="D123" t="str">
        <v>CUST236</v>
      </c>
      <c r="E123" t="str">
        <v>Sharon Butler</v>
      </c>
      <c r="F123" t="str">
        <v>P001</v>
      </c>
      <c r="G123" t="str">
        <v>Laptop</v>
      </c>
      <c r="H123" t="str">
        <v>Electronics</v>
      </c>
      <c r="I123">
        <v>3</v>
      </c>
      <c r="J123">
        <v>899.99</v>
      </c>
      <c r="K123" t="str">
        <v>Debit Card</v>
      </c>
      <c r="L123" t="str">
        <v>North</v>
      </c>
      <c r="M123" t="str">
        <v>Premium</v>
      </c>
      <c r="N123" s="13">
        <v>44876</v>
      </c>
      <c r="O123">
        <v>2699.97</v>
      </c>
    </row>
    <row r="124" spans="2:15" x14ac:dyDescent="0.3">
      <c r="B124" t="str">
        <v>TRX0013</v>
      </c>
      <c r="C124" s="13">
        <v>45737</v>
      </c>
      <c r="D124" t="str">
        <v>CUST237</v>
      </c>
      <c r="E124" t="str">
        <v>Dorothy Nelson</v>
      </c>
      <c r="F124" t="str">
        <v>P001</v>
      </c>
      <c r="G124" t="str">
        <v>Laptop</v>
      </c>
      <c r="H124" t="str">
        <v>Electronics</v>
      </c>
      <c r="I124">
        <v>3</v>
      </c>
      <c r="J124">
        <v>899.99</v>
      </c>
      <c r="K124" t="str">
        <v>PayPal</v>
      </c>
      <c r="L124" t="str">
        <v>North</v>
      </c>
      <c r="M124" t="str">
        <v>Basic</v>
      </c>
      <c r="N124" s="13">
        <v>44975</v>
      </c>
      <c r="O124">
        <v>2699.97</v>
      </c>
    </row>
    <row r="125" spans="2:15" x14ac:dyDescent="0.3">
      <c r="B125" t="str">
        <v>TRX0213</v>
      </c>
      <c r="C125" s="13">
        <v>45745</v>
      </c>
      <c r="D125" t="str">
        <v>CUST241</v>
      </c>
      <c r="E125" t="str">
        <v>Margaret Wright</v>
      </c>
      <c r="F125" t="str">
        <v>P010</v>
      </c>
      <c r="G125" t="str">
        <v>Keyboard</v>
      </c>
      <c r="H125" t="str">
        <v>Electronics</v>
      </c>
      <c r="I125">
        <v>5</v>
      </c>
      <c r="J125">
        <v>89.99</v>
      </c>
      <c r="K125" t="str">
        <v>PayPal</v>
      </c>
      <c r="L125" t="str">
        <v>South</v>
      </c>
      <c r="M125" t="str">
        <v>Basic</v>
      </c>
      <c r="N125" s="13">
        <v>44704</v>
      </c>
      <c r="O125">
        <v>449.95</v>
      </c>
    </row>
    <row r="126" spans="2:15" x14ac:dyDescent="0.3">
      <c r="B126" t="str">
        <v>TRX0250</v>
      </c>
      <c r="C126" s="13">
        <v>45746</v>
      </c>
      <c r="D126" t="str">
        <v>CUST243</v>
      </c>
      <c r="E126" t="str">
        <v>Karen Hill</v>
      </c>
      <c r="F126" t="str">
        <v>P010</v>
      </c>
      <c r="G126" t="str">
        <v>Keyboard</v>
      </c>
      <c r="H126" t="str">
        <v>Electronics</v>
      </c>
      <c r="I126">
        <v>2</v>
      </c>
      <c r="J126">
        <v>89.99</v>
      </c>
      <c r="K126" t="str">
        <v>Debit Card</v>
      </c>
      <c r="L126" t="str">
        <v>West</v>
      </c>
      <c r="M126" t="str">
        <v>Premium</v>
      </c>
      <c r="N126" s="13">
        <v>44522</v>
      </c>
      <c r="O126">
        <v>179.98</v>
      </c>
    </row>
    <row r="127" spans="2:15" x14ac:dyDescent="0.3">
      <c r="B127" t="str">
        <v>TRX0068</v>
      </c>
      <c r="C127" s="13">
        <v>45748</v>
      </c>
      <c r="D127" t="str">
        <v>CUST244</v>
      </c>
      <c r="E127" t="str">
        <v>Cynthia Price</v>
      </c>
      <c r="F127" t="str">
        <v>P002</v>
      </c>
      <c r="G127" t="str">
        <v>Smartphone</v>
      </c>
      <c r="H127" t="str">
        <v>Electronics</v>
      </c>
      <c r="I127">
        <v>2</v>
      </c>
      <c r="J127">
        <v>699.99</v>
      </c>
      <c r="K127" t="str">
        <v>PayPal</v>
      </c>
      <c r="L127" t="str">
        <v>North</v>
      </c>
      <c r="M127" t="str">
        <v>Standard</v>
      </c>
      <c r="N127" s="13">
        <v>44618</v>
      </c>
      <c r="O127">
        <v>1399.98</v>
      </c>
    </row>
    <row r="128" spans="2:15" x14ac:dyDescent="0.3">
      <c r="B128" t="str">
        <v>TRX0144</v>
      </c>
      <c r="C128" s="13">
        <v>45749</v>
      </c>
      <c r="D128" t="str">
        <v>CUST245</v>
      </c>
      <c r="E128" t="str">
        <v>Edward Mitchell</v>
      </c>
      <c r="F128" t="str">
        <v>P001</v>
      </c>
      <c r="G128" t="str">
        <v>Laptop</v>
      </c>
      <c r="H128" t="str">
        <v>Electronics</v>
      </c>
      <c r="I128">
        <v>3</v>
      </c>
      <c r="J128">
        <v>899.99</v>
      </c>
      <c r="K128" t="str">
        <v>Cash</v>
      </c>
      <c r="L128" t="str">
        <v>Central</v>
      </c>
      <c r="M128" t="str">
        <v>Standard</v>
      </c>
      <c r="N128" s="13">
        <v>44953</v>
      </c>
      <c r="O128">
        <v>2699.97</v>
      </c>
    </row>
    <row r="129" spans="2:15" x14ac:dyDescent="0.3">
      <c r="B129" t="str">
        <v>TRX0116</v>
      </c>
      <c r="C129" s="13">
        <v>45756</v>
      </c>
      <c r="D129" t="str">
        <v>CUST247</v>
      </c>
      <c r="E129" t="str">
        <v>Robert Thomas</v>
      </c>
      <c r="F129" t="str">
        <v>P010</v>
      </c>
      <c r="G129" t="str">
        <v>Keyboard</v>
      </c>
      <c r="H129" t="str">
        <v>Electronics</v>
      </c>
      <c r="I129">
        <v>1</v>
      </c>
      <c r="J129">
        <v>89.99</v>
      </c>
      <c r="K129" t="str">
        <v>Debit Card</v>
      </c>
      <c r="L129" t="str">
        <v>East</v>
      </c>
      <c r="M129" t="str">
        <v>Basic</v>
      </c>
      <c r="N129" s="13">
        <v>45346</v>
      </c>
      <c r="O129">
        <v>89.99</v>
      </c>
    </row>
    <row r="130" spans="2:15" x14ac:dyDescent="0.3">
      <c r="B130" t="str">
        <v>TRX0120</v>
      </c>
      <c r="C130" s="13">
        <v>45758</v>
      </c>
      <c r="D130" t="str">
        <v>CUST248</v>
      </c>
      <c r="E130" t="str">
        <v>Douglas Watson</v>
      </c>
      <c r="F130" t="str">
        <v>P002</v>
      </c>
      <c r="G130" t="str">
        <v>Smartphone</v>
      </c>
      <c r="H130" t="str">
        <v>Electronics</v>
      </c>
      <c r="I130">
        <v>3</v>
      </c>
      <c r="J130">
        <v>699.99</v>
      </c>
      <c r="K130" t="str">
        <v>PayPal</v>
      </c>
      <c r="L130" t="str">
        <v>North</v>
      </c>
      <c r="M130" t="str">
        <v>Basic</v>
      </c>
      <c r="N130" s="13">
        <v>44909</v>
      </c>
      <c r="O130">
        <v>2099.9699999999998</v>
      </c>
    </row>
    <row r="131" spans="2:15" x14ac:dyDescent="0.3">
      <c r="B131" t="str">
        <v>TRX0103</v>
      </c>
      <c r="C131" s="13">
        <v>45758</v>
      </c>
      <c r="D131" t="str">
        <v>CUST249</v>
      </c>
      <c r="E131" t="str">
        <v>Lawrence Reed</v>
      </c>
      <c r="F131" t="str">
        <v>P010</v>
      </c>
      <c r="G131" t="str">
        <v>Keyboard</v>
      </c>
      <c r="H131" t="str">
        <v>Electronics</v>
      </c>
      <c r="I131">
        <v>2</v>
      </c>
      <c r="J131">
        <v>89.99</v>
      </c>
      <c r="K131" t="str">
        <v>Debit Card</v>
      </c>
      <c r="L131" t="str">
        <v>East</v>
      </c>
      <c r="M131" t="str">
        <v>Basic</v>
      </c>
      <c r="N131" s="13">
        <v>45088</v>
      </c>
      <c r="O131">
        <v>179.98</v>
      </c>
    </row>
    <row r="132" spans="2:15" x14ac:dyDescent="0.3">
      <c r="B132" t="str">
        <v>TRX0064</v>
      </c>
      <c r="C132" s="13">
        <v>45758</v>
      </c>
      <c r="D132" t="str">
        <v>CUST250</v>
      </c>
      <c r="E132" t="str">
        <v>Steven Turner</v>
      </c>
      <c r="F132" t="str">
        <v>P010</v>
      </c>
      <c r="G132" t="str">
        <v>Keyboard</v>
      </c>
      <c r="H132" t="str">
        <v>Electronics</v>
      </c>
      <c r="I132">
        <v>3</v>
      </c>
      <c r="J132">
        <v>89.99</v>
      </c>
      <c r="K132" t="str">
        <v>Debit Card</v>
      </c>
      <c r="L132" t="str">
        <v>North</v>
      </c>
      <c r="M132" t="str">
        <v>Premium</v>
      </c>
      <c r="N132" s="13">
        <v>44878</v>
      </c>
      <c r="O132">
        <v>269.97000000000003</v>
      </c>
    </row>
  </sheetData>
  <conditionalFormatting sqref="D1">
    <cfRule type="duplicateValues" dxfId="0" priority="2"/>
  </conditionalFormatting>
  <conditionalFormatting sqref="O1">
    <cfRule type="iconSet" priority="1">
      <iconSet>
        <cfvo type="percent" val="0"/>
        <cfvo type="percent" val="33"/>
        <cfvo type="percent" val="67"/>
      </iconSet>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D27CD6E-79CD-44B3-8B8C-E1FDBD513893}">
          <x14:formula1>
            <xm:f>'Final Project Dataset'!$G$2:$G$1048576</xm:f>
          </x14:formula1>
          <xm:sqref>A2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22143-C591-4BF4-B305-FC3ACCB62609}">
  <dimension ref="A1:I18"/>
  <sheetViews>
    <sheetView workbookViewId="0">
      <selection activeCell="I10" sqref="I10"/>
    </sheetView>
  </sheetViews>
  <sheetFormatPr defaultRowHeight="14.4" x14ac:dyDescent="0.3"/>
  <sheetData>
    <row r="1" spans="1:9" x14ac:dyDescent="0.3">
      <c r="A1" t="s">
        <v>354</v>
      </c>
    </row>
    <row r="2" spans="1:9" ht="15" thickBot="1" x14ac:dyDescent="0.35"/>
    <row r="3" spans="1:9" x14ac:dyDescent="0.3">
      <c r="A3" s="6" t="s">
        <v>355</v>
      </c>
      <c r="B3" s="6"/>
    </row>
    <row r="4" spans="1:9" x14ac:dyDescent="0.3">
      <c r="A4" t="s">
        <v>356</v>
      </c>
      <c r="B4">
        <v>0.45808036093237464</v>
      </c>
    </row>
    <row r="5" spans="1:9" x14ac:dyDescent="0.3">
      <c r="A5" t="s">
        <v>357</v>
      </c>
      <c r="B5">
        <v>0.20983761707193463</v>
      </c>
    </row>
    <row r="6" spans="1:9" x14ac:dyDescent="0.3">
      <c r="A6" t="s">
        <v>358</v>
      </c>
      <c r="B6">
        <v>0.20665147843109566</v>
      </c>
    </row>
    <row r="7" spans="1:9" x14ac:dyDescent="0.3">
      <c r="A7" t="s">
        <v>359</v>
      </c>
      <c r="B7">
        <v>1.1906792154826029</v>
      </c>
    </row>
    <row r="8" spans="1:9" ht="15" thickBot="1" x14ac:dyDescent="0.35">
      <c r="A8" s="4" t="s">
        <v>360</v>
      </c>
      <c r="B8" s="4">
        <v>250</v>
      </c>
    </row>
    <row r="10" spans="1:9" ht="15" thickBot="1" x14ac:dyDescent="0.35">
      <c r="A10" t="s">
        <v>361</v>
      </c>
    </row>
    <row r="11" spans="1:9" x14ac:dyDescent="0.3">
      <c r="A11" s="5"/>
      <c r="B11" s="5" t="s">
        <v>366</v>
      </c>
      <c r="C11" s="5" t="s">
        <v>367</v>
      </c>
      <c r="D11" s="5" t="s">
        <v>368</v>
      </c>
      <c r="E11" s="5" t="s">
        <v>369</v>
      </c>
      <c r="F11" s="5" t="s">
        <v>370</v>
      </c>
    </row>
    <row r="12" spans="1:9" x14ac:dyDescent="0.3">
      <c r="A12" t="s">
        <v>362</v>
      </c>
      <c r="B12">
        <v>1</v>
      </c>
      <c r="C12">
        <v>93.370185442795901</v>
      </c>
      <c r="D12">
        <v>93.370185442795901</v>
      </c>
      <c r="E12">
        <v>65.85953742950754</v>
      </c>
      <c r="F12">
        <v>2.2586478953147397E-14</v>
      </c>
    </row>
    <row r="13" spans="1:9" x14ac:dyDescent="0.3">
      <c r="A13" t="s">
        <v>363</v>
      </c>
      <c r="B13">
        <v>248</v>
      </c>
      <c r="C13">
        <v>351.59381455720211</v>
      </c>
      <c r="D13">
        <v>1.4177169941822665</v>
      </c>
    </row>
    <row r="14" spans="1:9" ht="15" thickBot="1" x14ac:dyDescent="0.35">
      <c r="A14" s="4" t="s">
        <v>364</v>
      </c>
      <c r="B14" s="4">
        <v>249</v>
      </c>
      <c r="C14" s="4">
        <v>444.96399999999801</v>
      </c>
      <c r="D14" s="4"/>
      <c r="E14" s="4"/>
      <c r="F14" s="4"/>
    </row>
    <row r="15" spans="1:9" ht="15" thickBot="1" x14ac:dyDescent="0.35"/>
    <row r="16" spans="1:9" x14ac:dyDescent="0.3">
      <c r="A16" s="5"/>
      <c r="B16" s="5" t="s">
        <v>371</v>
      </c>
      <c r="C16" s="5" t="s">
        <v>359</v>
      </c>
      <c r="D16" s="5" t="s">
        <v>372</v>
      </c>
      <c r="E16" s="5" t="s">
        <v>373</v>
      </c>
      <c r="F16" s="5" t="s">
        <v>374</v>
      </c>
      <c r="G16" s="5" t="s">
        <v>375</v>
      </c>
      <c r="H16" s="5" t="s">
        <v>376</v>
      </c>
      <c r="I16" s="5" t="s">
        <v>377</v>
      </c>
    </row>
    <row r="17" spans="1:9" x14ac:dyDescent="0.3">
      <c r="A17" t="s">
        <v>365</v>
      </c>
      <c r="B17">
        <v>2.4682560460750795</v>
      </c>
      <c r="C17">
        <v>0.10079722671468955</v>
      </c>
      <c r="D17">
        <v>24.487340837874179</v>
      </c>
      <c r="E17">
        <v>3.9188263388930073E-68</v>
      </c>
      <c r="F17">
        <v>2.2697282823847966</v>
      </c>
      <c r="G17">
        <v>2.6667838097653624</v>
      </c>
      <c r="H17">
        <v>2.2697282823847966</v>
      </c>
      <c r="I17">
        <v>2.6667838097653624</v>
      </c>
    </row>
    <row r="18" spans="1:9" ht="15" thickBot="1" x14ac:dyDescent="0.35">
      <c r="A18" s="4" t="s">
        <v>378</v>
      </c>
      <c r="B18" s="4">
        <v>5.9310844060989391E-4</v>
      </c>
      <c r="C18" s="4">
        <v>7.3084413572340146E-5</v>
      </c>
      <c r="D18" s="4">
        <v>8.115388926570855</v>
      </c>
      <c r="E18" s="4">
        <v>2.2586478953135327E-14</v>
      </c>
      <c r="F18" s="4">
        <v>4.4916315897827166E-4</v>
      </c>
      <c r="G18" s="4">
        <v>7.3705372224151615E-4</v>
      </c>
      <c r="H18" s="4">
        <v>4.4916315897827166E-4</v>
      </c>
      <c r="I18" s="4">
        <v>7.3705372224151615E-4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9B5E9-17B2-4327-89D5-FB61D9A207C3}">
  <dimension ref="B3:L16"/>
  <sheetViews>
    <sheetView zoomScale="69" workbookViewId="0">
      <selection activeCell="K3" sqref="K3:L16"/>
    </sheetView>
  </sheetViews>
  <sheetFormatPr defaultRowHeight="14.4" x14ac:dyDescent="0.3"/>
  <cols>
    <col min="2" max="2" width="14.109375" bestFit="1" customWidth="1"/>
    <col min="3" max="3" width="20.5546875" bestFit="1" customWidth="1"/>
    <col min="5" max="5" width="14.109375" bestFit="1" customWidth="1"/>
    <col min="6" max="6" width="20.5546875" bestFit="1" customWidth="1"/>
    <col min="8" max="8" width="14.109375" bestFit="1" customWidth="1"/>
    <col min="9" max="9" width="20.5546875" bestFit="1" customWidth="1"/>
    <col min="11" max="11" width="14.109375" bestFit="1" customWidth="1"/>
    <col min="12" max="12" width="20.5546875" bestFit="1" customWidth="1"/>
    <col min="19" max="19" width="14.109375" bestFit="1" customWidth="1"/>
    <col min="20" max="20" width="20.5546875" bestFit="1" customWidth="1"/>
  </cols>
  <sheetData>
    <row r="3" spans="2:12" x14ac:dyDescent="0.3">
      <c r="B3" s="28" t="s">
        <v>658</v>
      </c>
      <c r="C3" t="s">
        <v>660</v>
      </c>
      <c r="E3" s="28" t="s">
        <v>658</v>
      </c>
      <c r="F3" t="s">
        <v>660</v>
      </c>
      <c r="H3" s="28" t="s">
        <v>658</v>
      </c>
      <c r="I3" t="s">
        <v>660</v>
      </c>
      <c r="K3" s="28" t="s">
        <v>658</v>
      </c>
      <c r="L3" t="s">
        <v>660</v>
      </c>
    </row>
    <row r="4" spans="2:12" x14ac:dyDescent="0.3">
      <c r="B4" s="29" t="s">
        <v>21</v>
      </c>
      <c r="C4" s="32">
        <v>41288.340000000018</v>
      </c>
      <c r="E4" s="29" t="s">
        <v>31</v>
      </c>
      <c r="F4" s="32">
        <v>8338.7399999999961</v>
      </c>
      <c r="H4" s="29" t="s">
        <v>30</v>
      </c>
      <c r="I4" s="32">
        <v>5219.1299999999974</v>
      </c>
      <c r="K4" s="29" t="s">
        <v>663</v>
      </c>
      <c r="L4" s="32">
        <v>25799.15</v>
      </c>
    </row>
    <row r="5" spans="2:12" x14ac:dyDescent="0.3">
      <c r="B5" s="29" t="s">
        <v>56</v>
      </c>
      <c r="C5" s="32">
        <v>59288.389999999992</v>
      </c>
      <c r="E5" s="29" t="s">
        <v>19</v>
      </c>
      <c r="F5" s="32">
        <v>171756.05000000013</v>
      </c>
      <c r="H5" s="29" t="s">
        <v>41</v>
      </c>
      <c r="I5" s="32">
        <v>15298.979999999994</v>
      </c>
      <c r="K5" s="29" t="s">
        <v>664</v>
      </c>
      <c r="L5" s="32">
        <v>16069.379999999997</v>
      </c>
    </row>
    <row r="6" spans="2:12" x14ac:dyDescent="0.3">
      <c r="B6" s="29" t="s">
        <v>37</v>
      </c>
      <c r="C6" s="32">
        <v>50808.310000000012</v>
      </c>
      <c r="E6" s="29" t="s">
        <v>42</v>
      </c>
      <c r="F6" s="32">
        <v>49097.680000000015</v>
      </c>
      <c r="H6" s="29" t="s">
        <v>94</v>
      </c>
      <c r="I6" s="32">
        <v>3119.6099999999992</v>
      </c>
      <c r="K6" s="29" t="s">
        <v>665</v>
      </c>
      <c r="L6" s="32">
        <v>19899.379999999997</v>
      </c>
    </row>
    <row r="7" spans="2:12" x14ac:dyDescent="0.3">
      <c r="B7" s="29" t="s">
        <v>33</v>
      </c>
      <c r="C7" s="32">
        <v>36398.750000000007</v>
      </c>
      <c r="E7" s="29" t="s">
        <v>659</v>
      </c>
      <c r="F7" s="32">
        <v>229192.47000000015</v>
      </c>
      <c r="H7" s="29" t="s">
        <v>87</v>
      </c>
      <c r="I7" s="32">
        <v>23399.22</v>
      </c>
      <c r="K7" s="29" t="s">
        <v>666</v>
      </c>
      <c r="L7" s="32">
        <v>27899.160000000007</v>
      </c>
    </row>
    <row r="8" spans="2:12" x14ac:dyDescent="0.3">
      <c r="B8" s="29" t="s">
        <v>45</v>
      </c>
      <c r="C8" s="32">
        <v>41408.680000000015</v>
      </c>
      <c r="H8" s="29" t="s">
        <v>48</v>
      </c>
      <c r="I8" s="32">
        <v>7049.5299999999988</v>
      </c>
      <c r="K8" s="29" t="s">
        <v>667</v>
      </c>
      <c r="L8" s="32">
        <v>17039.349999999999</v>
      </c>
    </row>
    <row r="9" spans="2:12" x14ac:dyDescent="0.3">
      <c r="B9" s="29" t="s">
        <v>659</v>
      </c>
      <c r="C9" s="32">
        <v>229192.47000000006</v>
      </c>
      <c r="H9" s="29" t="s">
        <v>97</v>
      </c>
      <c r="I9" s="32">
        <v>8009.1099999999969</v>
      </c>
      <c r="K9" s="29" t="s">
        <v>668</v>
      </c>
      <c r="L9" s="32">
        <v>19299.45</v>
      </c>
    </row>
    <row r="10" spans="2:12" x14ac:dyDescent="0.3">
      <c r="H10" s="29" t="s">
        <v>55</v>
      </c>
      <c r="I10" s="32">
        <v>67499.25</v>
      </c>
      <c r="K10" s="29" t="s">
        <v>669</v>
      </c>
      <c r="L10" s="32">
        <v>18479.399999999994</v>
      </c>
    </row>
    <row r="11" spans="2:12" x14ac:dyDescent="0.3">
      <c r="H11" s="29" t="s">
        <v>18</v>
      </c>
      <c r="I11" s="32">
        <v>21999.119999999999</v>
      </c>
      <c r="K11" s="29" t="s">
        <v>670</v>
      </c>
      <c r="L11" s="32">
        <v>15759.429999999997</v>
      </c>
    </row>
    <row r="12" spans="2:12" x14ac:dyDescent="0.3">
      <c r="H12" s="29" t="s">
        <v>104</v>
      </c>
      <c r="I12" s="32">
        <v>10399.479999999998</v>
      </c>
      <c r="K12" s="29" t="s">
        <v>671</v>
      </c>
      <c r="L12" s="32">
        <v>12989.509999999997</v>
      </c>
    </row>
    <row r="13" spans="2:12" x14ac:dyDescent="0.3">
      <c r="H13" s="29" t="s">
        <v>69</v>
      </c>
      <c r="I13" s="32">
        <v>67199.039999999994</v>
      </c>
      <c r="K13" s="29" t="s">
        <v>672</v>
      </c>
      <c r="L13" s="32">
        <v>20609.52</v>
      </c>
    </row>
    <row r="14" spans="2:12" x14ac:dyDescent="0.3">
      <c r="H14" s="29" t="s">
        <v>659</v>
      </c>
      <c r="I14" s="32">
        <v>229192.46999999997</v>
      </c>
      <c r="K14" s="29" t="s">
        <v>673</v>
      </c>
      <c r="L14" s="32">
        <v>12309.439999999999</v>
      </c>
    </row>
    <row r="15" spans="2:12" x14ac:dyDescent="0.3">
      <c r="K15" s="29" t="s">
        <v>674</v>
      </c>
      <c r="L15" s="32">
        <v>23039.3</v>
      </c>
    </row>
    <row r="16" spans="2:12" x14ac:dyDescent="0.3">
      <c r="K16" s="29" t="s">
        <v>659</v>
      </c>
      <c r="L16" s="32">
        <v>229192.47</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61CC4-818B-4A62-95A2-45CC87AAF491}">
  <dimension ref="A1"/>
  <sheetViews>
    <sheetView showGridLines="0" tabSelected="1" zoomScale="67" zoomScaleNormal="87" workbookViewId="0">
      <selection activeCell="AH25" sqref="AH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Final Project Dataset</vt:lpstr>
      <vt:lpstr>High value customer</vt:lpstr>
      <vt:lpstr>Filter</vt:lpstr>
      <vt:lpstr>liner regression</vt:lpstr>
      <vt:lpstr>Pivot table and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Meet Patel</cp:lastModifiedBy>
  <dcterms:modified xsi:type="dcterms:W3CDTF">2026-02-18T16:05:45Z</dcterms:modified>
</cp:coreProperties>
</file>
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E:\my\excel\"/>
    </mc:Choice>
  </mc:AlternateContent>
  <xr:revisionPtr revIDLastSave="0" documentId="13_ncr:1_{7B2C08F9-7504-4A04-854B-8DB18ED2E696}" xr6:coauthVersionLast="47" xr6:coauthVersionMax="47" xr10:uidLastSave="{00000000-0000-0000-0000-000000000000}"/>
  <bookViews>
    <workbookView xWindow="-108" yWindow="-108" windowWidth="23256" windowHeight="12456" xr2:uid="{1FBB7395-825F-4966-B45D-43C409BB59A1}"/>
  </bookViews>
  <sheets>
    <sheet name="Dashboard" sheetId="4" r:id="rId1"/>
    <sheet name="Database" sheetId="1" r:id="rId2"/>
    <sheet name="Pivot Table" sheetId="2" r:id="rId3"/>
    <sheet name="Descriptive Statistics" sheetId="5" r:id="rId4"/>
  </sheets>
  <definedNames>
    <definedName name="_xlnm._FilterDatabase" localSheetId="1" hidden="1">Database!$A$1:$T$1</definedName>
    <definedName name="NativeTimeline_Order_Date">#N/A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0" i="1" l="1"/>
  <c r="AA30" i="1"/>
  <c r="Z30" i="1"/>
  <c r="Y30" i="1"/>
  <c r="X30" i="1"/>
  <c r="X36" i="1"/>
  <c r="X23" i="1"/>
  <c r="X15" i="1"/>
  <c r="X14" i="1"/>
  <c r="X3" i="1"/>
  <c r="X5" i="1" s="1"/>
  <c r="X24" i="1"/>
  <c r="X4" i="1"/>
  <c r="F3"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2" i="1"/>
  <c r="X17" i="1" l="1"/>
</calcChain>
</file>

<file path=xl/sharedStrings.xml><?xml version="1.0" encoding="utf-8"?>
<sst xmlns="http://schemas.openxmlformats.org/spreadsheetml/2006/main" count="7892" uniqueCount="1134">
  <si>
    <t>Row ID</t>
  </si>
  <si>
    <t>Order Date</t>
  </si>
  <si>
    <t>Year</t>
  </si>
  <si>
    <t>Month</t>
  </si>
  <si>
    <t>Ship Date</t>
  </si>
  <si>
    <t>Delivery Time</t>
  </si>
  <si>
    <t>Ship Mode</t>
  </si>
  <si>
    <t>Customer Name</t>
  </si>
  <si>
    <t>Segment</t>
  </si>
  <si>
    <t>Country</t>
  </si>
  <si>
    <t>City</t>
  </si>
  <si>
    <t>State</t>
  </si>
  <si>
    <t>Region</t>
  </si>
  <si>
    <t>Category</t>
  </si>
  <si>
    <t>Sub-Category</t>
  </si>
  <si>
    <t>Product Name</t>
  </si>
  <si>
    <t>Sales</t>
  </si>
  <si>
    <t>Quantity</t>
  </si>
  <si>
    <t>Discount</t>
  </si>
  <si>
    <t>Profit</t>
  </si>
  <si>
    <t>2013</t>
  </si>
  <si>
    <t>Nov</t>
  </si>
  <si>
    <t>Second Class</t>
  </si>
  <si>
    <t>Claire Gute</t>
  </si>
  <si>
    <t>Consumer</t>
  </si>
  <si>
    <t>Henderson</t>
  </si>
  <si>
    <t>Kentucky</t>
  </si>
  <si>
    <t>South</t>
  </si>
  <si>
    <t>Furniture</t>
  </si>
  <si>
    <t>Bookcases</t>
  </si>
  <si>
    <t>Bush Somerset Collection Bookcase</t>
  </si>
  <si>
    <t>Chairs</t>
  </si>
  <si>
    <t>Hon Deluxe Fabric Upholstered Stacking Chairs, Rounded Back</t>
  </si>
  <si>
    <t>Jun</t>
  </si>
  <si>
    <t>Darrin Van Huff</t>
  </si>
  <si>
    <t>Corporate</t>
  </si>
  <si>
    <t>Los Angeles</t>
  </si>
  <si>
    <t>California</t>
  </si>
  <si>
    <t>West</t>
  </si>
  <si>
    <t>Office Supplies</t>
  </si>
  <si>
    <t>Labels</t>
  </si>
  <si>
    <t>Self-Adhesive Address Labels for Typewriters by Universal</t>
  </si>
  <si>
    <t>2012</t>
  </si>
  <si>
    <t>Oct</t>
  </si>
  <si>
    <t>Standard Class</t>
  </si>
  <si>
    <t>Sean O'Donnell</t>
  </si>
  <si>
    <t>Fort Lauderdale</t>
  </si>
  <si>
    <t>Florida</t>
  </si>
  <si>
    <t>Tables</t>
  </si>
  <si>
    <t>Bretford CR4500 Series Slim Rectangular Table</t>
  </si>
  <si>
    <t>Storage</t>
  </si>
  <si>
    <t>Eldon Fold 'N Roll Cart System</t>
  </si>
  <si>
    <t>2011</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</si>
  <si>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</si>
  <si>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</si>
  <si>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</si>
  <si>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</si>
  <si>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</si>
  <si>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</si>
  <si>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</si>
  <si>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</si>
  <si>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</si>
  <si>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</si>
  <si>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</si>
  <si>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</si>
  <si>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</si>
  <si>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</si>
  <si>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2014</t>
  </si>
  <si>
    <t>Apr</t>
  </si>
  <si>
    <t>Andrew Allen</t>
  </si>
  <si>
    <t>Concord</t>
  </si>
  <si>
    <t>North Carolina</t>
  </si>
  <si>
    <t>Paper</t>
  </si>
  <si>
    <t>Xerox 1967</t>
  </si>
  <si>
    <t>Dec</t>
  </si>
  <si>
    <t>Irene Maddox</t>
  </si>
  <si>
    <t>Seattle</t>
  </si>
  <si>
    <t>Washington</t>
  </si>
  <si>
    <t>Fellowes PB200 Plastic Comb Binding Machine</t>
  </si>
  <si>
    <t>Harold Pawlan</t>
  </si>
  <si>
    <t>Home Office</t>
  </si>
  <si>
    <t>Fort Worth</t>
  </si>
  <si>
    <t>Texas</t>
  </si>
  <si>
    <t>Central</t>
  </si>
  <si>
    <t>Holmes Replacement Filter for HEPA Air Cleaner, Very Large Room, HEPA Filter</t>
  </si>
  <si>
    <t>Storex DuraTech Recycled Plastic Frosted Binders</t>
  </si>
  <si>
    <t>Pete Kriz</t>
  </si>
  <si>
    <t>Madison</t>
  </si>
  <si>
    <t>Wisconsin</t>
  </si>
  <si>
    <t>Stur-D-Stor Shelving, Vertical 5-Shelf: 72"H x 36"W x 18 1/2"D</t>
  </si>
  <si>
    <t>May</t>
  </si>
  <si>
    <t>Alejandro Grove</t>
  </si>
  <si>
    <t>West Jordan</t>
  </si>
  <si>
    <t>Utah</t>
  </si>
  <si>
    <t>Fellowes Super Stor/Drawer</t>
  </si>
  <si>
    <t>Aug</t>
  </si>
  <si>
    <t>Zuschuss Donatelli</t>
  </si>
  <si>
    <t>San Francisco</t>
  </si>
  <si>
    <t>Newell 341</t>
  </si>
  <si>
    <t>Cisco SPA 501G IP Phone</t>
  </si>
  <si>
    <t>Wilson Jones Hanging View Binder, White, 1"</t>
  </si>
  <si>
    <t>Ken Black</t>
  </si>
  <si>
    <t>Fremont</t>
  </si>
  <si>
    <t>Nebraska</t>
  </si>
  <si>
    <t>Newell 318</t>
  </si>
  <si>
    <t>Acco Six-Outlet Power Strip, 4' Cord Length</t>
  </si>
  <si>
    <t>Jul</t>
  </si>
  <si>
    <t>Sandra Flanagan</t>
  </si>
  <si>
    <t>Philadelphia</t>
  </si>
  <si>
    <t>Pennsylvania</t>
  </si>
  <si>
    <t>East</t>
  </si>
  <si>
    <t>Global Deluxe Stacking Chair, Gray</t>
  </si>
  <si>
    <t>Sep</t>
  </si>
  <si>
    <t>Emily Burns</t>
  </si>
  <si>
    <t>Orem</t>
  </si>
  <si>
    <t>Jan</t>
  </si>
  <si>
    <t>Eric Hoffmann</t>
  </si>
  <si>
    <t>Wilson Jones Active Use Binders</t>
  </si>
  <si>
    <t>Accessories</t>
  </si>
  <si>
    <t>Imation 8GB Mini TravelDrive USB 2.0 Flash Drive</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</si>
  <si>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</si>
  <si>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</si>
  <si>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</si>
  <si>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</si>
  <si>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</si>
  <si>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</si>
  <si>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</si>
  <si>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</si>
  <si>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</si>
  <si>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</si>
  <si>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Houston</t>
  </si>
  <si>
    <t>Staples</t>
  </si>
  <si>
    <t>First Class</t>
  </si>
  <si>
    <t>Gene Hale</t>
  </si>
  <si>
    <t>Richardson</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</si>
  <si>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</si>
  <si>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</si>
  <si>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</si>
  <si>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</si>
  <si>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</si>
  <si>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</si>
  <si>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</si>
  <si>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</si>
  <si>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Naperville</t>
  </si>
  <si>
    <t>Illinois</t>
  </si>
  <si>
    <t>Panasonic Kx-TS550</t>
  </si>
  <si>
    <t>Ruben Ausman</t>
  </si>
  <si>
    <t>Eldon Base for stackable storage shelf, platinum</t>
  </si>
  <si>
    <t>Erin Smith</t>
  </si>
  <si>
    <t>Melbourne</t>
  </si>
  <si>
    <t>Advantus 10-Drawer Portable Organizer, Chrome Metal Frame, Smoke Drawers</t>
  </si>
  <si>
    <t>Mar</t>
  </si>
  <si>
    <t>Odella Nelson</t>
  </si>
  <si>
    <t>Eagan</t>
  </si>
  <si>
    <t>Minnesota</t>
  </si>
  <si>
    <t>Verbatim 25 GB 6x Blu-ray Single Layer Recordable Disc, 25/Pack</t>
  </si>
  <si>
    <t>Wilson Jones Leather-Like Binders with DublLock Round Rings</t>
  </si>
  <si>
    <t>Patrick O'Donnell</t>
  </si>
  <si>
    <t>Westland</t>
  </si>
  <si>
    <t>Michigan</t>
  </si>
  <si>
    <t>Gould Plastics 9-Pocket Panel Bin, 18-3/8w x 5-1/4d x 20-1/2h, Black</t>
  </si>
  <si>
    <t>Lena Hernandez</t>
  </si>
  <si>
    <t>Dover</t>
  </si>
  <si>
    <t>Delaware</t>
  </si>
  <si>
    <t>Imation 8gb Micro Traveldrive Usb 2.0 Flash Drive</t>
  </si>
  <si>
    <t>LF Elite 3D Dazzle Designer Hard Case Cover, Lf Stylus Pen and Wiper For Apple Iphone 5c Mini Lite</t>
  </si>
  <si>
    <t>Darren Powers</t>
  </si>
  <si>
    <t>New Albany</t>
  </si>
  <si>
    <t>Indiana</t>
  </si>
  <si>
    <t>C-Line Peel &amp; Stick Add-On Filing Pockets, 8-3/4 x 5-1/8, 10/Pack</t>
  </si>
  <si>
    <t>Avery 485</t>
  </si>
  <si>
    <t>Longer-Life Soft White Bulbs</t>
  </si>
  <si>
    <t>Global Leather Task Chair, Black</t>
  </si>
  <si>
    <t>Janet Molinari</t>
  </si>
  <si>
    <t>New York City</t>
  </si>
  <si>
    <t>New York</t>
  </si>
  <si>
    <t>Fasteners</t>
  </si>
  <si>
    <t>Advantus Push Pins</t>
  </si>
  <si>
    <t>AT&amp;T CL83451 4-Handset Telephone</t>
  </si>
  <si>
    <t>Ted Butterfield</t>
  </si>
  <si>
    <t>Troy</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</si>
  <si>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</si>
  <si>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</si>
  <si>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</si>
  <si>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</si>
  <si>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</si>
  <si>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</si>
  <si>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</si>
  <si>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</si>
  <si>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</si>
  <si>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</si>
  <si>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</si>
  <si>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</si>
  <si>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Chicago</t>
  </si>
  <si>
    <t>Global Value Mid-Back Manager's Chair, Gray</t>
  </si>
  <si>
    <t>Brendan Sweed</t>
  </si>
  <si>
    <t>Gilbert</t>
  </si>
  <si>
    <t>Arizona</t>
  </si>
  <si>
    <t>Hunt BOSTON Model 1606 High-Volume Electric Pencil Sharpener, Beige</t>
  </si>
  <si>
    <t>netTALK DUO VoIP Telephone Service</t>
  </si>
  <si>
    <t>Karen Daniels</t>
  </si>
  <si>
    <t>Springfield</t>
  </si>
  <si>
    <t>Virginia</t>
  </si>
  <si>
    <t>Snap-A-Way Black Print Carbonless Ruled Speed Letter, Triplicate</t>
  </si>
  <si>
    <t>Henry MacAllister</t>
  </si>
  <si>
    <t>Avery Binding System Hidden Tab Executive Style Index Sets</t>
  </si>
  <si>
    <t>Jackson</t>
  </si>
  <si>
    <t>Telephone Message Books with Fax/Mobile Section, 5 1/2" x 3 3/16"</t>
  </si>
  <si>
    <t>Joel Eaton</t>
  </si>
  <si>
    <t>Memphis</t>
  </si>
  <si>
    <t>Tennessee</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</si>
  <si>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</si>
  <si>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</si>
  <si>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</si>
  <si>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</si>
  <si>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</si>
  <si>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</si>
  <si>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</si>
  <si>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</si>
  <si>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</si>
  <si>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Decatur</t>
  </si>
  <si>
    <t>Alabama</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</si>
  <si>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</si>
  <si>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</si>
  <si>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</si>
  <si>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</si>
  <si>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</si>
  <si>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</si>
  <si>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Durham</t>
  </si>
  <si>
    <t>Jet-Pak Recycled Peel 'N' Seal Padded Mailers</t>
  </si>
  <si>
    <t>Christopher Schild</t>
  </si>
  <si>
    <t>Safco Industrial Wire Shelving</t>
  </si>
  <si>
    <t>Columbia</t>
  </si>
  <si>
    <t>South Carolina</t>
  </si>
  <si>
    <t>Novimex Swivel Fabric Task Chair</t>
  </si>
  <si>
    <t>Paul Gonzalez</t>
  </si>
  <si>
    <t>Rochester</t>
  </si>
  <si>
    <t>Logitech LS21 Speaker System - PC Multimedia - 2.1-CH - Wired</t>
  </si>
  <si>
    <t>Avery 511</t>
  </si>
  <si>
    <t>Gary Mitchum</t>
  </si>
  <si>
    <t>Eldon Portable Mobile Manager</t>
  </si>
  <si>
    <t>Jim Sink</t>
  </si>
  <si>
    <t>Turquoise Lead Holder with Pocket Clip</t>
  </si>
  <si>
    <t>Xerox 1995</t>
  </si>
  <si>
    <t>Karl Braun</t>
  </si>
  <si>
    <t>Minneapolis</t>
  </si>
  <si>
    <t>Xerox 1999</t>
  </si>
  <si>
    <t>Seth Thomas 13 1/2" Wall Clock</t>
  </si>
  <si>
    <t>Ibico Standard Transparent Covers</t>
  </si>
  <si>
    <t>Roger Barcio</t>
  </si>
  <si>
    <t>Portland</t>
  </si>
  <si>
    <t>Oregon</t>
  </si>
  <si>
    <t>Flexible Leather- Look Classic Collection Ring Binder</t>
  </si>
  <si>
    <t>Parhena Norris</t>
  </si>
  <si>
    <t>9-3/4 Diameter Round Wall Clock</t>
  </si>
  <si>
    <t>Katherine Ducich</t>
  </si>
  <si>
    <t>Trimflex Flexible Post Binders</t>
  </si>
  <si>
    <t>Elpida Rittenbach</t>
  </si>
  <si>
    <t>Saint Paul</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</si>
  <si>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</si>
  <si>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</si>
  <si>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</si>
  <si>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</si>
  <si>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</si>
  <si>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</si>
  <si>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</si>
  <si>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</si>
  <si>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Aurora</t>
  </si>
  <si>
    <t>Colorado</t>
  </si>
  <si>
    <t>Logitech K350 2.4Ghz Wireless Keyboard</t>
  </si>
  <si>
    <t>Deflect-o DuraMat Lighweight, Studded, Beveled Mat for Low Pile Carpeting</t>
  </si>
  <si>
    <t>Avery Trapezoid Ring Binder, 3" Capacity, Black, 1040 sheets</t>
  </si>
  <si>
    <t>Janet Martin</t>
  </si>
  <si>
    <t>Charlotte</t>
  </si>
  <si>
    <t>Memorex Mini Travel Drive 8 GB USB 2.0 Flash Drive</t>
  </si>
  <si>
    <t>Speck Products Candyshell Flip Case</t>
  </si>
  <si>
    <t>Newell Chalk Holder</t>
  </si>
  <si>
    <t>Pete Armstrong</t>
  </si>
  <si>
    <t>Orland Park</t>
  </si>
  <si>
    <t>Logitech Gaming G510s - Keyboard</t>
  </si>
  <si>
    <t>Cynthia Voltz</t>
  </si>
  <si>
    <t>Magnifier Swing Arm Lamp</t>
  </si>
  <si>
    <t>Clay Ludtke</t>
  </si>
  <si>
    <t>Urbandale</t>
  </si>
  <si>
    <t>Iowa</t>
  </si>
  <si>
    <t>Hunt PowerHouse Electric Pencil Sharpener, Blue</t>
  </si>
  <si>
    <t>Avery Durable Plastic 1" Binders</t>
  </si>
  <si>
    <t>Ryan Crowe</t>
  </si>
  <si>
    <t>Columbus</t>
  </si>
  <si>
    <t>Ohio</t>
  </si>
  <si>
    <t>OIC Colored Binder Clips, Assorted Sizes</t>
  </si>
  <si>
    <t>Redi-Strip #10 Envelopes, 4 1/8 x 9 1/2</t>
  </si>
  <si>
    <t>Xerox 1921</t>
  </si>
  <si>
    <t>Tyvek  Top-Opening Peel &amp; Seel Envelopes, Plain White</t>
  </si>
  <si>
    <t>Dave Kipp</t>
  </si>
  <si>
    <t>Hon Racetrack Conference Tables</t>
  </si>
  <si>
    <t>Greg Guthrie</t>
  </si>
  <si>
    <t>Bristol</t>
  </si>
  <si>
    <t>GBC DocuBind 300 Electric Binding Machine</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</si>
  <si>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</si>
  <si>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</si>
  <si>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</si>
  <si>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</si>
  <si>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</si>
  <si>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</si>
  <si>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</si>
  <si>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</si>
  <si>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</si>
  <si>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Bloomington</t>
  </si>
  <si>
    <t>Bevis 44 x 96 Conference Tables</t>
  </si>
  <si>
    <t>Troy Staebel</t>
  </si>
  <si>
    <t>Phoenix</t>
  </si>
  <si>
    <t>Avery Durable Slant Ring Binders, No Labels</t>
  </si>
  <si>
    <t>Trav-L-File Heavy-Duty Shuttle II, Black</t>
  </si>
  <si>
    <t>Lindsay Shagiari</t>
  </si>
  <si>
    <t>Global Task Chair, Black</t>
  </si>
  <si>
    <t>Eldon Cleatmat Plus Chair Mats for High Pile Carpets</t>
  </si>
  <si>
    <t>Feb</t>
  </si>
  <si>
    <t>Dorothy Wardle</t>
  </si>
  <si>
    <t>Anker 36W 4-Port USB Wall Charger Travel Power Adapter for iPhone 5s 5c 5</t>
  </si>
  <si>
    <t>Xerox 1916</t>
  </si>
  <si>
    <t>Lena Creighton</t>
  </si>
  <si>
    <t>Roseville</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</si>
  <si>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</si>
  <si>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</si>
  <si>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</si>
  <si>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</si>
  <si>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</si>
  <si>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</si>
  <si>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</si>
  <si>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</si>
  <si>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</si>
  <si>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</si>
  <si>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</si>
  <si>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</si>
  <si>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</si>
  <si>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Independence</t>
  </si>
  <si>
    <t>Missouri</t>
  </si>
  <si>
    <t>Sanyo 2.5 Cubic Foot Mid-Size Office Refrigerators</t>
  </si>
  <si>
    <t>Helen Andreada</t>
  </si>
  <si>
    <t>Pasadena</t>
  </si>
  <si>
    <t>Maureen Gastineau</t>
  </si>
  <si>
    <t>Newark</t>
  </si>
  <si>
    <t>Seth Thomas 14" Putty-Colored Wall Clock</t>
  </si>
  <si>
    <t>Justin Ellison</t>
  </si>
  <si>
    <t>Franklin</t>
  </si>
  <si>
    <t>Plantronics Cordless Phone Headset with In-line Volume - M214C</t>
  </si>
  <si>
    <t>Anker Astro 15000mAh USB Portable Charger</t>
  </si>
  <si>
    <t>GBC Prestige Therm-A-Bind Covers</t>
  </si>
  <si>
    <t>Tamara Willingham</t>
  </si>
  <si>
    <t>Scottsdale</t>
  </si>
  <si>
    <t>Belkin 7 Outlet SurgeMaster Surge Protector with Phone Protection</t>
  </si>
  <si>
    <t>Jabra BIZ 2300 Duo QD Duo Corded Headset</t>
  </si>
  <si>
    <t>Stephanie Phelps</t>
  </si>
  <si>
    <t>San Jose</t>
  </si>
  <si>
    <t>Southworth 25% Cotton Antique Laid Paper &amp; Envelopes</t>
  </si>
  <si>
    <t>Xerox 1883</t>
  </si>
  <si>
    <t>Tenex Personal Project File with Scoop Front Design, Black</t>
  </si>
  <si>
    <t>Neil Knudson</t>
  </si>
  <si>
    <t>Newell 311</t>
  </si>
  <si>
    <t>Dave Brooks</t>
  </si>
  <si>
    <t>Nora Paige</t>
  </si>
  <si>
    <t>Edmond</t>
  </si>
  <si>
    <t>Oklahoma</t>
  </si>
  <si>
    <t>Avery 519</t>
  </si>
  <si>
    <t>Avaya 5420 Digital phone</t>
  </si>
  <si>
    <t>Ted Trevino</t>
  </si>
  <si>
    <t>Xerox 1920</t>
  </si>
  <si>
    <t>Eric Murdock</t>
  </si>
  <si>
    <t>Lenovo 17-Key USB Numeric Keypad</t>
  </si>
  <si>
    <t>Ruben Dartt</t>
  </si>
  <si>
    <t>Carlsbad</t>
  </si>
  <si>
    <t>New Mexico</t>
  </si>
  <si>
    <t>Max Jones</t>
  </si>
  <si>
    <t>Wilson Jones International Size A4 Ring Binders</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</si>
  <si>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</si>
  <si>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</si>
  <si>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</si>
  <si>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</si>
  <si>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</si>
  <si>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</si>
  <si>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</si>
  <si>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</si>
  <si>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</si>
  <si>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</si>
  <si>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</si>
  <si>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</si>
  <si>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</si>
  <si>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</si>
  <si>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</si>
  <si>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</si>
  <si>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</si>
  <si>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</si>
  <si>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</si>
  <si>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</si>
  <si>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</si>
  <si>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</si>
  <si>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</si>
  <si>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</si>
  <si>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</si>
  <si>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Imation Secure+ Hardware Encrypted USB 2.0 Flash Drive; 16GB</t>
  </si>
  <si>
    <t>Robert Marley</t>
  </si>
  <si>
    <t>Monroe</t>
  </si>
  <si>
    <t>Louisiana</t>
  </si>
  <si>
    <t>AT&amp;T TR1909W</t>
  </si>
  <si>
    <t>Nokia Lumia 521 (T-Mobile)</t>
  </si>
  <si>
    <t>HP Standard 104 key PS/2 Keyboard</t>
  </si>
  <si>
    <t>Sally Knutson</t>
  </si>
  <si>
    <t>Fairfield</t>
  </si>
  <si>
    <t>Connecticut</t>
  </si>
  <si>
    <t>Avery Poly Binder Pockets</t>
  </si>
  <si>
    <t>Frank Merwin</t>
  </si>
  <si>
    <t>SanDisk Ultra 32 GB MicroSDHC Class 10 Memory Card</t>
  </si>
  <si>
    <t>Alice McCarthy</t>
  </si>
  <si>
    <t>Grand Prairie</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</si>
  <si>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</si>
  <si>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</si>
  <si>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</si>
  <si>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</si>
  <si>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</si>
  <si>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</si>
  <si>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</si>
  <si>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Redlands</t>
  </si>
  <si>
    <t>Cassandra Brandow</t>
  </si>
  <si>
    <t>Hamilton</t>
  </si>
  <si>
    <t>Binney &amp; Smith Crayola Metallic Colored Pencils, 8-Color Set</t>
  </si>
  <si>
    <t>Binney &amp; Smith inkTank Erasable Desk Highlighter, Chisel Tip, Yellow, 12/Box</t>
  </si>
  <si>
    <t>Valerie Mitchum</t>
  </si>
  <si>
    <t>Westfield</t>
  </si>
  <si>
    <t>New Jersey</t>
  </si>
  <si>
    <t>Decoflex Hanging Personal Folder File</t>
  </si>
  <si>
    <t>Fred Hopkins</t>
  </si>
  <si>
    <t>Pressboard Covers with Storage Hooks, 9 1/2" x 11", Light Blue</t>
  </si>
  <si>
    <t>Wirebound Message Books, 5-1/2 x 4 Forms, 2 or 4 Forms per Page</t>
  </si>
  <si>
    <t>Maria Bertelson</t>
  </si>
  <si>
    <t>Akron</t>
  </si>
  <si>
    <t>Southworth 25% Cotton Linen-Finish Paper &amp; Envelopes</t>
  </si>
  <si>
    <t>Bruce Stewart</t>
  </si>
  <si>
    <t>Denver</t>
  </si>
  <si>
    <t>BoxOffice By Design Rectangular and Half-Moon Meeting Room Tables</t>
  </si>
  <si>
    <t>Bravo II Megaboss 12-Amp Hard Body Upright, Replacement Belts, 2 Belts per Pack</t>
  </si>
  <si>
    <t>Logan Currie</t>
  </si>
  <si>
    <t>Dallas</t>
  </si>
  <si>
    <t>Eureka Sanitaire  Commercial Upright</t>
  </si>
  <si>
    <t>Heather Kirkland</t>
  </si>
  <si>
    <t>Eldon 200 Class Desk Accessories, Burgundy</t>
  </si>
  <si>
    <t>Laurel Elliston</t>
  </si>
  <si>
    <t>Whittier</t>
  </si>
  <si>
    <t>Nortel Business Series Terminal T7208 Digital phone</t>
  </si>
  <si>
    <t>Joseph Holt</t>
  </si>
  <si>
    <t>Saginaw</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</si>
  <si>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</si>
  <si>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</si>
  <si>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</si>
  <si>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</si>
  <si>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</si>
  <si>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</si>
  <si>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</si>
  <si>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Medina</t>
  </si>
  <si>
    <t>Avery 505</t>
  </si>
  <si>
    <t>O'Sullivan 2-Door Barrister Bookcase in Odessa Pine</t>
  </si>
  <si>
    <t>Cisco 9971 IP Video Phone Charcoal</t>
  </si>
  <si>
    <t>Sony Micro Vault Click 16 GB USB 2.0 Flash Drive</t>
  </si>
  <si>
    <t>Jonathan Howell</t>
  </si>
  <si>
    <t>Adtran 1202752G1</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</si>
  <si>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</si>
  <si>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</si>
  <si>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</si>
  <si>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</si>
  <si>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</si>
  <si>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</si>
  <si>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</si>
  <si>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</si>
  <si>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Detroit</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</si>
  <si>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</si>
  <si>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</si>
  <si>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</si>
  <si>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</si>
  <si>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</si>
  <si>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</si>
  <si>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</si>
  <si>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</si>
  <si>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</si>
  <si>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</si>
  <si>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</si>
  <si>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</si>
  <si>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</si>
  <si>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David Bremer</t>
  </si>
  <si>
    <t>Santa Clara</t>
  </si>
  <si>
    <t>Xerox 4200 Series MultiUse Premium Copy Paper (20Lb. and 84 Bright)</t>
  </si>
  <si>
    <t>Ken Lonsdale</t>
  </si>
  <si>
    <t>Xerox 1957</t>
  </si>
  <si>
    <t>Luxo Professional Fluorescent Magnifier Lamp with Clamp-Mount Base</t>
  </si>
  <si>
    <t>PureGear Roll-On Screen Protector</t>
  </si>
  <si>
    <t>KI Conference Tables</t>
  </si>
  <si>
    <t>Eldon 100 Class Desk Accessories</t>
  </si>
  <si>
    <t>Dianna Wilson</t>
  </si>
  <si>
    <t>Lakeville</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</si>
  <si>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</si>
  <si>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</si>
  <si>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</si>
  <si>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</si>
  <si>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</si>
  <si>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</si>
  <si>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San Diego</t>
  </si>
  <si>
    <t>Wirebound Message Books, Two 4 1/4" x 5" Forms per Page</t>
  </si>
  <si>
    <t>Delfina Latchford</t>
  </si>
  <si>
    <t>Fellowes Personal Hanging Folder Files, Navy</t>
  </si>
  <si>
    <t>Tyvek Side-Opening Peel &amp; Seel Expanding Envelopes</t>
  </si>
  <si>
    <t>Dan Reichenbach</t>
  </si>
  <si>
    <t>Belkin 19" Vented Equipment Shelf, Black</t>
  </si>
  <si>
    <t>Logitech Mobile Speakerphone P710e - speaker phone</t>
  </si>
  <si>
    <t>Craig Carreira</t>
  </si>
  <si>
    <t>Sabrent 4-Port USB 2.0 Hub</t>
  </si>
  <si>
    <t>Safco Industrial Shelving</t>
  </si>
  <si>
    <t>Acco 3-Hole Punch</t>
  </si>
  <si>
    <t>Dorris liebe</t>
  </si>
  <si>
    <t>Eureka Disposable Bags for Sanitaire Vibra Groomer I Upright Vac</t>
  </si>
  <si>
    <t>Sean Braxton</t>
  </si>
  <si>
    <t>Xerox WorkCentre 6505DN Laser Multifunction Printer</t>
  </si>
  <si>
    <t>Roy Collins</t>
  </si>
  <si>
    <t>Cisco Small Business SPA 502G VoIP phone</t>
  </si>
  <si>
    <t>Alan Hwang</t>
  </si>
  <si>
    <t>Brentwood</t>
  </si>
  <si>
    <t>Microsoft Sculpt Comfort Mouse</t>
  </si>
  <si>
    <t>Claudia Bergmann</t>
  </si>
  <si>
    <t>Chapel Hill</t>
  </si>
  <si>
    <t>Quartet Omega Colored Chalk, 12/Pack</t>
  </si>
  <si>
    <t>Morristown</t>
  </si>
  <si>
    <t>Bagged Rubber Bands</t>
  </si>
  <si>
    <t>Christine Abelman</t>
  </si>
  <si>
    <t>Cincinnati</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</si>
  <si>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</si>
  <si>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</si>
  <si>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</si>
  <si>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</si>
  <si>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</si>
  <si>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</si>
  <si>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</si>
  <si>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</si>
  <si>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Inglewood</t>
  </si>
  <si>
    <t>Ampad Gold Fibre Wirebound Steno Books, 6" x 9", Gregg Ruled</t>
  </si>
  <si>
    <t>Newell 330</t>
  </si>
  <si>
    <t>Andrew Gjertsen</t>
  </si>
  <si>
    <t>Post-it “Important Message” Note Pad, Neon Colors, 50 Sheets/Pad</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</si>
  <si>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</si>
  <si>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</si>
  <si>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</si>
  <si>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</si>
  <si>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</si>
  <si>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</si>
  <si>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</si>
  <si>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</si>
  <si>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</si>
  <si>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</si>
  <si>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Tamarac</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</si>
  <si>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</si>
  <si>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</si>
  <si>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</si>
  <si>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</si>
  <si>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</si>
  <si>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</si>
  <si>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</si>
  <si>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</si>
  <si>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</si>
  <si>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</si>
  <si>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</si>
  <si>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</si>
  <si>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</si>
  <si>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</si>
  <si>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</si>
  <si>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</si>
  <si>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</si>
  <si>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</si>
  <si>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</si>
  <si>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</si>
  <si>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</si>
  <si>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Alan Schoenberger</t>
  </si>
  <si>
    <t>Electrix 20W Halogen Replacement Bulb for Zoom-In Desk Lamp</t>
  </si>
  <si>
    <t>Taylor</t>
  </si>
  <si>
    <t>Newell 350</t>
  </si>
  <si>
    <t>Corey Roper</t>
  </si>
  <si>
    <t>Lakewood</t>
  </si>
  <si>
    <t>GBC Clear Cover, 8-1/2 x 11, unpunched, 25 covers per pack</t>
  </si>
  <si>
    <t>Boston Heavy-Duty Trimline Electric Pencil Sharpeners</t>
  </si>
  <si>
    <t>Shahid Hopkins</t>
  </si>
  <si>
    <t>Arlington</t>
  </si>
  <si>
    <t>Faber Castell Col-Erase Pencils</t>
  </si>
  <si>
    <t>Ben Peterman</t>
  </si>
  <si>
    <t>Arvada</t>
  </si>
  <si>
    <t>C-Line Cubicle Keepers Polyproplyene Holder With Velcro Backings</t>
  </si>
  <si>
    <t>Hon 4070 Series Pagoda Armless Upholstered Stacking Chairs</t>
  </si>
  <si>
    <t>Eldon Expressions Desk Accessory, Wood Photo Frame, Mahogany</t>
  </si>
  <si>
    <t>Avery 509</t>
  </si>
  <si>
    <t>Thomas Seio</t>
  </si>
  <si>
    <t>Hackensack</t>
  </si>
  <si>
    <t>Deflect-o SuperTray Unbreakable Stackable Tray, Letter, Black</t>
  </si>
  <si>
    <t>Andy Gerbode</t>
  </si>
  <si>
    <t>Saint Petersburg</t>
  </si>
  <si>
    <t>AT&amp;T 1070 Corded Phone</t>
  </si>
  <si>
    <t>Xerox 21</t>
  </si>
  <si>
    <t>Sung Pak</t>
  </si>
  <si>
    <t>Boston School Pro Electric Pencil Sharpener, 1670</t>
  </si>
  <si>
    <t>Nathan Mautz</t>
  </si>
  <si>
    <t>DMI Arturo Collection Mission-style Design Wood Chair</t>
  </si>
  <si>
    <t>Canon imageCLASS MF7460 Monochrome Digital Laser Multifunction Copier</t>
  </si>
  <si>
    <t>NETGEAR N750 Dual Band Wi-Fi Gigabit Router</t>
  </si>
  <si>
    <t>Frank Atkinson</t>
  </si>
  <si>
    <t>Long Beach</t>
  </si>
  <si>
    <t>OIC Binder Clips</t>
  </si>
  <si>
    <t>Grace Kelly</t>
  </si>
  <si>
    <t>Hesperia</t>
  </si>
  <si>
    <t>Logitech Wireless Headset h800</t>
  </si>
  <si>
    <t>Don Jones</t>
  </si>
  <si>
    <t>Murfreesboro</t>
  </si>
  <si>
    <t>Telescoping Adjustable Floor Lamp</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</si>
  <si>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</si>
  <si>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</si>
  <si>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</si>
  <si>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</si>
  <si>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</si>
  <si>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</si>
  <si>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John Lucas</t>
  </si>
  <si>
    <t>AT&amp;T 841000 Phone</t>
  </si>
  <si>
    <t>Ibico Recycled Grain-Textured Covers</t>
  </si>
  <si>
    <t>Wilson Jones Custom Binder Spines &amp; Labels</t>
  </si>
  <si>
    <t>Doug Bickford</t>
  </si>
  <si>
    <t>Storex Dura Pro Binders</t>
  </si>
  <si>
    <t>Copiers</t>
  </si>
  <si>
    <t>Hewlett Packard LaserJet 3310 Copier</t>
  </si>
  <si>
    <t>Avery Non-Stick Binders</t>
  </si>
  <si>
    <t>Alyssa Crouse</t>
  </si>
  <si>
    <t>Tuff Stuff Recycled Round Ring Binders</t>
  </si>
  <si>
    <t>Hon 5100 Series Wood Tables</t>
  </si>
  <si>
    <t>Layton</t>
  </si>
  <si>
    <t>OIC Binder Clips, Mini, 1/4" Capacity, Black</t>
  </si>
  <si>
    <t>Newell 314</t>
  </si>
  <si>
    <t>Square Credit Card Reader, 4 1/2" x 4 1/2" x 1", White</t>
  </si>
  <si>
    <t>Austin</t>
  </si>
  <si>
    <t>Clay Cheatham</t>
  </si>
  <si>
    <t>Tamara Dahlen</t>
  </si>
  <si>
    <t>Lowell</t>
  </si>
  <si>
    <t>Massachusetts</t>
  </si>
  <si>
    <t>BIC Brite Liner Highlighters, Chisel Tip</t>
  </si>
  <si>
    <t>Adam Bellavance</t>
  </si>
  <si>
    <t>Xerox 1881</t>
  </si>
  <si>
    <t>Acco Hanging Data Binders</t>
  </si>
  <si>
    <t>GBC DocuBind P400 Electric Binding System</t>
  </si>
  <si>
    <t>Jeremy Lonsdale</t>
  </si>
  <si>
    <t>Sauder Barrister Bookcases</t>
  </si>
  <si>
    <t>#10 Gummed Flap White Envelopes, 100/Box</t>
  </si>
  <si>
    <t>Dixon Prang Watercolor Pencils, 10-Color Set with Brush</t>
  </si>
  <si>
    <t>Adams Phone Message Book, 200 Message Capacity, 8 1/16” x 11”</t>
  </si>
  <si>
    <t>Victoria Brennan</t>
  </si>
  <si>
    <t>Georgia</t>
  </si>
  <si>
    <t>Belkin 8 Outlet SurgeMaster II Gold Surge Protector with Phone Protection</t>
  </si>
  <si>
    <t>Avery Address/Shipping Labels for Typewriters, 4" x 2"</t>
  </si>
  <si>
    <t>Katrina Willman</t>
  </si>
  <si>
    <t>Global Ergonomic Managers Chair</t>
  </si>
  <si>
    <t>Newell 333</t>
  </si>
  <si>
    <t>Eldon Wave Desk Accessories</t>
  </si>
  <si>
    <t>Julia Dunbar</t>
  </si>
  <si>
    <t>Same Day</t>
  </si>
  <si>
    <t>Michael Kennedy</t>
  </si>
  <si>
    <t>Manchester</t>
  </si>
  <si>
    <t>Wilson Jones “Snap” Scratch Pad Binder Tool for Ring Binders</t>
  </si>
  <si>
    <t>Pizazz Global Quick File</t>
  </si>
  <si>
    <t>Guy Thornton</t>
  </si>
  <si>
    <t>Harlingen</t>
  </si>
  <si>
    <t>Xerox 1930</t>
  </si>
  <si>
    <t>File Shuttle I and Handi-File</t>
  </si>
  <si>
    <t>Arthur Gainer</t>
  </si>
  <si>
    <t>Tucson</t>
  </si>
  <si>
    <t>NETGEAR AC1750 Dual Band Gigabit Smart WiFi Router</t>
  </si>
  <si>
    <t>Newell 324</t>
  </si>
  <si>
    <t>Microsoft Natural Keyboard Elite</t>
  </si>
  <si>
    <t>Muhammed MacIntyre</t>
  </si>
  <si>
    <t>Quincy</t>
  </si>
  <si>
    <t>Xerox 1960</t>
  </si>
  <si>
    <t>Allen Rosenblatt</t>
  </si>
  <si>
    <t>Office Impressions End Table, 20-1/2"H x 24"W x 20"D</t>
  </si>
  <si>
    <t>Russell Applegate</t>
  </si>
  <si>
    <t>Holmes Odor Grabber</t>
  </si>
  <si>
    <t>Akro-Mils 12-Gallon Tote</t>
  </si>
  <si>
    <t>GBC Twin Loop Wire Binding Elements, 9/16" Spine, Black</t>
  </si>
  <si>
    <t>Alejandro Savely</t>
  </si>
  <si>
    <t>Southworth Structures Collection</t>
  </si>
  <si>
    <t>Square Ring Data Binders, Rigid 75 Pt. Covers, 11" x 14-7/8"</t>
  </si>
  <si>
    <t>Laura Armstrong</t>
  </si>
  <si>
    <t>Sony 32GB Class 10 Micro SDHC R40 Memory Card</t>
  </si>
  <si>
    <t>Denny Ordway</t>
  </si>
  <si>
    <t>Pembroke Pines</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</si>
  <si>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</si>
  <si>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</si>
  <si>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</si>
  <si>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</si>
  <si>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</si>
  <si>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</si>
  <si>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</si>
  <si>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Mike Vittorini</t>
  </si>
  <si>
    <t>Angle-D Binders with Locking Rings, Label Holders</t>
  </si>
  <si>
    <t>Jack Garza</t>
  </si>
  <si>
    <t>Des Moines</t>
  </si>
  <si>
    <t>Nortel Meridian M3904 Professional Digital phone</t>
  </si>
  <si>
    <t>Canon PC1080F Personal Copier</t>
  </si>
  <si>
    <t>Bart Pistole</t>
  </si>
  <si>
    <t>Peoria</t>
  </si>
  <si>
    <t>Wilson Jones Century Plastic Molded Ring Binders</t>
  </si>
  <si>
    <t>Victor Preis</t>
  </si>
  <si>
    <t>Las Vegas</t>
  </si>
  <si>
    <t>Nevada</t>
  </si>
  <si>
    <t>Tuf-Vin Binders</t>
  </si>
  <si>
    <t>Saphhira Shifley</t>
  </si>
  <si>
    <t>Warwick</t>
  </si>
  <si>
    <t>Rhode Island</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</si>
  <si>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</si>
  <si>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</si>
  <si>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</si>
  <si>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</si>
  <si>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</si>
  <si>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</si>
  <si>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</si>
  <si>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Luke Foster</t>
  </si>
  <si>
    <t>Miami</t>
  </si>
  <si>
    <t>Xerox 1974</t>
  </si>
  <si>
    <t>Avery Hi-Liter EverBold Pen Style Fluorescent Highlighters, 4/Pack</t>
  </si>
  <si>
    <t>Roy Französisch</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</si>
  <si>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</si>
  <si>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</si>
  <si>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</si>
  <si>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</si>
  <si>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</si>
  <si>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</si>
  <si>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</si>
  <si>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</si>
  <si>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</si>
  <si>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</si>
  <si>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</si>
  <si>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Caroline Jumper</t>
  </si>
  <si>
    <t>Huntington Beach</t>
  </si>
  <si>
    <t>Bulldog Vacuum Base Pencil Sharpener</t>
  </si>
  <si>
    <t>Philip Brown</t>
  </si>
  <si>
    <t>Bevis Steel Folding Chairs</t>
  </si>
  <si>
    <t>Richmond</t>
  </si>
  <si>
    <t>Xerox 1987</t>
  </si>
  <si>
    <t>American Pencil</t>
  </si>
  <si>
    <t>White Envelopes, White Envelopes with Clear Poly Window</t>
  </si>
  <si>
    <t>Louisville</t>
  </si>
  <si>
    <t>KeyTronic 6101 Series - Keyboard - Black</t>
  </si>
  <si>
    <t>Michael Paige</t>
  </si>
  <si>
    <t>Lawrence</t>
  </si>
  <si>
    <t>Westinghouse Mesh Shade Clip-On Gooseneck Lamp, Black</t>
  </si>
  <si>
    <t>Crate-A-Files</t>
  </si>
  <si>
    <t>Natalie Fritzler</t>
  </si>
  <si>
    <t>Mississippi</t>
  </si>
  <si>
    <t>Hon Multipurpose Stacking Arm Chairs</t>
  </si>
  <si>
    <t>Canton</t>
  </si>
  <si>
    <t>Coloredge Poster Frame</t>
  </si>
  <si>
    <t>GBC VeloBinder Manual Binding System</t>
  </si>
  <si>
    <t>Shirley Daniels</t>
  </si>
  <si>
    <t>New Rochelle</t>
  </si>
  <si>
    <t>Epson WorkForce WF-2530 All-in-One Printer, Copier Scanner</t>
  </si>
  <si>
    <t>Ken Heidel</t>
  </si>
  <si>
    <t>Design Ebony Sketching Pencil</t>
  </si>
  <si>
    <t>Ross Baird</t>
  </si>
  <si>
    <t>Gastonia</t>
  </si>
  <si>
    <t>GBC ProClick 150 Presentation Binding System</t>
  </si>
  <si>
    <t>Woodgrain Magazine Files by Perma</t>
  </si>
  <si>
    <t>Letter Size Cart</t>
  </si>
  <si>
    <t>Mike Kennedy</t>
  </si>
  <si>
    <t>Jacksonville</t>
  </si>
  <si>
    <t>Insertable Tab Post Binder Dividers</t>
  </si>
  <si>
    <t>Belkin QODE FastFit Bluetooth Keyboard</t>
  </si>
  <si>
    <t>Philisse Overcash</t>
  </si>
  <si>
    <t>Canon Color ImageCLASS MF8580Cdw Wireless Laser All-In-One Printer, Copier, Scanner</t>
  </si>
  <si>
    <t>Brenda Bowman</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</si>
  <si>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</si>
  <si>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</si>
  <si>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</si>
  <si>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</si>
  <si>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</si>
  <si>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</si>
  <si>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</si>
  <si>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</si>
  <si>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Troy Blackwell</t>
  </si>
  <si>
    <t>GE General Purpose, Extra Long Life, Showcase &amp; Floodlight Incandescent Bulbs</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</si>
  <si>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</si>
  <si>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</si>
  <si>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</si>
  <si>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</si>
  <si>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</si>
  <si>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</si>
  <si>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</si>
  <si>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</si>
  <si>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Ed Braxton</t>
  </si>
  <si>
    <t>Deluxe Rollaway Locking File with Drawer</t>
  </si>
  <si>
    <t>Norman</t>
  </si>
  <si>
    <t>Memorex Mini Travel Drive 16 GB USB 2.0 Flash Drive</t>
  </si>
  <si>
    <t>Sanjit Chand</t>
  </si>
  <si>
    <t>Global Geo Office Task Chair, Gray</t>
  </si>
  <si>
    <t>Hon 4700 Series Mobuis Mid-Back Task Chairs with Adjustable Arms</t>
  </si>
  <si>
    <t>3M Office Air Cleaner</t>
  </si>
  <si>
    <t>Logitech G700s Rechargeable Gaming Mouse</t>
  </si>
  <si>
    <t>Acco D-Ring Binder w/DublLock</t>
  </si>
  <si>
    <t>Tanja Norvell</t>
  </si>
  <si>
    <t>Bush Advantage Collection Racetrack Conference Table</t>
  </si>
  <si>
    <t>Poly Designer Cover &amp; Back</t>
  </si>
  <si>
    <t>Premier Electric Letter Opener</t>
  </si>
  <si>
    <t>Fellowes Premier Superior Surge Suppressor, 10-Outlet, With Phone and Remote</t>
  </si>
  <si>
    <t>Joni Sundaresam</t>
  </si>
  <si>
    <t>Park Ridge</t>
  </si>
  <si>
    <t>Amarillo</t>
  </si>
  <si>
    <t>Bush Mission Pointe Library</t>
  </si>
  <si>
    <t>Cardinal Hold-It CD Pocket</t>
  </si>
  <si>
    <t>Maya Herman</t>
  </si>
  <si>
    <t>Lindenhurst</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</si>
  <si>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</si>
  <si>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</si>
  <si>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</si>
  <si>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</si>
  <si>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</si>
  <si>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</si>
  <si>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</si>
  <si>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</si>
  <si>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</si>
  <si>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Jeremy Ellison</t>
  </si>
  <si>
    <t>John Grady</t>
  </si>
  <si>
    <t>Prang Colored Pencils</t>
  </si>
  <si>
    <t>Fellowes Strictly Business Drawer File, Letter/Legal Size</t>
  </si>
  <si>
    <t>Xylona Preis</t>
  </si>
  <si>
    <t>Imation USB 2.0 Swivel Flash Drive USB flash drive - 4 GB - Pink</t>
  </si>
  <si>
    <t>Erin Mull</t>
  </si>
  <si>
    <t>Logitech G602 Wireless Gaming Mouse</t>
  </si>
  <si>
    <t>Michelle Tran</t>
  </si>
  <si>
    <t>Alphabetical Labels for Top Tab Filing</t>
  </si>
  <si>
    <t>O'Sullivan Living Dimensions 2-Shelf Bookcases</t>
  </si>
  <si>
    <t>iHome FM Clock Radio with Lightning Dock</t>
  </si>
  <si>
    <t>Sue Ann Reed</t>
  </si>
  <si>
    <t>Apple iPhone 5S</t>
  </si>
  <si>
    <t>Carl Weiss</t>
  </si>
  <si>
    <t>Huntsville</t>
  </si>
  <si>
    <t>Square Credit Card Reader</t>
  </si>
  <si>
    <t>Logitech M510 Wireless Mouse</t>
  </si>
  <si>
    <t>Astrea Jones</t>
  </si>
  <si>
    <t>Fellowes Officeware Wire Shelving</t>
  </si>
  <si>
    <t>Colored Envelopes</t>
  </si>
  <si>
    <t>Sonia Sunley</t>
  </si>
  <si>
    <t>Sony Micro Vault Click 8 GB USB 2.0 Flash Drive</t>
  </si>
  <si>
    <t>Rose O'Brian</t>
  </si>
  <si>
    <t>Balt Solid Wood Rectangular Table</t>
  </si>
  <si>
    <t>Maribeth Dona</t>
  </si>
  <si>
    <t>Fayetteville</t>
  </si>
  <si>
    <t>Arkansas</t>
  </si>
  <si>
    <t>Strathmore #10 Envelopes, Ultimate White</t>
  </si>
  <si>
    <t>Costa Mesa</t>
  </si>
  <si>
    <t>Clear Mylar Reinforcing Strips</t>
  </si>
  <si>
    <t>Howard Miller 14-1/2" Diameter Chrome Round Wall Clock</t>
  </si>
  <si>
    <t>Deflect-O Glasstique Clear Desk Accessories</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</si>
  <si>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</si>
  <si>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</si>
  <si>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</si>
  <si>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</si>
  <si>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</si>
  <si>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</si>
  <si>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</si>
  <si>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Christopher Martinez</t>
  </si>
  <si>
    <t>Atlanta</t>
  </si>
  <si>
    <t>Rogers Handheld Barrel Pencil Sharpener</t>
  </si>
  <si>
    <t>Newell 344</t>
  </si>
  <si>
    <t>Personal File Boxes with Fold-Down Carry Handle</t>
  </si>
  <si>
    <t>Fellowes PB500 Electric Punch Plastic Comb Binding Machine with Manual Bind</t>
  </si>
  <si>
    <t>Lynn Smith</t>
  </si>
  <si>
    <t>Gladstone</t>
  </si>
  <si>
    <t>Executive Impressions Supervisor Wall Clock</t>
  </si>
  <si>
    <t>SanDisk Cruzer 32 GB USB Flash Drive</t>
  </si>
  <si>
    <t>Bradley Nguyen</t>
  </si>
  <si>
    <t>Newell 327</t>
  </si>
  <si>
    <t>Newell 317</t>
  </si>
  <si>
    <t>Great Falls</t>
  </si>
  <si>
    <t>Montana</t>
  </si>
  <si>
    <t>Canon Image Class D660 Copier</t>
  </si>
  <si>
    <t>Advantus Rolling Storage Box</t>
  </si>
  <si>
    <t>Great White Multi-Use Recycled Paper (20Lb. and 84 Bright)</t>
  </si>
  <si>
    <t>Tennsco Single-Tier Lockers</t>
  </si>
  <si>
    <t>Dean Braden</t>
  </si>
  <si>
    <t>Carina Double Wide Media Storage Towers in Natural &amp; Black</t>
  </si>
  <si>
    <t>XtraLife ClearVue Slant-D Ring Binders by Cardinal</t>
  </si>
  <si>
    <t>Matt Connell</t>
  </si>
  <si>
    <t>Motorola HK250 Universal Bluetooth Headset</t>
  </si>
  <si>
    <t>Imation 16GB Mini TravelDrive USB 2.0 Flash Drive</t>
  </si>
  <si>
    <t>Brian Dahlen</t>
  </si>
  <si>
    <t>Patricia Hirasaki</t>
  </si>
  <si>
    <t>Lakeland</t>
  </si>
  <si>
    <t>Global Commerce Series High-Back Swivel/Tilt Chairs</t>
  </si>
  <si>
    <t>Mike Gockenbach</t>
  </si>
  <si>
    <t>Eldon Gobal File Keepers</t>
  </si>
  <si>
    <t>Martin Yale Chadless Opener Electric Letter Opener</t>
  </si>
  <si>
    <t>White Business Envelopes with Contemporary Seam, Recycled White Business Envelopes</t>
  </si>
  <si>
    <t>Karen Bern</t>
  </si>
  <si>
    <t>Safco Contoured Stacking Chairs</t>
  </si>
  <si>
    <t>Jasper Cacioppo</t>
  </si>
  <si>
    <t>Tenex Chairmats For Use With Carpeted Floors</t>
  </si>
  <si>
    <t>Rob Lucas</t>
  </si>
  <si>
    <t>Montgomery</t>
  </si>
  <si>
    <t>Panasonic KX-TG9471B</t>
  </si>
  <si>
    <t>Allen Armold</t>
  </si>
  <si>
    <t>Mesa</t>
  </si>
  <si>
    <t>Sterilite Officeware Hinged File Box</t>
  </si>
  <si>
    <t>Emily Phan</t>
  </si>
  <si>
    <t>Premier Elliptical Ring Binder, Black</t>
  </si>
  <si>
    <t>Cardinal Poly Pocket Divider Pockets for Ring Binders</t>
  </si>
  <si>
    <t>Darren Koutras</t>
  </si>
  <si>
    <t>Eureka The Boss Cordless Rechargeable Stick Vac</t>
  </si>
  <si>
    <t>Situations Contoured Folding Chairs, 4/Set</t>
  </si>
  <si>
    <t>Bradley Drucker</t>
  </si>
  <si>
    <t>Green Bay</t>
  </si>
  <si>
    <t>Enermax Aurora Lite Keyboard</t>
  </si>
  <si>
    <t>LG Electronics Tone+ HBS-730 Bluetooth Headset</t>
  </si>
  <si>
    <t>Liz MacKendrick</t>
  </si>
  <si>
    <t>SanDisk Cruzer 64 GB USB Flash Drive</t>
  </si>
  <si>
    <t>Xblue XB-1670-86 X16 Small Office Telephone - Titanium</t>
  </si>
  <si>
    <t>Deflect-o EconoMat Studded, No Bevel Mat for Low Pile Carpeting</t>
  </si>
  <si>
    <t>Adrian Shami</t>
  </si>
  <si>
    <t>Avery Printable Repositionable Plastic Tabs</t>
  </si>
  <si>
    <t>Xerox 1898</t>
  </si>
  <si>
    <t>Bill Donatelli</t>
  </si>
  <si>
    <t>HON 5400 Series Task Chairs for Big and Tall</t>
  </si>
  <si>
    <t>Howard Miller 11-1/2" Diameter Grantwood Wall Clock</t>
  </si>
  <si>
    <t>Greg Tran</t>
  </si>
  <si>
    <t>Advantus T-Pin Paper Clips</t>
  </si>
  <si>
    <t>Anaheim</t>
  </si>
  <si>
    <t>Tennsco 16-Compartment Lockers with Coat Rack</t>
  </si>
  <si>
    <t>Ashley Jarboe</t>
  </si>
  <si>
    <t>Zebra Zazzle Fluorescent Highlighters</t>
  </si>
  <si>
    <t>Olvera Toch</t>
  </si>
  <si>
    <t>Avery 473</t>
  </si>
  <si>
    <t>Bretford “Just In Time” Height-Adjustable Multi-Task Work Tables</t>
  </si>
  <si>
    <t>Xerox 226</t>
  </si>
  <si>
    <t>Liz Pelletier</t>
  </si>
  <si>
    <t>GBC Prepunched Paper, 19-Hole, for Binding Systems, 24-lb</t>
  </si>
  <si>
    <t>Cynthia Arntzen</t>
  </si>
  <si>
    <t>Sanitaire Vibra Groomer IR Commercial Upright Vacuum, Replacement Belts</t>
  </si>
  <si>
    <t>Advantus Panel Wall Acrylic Frame</t>
  </si>
  <si>
    <t>Jeremy Farry</t>
  </si>
  <si>
    <t>Alliance Big Bands Rubber Bands, 12/Pack</t>
  </si>
  <si>
    <t>Frank Preis</t>
  </si>
  <si>
    <t>Cisco SPA301</t>
  </si>
  <si>
    <t>Ellis Ballard</t>
  </si>
  <si>
    <t>Personal Creations Ink Jet Cards and Labels</t>
  </si>
  <si>
    <t>GBC White Gloss Covers, Plain Front</t>
  </si>
  <si>
    <t>Xerox 222</t>
  </si>
  <si>
    <t>Hon Every-Day Series Multi-Task Chairs</t>
  </si>
  <si>
    <t>Jennifer Ferguson</t>
  </si>
  <si>
    <t>Cush Cases Heavy Duty Rugged Cover Case for Samsung Galaxy S5 - Purple</t>
  </si>
  <si>
    <t>Sarah Foster</t>
  </si>
  <si>
    <t>Marysville</t>
  </si>
  <si>
    <t>Newell 332</t>
  </si>
  <si>
    <t>Trudy Glocke</t>
  </si>
  <si>
    <t>Rediform S.O.S. Phone Message Books</t>
  </si>
  <si>
    <t>Acme Value Line Scissors</t>
  </si>
  <si>
    <t>Carlos Soltero</t>
  </si>
  <si>
    <t>Contract Clock, 14", Brown</t>
  </si>
  <si>
    <t>Charles Crestani</t>
  </si>
  <si>
    <t>Martin-Yale Premier Letter Opener</t>
  </si>
  <si>
    <t>Dianna Vittorini</t>
  </si>
  <si>
    <t>AT&amp;T SB67148 SynJ</t>
  </si>
  <si>
    <t>Recycled Pressboard Report Cover with Reinforced Top Hinge</t>
  </si>
  <si>
    <t>Bruce Degenhardt</t>
  </si>
  <si>
    <t>Dot Matrix Printer Tape Reel Labels, White, 5000/Box</t>
  </si>
  <si>
    <t>Zuschuss Carroll</t>
  </si>
  <si>
    <t>Salem</t>
  </si>
  <si>
    <t>i.Sound Portable Power - 8000 mAh</t>
  </si>
  <si>
    <t>Xerox 225</t>
  </si>
  <si>
    <t>Xerox 1894</t>
  </si>
  <si>
    <t>Melanie Seite</t>
  </si>
  <si>
    <t>Laredo</t>
  </si>
  <si>
    <t>Newell 312</t>
  </si>
  <si>
    <t>Lena Radford</t>
  </si>
  <si>
    <t>Fellowes Superior 10 Outlet Split Surge Protector</t>
  </si>
  <si>
    <t>Dana Halogen Swing-Arm Architect Lamp</t>
  </si>
  <si>
    <t>Theone Pippenger</t>
  </si>
  <si>
    <t>Acme Stainless Steel Office Snips</t>
  </si>
  <si>
    <t>Chloris Kastensmidt</t>
  </si>
  <si>
    <t>Mophie Juice Pack Helium for iPhone</t>
  </si>
  <si>
    <t>GE 2-Jack Phone Line Splitter</t>
  </si>
  <si>
    <t>Alan Shonely</t>
  </si>
  <si>
    <t>Hot File 7-Pocket, Floor Stand</t>
  </si>
  <si>
    <t>Xerox 1889</t>
  </si>
  <si>
    <t>Andrew Roberts</t>
  </si>
  <si>
    <t>Angle-D Ring Binders</t>
  </si>
  <si>
    <t>Motorola L804</t>
  </si>
  <si>
    <t>Nona Balk</t>
  </si>
  <si>
    <t>Avery 493</t>
  </si>
  <si>
    <t>Giulietta Dortch</t>
  </si>
  <si>
    <t>Xerox 1972</t>
  </si>
  <si>
    <t>Cisco 8x8 Inc. 6753i IP Business Phone System</t>
  </si>
  <si>
    <t>Clytie Kelty</t>
  </si>
  <si>
    <t>Grove City</t>
  </si>
  <si>
    <t>Prestige Round Ring Binders</t>
  </si>
  <si>
    <t>Nat Gilpin</t>
  </si>
  <si>
    <t>DAX Metal Frame, Desktop, Stepped-Edge</t>
  </si>
  <si>
    <t>DAX Value U-Channel Document Frames, Easel Back</t>
  </si>
  <si>
    <t>Recycled Easel Ring Binders</t>
  </si>
  <si>
    <t>Grandstream GXP1160 VoIP phone</t>
  </si>
  <si>
    <t>Christina Anderson</t>
  </si>
  <si>
    <t>Cardinal Slant-D Ring Binder, Heavy Gauge Vinyl</t>
  </si>
  <si>
    <t>Sylvia Foulston</t>
  </si>
  <si>
    <t>Dearborn</t>
  </si>
  <si>
    <t>Global Manager's Adjustable Task Chair, Storm</t>
  </si>
  <si>
    <t>Honeywell Enviracaire Portable HEPA Air Cleaner for up to 10 x 16 Room</t>
  </si>
  <si>
    <t>Mini 13-1/2 Capacity Data Binder Rack, Pearl</t>
  </si>
  <si>
    <t>Meg O'Connel</t>
  </si>
  <si>
    <t>Master Caster Door Stop, Brown</t>
  </si>
  <si>
    <t>Annie Thurman</t>
  </si>
  <si>
    <t>Belkin Premiere Surge Master II 8-outlet surge protector</t>
  </si>
  <si>
    <t>Acco Pressboard Covers with Storage Hooks, 9 1/2" x 11", Executive Red</t>
  </si>
  <si>
    <t>Fred McMath</t>
  </si>
  <si>
    <t>Tennsco Regal Shelving Units</t>
  </si>
  <si>
    <t>Imation 32GB Pocket Pro USB 3.0 Flash Drive - 32 GB - Black - 1 P ...</t>
  </si>
  <si>
    <t>Jabra SPEAK 410</t>
  </si>
  <si>
    <t>Verbatim 25 GB 6x Blu-ray Single Layer Recordable Disc, 1/Pack</t>
  </si>
  <si>
    <t>Denny Joy</t>
  </si>
  <si>
    <t>Warner Robins</t>
  </si>
  <si>
    <t>Office Star - Mesh Screen back chair with Vinyl seat</t>
  </si>
  <si>
    <t>Max Engle</t>
  </si>
  <si>
    <t>Premium Transparent Presentation Covers by GBC</t>
  </si>
  <si>
    <t>Tripp Lite TLP810NET Broadband Surge for Modem/Fax</t>
  </si>
  <si>
    <t>Vallejo</t>
  </si>
  <si>
    <t>Wilson Jones Turn Tabs Binder Tool for Ring Binders</t>
  </si>
  <si>
    <t>Justin Deggeller</t>
  </si>
  <si>
    <t>Eldon 200 Class Desk Accessories</t>
  </si>
  <si>
    <t>John Lee</t>
  </si>
  <si>
    <t>Mission Viejo</t>
  </si>
  <si>
    <t>Economy Rollaway Files</t>
  </si>
  <si>
    <t>Avery 480</t>
  </si>
  <si>
    <t>Sean Christensen</t>
  </si>
  <si>
    <t>Rochester Hills</t>
  </si>
  <si>
    <t>Plainfield</t>
  </si>
  <si>
    <t>Xerox 1993</t>
  </si>
  <si>
    <t>Chuck Clark</t>
  </si>
  <si>
    <t>Eureka The Boss Plus 12-Amp Hard Box Upright Vacuum, Red</t>
  </si>
  <si>
    <t>Sierra Vista</t>
  </si>
  <si>
    <t>Belkin F9H710-06 7 Outlet SurgeMaster Surge Protector</t>
  </si>
  <si>
    <t>Anthony Rawles</t>
  </si>
  <si>
    <t>Vancouver</t>
  </si>
  <si>
    <t>First Data FD10 PIN Pad</t>
  </si>
  <si>
    <t>Steven Roelle</t>
  </si>
  <si>
    <t>Sony 16GB Class 10 Micro SDHC R40 Memory Card</t>
  </si>
  <si>
    <t>Craig Reiter</t>
  </si>
  <si>
    <t>Tripp Lite Isotel 8 Ultra 8 Outlet Metal Surge</t>
  </si>
  <si>
    <t>Avery Durable Poly Binders</t>
  </si>
  <si>
    <t>Airmail Envelopes</t>
  </si>
  <si>
    <t>Eugene Hildebrand</t>
  </si>
  <si>
    <t>Space Solutions Commercial Steel Shelving</t>
  </si>
  <si>
    <t>Sibella Parks</t>
  </si>
  <si>
    <t>Tiffany House</t>
  </si>
  <si>
    <t>Acme Tagit Stainless Steel Antibacterial Scissors</t>
  </si>
  <si>
    <t>ClearOne Communications CHAT 70 OC Speaker Phone</t>
  </si>
  <si>
    <t>Resi Pölking</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</si>
  <si>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</si>
  <si>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</si>
  <si>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</si>
  <si>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</si>
  <si>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</si>
  <si>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</si>
  <si>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Rob Beeghly</t>
  </si>
  <si>
    <t>Kensington 6 Outlet Guardian Standard Surge Protector</t>
  </si>
  <si>
    <t>Southworth 100% Résumé Paper, 24lb.</t>
  </si>
  <si>
    <t>Carol Darley</t>
  </si>
  <si>
    <t>Tyler</t>
  </si>
  <si>
    <t>Hoover Portapower Portable Vacuum</t>
  </si>
  <si>
    <t>Verbatim 25 GB 6x Blu-ray Single Layer Recordable Disc, 10/Pack</t>
  </si>
  <si>
    <t>Howard Miller 13-1/2" Diameter Rosebrook Wall Clock</t>
  </si>
  <si>
    <t>Ibico Hi-Tech Manual Binding System</t>
  </si>
  <si>
    <t>Doug Jacobs</t>
  </si>
  <si>
    <t>Avery Hanging File Binders</t>
  </si>
  <si>
    <t>Fellowes Neat Ideas Storage Cubes</t>
  </si>
  <si>
    <t>Grant Thornton</t>
  </si>
  <si>
    <t>Burlington</t>
  </si>
  <si>
    <t>Cubify CubeX 3D Printer Triple Head Print</t>
  </si>
  <si>
    <t>Michael Chen</t>
  </si>
  <si>
    <t>Avery 516</t>
  </si>
  <si>
    <t>Ralph Arnett</t>
  </si>
  <si>
    <t>Bush Andora Bookcase, Maple/Graphite Gray Finish</t>
  </si>
  <si>
    <t>Naresj Patel</t>
  </si>
  <si>
    <t>Waynesboro</t>
  </si>
  <si>
    <t>Luxo Professional Magnifying Clamp-On Fluorescent Lamps</t>
  </si>
  <si>
    <t>Recycled Eldon Regeneration Jumbo File</t>
  </si>
  <si>
    <t>Alan Barnes</t>
  </si>
  <si>
    <t>Imation Bio 8GB USB Flash Drive Imation Corp</t>
  </si>
  <si>
    <t>Xerox 1977</t>
  </si>
  <si>
    <t>Jesus Ocampo</t>
  </si>
  <si>
    <t>Chester</t>
  </si>
  <si>
    <t>Avery 490</t>
  </si>
  <si>
    <t>Avery 4027 File Folder Labels for Dot Matrix Printers, 5000 Labels per Box, White</t>
  </si>
  <si>
    <t>Binney &amp; Smith Crayola Metallic Crayons, 16-Color Pack</t>
  </si>
  <si>
    <t>GBC Linen Binding Covers</t>
  </si>
  <si>
    <t>United States</t>
  </si>
  <si>
    <t>Row Labels</t>
  </si>
  <si>
    <t>Grand Total</t>
  </si>
  <si>
    <t>Sum of Sales</t>
  </si>
  <si>
    <t>Sum of Quantity</t>
  </si>
  <si>
    <t>Sum of Profit</t>
  </si>
  <si>
    <t>DATE &amp; TIME FUNCTION</t>
  </si>
  <si>
    <t>Total Amount</t>
  </si>
  <si>
    <t>Today</t>
  </si>
  <si>
    <t>Now</t>
  </si>
  <si>
    <t>Eomonth</t>
  </si>
  <si>
    <t>Time Stamp</t>
  </si>
  <si>
    <t>WHAT IF ( Scenario Manager )</t>
  </si>
  <si>
    <t>Qty</t>
  </si>
  <si>
    <t>Unit Price</t>
  </si>
  <si>
    <t>WHAT IF ( Goal Seek )</t>
  </si>
  <si>
    <t>Column1</t>
  </si>
  <si>
    <t>Column2</t>
  </si>
  <si>
    <t>Column3</t>
  </si>
  <si>
    <t>Column4</t>
  </si>
  <si>
    <t>Mean</t>
  </si>
  <si>
    <t>Standard Error</t>
  </si>
  <si>
    <t>Median</t>
  </si>
  <si>
    <t>Mode</t>
  </si>
  <si>
    <t>Standard Deviation</t>
  </si>
  <si>
    <t>Sample Variance</t>
  </si>
  <si>
    <t>Kurtosis</t>
  </si>
  <si>
    <t>Skewness</t>
  </si>
  <si>
    <t>Range</t>
  </si>
  <si>
    <t>Minimum</t>
  </si>
  <si>
    <t>Maximum</t>
  </si>
  <si>
    <t>Sum</t>
  </si>
  <si>
    <t>Count</t>
  </si>
  <si>
    <t>VLOOK UP</t>
  </si>
  <si>
    <t>Sr No ( Data Validation )</t>
  </si>
  <si>
    <t>INDEX MATCH</t>
  </si>
  <si>
    <t>Customer Name ( Data Validation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</si>
</sst>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
    <numFmt numFmtId="165" formatCode="dd\-mm\-yyyy"/>
  </numFmts>
  <fonts count="5" x14ac:knownFonts="1">
    <font>
      <sz val="11"/>
      <color theme="1"/>
      <name val="Aptos Narrow"/>
      <family val="2"/>
      <scheme val="minor"/>
    </font>
    <font>
      <b/>
      <sz val="11"/>
      <color theme="1"/>
      <name val="Aptos Narrow"/>
      <family val="2"/>
      <scheme val="minor"/>
    </font>
    <font>
      <sz val="11"/>
      <color theme="1"/>
      <name val="Aptos Narrow"/>
      <family val="2"/>
      <scheme val="minor"/>
    </font>
    <font>
      <b/>
      <sz val="11"/>
      <color theme="1"/>
      <name val="Aptos Narrow"/>
      <scheme val="minor"/>
    </font>
    <font>
      <i/>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2" fillId="0" borderId="0" applyFont="0" applyFill="0" applyBorder="0" applyAlignment="0" applyProtection="0"/>
  </cellStyleXfs>
  <cellXfs count="36">
    <xf numFmtId="0" fontId="0" fillId="0" borderId="0" xfId="0"/>
    <xf numFmtId="0" fontId="0" fillId="0" borderId="0" xfId="0" applyAlignment="1">
      <alignment horizontal="left" vertical="top"/>
    </xf>
    <xf numFmtId="0" fontId="1" fillId="0" borderId="0" xfId="0" applyFont="1" applyAlignment="1">
      <alignment horizontal="left" vertical="top"/>
    </xf>
    <xf numFmtId="0" fontId="0" fillId="0" borderId="0" xfId="0" pivotButton="1"/>
    <xf numFmtId="0" fontId="0" fillId="0" borderId="0" xfId="0" applyAlignment="1">
      <alignment horizontal="left"/>
    </xf>
    <xf numFmtId="2" fontId="0" fillId="0" borderId="0" xfId="0" applyNumberFormat="1"/>
    <xf numFmtId="0" fontId="1" fillId="0" borderId="0" xfId="0" applyFont="1" applyAlignment="1">
      <alignment horizontal="center" vertical="center"/>
    </xf>
    <xf numFmtId="165" fontId="1" fillId="0" borderId="0" xfId="0" applyNumberFormat="1" applyFont="1" applyAlignment="1">
      <alignment horizontal="center" vertical="center"/>
    </xf>
    <xf numFmtId="49" fontId="1" fillId="0" borderId="0" xfId="0" applyNumberFormat="1" applyFont="1" applyAlignment="1">
      <alignment horizontal="center" vertical="center"/>
    </xf>
    <xf numFmtId="164" fontId="1" fillId="0" borderId="0" xfId="0" applyNumberFormat="1" applyFon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2" fontId="0" fillId="0" borderId="0" xfId="0" applyNumberFormat="1" applyAlignment="1">
      <alignment horizontal="center" vertical="center"/>
    </xf>
    <xf numFmtId="49" fontId="0" fillId="0" borderId="0" xfId="0" applyNumberFormat="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14" fontId="0" fillId="0" borderId="0" xfId="0" applyNumberFormat="1" applyAlignment="1">
      <alignment horizontal="center" vertical="center"/>
    </xf>
    <xf numFmtId="22" fontId="0" fillId="0" borderId="1" xfId="0" applyNumberFormat="1" applyBorder="1" applyAlignment="1">
      <alignment horizontal="center" vertical="center"/>
    </xf>
    <xf numFmtId="18" fontId="0" fillId="0" borderId="1" xfId="0" applyNumberFormat="1" applyBorder="1" applyAlignment="1">
      <alignment horizontal="center" vertical="center"/>
    </xf>
    <xf numFmtId="0" fontId="2" fillId="0" borderId="0" xfId="0" applyFont="1" applyAlignment="1">
      <alignment horizontal="center" vertical="center"/>
    </xf>
    <xf numFmtId="18" fontId="0" fillId="0" borderId="0" xfId="0" applyNumberFormat="1" applyAlignment="1">
      <alignment horizontal="center" vertical="center"/>
    </xf>
    <xf numFmtId="0" fontId="2" fillId="0" borderId="1" xfId="0" applyFont="1" applyBorder="1" applyAlignment="1">
      <alignment horizontal="center" vertical="center"/>
    </xf>
    <xf numFmtId="1" fontId="0" fillId="0" borderId="1" xfId="0" applyNumberFormat="1" applyBorder="1" applyAlignment="1">
      <alignment horizontal="center" vertical="center"/>
    </xf>
    <xf numFmtId="0" fontId="0" fillId="0" borderId="1" xfId="1" applyNumberFormat="1" applyFont="1" applyBorder="1" applyAlignment="1">
      <alignment horizontal="center" vertical="center"/>
    </xf>
    <xf numFmtId="9" fontId="2" fillId="0" borderId="1" xfId="0" applyNumberFormat="1" applyFont="1" applyBorder="1" applyAlignment="1">
      <alignment horizontal="center" vertical="center"/>
    </xf>
    <xf numFmtId="2" fontId="0" fillId="0" borderId="1" xfId="1" applyNumberFormat="1" applyFont="1" applyBorder="1" applyAlignment="1">
      <alignment horizontal="center" vertical="center"/>
    </xf>
    <xf numFmtId="10" fontId="0" fillId="0" borderId="0" xfId="0" applyNumberFormat="1" applyAlignment="1">
      <alignment horizontal="center" vertical="center"/>
    </xf>
    <xf numFmtId="9" fontId="0" fillId="0" borderId="1" xfId="1" applyFont="1" applyBorder="1" applyAlignment="1">
      <alignment horizontal="center" vertical="center"/>
    </xf>
    <xf numFmtId="0" fontId="0" fillId="0" borderId="2" xfId="0" applyBorder="1"/>
    <xf numFmtId="0" fontId="4" fillId="0" borderId="3" xfId="0" applyFont="1" applyBorder="1" applyAlignment="1">
      <alignment horizontal="center"/>
    </xf>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3" xfId="0" applyFont="1" applyBorder="1" applyAlignment="1">
      <alignment horizontal="center"/>
    </xf>
    <xf numFmtId="9" fontId="0" fillId="0" borderId="0" xfId="1" applyFont="1" applyAlignment="1">
      <alignment horizontal="left" vertical="top"/>
    </xf>
  </cellXfs>
  <cellStyles count="2">
    <cellStyle name="Normal" xfId="0" builtinId="0"/>
    <cellStyle name="Percent" xfId="1" builtinId="5"/>
  </cellStyles>
  <dxfs count="8">
    <dxf>
      <font>
        <b/>
        <sz val="11"/>
        <color theme="1"/>
      </font>
      <fill>
        <patternFill>
          <bgColor theme="0"/>
        </patternFill>
      </fill>
    </dxf>
    <dxf>
      <fill>
        <patternFill patternType="solid">
          <fgColor theme="0"/>
          <bgColor rgb="FF11111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11111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111111"/>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theme="4"/>
        </bottom>
        <vertical/>
        <horizontal/>
      </border>
    </dxf>
    <dxf>
      <font>
        <color theme="1"/>
      </font>
      <fill>
        <patternFill patternType="solid">
          <bgColor theme="1"/>
        </patternFill>
      </fill>
      <border diagonalUp="0" diagonalDown="0">
        <left/>
        <right/>
        <top/>
        <bottom/>
        <vertical/>
        <horizontal/>
      </border>
    </dxf>
  </dxfs>
  <tableStyles count="4" defaultTableStyle="TableStyleMedium2" defaultPivotStyle="PivotStyleLight16">
    <tableStyle name="SlicerStyleDark1 2" pivot="0" table="0" count="10" xr9:uid="{1ECB1477-2ED7-4419-A95D-E44C8A582739}">
      <tableStyleElement type="wholeTable" dxfId="7"/>
      <tableStyleElement type="headerRow" dxfId="6"/>
    </tableStyle>
    <tableStyle name="Timeline Style 1" pivot="0" table="0" count="8" xr9:uid="{83E0EB49-CEAE-4B82-BF9D-A718B10D4FD8}">
      <tableStyleElement type="wholeTable" dxfId="5"/>
      <tableStyleElement type="headerRow" dxfId="4"/>
    </tableStyle>
    <tableStyle name="Timeline Style 2" pivot="0" table="0" count="8" xr9:uid="{E5655F83-8167-46FA-91E1-DB1E777ED66C}">
      <tableStyleElement type="wholeTable" dxfId="3"/>
      <tableStyleElement type="headerRow" dxfId="2"/>
    </tableStyle>
    <tableStyle name="Timeline Style 3" pivot="0" table="0" count="8" xr9:uid="{F2D437A7-22C9-4D2D-856D-4AB0CF765C71}">
      <tableStyleElement type="wholeTable" dxfId="1"/>
      <tableStyleElement type="headerRow" dxfId="0"/>
    </tableStyle>
  </tableStyles>
  <colors>
    <mruColors>
      <color rgb="FF111111"/>
      <color rgb="FF66FFCC"/>
      <color rgb="FF66FF66"/>
      <color rgb="FFE5010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indexed="64"/>
              <bgColor theme="0"/>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auto="1"/>
          </font>
          <fill>
            <patternFill patternType="solid">
              <fgColor theme="4"/>
              <bgColor rgb="FF66FFCC"/>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none">
              <fgColor indexed="64"/>
              <bgColor auto="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8">
        <dxf>
          <fill>
            <patternFill patternType="solid">
              <fgColor theme="0" tint="-0.14999847407452621"/>
              <bgColor theme="0" tint="-0.14999847407452621"/>
            </patternFill>
          </fill>
        </dxf>
        <dxf>
          <fill>
            <patternFill patternType="solid">
              <fgColor theme="0"/>
              <bgColor rgb="FF92D050"/>
            </patternFill>
          </fill>
        </dxf>
        <dxf>
          <font>
            <sz val="9"/>
            <color theme="1" tint="0.499984740745262"/>
          </font>
        </dxf>
        <dxf>
          <font>
            <sz val="9"/>
            <color theme="1" tint="0.499984740745262"/>
          </font>
        </dxf>
        <dxf>
          <font>
            <sz val="9"/>
            <color theme="1" tint="0.499984740745262"/>
          </font>
        </dxf>
        <dxf>
          <font>
            <sz val="10"/>
            <color theme="0"/>
            <name val="Aptos Narrow"/>
            <family val="2"/>
            <scheme val="minor"/>
          </font>
        </dxf>
        <dxf>
          <fill>
            <patternFill patternType="solid">
              <fgColor theme="0" tint="-0.14999847407452621"/>
              <bgColor theme="0" tint="-0.14999847407452621"/>
            </patternFill>
          </fill>
        </dxf>
        <dxf>
          <fill>
            <patternFill patternType="solid">
              <fgColor theme="0"/>
              <bgColor rgb="FF66FF66"/>
            </patternFill>
          </fill>
        </dxf>
        <dxf>
          <font>
            <sz val="9"/>
            <color theme="1" tint="0.499984740745262"/>
          </font>
        </dxf>
        <dxf>
          <font>
            <sz val="9"/>
            <color theme="1" tint="0.499984740745262"/>
          </font>
        </dxf>
        <dxf>
          <font>
            <sz val="9"/>
            <color theme="0"/>
            <name val="Aptos Narrow"/>
            <family val="2"/>
            <scheme val="minor"/>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2">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[Meet_ExcelDashboard.xlsx]Pivot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0">
                <a:srgbClr val="66FFCC"/>
              </a:gs>
              <a:gs pos="100000">
                <a:srgbClr val="11111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a:gsLst>
                <a:gs pos="0">
                  <a:srgbClr val="66FFCC"/>
                </a:gs>
                <a:gs pos="100000">
                  <a:srgbClr val="111111"/>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0.00</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7F38-4102-9452-A534C758303A}"/>
            </c:ext>
          </c:extLst>
        </c:ser>
        <c:dLbls>
          <c:showLegendKey val="0"/>
          <c:showVal val="0"/>
          <c:showCatName val="0"/>
          <c:showSerName val="0"/>
          <c:showPercent val="0"/>
          <c:showBubbleSize val="0"/>
        </c:dLbls>
        <c:gapWidth val="219"/>
        <c:overlap val="-27"/>
        <c:axId val="208010224"/>
        <c:axId val="208007824"/>
      </c:barChart>
      <c:catAx>
        <c:axId val="208010224"/>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8007824"/>
        <c:crosses val="autoZero"/>
        <c:auto val="1"/>
        <c:lblAlgn val="ctr"/>
        <c:lblOffset val="100"/>
        <c:noMultiLvlLbl val="0"/>
      </c:catAx>
      <c:valAx>
        <c:axId val="208007824"/>
        <c:scaling>
          <c:orientation val="minMax"/>
        </c:scaling>
        <c:delete val="1"/>
        <c:axPos val="l"/>
        <c:numFmt formatCode="0.00" sourceLinked="1"/>
        <c:majorTickMark val="none"/>
        <c:minorTickMark val="none"/>
        <c:tickLblPos val="nextTo"/>
        <c:crossAx val="20801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[Meet_ExcelDashboard.xlsx]Pivot Table!PivotTable6</c:name>
    <c:fmtId val="11"/>
  </c:pivotSource>
  <c:chart>
    <c:title>
      <c:tx>
        <c:rich>
          <a:bodyPr rot="0" spcFirstLastPara="1" vertOverflow="ellipsis" vert="horz" wrap="square" anchor="ctr" anchorCtr="1"/>
          <a:lstStyle/>
          <a:p>
            <a:pPr algn="ctr" rtl="0">
              <a:defRPr lang="en-US" sz="1400" b="0" i="0" u="none" strike="noStrike" kern="1200" spc="0" baseline="0">
                <a:solidFill>
                  <a:schemeClr val="bg1"/>
                </a:solidFill>
                <a:latin typeface="+mn-lt"/>
                <a:ea typeface="+mn-ea"/>
                <a:cs typeface="+mn-cs"/>
              </a:defRPr>
            </a:pPr>
            <a:r>
              <a:rPr lang="en-US" sz="1400" b="0" i="0" u="none" strike="noStrike" kern="1200" spc="0" baseline="0">
                <a:solidFill>
                  <a:schemeClr val="bg1"/>
                </a:solidFill>
                <a:latin typeface="+mn-lt"/>
                <a:ea typeface="+mn-ea"/>
                <a:cs typeface="+mn-cs"/>
              </a:rPr>
              <a:t>Quantity sold</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gradFill>
              <a:gsLst>
                <a:gs pos="0">
                  <a:srgbClr val="E50101"/>
                </a:gs>
                <a:gs pos="100000">
                  <a:schemeClr val="accent1">
                    <a:lumMod val="30000"/>
                    <a:lumOff val="70000"/>
                  </a:schemeClr>
                </a:gs>
              </a:gsLst>
              <a:lin ang="5400000" scaled="1"/>
            </a:gradFill>
            <a:round/>
          </a:ln>
          <a:effectLst/>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gradFill>
              <a:gsLst>
                <a:gs pos="0">
                  <a:srgbClr val="E50101"/>
                </a:gs>
                <a:gs pos="100000">
                  <a:schemeClr val="accent1">
                    <a:lumMod val="30000"/>
                    <a:lumOff val="70000"/>
                  </a:schemeClr>
                </a:gs>
              </a:gsLst>
              <a:lin ang="5400000" scaled="1"/>
            </a:gradFill>
            <a:round/>
          </a:ln>
          <a:effectLst/>
        </c:spPr>
        <c:marker>
          <c:symbol val="none"/>
        </c:marker>
        <c:dLbl>
          <c:idx val="0"/>
          <c:layout>
            <c:manualLayout>
              <c:x val="0"/>
              <c:y val="-1.8627252183293631E-2"/>
            </c:manualLayout>
          </c:layout>
          <c:spPr>
            <a:solidFill>
              <a:schemeClr val="tx1">
                <a:lumMod val="95000"/>
                <a:lumOff val="5000"/>
              </a:schemeClr>
            </a:solidFill>
            <a:ln>
              <a:noFill/>
            </a:ln>
            <a:effectLst/>
          </c:spPr>
          <c:txPr>
            <a:bodyPr rot="0" spcFirstLastPara="1" vertOverflow="ellipsis" vert="horz" wrap="square" lIns="38100" tIns="19050" rIns="38100" bIns="19050" anchor="t" anchorCtr="0">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666203793285304E-2"/>
                  <c:h val="1.8557583326702567E-2"/>
                </c:manualLayout>
              </c15:layout>
            </c:ext>
          </c:extLst>
        </c:dLbl>
      </c:pivotFmt>
    </c:pivotFmts>
    <c:plotArea>
      <c:layout/>
      <c:lineChart>
        <c:grouping val="standard"/>
        <c:varyColors val="0"/>
        <c:ser>
          <c:idx val="0"/>
          <c:order val="0"/>
          <c:tx>
            <c:strRef>
              <c:f>'Pivot Table'!$Q$3</c:f>
              <c:strCache>
                <c:ptCount val="1"/>
                <c:pt idx="0">
                  <c:v>Total</c:v>
                </c:pt>
              </c:strCache>
            </c:strRef>
          </c:tx>
          <c:spPr>
            <a:ln w="38100" cap="rnd">
              <a:gradFill>
                <a:gsLst>
                  <a:gs pos="0">
                    <a:srgbClr val="E50101"/>
                  </a:gs>
                  <a:gs pos="100000">
                    <a:schemeClr val="accent1">
                      <a:lumMod val="30000"/>
                      <a:lumOff val="70000"/>
                    </a:schemeClr>
                  </a:gs>
                </a:gsLst>
                <a:lin ang="5400000" scaled="1"/>
              </a:gradFill>
              <a:round/>
            </a:ln>
            <a:effectLst/>
          </c:spPr>
          <c:marker>
            <c:symbol val="none"/>
          </c:marker>
          <c:dPt>
            <c:idx val="6"/>
            <c:marker>
              <c:symbol val="none"/>
            </c:marker>
            <c:bubble3D val="0"/>
            <c:spPr>
              <a:ln w="38100" cap="rnd">
                <a:gradFill>
                  <a:gsLst>
                    <a:gs pos="0">
                      <a:srgbClr val="E50101"/>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0-2FAA-4844-8842-BCA97EAE6184}"/>
              </c:ext>
            </c:extLst>
          </c:dPt>
          <c:dLbls>
            <c:dLbl>
              <c:idx val="6"/>
              <c:layout>
                <c:manualLayout>
                  <c:x val="0"/>
                  <c:y val="-1.8627252183293631E-2"/>
                </c:manualLayout>
              </c:layout>
              <c:spPr>
                <a:solidFill>
                  <a:schemeClr val="tx1">
                    <a:lumMod val="95000"/>
                    <a:lumOff val="5000"/>
                  </a:schemeClr>
                </a:solidFill>
                <a:ln>
                  <a:noFill/>
                </a:ln>
                <a:effectLst/>
              </c:spPr>
              <c:txPr>
                <a:bodyPr rot="0" spcFirstLastPara="1" vertOverflow="ellipsis" vert="horz" wrap="square" lIns="38100" tIns="19050" rIns="38100" bIns="19050" anchor="t" anchorCtr="0">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666203793285304E-2"/>
                      <c:h val="1.8557583326702567E-2"/>
                    </c:manualLayout>
                  </c15:layout>
                </c:ext>
                <c:ext xmlns:c16="http://schemas.microsoft.com/office/drawing/2014/chart" uri="{C3380CC4-5D6E-409C-BE32-E72D297353CC}">
                  <c16:uniqueId val="{00000000-2FAA-4844-8842-BCA97EAE6184}"/>
                </c:ext>
              </c:extLst>
            </c:dLbl>
            <c:spPr>
              <a:solidFill>
                <a:schemeClr val="tx1">
                  <a:lumMod val="95000"/>
                  <a:lumOff val="5000"/>
                </a:schemeClr>
              </a:solid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Table'!$Q$4:$Q$16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1"/>
          <c:extLst>
            <c:ext xmlns:c16="http://schemas.microsoft.com/office/drawing/2014/chart" uri="{C3380CC4-5D6E-409C-BE32-E72D297353CC}">
              <c16:uniqueId val="{00000000-7588-4651-A3D8-394E3F34F8F3}"/>
            </c:ext>
          </c:extLst>
        </c:ser>
        <c:dLbls>
          <c:showLegendKey val="0"/>
          <c:showVal val="0"/>
          <c:showCatName val="0"/>
          <c:showSerName val="0"/>
          <c:showPercent val="0"/>
          <c:showBubbleSize val="0"/>
        </c:dLbls>
        <c:smooth val="0"/>
        <c:axId val="1949616080"/>
        <c:axId val="1949616560"/>
      </c:lineChart>
      <c:catAx>
        <c:axId val="19496160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9616560"/>
        <c:crosses val="autoZero"/>
        <c:auto val="1"/>
        <c:lblAlgn val="ctr"/>
        <c:lblOffset val="100"/>
        <c:noMultiLvlLbl val="0"/>
      </c:catAx>
      <c:valAx>
        <c:axId val="1949616560"/>
        <c:scaling>
          <c:orientation val="minMax"/>
        </c:scaling>
        <c:delete val="1"/>
        <c:axPos val="l"/>
        <c:numFmt formatCode="General" sourceLinked="1"/>
        <c:majorTickMark val="none"/>
        <c:minorTickMark val="none"/>
        <c:tickLblPos val="nextTo"/>
        <c:crossAx val="194961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[Meet_ExcelDashboard.xlsx]Pivot Table!PivotTable8</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rgbClr val="E50101"/>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63500">
                      <a:srgbClr val="66FFCC">
                        <a:alpha val="40000"/>
                      </a:srgbClr>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gradFill>
              <a:gsLst>
                <a:gs pos="0">
                  <a:srgbClr val="E50101"/>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effectLst>
                    <a:glow rad="63500">
                      <a:srgbClr val="66FFCC">
                        <a:alpha val="40000"/>
                      </a:srgb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940680486649123"/>
                  <c:h val="0.11293667562498462"/>
                </c:manualLayout>
              </c15:layout>
            </c:ext>
          </c:extLst>
        </c:dLbl>
      </c:pivotFmt>
    </c:pivotFmts>
    <c:plotArea>
      <c:layout/>
      <c:radarChart>
        <c:radarStyle val="marker"/>
        <c:varyColors val="0"/>
        <c:ser>
          <c:idx val="0"/>
          <c:order val="0"/>
          <c:tx>
            <c:strRef>
              <c:f>'Pivot Table'!$W$3</c:f>
              <c:strCache>
                <c:ptCount val="1"/>
                <c:pt idx="0">
                  <c:v>Total</c:v>
                </c:pt>
              </c:strCache>
            </c:strRef>
          </c:tx>
          <c:spPr>
            <a:ln w="28575" cap="rnd">
              <a:gradFill>
                <a:gsLst>
                  <a:gs pos="0">
                    <a:srgbClr val="E50101"/>
                  </a:gs>
                  <a:gs pos="100000">
                    <a:schemeClr val="accent1">
                      <a:lumMod val="30000"/>
                      <a:lumOff val="70000"/>
                    </a:schemeClr>
                  </a:gs>
                </a:gsLst>
                <a:lin ang="5400000" scaled="1"/>
              </a:gradFill>
              <a:round/>
            </a:ln>
            <a:effectLst/>
          </c:spPr>
          <c:marker>
            <c:symbol val="none"/>
          </c:marker>
          <c:dPt>
            <c:idx val="0"/>
            <c:marker>
              <c:symbol val="none"/>
            </c:marker>
            <c:bubble3D val="0"/>
            <c:extLst>
              <c:ext xmlns:c16="http://schemas.microsoft.com/office/drawing/2014/chart" uri="{C3380CC4-5D6E-409C-BE32-E72D297353CC}">
                <c16:uniqueId val="{00000000-1642-45FA-8F0B-2BB873880976}"/>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effectLst>
                        <a:glow rad="63500">
                          <a:srgbClr val="66FFCC">
                            <a:alpha val="40000"/>
                          </a:srgb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940680486649123"/>
                      <c:h val="0.11293667562498462"/>
                    </c:manualLayout>
                  </c15:layout>
                </c:ext>
                <c:ext xmlns:c16="http://schemas.microsoft.com/office/drawing/2014/chart" uri="{C3380CC4-5D6E-409C-BE32-E72D297353CC}">
                  <c16:uniqueId val="{00000000-1642-45FA-8F0B-2BB8738809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63500">
                        <a:srgbClr val="66FFCC">
                          <a:alpha val="40000"/>
                        </a:srgbClr>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Table'!$V$4:$V$7</c:f>
              <c:strCache>
                <c:ptCount val="3"/>
                <c:pt idx="0">
                  <c:v>Furniture</c:v>
                </c:pt>
                <c:pt idx="1">
                  <c:v>Office Supplies</c:v>
                </c:pt>
                <c:pt idx="2">
                  <c:v>Technology</c:v>
                </c:pt>
              </c:strCache>
            </c:strRef>
          </c:cat>
          <c:val>
            <c:numRef>
              <c:f>'Pivot Table'!$W$4:$W$7</c:f>
              <c:numCache>
                <c:formatCode>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3C98-43E2-8F83-31A1FEE2B047}"/>
            </c:ext>
          </c:extLst>
        </c:ser>
        <c:dLbls>
          <c:showLegendKey val="0"/>
          <c:showVal val="0"/>
          <c:showCatName val="0"/>
          <c:showSerName val="0"/>
          <c:showPercent val="0"/>
          <c:showBubbleSize val="0"/>
        </c:dLbls>
        <c:axId val="357897599"/>
        <c:axId val="357907679"/>
      </c:radarChart>
      <c:catAx>
        <c:axId val="357897599"/>
        <c:scaling>
          <c:orientation val="minMax"/>
        </c:scaling>
        <c:delete val="1"/>
        <c:axPos val="b"/>
        <c:numFmt formatCode="General" sourceLinked="1"/>
        <c:majorTickMark val="none"/>
        <c:minorTickMark val="none"/>
        <c:tickLblPos val="nextTo"/>
        <c:crossAx val="357907679"/>
        <c:crosses val="autoZero"/>
        <c:auto val="1"/>
        <c:lblAlgn val="ctr"/>
        <c:lblOffset val="100"/>
        <c:noMultiLvlLbl val="0"/>
      </c:catAx>
      <c:valAx>
        <c:axId val="35790767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5789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[Meet_ExcelDashboard.xlsx]Pivot Table!PivotTable5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100000">
                <a:srgbClr val="111111"/>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5000"/>
                  <a:lumOff val="95000"/>
                </a:schemeClr>
              </a:gs>
              <a:gs pos="100000">
                <a:srgbClr val="111111"/>
              </a:gs>
            </a:gsLst>
            <a:lin ang="5400000" scaled="1"/>
          </a:gradFill>
          <a:ln>
            <a:noFill/>
          </a:ln>
          <a:effectLst/>
          <a:sp3d/>
        </c:spPr>
        <c:dLbl>
          <c:idx val="0"/>
          <c:layout>
            <c:manualLayout>
              <c:x val="-3.8610038610040025E-3"/>
              <c:y val="-0.36324786324786335"/>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5000"/>
                  <a:lumOff val="95000"/>
                </a:schemeClr>
              </a:gs>
              <a:gs pos="100000">
                <a:srgbClr val="111111"/>
              </a:gs>
            </a:gsLst>
            <a:lin ang="5400000" scaled="1"/>
          </a:gradFill>
          <a:ln>
            <a:noFill/>
          </a:ln>
          <a:effectLst/>
          <a:sp3d/>
        </c:spPr>
        <c:dLbl>
          <c:idx val="0"/>
          <c:layout>
            <c:manualLayout>
              <c:x val="1.5444015444015444E-2"/>
              <c:y val="-0.33760683760683763"/>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lumMod val="5000"/>
                  <a:lumOff val="95000"/>
                </a:schemeClr>
              </a:gs>
              <a:gs pos="100000">
                <a:srgbClr val="111111"/>
              </a:gs>
            </a:gsLst>
            <a:lin ang="5400000" scaled="1"/>
          </a:gradFill>
          <a:ln>
            <a:noFill/>
          </a:ln>
          <a:effectLst/>
          <a:sp3d/>
        </c:spPr>
        <c:dLbl>
          <c:idx val="0"/>
          <c:layout>
            <c:manualLayout>
              <c:x val="1.5444015444015479E-2"/>
              <c:y val="-0.26068376068376076"/>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5000"/>
                  <a:lumOff val="95000"/>
                </a:schemeClr>
              </a:gs>
              <a:gs pos="100000">
                <a:srgbClr val="111111"/>
              </a:gs>
            </a:gsLst>
            <a:lin ang="5400000" scaled="1"/>
          </a:gradFill>
          <a:ln>
            <a:noFill/>
          </a:ln>
          <a:effectLst/>
          <a:sp3d/>
        </c:spPr>
        <c:dLbl>
          <c:idx val="0"/>
          <c:layout>
            <c:manualLayout>
              <c:x val="2.3166023166023165E-2"/>
              <c:y val="-0.28205128205128205"/>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25400">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stacked"/>
        <c:varyColors val="0"/>
        <c:ser>
          <c:idx val="0"/>
          <c:order val="0"/>
          <c:tx>
            <c:strRef>
              <c:f>'Pivot Table'!$N$3</c:f>
              <c:strCache>
                <c:ptCount val="1"/>
                <c:pt idx="0">
                  <c:v>Total</c:v>
                </c:pt>
              </c:strCache>
            </c:strRef>
          </c:tx>
          <c:spPr>
            <a:gradFill>
              <a:gsLst>
                <a:gs pos="0">
                  <a:schemeClr val="accent1">
                    <a:lumMod val="5000"/>
                    <a:lumOff val="95000"/>
                  </a:schemeClr>
                </a:gs>
                <a:gs pos="100000">
                  <a:srgbClr val="111111"/>
                </a:gs>
              </a:gsLst>
              <a:lin ang="5400000" scaled="1"/>
            </a:gradFill>
            <a:ln>
              <a:noFill/>
            </a:ln>
            <a:effectLst/>
            <a:sp3d/>
          </c:spPr>
          <c:invertIfNegative val="0"/>
          <c:dPt>
            <c:idx val="0"/>
            <c:invertIfNegative val="0"/>
            <c:bubble3D val="0"/>
            <c:spPr>
              <a:gradFill>
                <a:gsLst>
                  <a:gs pos="0">
                    <a:schemeClr val="accent1">
                      <a:lumMod val="5000"/>
                      <a:lumOff val="95000"/>
                    </a:schemeClr>
                  </a:gs>
                  <a:gs pos="100000">
                    <a:srgbClr val="111111"/>
                  </a:gs>
                </a:gsLst>
                <a:lin ang="5400000" scaled="1"/>
              </a:gradFill>
              <a:ln>
                <a:noFill/>
              </a:ln>
              <a:effectLst/>
              <a:sp3d/>
            </c:spPr>
            <c:extLst>
              <c:ext xmlns:c16="http://schemas.microsoft.com/office/drawing/2014/chart" uri="{C3380CC4-5D6E-409C-BE32-E72D297353CC}">
                <c16:uniqueId val="{00000004-B369-4639-9D81-99CDF8B5DC84}"/>
              </c:ext>
            </c:extLst>
          </c:dPt>
          <c:dPt>
            <c:idx val="1"/>
            <c:invertIfNegative val="0"/>
            <c:bubble3D val="0"/>
            <c:spPr>
              <a:gradFill>
                <a:gsLst>
                  <a:gs pos="0">
                    <a:schemeClr val="accent1">
                      <a:lumMod val="5000"/>
                      <a:lumOff val="95000"/>
                    </a:schemeClr>
                  </a:gs>
                  <a:gs pos="100000">
                    <a:srgbClr val="111111"/>
                  </a:gs>
                </a:gsLst>
                <a:lin ang="5400000" scaled="1"/>
              </a:gradFill>
              <a:ln>
                <a:noFill/>
              </a:ln>
              <a:effectLst/>
              <a:sp3d/>
            </c:spPr>
            <c:extLst>
              <c:ext xmlns:c16="http://schemas.microsoft.com/office/drawing/2014/chart" uri="{C3380CC4-5D6E-409C-BE32-E72D297353CC}">
                <c16:uniqueId val="{00000003-B369-4639-9D81-99CDF8B5DC84}"/>
              </c:ext>
            </c:extLst>
          </c:dPt>
          <c:dPt>
            <c:idx val="2"/>
            <c:invertIfNegative val="0"/>
            <c:bubble3D val="0"/>
            <c:spPr>
              <a:gradFill>
                <a:gsLst>
                  <a:gs pos="0">
                    <a:schemeClr val="accent1">
                      <a:lumMod val="5000"/>
                      <a:lumOff val="95000"/>
                    </a:schemeClr>
                  </a:gs>
                  <a:gs pos="100000">
                    <a:srgbClr val="111111"/>
                  </a:gs>
                </a:gsLst>
                <a:lin ang="5400000" scaled="1"/>
              </a:gradFill>
              <a:ln>
                <a:noFill/>
              </a:ln>
              <a:effectLst/>
              <a:sp3d/>
            </c:spPr>
            <c:extLst>
              <c:ext xmlns:c16="http://schemas.microsoft.com/office/drawing/2014/chart" uri="{C3380CC4-5D6E-409C-BE32-E72D297353CC}">
                <c16:uniqueId val="{00000002-B369-4639-9D81-99CDF8B5DC84}"/>
              </c:ext>
            </c:extLst>
          </c:dPt>
          <c:dPt>
            <c:idx val="3"/>
            <c:invertIfNegative val="0"/>
            <c:bubble3D val="0"/>
            <c:spPr>
              <a:gradFill>
                <a:gsLst>
                  <a:gs pos="0">
                    <a:schemeClr val="accent1">
                      <a:lumMod val="5000"/>
                      <a:lumOff val="95000"/>
                    </a:schemeClr>
                  </a:gs>
                  <a:gs pos="100000">
                    <a:srgbClr val="111111"/>
                  </a:gs>
                </a:gsLst>
                <a:lin ang="5400000" scaled="1"/>
              </a:gradFill>
              <a:ln>
                <a:noFill/>
              </a:ln>
              <a:effectLst/>
              <a:sp3d/>
            </c:spPr>
            <c:extLst>
              <c:ext xmlns:c16="http://schemas.microsoft.com/office/drawing/2014/chart" uri="{C3380CC4-5D6E-409C-BE32-E72D297353CC}">
                <c16:uniqueId val="{00000001-B369-4639-9D81-99CDF8B5DC84}"/>
              </c:ext>
            </c:extLst>
          </c:dPt>
          <c:dLbls>
            <c:dLbl>
              <c:idx val="0"/>
              <c:layout>
                <c:manualLayout>
                  <c:x val="2.3166023166023165E-2"/>
                  <c:y val="-0.282051282051282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369-4639-9D81-99CDF8B5DC84}"/>
                </c:ext>
              </c:extLst>
            </c:dLbl>
            <c:dLbl>
              <c:idx val="1"/>
              <c:layout>
                <c:manualLayout>
                  <c:x val="1.5444015444015479E-2"/>
                  <c:y val="-0.26068376068376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69-4639-9D81-99CDF8B5DC84}"/>
                </c:ext>
              </c:extLst>
            </c:dLbl>
            <c:dLbl>
              <c:idx val="2"/>
              <c:layout>
                <c:manualLayout>
                  <c:x val="1.5444015444015444E-2"/>
                  <c:y val="-0.337606837606837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369-4639-9D81-99CDF8B5DC84}"/>
                </c:ext>
              </c:extLst>
            </c:dLbl>
            <c:dLbl>
              <c:idx val="3"/>
              <c:layout>
                <c:manualLayout>
                  <c:x val="-3.8610038610040025E-3"/>
                  <c:y val="-0.363247863247863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69-4639-9D81-99CDF8B5DC84}"/>
                </c:ext>
              </c:extLst>
            </c:dLbl>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Table'!$M$4:$M$8</c:f>
              <c:strCache>
                <c:ptCount val="4"/>
                <c:pt idx="0">
                  <c:v>2011</c:v>
                </c:pt>
                <c:pt idx="1">
                  <c:v>2012</c:v>
                </c:pt>
                <c:pt idx="2">
                  <c:v>2013</c:v>
                </c:pt>
                <c:pt idx="3">
                  <c:v>2014</c:v>
                </c:pt>
              </c:strCache>
            </c:strRef>
          </c:cat>
          <c:val>
            <c:numRef>
              <c:f>'Pivot Table'!$N$4:$N$8</c:f>
              <c:numCache>
                <c:formatCode>0.00</c:formatCode>
                <c:ptCount val="4"/>
                <c:pt idx="0">
                  <c:v>484247.4981000009</c:v>
                </c:pt>
                <c:pt idx="1">
                  <c:v>470532.50899999985</c:v>
                </c:pt>
                <c:pt idx="2">
                  <c:v>608473.83000000066</c:v>
                </c:pt>
                <c:pt idx="3">
                  <c:v>733947.0231999997</c:v>
                </c:pt>
              </c:numCache>
            </c:numRef>
          </c:val>
          <c:extLst>
            <c:ext xmlns:c16="http://schemas.microsoft.com/office/drawing/2014/chart" uri="{C3380CC4-5D6E-409C-BE32-E72D297353CC}">
              <c16:uniqueId val="{00000000-B369-4639-9D81-99CDF8B5DC84}"/>
            </c:ext>
          </c:extLst>
        </c:ser>
        <c:dLbls>
          <c:showLegendKey val="0"/>
          <c:showVal val="0"/>
          <c:showCatName val="0"/>
          <c:showSerName val="0"/>
          <c:showPercent val="0"/>
          <c:showBubbleSize val="0"/>
        </c:dLbls>
        <c:gapWidth val="150"/>
        <c:shape val="box"/>
        <c:axId val="2120570432"/>
        <c:axId val="2115571568"/>
        <c:axId val="0"/>
      </c:bar3DChart>
      <c:catAx>
        <c:axId val="2120570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571568"/>
        <c:crosses val="autoZero"/>
        <c:auto val="1"/>
        <c:lblAlgn val="ctr"/>
        <c:lblOffset val="100"/>
        <c:noMultiLvlLbl val="0"/>
      </c:catAx>
      <c:valAx>
        <c:axId val="2115571568"/>
        <c:scaling>
          <c:orientation val="minMax"/>
        </c:scaling>
        <c:delete val="1"/>
        <c:axPos val="l"/>
        <c:numFmt formatCode="0.00" sourceLinked="1"/>
        <c:majorTickMark val="none"/>
        <c:minorTickMark val="none"/>
        <c:tickLblPos val="nextTo"/>
        <c:crossAx val="212057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[Meet_ExcelDashboard.xlsx]Pivot Table!PivotTable4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111111"/>
              </a:gs>
              <a:gs pos="100000">
                <a:schemeClr val="accent1">
                  <a:lumMod val="30000"/>
                  <a:lumOff val="70000"/>
                </a:schemeClr>
              </a:gs>
            </a:gsLst>
            <a:lin ang="8100000" scaled="1"/>
            <a:tileRect/>
          </a:gradFill>
          <a:ln>
            <a:gradFill>
              <a:gsLst>
                <a:gs pos="0">
                  <a:schemeClr val="accent1">
                    <a:lumMod val="5000"/>
                    <a:lumOff val="9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Table'!$K$3</c:f>
              <c:strCache>
                <c:ptCount val="1"/>
                <c:pt idx="0">
                  <c:v>Total</c:v>
                </c:pt>
              </c:strCache>
            </c:strRef>
          </c:tx>
          <c:spPr>
            <a:gradFill flip="none" rotWithShape="1">
              <a:gsLst>
                <a:gs pos="0">
                  <a:srgbClr val="111111"/>
                </a:gs>
                <a:gs pos="100000">
                  <a:schemeClr val="accent1">
                    <a:lumMod val="30000"/>
                    <a:lumOff val="70000"/>
                  </a:schemeClr>
                </a:gs>
              </a:gsLst>
              <a:lin ang="8100000" scaled="1"/>
              <a:tileRect/>
            </a:gradFill>
            <a:ln>
              <a:gradFill>
                <a:gsLst>
                  <a:gs pos="0">
                    <a:schemeClr val="accent1">
                      <a:lumMod val="5000"/>
                      <a:lumOff val="95000"/>
                    </a:schemeClr>
                  </a:gs>
                  <a:gs pos="100000">
                    <a:schemeClr val="accent1">
                      <a:lumMod val="30000"/>
                      <a:lumOff val="70000"/>
                    </a:schemeClr>
                  </a:gs>
                </a:gsLst>
                <a:lin ang="5400000" scaled="1"/>
              </a:grad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Table'!$K$4:$K$21</c:f>
              <c:numCache>
                <c:formatCode>0.00</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F0E9-4EEE-9EC5-8EBC44B74431}"/>
            </c:ext>
          </c:extLst>
        </c:ser>
        <c:dLbls>
          <c:showLegendKey val="0"/>
          <c:showVal val="0"/>
          <c:showCatName val="0"/>
          <c:showSerName val="0"/>
          <c:showPercent val="0"/>
          <c:showBubbleSize val="0"/>
        </c:dLbls>
        <c:gapWidth val="182"/>
        <c:axId val="1949590640"/>
        <c:axId val="1949593040"/>
      </c:barChart>
      <c:catAx>
        <c:axId val="194959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593040"/>
        <c:crosses val="autoZero"/>
        <c:auto val="1"/>
        <c:lblAlgn val="ctr"/>
        <c:lblOffset val="100"/>
        <c:noMultiLvlLbl val="0"/>
      </c:catAx>
      <c:valAx>
        <c:axId val="1949593040"/>
        <c:scaling>
          <c:orientation val="minMax"/>
        </c:scaling>
        <c:delete val="1"/>
        <c:axPos val="b"/>
        <c:numFmt formatCode="0.00" sourceLinked="1"/>
        <c:majorTickMark val="none"/>
        <c:minorTickMark val="none"/>
        <c:tickLblPos val="nextTo"/>
        <c:crossAx val="194959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[Meet_ExcelDashboard.xlsx]Pivot Table!PivotTable2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4E-44D1-9520-23F32B1AC6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4E-44D1-9520-23F32B1AC6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4E-44D1-9520-23F32B1AC6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4E-44D1-9520-23F32B1AC6D8}"/>
              </c:ext>
            </c:extLst>
          </c:dPt>
          <c:cat>
            <c:strRef>
              <c:f>'Pivot Table'!$D$4:$D$8</c:f>
              <c:strCache>
                <c:ptCount val="4"/>
                <c:pt idx="0">
                  <c:v>First Class</c:v>
                </c:pt>
                <c:pt idx="1">
                  <c:v>Same Day</c:v>
                </c:pt>
                <c:pt idx="2">
                  <c:v>Second Class</c:v>
                </c:pt>
                <c:pt idx="3">
                  <c:v>Standard Class</c:v>
                </c:pt>
              </c:strCache>
            </c:strRef>
          </c:cat>
          <c:val>
            <c:numRef>
              <c:f>'Pivot Table'!$E$4:$E$8</c:f>
              <c:numCache>
                <c:formatCode>0.00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88FE-4448-8CCE-ED8A0A02542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527205550401468"/>
          <c:y val="0.4113036729609188"/>
          <c:w val="0.34472794449598532"/>
          <c:h val="0.586947615256760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[Meet_ExcelDashboard.xlsx]Pivot Table!PivotTable3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CD-40C4-BE07-AAA4F6275D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CD-40C4-BE07-AAA4F6275D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CD-40C4-BE07-AAA4F6275D45}"/>
              </c:ext>
            </c:extLst>
          </c:dPt>
          <c:cat>
            <c:strRef>
              <c:f>'Pivot Table'!$G$4:$G$7</c:f>
              <c:strCache>
                <c:ptCount val="3"/>
                <c:pt idx="0">
                  <c:v>Consumer</c:v>
                </c:pt>
                <c:pt idx="1">
                  <c:v>Corporate</c:v>
                </c:pt>
                <c:pt idx="2">
                  <c:v>Home Office</c:v>
                </c:pt>
              </c:strCache>
            </c:strRef>
          </c:cat>
          <c:val>
            <c:numRef>
              <c:f>'Pivot Table'!$H$4:$H$7</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6ADD-4D35-84AA-1048BE73B8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416718</xdr:colOff>
      <xdr:row>42</xdr:row>
      <xdr:rowOff>114300</xdr:rowOff>
    </xdr:to>
    <xdr:sp macro="" textlink="">
      <xdr:nvSpPr>
        <xdr:cNvPr id="2" name="Rectangle 1">
          <a:extLst>
            <a:ext uri="{FF2B5EF4-FFF2-40B4-BE49-F238E27FC236}">
              <a16:creationId xmlns:a16="http://schemas.microsoft.com/office/drawing/2014/main" id="{0208C78C-5AE0-4AFC-78B8-65D48BCAA01E}"/>
            </a:ext>
          </a:extLst>
        </xdr:cNvPr>
        <xdr:cNvSpPr/>
      </xdr:nvSpPr>
      <xdr:spPr>
        <a:xfrm>
          <a:off x="0" y="0"/>
          <a:ext cx="18633281" cy="7615238"/>
        </a:xfrm>
        <a:prstGeom prst="rect">
          <a:avLst/>
        </a:prstGeom>
        <a:solidFill>
          <a:srgbClr val="66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571500</xdr:colOff>
      <xdr:row>0</xdr:row>
      <xdr:rowOff>127000</xdr:rowOff>
    </xdr:from>
    <xdr:to>
      <xdr:col>30</xdr:col>
      <xdr:colOff>165100</xdr:colOff>
      <xdr:row>5</xdr:row>
      <xdr:rowOff>127000</xdr:rowOff>
    </xdr:to>
    <xdr:sp macro="" textlink="">
      <xdr:nvSpPr>
        <xdr:cNvPr id="3" name="Rectangle 2">
          <a:extLst>
            <a:ext uri="{FF2B5EF4-FFF2-40B4-BE49-F238E27FC236}">
              <a16:creationId xmlns:a16="http://schemas.microsoft.com/office/drawing/2014/main" id="{97F0A1A1-B3C1-84F6-E290-459BF25458E1}"/>
            </a:ext>
          </a:extLst>
        </xdr:cNvPr>
        <xdr:cNvSpPr/>
      </xdr:nvSpPr>
      <xdr:spPr>
        <a:xfrm>
          <a:off x="6667500" y="127000"/>
          <a:ext cx="11785600" cy="889000"/>
        </a:xfrm>
        <a:prstGeom prst="rect">
          <a:avLst/>
        </a:prstGeom>
        <a:ln>
          <a:noFill/>
        </a:ln>
        <a:effectLst>
          <a:outerShdw blurRad="3429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508000</xdr:colOff>
      <xdr:row>5</xdr:row>
      <xdr:rowOff>127000</xdr:rowOff>
    </xdr:from>
    <xdr:to>
      <xdr:col>30</xdr:col>
      <xdr:colOff>165100</xdr:colOff>
      <xdr:row>8</xdr:row>
      <xdr:rowOff>114300</xdr:rowOff>
    </xdr:to>
    <xdr:sp macro="" textlink="">
      <xdr:nvSpPr>
        <xdr:cNvPr id="4" name="Rectangle 3">
          <a:extLst>
            <a:ext uri="{FF2B5EF4-FFF2-40B4-BE49-F238E27FC236}">
              <a16:creationId xmlns:a16="http://schemas.microsoft.com/office/drawing/2014/main" id="{03132C23-F7C4-44A5-B66D-D82B31E0F5DA}"/>
            </a:ext>
          </a:extLst>
        </xdr:cNvPr>
        <xdr:cNvSpPr/>
      </xdr:nvSpPr>
      <xdr:spPr>
        <a:xfrm>
          <a:off x="2330174" y="1065696"/>
          <a:ext cx="16056665" cy="550517"/>
        </a:xfrm>
        <a:prstGeom prst="rect">
          <a:avLst/>
        </a:prstGeom>
        <a:ln>
          <a:noFill/>
        </a:ln>
        <a:effectLst>
          <a:outerShdw blurRad="3429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508000</xdr:colOff>
      <xdr:row>8</xdr:row>
      <xdr:rowOff>38100</xdr:rowOff>
    </xdr:from>
    <xdr:to>
      <xdr:col>30</xdr:col>
      <xdr:colOff>152400</xdr:colOff>
      <xdr:row>41</xdr:row>
      <xdr:rowOff>12700</xdr:rowOff>
    </xdr:to>
    <xdr:sp macro="" textlink="">
      <xdr:nvSpPr>
        <xdr:cNvPr id="5" name="Rectangle 4">
          <a:extLst>
            <a:ext uri="{FF2B5EF4-FFF2-40B4-BE49-F238E27FC236}">
              <a16:creationId xmlns:a16="http://schemas.microsoft.com/office/drawing/2014/main" id="{39ACDD95-0989-4BEB-A7A3-3026AA45718F}"/>
            </a:ext>
          </a:extLst>
        </xdr:cNvPr>
        <xdr:cNvSpPr/>
      </xdr:nvSpPr>
      <xdr:spPr>
        <a:xfrm>
          <a:off x="2336800" y="1460500"/>
          <a:ext cx="16103600" cy="5842000"/>
        </a:xfrm>
        <a:prstGeom prst="rect">
          <a:avLst/>
        </a:prstGeom>
        <a:ln>
          <a:noFill/>
        </a:ln>
        <a:effectLst>
          <a:outerShdw blurRad="1778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595314</xdr:colOff>
      <xdr:row>10</xdr:row>
      <xdr:rowOff>44174</xdr:rowOff>
    </xdr:from>
    <xdr:to>
      <xdr:col>14</xdr:col>
      <xdr:colOff>309563</xdr:colOff>
      <xdr:row>25</xdr:row>
      <xdr:rowOff>59531</xdr:rowOff>
    </xdr:to>
    <xdr:graphicFrame macro="">
      <xdr:nvGraphicFramePr>
        <xdr:cNvPr id="7" name="Chart 6">
          <a:extLst>
            <a:ext uri="{FF2B5EF4-FFF2-40B4-BE49-F238E27FC236}">
              <a16:creationId xmlns:a16="http://schemas.microsoft.com/office/drawing/2014/main" id="{7F0C102F-0914-4A63-A1F3-53C500DB7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546100</xdr:colOff>
      <xdr:row>25</xdr:row>
      <xdr:rowOff>114300</xdr:rowOff>
    </xdr:from>
    <xdr:to>
      <xdr:col>14</xdr:col>
      <xdr:colOff>190500</xdr:colOff>
      <xdr:row>40</xdr:row>
      <xdr:rowOff>25400</xdr:rowOff>
    </xdr:to>
    <xdr:graphicFrame macro="">
      <xdr:nvGraphicFramePr>
        <xdr:cNvPr id="9" name="Chart 8">
          <a:extLst>
            <a:ext uri="{FF2B5EF4-FFF2-40B4-BE49-F238E27FC236}">
              <a16:creationId xmlns:a16="http://schemas.microsoft.com/office/drawing/2014/main" id="{61AA613F-8400-4FCC-92B7-CCE4CEBAE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309562</xdr:colOff>
      <xdr:row>25</xdr:row>
      <xdr:rowOff>119062</xdr:rowOff>
    </xdr:from>
    <xdr:to>
      <xdr:col>19</xdr:col>
      <xdr:colOff>584200</xdr:colOff>
      <xdr:row>39</xdr:row>
      <xdr:rowOff>139700</xdr:rowOff>
    </xdr:to>
    <xdr:graphicFrame macro="">
      <xdr:nvGraphicFramePr>
        <xdr:cNvPr id="8" name="Chart 7">
          <a:extLst>
            <a:ext uri="{FF2B5EF4-FFF2-40B4-BE49-F238E27FC236}">
              <a16:creationId xmlns:a16="http://schemas.microsoft.com/office/drawing/2014/main" id="{B4196264-47BA-48C9-B9DE-35D78945D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355600</xdr:colOff>
      <xdr:row>8</xdr:row>
      <xdr:rowOff>50800</xdr:rowOff>
    </xdr:from>
    <xdr:to>
      <xdr:col>19</xdr:col>
      <xdr:colOff>596900</xdr:colOff>
      <xdr:row>25</xdr:row>
      <xdr:rowOff>0</xdr:rowOff>
    </xdr:to>
    <xdr:graphicFrame macro="">
      <xdr:nvGraphicFramePr>
        <xdr:cNvPr id="6" name="Chart 5">
          <a:extLst>
            <a:ext uri="{FF2B5EF4-FFF2-40B4-BE49-F238E27FC236}">
              <a16:creationId xmlns:a16="http://schemas.microsoft.com/office/drawing/2014/main" id="{2605566D-AE58-4F0E-A7FF-FD9A21EEC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101600</xdr:colOff>
      <xdr:row>5</xdr:row>
      <xdr:rowOff>38100</xdr:rowOff>
    </xdr:from>
    <xdr:to>
      <xdr:col>29</xdr:col>
      <xdr:colOff>190500</xdr:colOff>
      <xdr:row>39</xdr:row>
      <xdr:rowOff>165100</xdr:rowOff>
    </xdr:to>
    <xdr:graphicFrame macro="">
      <xdr:nvGraphicFramePr>
        <xdr:cNvPr id="10" name="Chart 9">
          <a:extLst>
            <a:ext uri="{FF2B5EF4-FFF2-40B4-BE49-F238E27FC236}">
              <a16:creationId xmlns:a16="http://schemas.microsoft.com/office/drawing/2014/main" id="{8CC4D21B-230B-4252-89FF-E509FEA46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212477</xdr:colOff>
      <xdr:row>1</xdr:row>
      <xdr:rowOff>154388</xdr:rowOff>
    </xdr:from>
    <xdr:to>
      <xdr:col>14</xdr:col>
      <xdr:colOff>212477</xdr:colOff>
      <xdr:row>10</xdr:row>
      <xdr:rowOff>40309</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00F22683-C61C-353B-D8CD-423DD5FE3CA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893781" y="342127"/>
              <a:ext cx="1822174" cy="15755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298174</xdr:colOff>
      <xdr:row>1</xdr:row>
      <xdr:rowOff>55219</xdr:rowOff>
    </xdr:from>
    <xdr:to>
      <xdr:col>19</xdr:col>
      <xdr:colOff>598777</xdr:colOff>
      <xdr:row>7</xdr:row>
      <xdr:rowOff>134730</xdr:rowOff>
    </xdr:to>
    <mc:AlternateContent xmlns:mc="http://schemas.openxmlformats.org/markup-compatibility/2006" xmlns:tsle="http://schemas.microsoft.com/office/drawing/2012/timeslicer">
      <mc:Choice Requires="tsle">
        <xdr:graphicFrame macro="">
          <xdr:nvGraphicFramePr>
            <xdr:cNvPr id="11" name="Order Date 1">
              <a:extLst>
                <a:ext uri="{FF2B5EF4-FFF2-40B4-BE49-F238E27FC236}">
                  <a16:creationId xmlns:a16="http://schemas.microsoft.com/office/drawing/2014/main" id="{EA99560F-110D-4B47-8DDF-CEEBB32B2197}"/>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8799237" y="233813"/>
              <a:ext cx="3336696" cy="11510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94973</xdr:colOff>
      <xdr:row>0</xdr:row>
      <xdr:rowOff>88347</xdr:rowOff>
    </xdr:from>
    <xdr:to>
      <xdr:col>10</xdr:col>
      <xdr:colOff>273843</xdr:colOff>
      <xdr:row>5</xdr:row>
      <xdr:rowOff>23812</xdr:rowOff>
    </xdr:to>
    <xdr:sp macro="" textlink="">
      <xdr:nvSpPr>
        <xdr:cNvPr id="14" name="TextBox 13">
          <a:extLst>
            <a:ext uri="{FF2B5EF4-FFF2-40B4-BE49-F238E27FC236}">
              <a16:creationId xmlns:a16="http://schemas.microsoft.com/office/drawing/2014/main" id="{61ED67CB-A8EC-77BB-E337-AA95621769E6}"/>
            </a:ext>
          </a:extLst>
        </xdr:cNvPr>
        <xdr:cNvSpPr txBox="1"/>
      </xdr:nvSpPr>
      <xdr:spPr>
        <a:xfrm>
          <a:off x="94973" y="88347"/>
          <a:ext cx="6251058" cy="828434"/>
        </a:xfrm>
        <a:prstGeom prst="rect">
          <a:avLst/>
        </a:prstGeom>
        <a:solidFill>
          <a:srgbClr val="11111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rgbClr val="66FFCC"/>
              </a:solidFill>
            </a:rPr>
            <a:t>DASHBOARD</a:t>
          </a:r>
          <a:endParaRPr lang="en-IN" sz="1600" b="1">
            <a:solidFill>
              <a:srgbClr val="66FFCC"/>
            </a:solidFill>
          </a:endParaRPr>
        </a:p>
      </xdr:txBody>
    </xdr:sp>
    <xdr:clientData/>
  </xdr:twoCellAnchor>
  <xdr:twoCellAnchor>
    <xdr:from>
      <xdr:col>0</xdr:col>
      <xdr:colOff>0</xdr:colOff>
      <xdr:row>6</xdr:row>
      <xdr:rowOff>166687</xdr:rowOff>
    </xdr:from>
    <xdr:to>
      <xdr:col>3</xdr:col>
      <xdr:colOff>511968</xdr:colOff>
      <xdr:row>14</xdr:row>
      <xdr:rowOff>59530</xdr:rowOff>
    </xdr:to>
    <xdr:sp macro="" textlink="">
      <xdr:nvSpPr>
        <xdr:cNvPr id="15" name="Rectangle 14">
          <a:extLst>
            <a:ext uri="{FF2B5EF4-FFF2-40B4-BE49-F238E27FC236}">
              <a16:creationId xmlns:a16="http://schemas.microsoft.com/office/drawing/2014/main" id="{86EA6937-CB9C-480F-93B0-3B58A7D9D7B5}"/>
            </a:ext>
          </a:extLst>
        </xdr:cNvPr>
        <xdr:cNvSpPr/>
      </xdr:nvSpPr>
      <xdr:spPr>
        <a:xfrm>
          <a:off x="0" y="1238250"/>
          <a:ext cx="2333624" cy="1321593"/>
        </a:xfrm>
        <a:prstGeom prst="rect">
          <a:avLst/>
        </a:prstGeom>
        <a:ln>
          <a:noFill/>
        </a:ln>
        <a:effectLst>
          <a:outerShdw blurRad="3429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0</xdr:colOff>
      <xdr:row>18</xdr:row>
      <xdr:rowOff>154781</xdr:rowOff>
    </xdr:from>
    <xdr:to>
      <xdr:col>3</xdr:col>
      <xdr:colOff>511968</xdr:colOff>
      <xdr:row>27</xdr:row>
      <xdr:rowOff>154783</xdr:rowOff>
    </xdr:to>
    <xdr:sp macro="" textlink="">
      <xdr:nvSpPr>
        <xdr:cNvPr id="16" name="Rectangle 15">
          <a:extLst>
            <a:ext uri="{FF2B5EF4-FFF2-40B4-BE49-F238E27FC236}">
              <a16:creationId xmlns:a16="http://schemas.microsoft.com/office/drawing/2014/main" id="{19AE1A84-8788-453D-AC54-7B6A40184EE6}"/>
            </a:ext>
          </a:extLst>
        </xdr:cNvPr>
        <xdr:cNvSpPr/>
      </xdr:nvSpPr>
      <xdr:spPr>
        <a:xfrm>
          <a:off x="0" y="3369469"/>
          <a:ext cx="2333624" cy="1607345"/>
        </a:xfrm>
        <a:prstGeom prst="rect">
          <a:avLst/>
        </a:prstGeom>
        <a:ln>
          <a:noFill/>
        </a:ln>
        <a:effectLst>
          <a:outerShdw blurRad="3429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1198756</xdr:colOff>
      <xdr:row>9</xdr:row>
      <xdr:rowOff>130097</xdr:rowOff>
    </xdr:from>
    <xdr:to>
      <xdr:col>5</xdr:col>
      <xdr:colOff>241610</xdr:colOff>
      <xdr:row>19</xdr:row>
      <xdr:rowOff>75269</xdr:rowOff>
    </xdr:to>
    <xdr:graphicFrame macro="">
      <xdr:nvGraphicFramePr>
        <xdr:cNvPr id="3" name="Chart 2">
          <a:extLst>
            <a:ext uri="{FF2B5EF4-FFF2-40B4-BE49-F238E27FC236}">
              <a16:creationId xmlns:a16="http://schemas.microsoft.com/office/drawing/2014/main" id="{2FDC727F-D953-67E7-AD16-8896FAA1E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967154</xdr:colOff>
      <xdr:row>9</xdr:row>
      <xdr:rowOff>9770</xdr:rowOff>
    </xdr:from>
    <xdr:to>
      <xdr:col>7</xdr:col>
      <xdr:colOff>1260231</xdr:colOff>
      <xdr:row>18</xdr:row>
      <xdr:rowOff>72293</xdr:rowOff>
    </xdr:to>
    <xdr:graphicFrame macro="">
      <xdr:nvGraphicFramePr>
        <xdr:cNvPr id="4" name="Chart 3">
          <a:extLst>
            <a:ext uri="{FF2B5EF4-FFF2-40B4-BE49-F238E27FC236}">
              <a16:creationId xmlns:a16="http://schemas.microsoft.com/office/drawing/2014/main" id="{37DCB288-F99F-D05D-AEB8-60F6255E3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235438</xdr:colOff>
      <xdr:row>14</xdr:row>
      <xdr:rowOff>53145</xdr:rowOff>
    </xdr:from>
    <xdr:to>
      <xdr:col>12</xdr:col>
      <xdr:colOff>681306</xdr:colOff>
      <xdr:row>21</xdr:row>
      <xdr:rowOff>125437</xdr:rowOff>
    </xdr:to>
    <mc:AlternateContent xmlns:mc="http://schemas.openxmlformats.org/markup-compatibility/2006" xmlns:tsle="http://schemas.microsoft.com/office/drawing/2012/timeslicer">
      <mc:Choice Requires="tsle">
        <xdr:graphicFrame macro="">
          <xdr:nvGraphicFramePr>
            <xdr:cNvPr id="2" name="Order Date">
              <a:extLst>
                <a:ext uri="{FF2B5EF4-FFF2-40B4-BE49-F238E27FC236}">
                  <a16:creationId xmlns:a16="http://schemas.microsoft.com/office/drawing/2014/main" id="{591BE415-A875-9C93-E5A6-F2A33D46E22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581900" y="26517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t" refreshedDate="46064.895143055553" createdVersion="8" refreshedVersion="8" minRefreshableVersion="3" recordCount="9994" xr:uid="{A138F4CE-38DF-436F-ADE7-146D684CCE55}">
  <cacheSource type="worksheet">
    <worksheetSource ref="A1:T701" sheet="Database"/>
  </cacheSource>
  <cacheFields count="20">
    <cacheField name="Row ID" numFmtId="0">
      <sharedItems containsSemiMixedTypes="0" containsString="0" containsNumber="1" containsInteger="1" minValue="1" maxValue="9994"/>
    </cacheField>
    <cacheField name="Order Date" numFmtId="165">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cacheField>
    <cacheField name="Year" numFmtId="49">
      <sharedItems count="4">
        <s v="2013"/>
        <s v="2012"/>
        <s v="2011"/>
        <s v="2014"/>
      </sharedItems>
    </cacheField>
    <cacheField name="Month" numFmtId="164">
      <sharedItems count="12">
        <s v="Nov"/>
        <s v="Jun"/>
        <s v="Oct"/>
        <s v="Apr"/>
        <s v="Dec"/>
        <s v="May"/>
        <s v="Aug"/>
        <s v="Jul"/>
        <s v="Sep"/>
        <s v="Jan"/>
        <s v="Mar"/>
        <s v="Feb"/>
      </sharedItems>
    </cacheField>
    <cacheField name="Ship Date" numFmtId="165">
      <sharedItems containsSemiMixedTypes="0" containsNonDate="0" containsDate="1" containsString="0" minDate="2011-01-08T00:00:00" maxDate="2015-01-07T00:00:00"/>
    </cacheField>
    <cacheField name="Delivery Time" numFmtId="0">
      <sharedItems containsSemiMixedTypes="0" containsString="0" containsNumber="1" containsInteger="1" minValue="0" maxValue="7"/>
    </cacheField>
    <cacheField name="Ship Mode" numFmtId="0">
      <sharedItems count="4">
        <s v="Second Class"/>
        <s v="Standard Class"/>
        <s v="First Class"/>
        <s v="Same Day"/>
      </sharedItems>
    </cacheField>
    <cacheField name="Customer Name" numFmtId="0">
      <sharedItems/>
    </cacheField>
    <cacheField name="Segment" numFmtId="0">
      <sharedItems count="3">
        <s v="Consumer"/>
        <s v="Corporate"/>
        <s v="Home Office"/>
      </sharedItems>
    </cacheField>
    <cacheField name="Country" numFmtId="0">
      <sharedItems containsBlank="1"/>
    </cacheField>
    <cacheField name="City" numFmtId="0">
      <sharedItems/>
    </cacheField>
    <cacheField name="State" numFmtId="0">
      <sharedItems/>
    </cacheField>
    <cacheField name="Region"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966163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n v="3"/>
    <x v="0"/>
    <s v="Claire Gute"/>
    <x v="0"/>
    <s v="United States"/>
    <s v="Henderson"/>
    <s v="Kentucky"/>
    <s v="South"/>
    <x v="0"/>
    <x v="0"/>
    <s v="Bush Somerset Collection Bookcase"/>
    <x v="0"/>
    <n v="2"/>
    <n v="0"/>
    <n v="41.913600000000002"/>
  </r>
  <r>
    <n v="2"/>
    <x v="0"/>
    <x v="0"/>
    <x v="0"/>
    <d v="2013-11-12T00:00:00"/>
    <n v="3"/>
    <x v="0"/>
    <s v="Claire Gute"/>
    <x v="0"/>
    <s v="United States"/>
    <s v="Henderson"/>
    <s v="Kentucky"/>
    <s v="South"/>
    <x v="0"/>
    <x v="1"/>
    <s v="Hon Deluxe Fabric Upholstered Stacking Chairs, Rounded Back"/>
    <x v="1"/>
    <n v="3"/>
    <n v="0"/>
    <n v="219.58199999999999"/>
  </r>
  <r>
    <n v="3"/>
    <x v="1"/>
    <x v="0"/>
    <x v="1"/>
    <d v="2013-06-17T00:00:00"/>
    <n v="4"/>
    <x v="0"/>
    <s v="Darrin Van Huff"/>
    <x v="1"/>
    <s v="United States"/>
    <s v="Los Angeles"/>
    <s v="California"/>
    <s v="West"/>
    <x v="1"/>
    <x v="2"/>
    <s v="Self-Adhesive Address Labels for Typewriters by Universal"/>
    <x v="2"/>
    <n v="2"/>
    <n v="0"/>
    <n v="6.8714000000000004"/>
  </r>
  <r>
    <n v="4"/>
    <x v="2"/>
    <x v="1"/>
    <x v="2"/>
    <d v="2012-10-18T00:00:00"/>
    <n v="7"/>
    <x v="1"/>
    <s v="Sean O'Donnell"/>
    <x v="0"/>
    <s v="United States"/>
    <s v="Fort Lauderdale"/>
    <s v="Florida"/>
    <s v="South"/>
    <x v="0"/>
    <x v="3"/>
    <s v="Bretford CR4500 Series Slim Rectangular Table"/>
    <x v="3"/>
    <n v="5"/>
    <n v="0.45"/>
    <n v="-383.03100000000001"/>
  </r>
  <r>
    <n v="5"/>
    <x v="2"/>
    <x v="1"/>
    <x v="2"/>
    <d v="2012-10-18T00:00:00"/>
    <n v="7"/>
    <x v="1"/>
    <s v="Sean O'Donnell"/>
    <x v="0"/>
    <s v="United States"/>
    <s v="Fort Lauderdale"/>
    <s v="Florida"/>
    <s v="South"/>
    <x v="1"/>
    <x v="4"/>
    <s v="Eldon Fold 'N Roll Cart System"/>
    <x v="4"/>
    <n v="2"/>
    <n v="0.2"/>
    <n v="2.5164"/>
  </r>
  <r>
    <n v="6"/>
    <x v="3"/>
    <x v="2"/>
    <x v="1"/>
    <d v="2011-06-14T00:00:00"/>
    <n v="5"/>
    <x v="1"/>
    <s v="Brosina Hoffman"/>
    <x v="0"/>
    <s v="United States"/>
    <s v="Los Angeles"/>
    <s v="California"/>
    <s v="West"/>
    <x v="0"/>
    <x v="5"/>
    <s v="Eldon Expressions Wood and Plastic Desk Accessories, Cherry Wood"/>
    <x v="5"/>
    <n v="7"/>
    <n v="0"/>
    <n v="14.1694"/>
  </r>
  <r>
    <n v="7"/>
    <x v="3"/>
    <x v="2"/>
    <x v="1"/>
    <d v="2011-06-14T00:00:00"/>
    <n v="5"/>
    <x v="1"/>
    <s v="Brosina Hoffman"/>
    <x v="0"/>
    <s v="United States"/>
    <s v="Los Angeles"/>
    <s v="California"/>
    <s v="West"/>
    <x v="1"/>
    <x v="6"/>
    <s v="Newell 322"/>
    <x v="6"/>
    <n v="4"/>
    <n v="0"/>
    <n v="1.9656"/>
  </r>
  <r>
    <n v="8"/>
    <x v="3"/>
    <x v="2"/>
    <x v="1"/>
    <d v="2011-06-14T00:00:00"/>
    <n v="5"/>
    <x v="1"/>
    <s v="Brosina Hoffman"/>
    <x v="0"/>
    <s v="United States"/>
    <s v="Los Angeles"/>
    <s v="California"/>
    <s v="West"/>
    <x v="2"/>
    <x v="7"/>
    <s v="Mitel 5320 IP Phone VoIP phone"/>
    <x v="7"/>
    <n v="6"/>
    <n v="0.2"/>
    <n v="90.715199999999996"/>
  </r>
  <r>
    <n v="9"/>
    <x v="3"/>
    <x v="2"/>
    <x v="1"/>
    <d v="2011-06-14T00:00:00"/>
    <n v="5"/>
    <x v="1"/>
    <s v="Brosina Hoffman"/>
    <x v="0"/>
    <s v="United States"/>
    <s v="Los Angeles"/>
    <s v="California"/>
    <s v="West"/>
    <x v="1"/>
    <x v="8"/>
    <s v="DXL Angle-View Binders with Locking Rings by Samsill"/>
    <x v="8"/>
    <n v="3"/>
    <n v="0.2"/>
    <n v="5.7824999999999998"/>
  </r>
  <r>
    <n v="10"/>
    <x v="3"/>
    <x v="2"/>
    <x v="1"/>
    <d v="2011-06-14T00:00:00"/>
    <n v="5"/>
    <x v="1"/>
    <s v="Brosina Hoffman"/>
    <x v="0"/>
    <s v="United States"/>
    <s v="Los Angeles"/>
    <s v="California"/>
    <s v="West"/>
    <x v="1"/>
    <x v="9"/>
    <s v="Belkin F5C206VTEL 6 Outlet Surge"/>
    <x v="9"/>
    <n v="5"/>
    <n v="0"/>
    <n v="34.47"/>
  </r>
  <r>
    <n v="11"/>
    <x v="3"/>
    <x v="2"/>
    <x v="1"/>
    <d v="2011-06-14T00:00:00"/>
    <n v="5"/>
    <x v="1"/>
    <s v="Brosina Hoffman"/>
    <x v="0"/>
    <s v="United States"/>
    <s v="Los Angeles"/>
    <s v="California"/>
    <s v="West"/>
    <x v="0"/>
    <x v="3"/>
    <s v="Chromcraft Rectangular Conference Tables"/>
    <x v="10"/>
    <n v="9"/>
    <n v="0.2"/>
    <n v="85.309200000000004"/>
  </r>
  <r>
    <n v="12"/>
    <x v="3"/>
    <x v="2"/>
    <x v="1"/>
    <d v="2011-06-14T00:00:00"/>
    <n v="5"/>
    <x v="1"/>
    <s v="Brosina Hoffman"/>
    <x v="0"/>
    <s v="United States"/>
    <s v="Los Angeles"/>
    <s v="California"/>
    <s v="West"/>
    <x v="2"/>
    <x v="7"/>
    <s v="Konftel 250 Conference phone - Charcoal black"/>
    <x v="11"/>
    <n v="4"/>
    <n v="0.2"/>
    <n v="68.356800000000007"/>
  </r>
  <r>
    <n v="13"/>
    <x v="4"/>
    <x v="3"/>
    <x v="3"/>
    <d v="2014-04-21T00:00:00"/>
    <n v="5"/>
    <x v="1"/>
    <s v="Andrew Allen"/>
    <x v="0"/>
    <s v="United States"/>
    <s v="Concord"/>
    <s v="North Carolina"/>
    <s v="South"/>
    <x v="1"/>
    <x v="10"/>
    <s v="Xerox 1967"/>
    <x v="12"/>
    <n v="3"/>
    <n v="0.2"/>
    <n v="5.4432"/>
  </r>
  <r>
    <n v="14"/>
    <x v="5"/>
    <x v="0"/>
    <x v="4"/>
    <d v="2013-12-11T00:00:00"/>
    <n v="5"/>
    <x v="1"/>
    <s v="Irene Maddox"/>
    <x v="0"/>
    <s v="United States"/>
    <s v="Seattle"/>
    <s v="Washington"/>
    <s v="West"/>
    <x v="1"/>
    <x v="8"/>
    <s v="Fellowes PB200 Plastic Comb Binding Machine"/>
    <x v="13"/>
    <n v="3"/>
    <n v="0.2"/>
    <n v="132.59219999999999"/>
  </r>
  <r>
    <n v="15"/>
    <x v="6"/>
    <x v="1"/>
    <x v="0"/>
    <d v="2012-11-26T00:00:00"/>
    <n v="4"/>
    <x v="1"/>
    <s v="Harold Pawlan"/>
    <x v="2"/>
    <s v="United States"/>
    <s v="Fort Worth"/>
    <s v="Texas"/>
    <s v="Central"/>
    <x v="1"/>
    <x v="9"/>
    <s v="Holmes Replacement Filter for HEPA Air Cleaner, Very Large Room, HEPA Filter"/>
    <x v="14"/>
    <n v="5"/>
    <n v="0.8"/>
    <n v="-123.858"/>
  </r>
  <r>
    <n v="16"/>
    <x v="6"/>
    <x v="1"/>
    <x v="0"/>
    <d v="2012-11-26T00:00:00"/>
    <n v="4"/>
    <x v="1"/>
    <s v="Harold Pawlan"/>
    <x v="2"/>
    <s v="United States"/>
    <s v="Fort Worth"/>
    <s v="Texas"/>
    <s v="Central"/>
    <x v="1"/>
    <x v="8"/>
    <s v="Storex DuraTech Recycled Plastic Frosted Binders"/>
    <x v="15"/>
    <n v="3"/>
    <n v="0.8"/>
    <n v="-3.8159999999999998"/>
  </r>
  <r>
    <n v="17"/>
    <x v="7"/>
    <x v="2"/>
    <x v="0"/>
    <d v="2011-11-18T00:00:00"/>
    <n v="7"/>
    <x v="1"/>
    <s v="Pete Kriz"/>
    <x v="0"/>
    <s v="United States"/>
    <s v="Madison"/>
    <s v="Wisconsin"/>
    <s v="Central"/>
    <x v="1"/>
    <x v="4"/>
    <s v="Stur-D-Stor Shelving, Vertical 5-Shelf: 72&quot;H x 36&quot;W x 18 1/2&quot;D"/>
    <x v="16"/>
    <n v="6"/>
    <n v="0"/>
    <n v="13.317600000000001"/>
  </r>
  <r>
    <n v="18"/>
    <x v="8"/>
    <x v="2"/>
    <x v="5"/>
    <d v="2011-05-15T00:00:00"/>
    <n v="2"/>
    <x v="0"/>
    <s v="Alejandro Grove"/>
    <x v="0"/>
    <s v="United States"/>
    <s v="West Jordan"/>
    <s v="Utah"/>
    <s v="West"/>
    <x v="1"/>
    <x v="4"/>
    <s v="Fellowes Super Stor/Drawer"/>
    <x v="17"/>
    <n v="2"/>
    <n v="0"/>
    <n v="9.99"/>
  </r>
  <r>
    <n v="19"/>
    <x v="9"/>
    <x v="2"/>
    <x v="6"/>
    <d v="2011-09-01T00:00:00"/>
    <n v="5"/>
    <x v="0"/>
    <s v="Zuschuss Donatelli"/>
    <x v="0"/>
    <s v="United States"/>
    <s v="San Francisco"/>
    <s v="California"/>
    <s v="West"/>
    <x v="1"/>
    <x v="6"/>
    <s v="Newell 341"/>
    <x v="18"/>
    <n v="2"/>
    <n v="0"/>
    <n v="2.4824000000000002"/>
  </r>
  <r>
    <n v="20"/>
    <x v="9"/>
    <x v="2"/>
    <x v="6"/>
    <d v="2011-09-01T00:00:00"/>
    <n v="5"/>
    <x v="0"/>
    <s v="Zuschuss Donatelli"/>
    <x v="0"/>
    <s v="United States"/>
    <s v="San Francisco"/>
    <s v="California"/>
    <s v="West"/>
    <x v="2"/>
    <x v="7"/>
    <s v="Cisco SPA 501G IP Phone"/>
    <x v="19"/>
    <n v="3"/>
    <n v="0.2"/>
    <n v="16.010999999999999"/>
  </r>
  <r>
    <n v="21"/>
    <x v="9"/>
    <x v="2"/>
    <x v="6"/>
    <d v="2011-09-01T00:00:00"/>
    <n v="5"/>
    <x v="0"/>
    <s v="Zuschuss Donatelli"/>
    <x v="0"/>
    <s v="United States"/>
    <s v="San Francisco"/>
    <s v="California"/>
    <s v="West"/>
    <x v="1"/>
    <x v="8"/>
    <s v="Wilson Jones Hanging View Binder, White, 1&quot;"/>
    <x v="20"/>
    <n v="4"/>
    <n v="0.2"/>
    <n v="7.3840000000000003"/>
  </r>
  <r>
    <n v="22"/>
    <x v="10"/>
    <x v="0"/>
    <x v="4"/>
    <d v="2013-12-14T00:00:00"/>
    <n v="4"/>
    <x v="1"/>
    <s v="Ken Black"/>
    <x v="1"/>
    <s v="United States"/>
    <s v="Fremont"/>
    <s v="Nebraska"/>
    <s v="Central"/>
    <x v="1"/>
    <x v="6"/>
    <s v="Newell 318"/>
    <x v="21"/>
    <n v="7"/>
    <n v="0"/>
    <n v="5.0595999999999997"/>
  </r>
  <r>
    <n v="23"/>
    <x v="10"/>
    <x v="0"/>
    <x v="4"/>
    <d v="2013-12-14T00:00:00"/>
    <n v="4"/>
    <x v="1"/>
    <s v="Ken Black"/>
    <x v="1"/>
    <s v="United States"/>
    <s v="Fremont"/>
    <s v="Nebraska"/>
    <s v="Central"/>
    <x v="1"/>
    <x v="9"/>
    <s v="Acco Six-Outlet Power Strip, 4' Cord Length"/>
    <x v="22"/>
    <n v="7"/>
    <n v="0"/>
    <n v="15.6884"/>
  </r>
  <r>
    <n v="24"/>
    <x v="11"/>
    <x v="3"/>
    <x v="7"/>
    <d v="2014-07-19T00:00:00"/>
    <n v="2"/>
    <x v="0"/>
    <s v="Sandra Flanagan"/>
    <x v="0"/>
    <s v="United States"/>
    <s v="Philadelphia"/>
    <s v="Pennsylvania"/>
    <s v="East"/>
    <x v="0"/>
    <x v="1"/>
    <s v="Global Deluxe Stacking Chair, Gray"/>
    <x v="23"/>
    <n v="2"/>
    <n v="0.3"/>
    <n v="-1.0196000000000001"/>
  </r>
  <r>
    <n v="25"/>
    <x v="12"/>
    <x v="1"/>
    <x v="8"/>
    <d v="2012-09-30T00:00:00"/>
    <n v="5"/>
    <x v="1"/>
    <s v="Emily Burns"/>
    <x v="0"/>
    <s v="United States"/>
    <s v="Orem"/>
    <s v="Utah"/>
    <s v="West"/>
    <x v="0"/>
    <x v="3"/>
    <s v="Bretford CR4500 Series Slim Rectangular Table"/>
    <x v="24"/>
    <n v="3"/>
    <n v="0"/>
    <n v="240.26490000000001"/>
  </r>
  <r>
    <n v="26"/>
    <x v="13"/>
    <x v="0"/>
    <x v="9"/>
    <d v="2013-01-20T00:00:00"/>
    <n v="4"/>
    <x v="0"/>
    <s v="Eric Hoffmann"/>
    <x v="0"/>
    <s v="United States"/>
    <s v="Los Angeles"/>
    <s v="California"/>
    <s v="West"/>
    <x v="1"/>
    <x v="8"/>
    <s v="Wilson Jones Active Use Binders"/>
    <x v="25"/>
    <n v="2"/>
    <n v="0.2"/>
    <n v="4.2224000000000004"/>
  </r>
  <r>
    <n v="27"/>
    <x v="13"/>
    <x v="0"/>
    <x v="9"/>
    <d v="2013-01-20T00:00:00"/>
    <n v="4"/>
    <x v="0"/>
    <s v="Eric Hoffmann"/>
    <x v="0"/>
    <s v="United States"/>
    <s v="Los Angeles"/>
    <s v="California"/>
    <s v="West"/>
    <x v="2"/>
    <x v="11"/>
    <s v="Imation 8GB Mini TravelDrive USB 2.0 Flash Drive"/>
    <x v="26"/>
    <n v="3"/>
    <n v="0"/>
    <n v="11.774100000000001"/>
  </r>
  <r>
    <n v="28"/>
    <x v="14"/>
    <x v="1"/>
    <x v="8"/>
    <d v="2012-09-21T00:00:00"/>
    <n v="4"/>
    <x v="1"/>
    <s v="Tracy Blumstein"/>
    <x v="0"/>
    <s v="United States"/>
    <s v="Philadelphia"/>
    <s v="Pennsylvania"/>
    <s v="East"/>
    <x v="0"/>
    <x v="0"/>
    <s v="Riverside Palais Royal Lawyers Bookcase, Royale Cherry Finish"/>
    <x v="27"/>
    <n v="7"/>
    <n v="0.5"/>
    <n v="-1665.0522000000001"/>
  </r>
  <r>
    <n v="29"/>
    <x v="14"/>
    <x v="1"/>
    <x v="8"/>
    <d v="2012-09-21T00:00:00"/>
    <n v="4"/>
    <x v="1"/>
    <s v="Tracy Blumstein"/>
    <x v="0"/>
    <s v="United States"/>
    <s v="Philadelphia"/>
    <s v="Pennsylvania"/>
    <s v="East"/>
    <x v="1"/>
    <x v="8"/>
    <s v="Avery Recycled Flexi-View Covers for Binding Systems"/>
    <x v="28"/>
    <n v="2"/>
    <n v="0.7"/>
    <n v="-7.0532000000000004"/>
  </r>
  <r>
    <n v="30"/>
    <x v="14"/>
    <x v="1"/>
    <x v="8"/>
    <d v="2012-09-21T00:00:00"/>
    <n v="4"/>
    <x v="1"/>
    <s v="Tracy Blumstein"/>
    <x v="0"/>
    <s v="United States"/>
    <s v="Philadelphia"/>
    <s v="Pennsylvania"/>
    <s v="East"/>
    <x v="0"/>
    <x v="5"/>
    <s v="Howard Miller 13-3/4&quot; Diameter Brushed Chrome Round Wall Clock"/>
    <x v="29"/>
    <n v="3"/>
    <n v="0.2"/>
    <n v="15.525"/>
  </r>
  <r>
    <n v="31"/>
    <x v="14"/>
    <x v="1"/>
    <x v="8"/>
    <d v="2012-09-21T00:00:00"/>
    <n v="4"/>
    <x v="1"/>
    <s v="Tracy Blumstein"/>
    <x v="0"/>
    <s v="United States"/>
    <s v="Philadelphia"/>
    <s v="Pennsylvania"/>
    <s v="East"/>
    <x v="1"/>
    <x v="12"/>
    <s v="Poly String Tie Envelopes"/>
    <x v="30"/>
    <n v="2"/>
    <n v="0.2"/>
    <n v="1.1015999999999999"/>
  </r>
  <r>
    <n v="32"/>
    <x v="14"/>
    <x v="1"/>
    <x v="8"/>
    <d v="2012-09-21T00:00:00"/>
    <n v="4"/>
    <x v="1"/>
    <s v="Tracy Blumstein"/>
    <x v="0"/>
    <s v="United States"/>
    <s v="Philadelphia"/>
    <s v="Pennsylvania"/>
    <s v="East"/>
    <x v="1"/>
    <x v="6"/>
    <s v="BOSTON Model 1800 Electric Pencil Sharpeners, Putty/Woodgrain"/>
    <x v="31"/>
    <n v="6"/>
    <n v="0.2"/>
    <n v="9.7091999999999992"/>
  </r>
  <r>
    <n v="33"/>
    <x v="14"/>
    <x v="1"/>
    <x v="8"/>
    <d v="2012-09-21T00:00:00"/>
    <n v="4"/>
    <x v="1"/>
    <s v="Tracy Blumstein"/>
    <x v="0"/>
    <s v="United States"/>
    <s v="Philadelphia"/>
    <s v="Pennsylvania"/>
    <s v="East"/>
    <x v="1"/>
    <x v="8"/>
    <s v="Acco Pressboard Covers with Storage Hooks, 14 7/8&quot; x 11&quot;, Executive Red"/>
    <x v="32"/>
    <n v="6"/>
    <n v="0.7"/>
    <n v="-5.7149999999999999"/>
  </r>
  <r>
    <n v="34"/>
    <x v="14"/>
    <x v="1"/>
    <x v="8"/>
    <d v="2012-09-21T00:00:00"/>
    <n v="4"/>
    <x v="1"/>
    <s v="Tracy Blumstein"/>
    <x v="0"/>
    <s v="United States"/>
    <s v="Philadelphia"/>
    <s v="Pennsylvania"/>
    <s v="East"/>
    <x v="1"/>
    <x v="6"/>
    <s v="Lumber Crayons"/>
    <x v="33"/>
    <n v="2"/>
    <n v="0.2"/>
    <n v="3.5459999999999998"/>
  </r>
  <r>
    <n v="35"/>
    <x v="15"/>
    <x v="3"/>
    <x v="2"/>
    <d v="2014-10-24T00:00:00"/>
    <n v="4"/>
    <x v="0"/>
    <s v="Matt Abelman"/>
    <x v="2"/>
    <s v="United States"/>
    <s v="Houston"/>
    <s v="Texas"/>
    <s v="Central"/>
    <x v="1"/>
    <x v="10"/>
    <s v="Staples"/>
    <x v="34"/>
    <n v="3"/>
    <n v="0.2"/>
    <n v="9.9467999999999996"/>
  </r>
  <r>
    <n v="36"/>
    <x v="16"/>
    <x v="0"/>
    <x v="4"/>
    <d v="2013-12-11T00:00:00"/>
    <n v="2"/>
    <x v="2"/>
    <s v="Gene Hale"/>
    <x v="1"/>
    <s v="United States"/>
    <s v="Richardson"/>
    <s v="Texas"/>
    <s v="Central"/>
    <x v="2"/>
    <x v="7"/>
    <s v="GE 30524EE4"/>
    <x v="35"/>
    <n v="7"/>
    <n v="0.2"/>
    <n v="123.47369999999999"/>
  </r>
  <r>
    <n v="37"/>
    <x v="16"/>
    <x v="0"/>
    <x v="4"/>
    <d v="2013-12-11T00:00:00"/>
    <n v="2"/>
    <x v="2"/>
    <s v="Gene Hale"/>
    <x v="1"/>
    <s v="United States"/>
    <s v="Richardson"/>
    <s v="Texas"/>
    <s v="Central"/>
    <x v="0"/>
    <x v="5"/>
    <s v="Electrix Architect's Clamp-On Swing Arm Lamp, Black"/>
    <x v="36"/>
    <n v="5"/>
    <n v="0.6"/>
    <n v="-147.96299999999999"/>
  </r>
  <r>
    <n v="38"/>
    <x v="17"/>
    <x v="1"/>
    <x v="4"/>
    <d v="2012-12-31T00:00:00"/>
    <n v="4"/>
    <x v="1"/>
    <s v="Steve Nguyen"/>
    <x v="2"/>
    <s v="United States"/>
    <s v="Houston"/>
    <s v="Texas"/>
    <s v="Central"/>
    <x v="1"/>
    <x v="12"/>
    <s v="#10-4 1/8&quot; x 9 1/2&quot; Premium Diagonal Seam Envelopes"/>
    <x v="37"/>
    <n v="9"/>
    <n v="0.2"/>
    <n v="35.414999999999999"/>
  </r>
  <r>
    <n v="39"/>
    <x v="17"/>
    <x v="1"/>
    <x v="4"/>
    <d v="2012-12-31T00:00:00"/>
    <n v="4"/>
    <x v="1"/>
    <s v="Steve Nguyen"/>
    <x v="2"/>
    <s v="United States"/>
    <s v="Houston"/>
    <s v="Texas"/>
    <s v="Central"/>
    <x v="0"/>
    <x v="0"/>
    <s v="Atlantic Metals Mobile 3-Shelf Bookcases, Custom Colors"/>
    <x v="38"/>
    <n v="3"/>
    <n v="0.32"/>
    <n v="-46.976399999999998"/>
  </r>
  <r>
    <n v="40"/>
    <x v="17"/>
    <x v="1"/>
    <x v="4"/>
    <d v="2012-12-31T00:00:00"/>
    <n v="4"/>
    <x v="1"/>
    <s v="Steve Nguyen"/>
    <x v="2"/>
    <s v="United States"/>
    <s v="Houston"/>
    <s v="Texas"/>
    <s v="Central"/>
    <x v="0"/>
    <x v="1"/>
    <s v="Global Fabric Manager's Chair, Dark Gray"/>
    <x v="39"/>
    <n v="3"/>
    <n v="0.3"/>
    <n v="-15.147"/>
  </r>
  <r>
    <n v="41"/>
    <x v="17"/>
    <x v="1"/>
    <x v="4"/>
    <d v="2012-12-31T00:00:00"/>
    <n v="4"/>
    <x v="1"/>
    <s v="Steve Nguyen"/>
    <x v="2"/>
    <s v="United States"/>
    <s v="Houston"/>
    <s v="Texas"/>
    <s v="Central"/>
    <x v="2"/>
    <x v="7"/>
    <s v="Plantronics HL10 Handset Lifter"/>
    <x v="40"/>
    <n v="4"/>
    <n v="0.2"/>
    <n v="41.756399999999999"/>
  </r>
  <r>
    <n v="42"/>
    <x v="18"/>
    <x v="3"/>
    <x v="8"/>
    <d v="2014-09-16T00:00:00"/>
    <n v="5"/>
    <x v="1"/>
    <s v="Linda Cazamias"/>
    <x v="1"/>
    <s v="United States"/>
    <s v="Naperville"/>
    <s v="Illinois"/>
    <s v="Central"/>
    <x v="2"/>
    <x v="7"/>
    <s v="Panasonic Kx-TS550"/>
    <x v="41"/>
    <n v="4"/>
    <n v="0.2"/>
    <n v="16.5564"/>
  </r>
  <r>
    <n v="43"/>
    <x v="19"/>
    <x v="0"/>
    <x v="7"/>
    <d v="2013-07-23T00:00:00"/>
    <n v="5"/>
    <x v="1"/>
    <s v="Ruben Ausman"/>
    <x v="1"/>
    <s v="United States"/>
    <s v="Los Angeles"/>
    <s v="California"/>
    <s v="West"/>
    <x v="1"/>
    <x v="4"/>
    <s v="Eldon Base for stackable storage shelf, platinum"/>
    <x v="42"/>
    <n v="2"/>
    <n v="0"/>
    <n v="3.8940000000000001"/>
  </r>
  <r>
    <n v="44"/>
    <x v="20"/>
    <x v="3"/>
    <x v="8"/>
    <d v="2014-09-24T00:00:00"/>
    <n v="4"/>
    <x v="1"/>
    <s v="Erin Smith"/>
    <x v="1"/>
    <s v="United States"/>
    <s v="Melbourne"/>
    <s v="Florida"/>
    <s v="South"/>
    <x v="1"/>
    <x v="4"/>
    <s v="Advantus 10-Drawer Portable Organizer, Chrome Metal Frame, Smoke Drawers"/>
    <x v="43"/>
    <n v="2"/>
    <n v="0.2"/>
    <n v="9.5616000000000003"/>
  </r>
  <r>
    <n v="45"/>
    <x v="21"/>
    <x v="0"/>
    <x v="10"/>
    <d v="2013-03-14T00:00:00"/>
    <n v="2"/>
    <x v="2"/>
    <s v="Odella Nelson"/>
    <x v="1"/>
    <s v="United States"/>
    <s v="Eagan"/>
    <s v="Minnesota"/>
    <s v="Central"/>
    <x v="2"/>
    <x v="11"/>
    <s v="Verbatim 25 GB 6x Blu-ray Single Layer Recordable Disc, 25/Pack"/>
    <x v="44"/>
    <n v="2"/>
    <n v="0"/>
    <n v="19.7714"/>
  </r>
  <r>
    <n v="46"/>
    <x v="21"/>
    <x v="0"/>
    <x v="10"/>
    <d v="2013-03-14T00:00:00"/>
    <n v="2"/>
    <x v="2"/>
    <s v="Odella Nelson"/>
    <x v="1"/>
    <s v="United States"/>
    <s v="Eagan"/>
    <s v="Minnesota"/>
    <s v="Central"/>
    <x v="1"/>
    <x v="8"/>
    <s v="Wilson Jones Leather-Like Binders with DublLock Round Rings"/>
    <x v="45"/>
    <n v="2"/>
    <n v="0"/>
    <n v="8.2062000000000008"/>
  </r>
  <r>
    <n v="47"/>
    <x v="22"/>
    <x v="2"/>
    <x v="2"/>
    <d v="2011-10-25T00:00:00"/>
    <n v="5"/>
    <x v="0"/>
    <s v="Patrick O'Donnell"/>
    <x v="0"/>
    <s v="United States"/>
    <s v="Westland"/>
    <s v="Michigan"/>
    <s v="Central"/>
    <x v="1"/>
    <x v="4"/>
    <s v="Gould Plastics 9-Pocket Panel Bin, 18-3/8w x 5-1/4d x 20-1/2h, Black"/>
    <x v="46"/>
    <n v="4"/>
    <n v="0"/>
    <n v="8.4784000000000006"/>
  </r>
  <r>
    <n v="48"/>
    <x v="23"/>
    <x v="0"/>
    <x v="1"/>
    <d v="2013-06-26T00:00:00"/>
    <n v="5"/>
    <x v="1"/>
    <s v="Lena Hernandez"/>
    <x v="0"/>
    <s v="United States"/>
    <s v="Dover"/>
    <s v="Delaware"/>
    <s v="East"/>
    <x v="2"/>
    <x v="11"/>
    <s v="Imation 8gb Micro Traveldrive Usb 2.0 Flash Drive"/>
    <x v="47"/>
    <n v="3"/>
    <n v="0"/>
    <n v="4.95"/>
  </r>
  <r>
    <n v="49"/>
    <x v="23"/>
    <x v="0"/>
    <x v="1"/>
    <d v="2013-06-26T00:00:00"/>
    <n v="5"/>
    <x v="1"/>
    <s v="Lena Hernandez"/>
    <x v="0"/>
    <s v="United States"/>
    <s v="Dover"/>
    <s v="Delaware"/>
    <s v="East"/>
    <x v="2"/>
    <x v="7"/>
    <s v="LF Elite 3D Dazzle Designer Hard Case Cover, Lf Stylus Pen and Wiper For Apple Iphone 5c Mini Lite"/>
    <x v="48"/>
    <n v="2"/>
    <n v="0"/>
    <n v="6.1040000000000001"/>
  </r>
  <r>
    <n v="50"/>
    <x v="24"/>
    <x v="1"/>
    <x v="3"/>
    <d v="2012-04-22T00:00:00"/>
    <n v="4"/>
    <x v="1"/>
    <s v="Darren Powers"/>
    <x v="0"/>
    <s v="United States"/>
    <s v="New Albany"/>
    <s v="Indiana"/>
    <s v="Central"/>
    <x v="1"/>
    <x v="8"/>
    <s v="C-Line Peel &amp; Stick Add-On Filing Pockets, 8-3/4 x 5-1/8, 10/Pack"/>
    <x v="49"/>
    <n v="6"/>
    <n v="0"/>
    <n v="17.9634"/>
  </r>
  <r>
    <n v="51"/>
    <x v="24"/>
    <x v="1"/>
    <x v="3"/>
    <d v="2012-04-22T00:00:00"/>
    <n v="4"/>
    <x v="1"/>
    <s v="Darren Powers"/>
    <x v="0"/>
    <s v="United States"/>
    <s v="New Albany"/>
    <s v="Indiana"/>
    <s v="Central"/>
    <x v="1"/>
    <x v="2"/>
    <s v="Avery 485"/>
    <x v="50"/>
    <n v="6"/>
    <n v="0"/>
    <n v="35.334600000000002"/>
  </r>
  <r>
    <n v="52"/>
    <x v="24"/>
    <x v="1"/>
    <x v="3"/>
    <d v="2012-04-22T00:00:00"/>
    <n v="4"/>
    <x v="1"/>
    <s v="Darren Powers"/>
    <x v="0"/>
    <s v="United States"/>
    <s v="New Albany"/>
    <s v="Indiana"/>
    <s v="Central"/>
    <x v="0"/>
    <x v="5"/>
    <s v="Longer-Life Soft White Bulbs"/>
    <x v="51"/>
    <n v="2"/>
    <n v="0"/>
    <n v="2.9567999999999999"/>
  </r>
  <r>
    <n v="53"/>
    <x v="24"/>
    <x v="1"/>
    <x v="3"/>
    <d v="2012-04-22T00:00:00"/>
    <n v="4"/>
    <x v="1"/>
    <s v="Darren Powers"/>
    <x v="0"/>
    <s v="United States"/>
    <s v="New Albany"/>
    <s v="Indiana"/>
    <s v="Central"/>
    <x v="0"/>
    <x v="1"/>
    <s v="Global Leather Task Chair, Black"/>
    <x v="52"/>
    <n v="1"/>
    <n v="0"/>
    <n v="17.098099999999999"/>
  </r>
  <r>
    <n v="54"/>
    <x v="25"/>
    <x v="0"/>
    <x v="4"/>
    <d v="2013-12-18T00:00:00"/>
    <n v="6"/>
    <x v="1"/>
    <s v="Janet Molinari"/>
    <x v="1"/>
    <s v="United States"/>
    <s v="New York City"/>
    <s v="New York"/>
    <s v="East"/>
    <x v="1"/>
    <x v="13"/>
    <s v="Advantus Push Pins"/>
    <x v="53"/>
    <n v="7"/>
    <n v="0"/>
    <n v="6.2565999999999997"/>
  </r>
  <r>
    <n v="55"/>
    <x v="25"/>
    <x v="0"/>
    <x v="4"/>
    <d v="2013-12-18T00:00:00"/>
    <n v="6"/>
    <x v="1"/>
    <s v="Janet Molinari"/>
    <x v="1"/>
    <s v="United States"/>
    <s v="New York City"/>
    <s v="New York"/>
    <s v="East"/>
    <x v="2"/>
    <x v="7"/>
    <s v="AT&amp;T CL83451 4-Handset Telephone"/>
    <x v="54"/>
    <n v="5"/>
    <n v="0"/>
    <n v="298.68549999999999"/>
  </r>
  <r>
    <n v="56"/>
    <x v="26"/>
    <x v="0"/>
    <x v="1"/>
    <d v="2013-06-19T00:00:00"/>
    <n v="1"/>
    <x v="2"/>
    <s v="Ted Butterfield"/>
    <x v="0"/>
    <s v="United States"/>
    <s v="Troy"/>
    <s v="New York"/>
    <s v="East"/>
    <x v="1"/>
    <x v="4"/>
    <s v="Home/Office Personal File Carts"/>
    <x v="55"/>
    <n v="6"/>
    <n v="0"/>
    <n v="52.14"/>
  </r>
  <r>
    <n v="57"/>
    <x v="26"/>
    <x v="0"/>
    <x v="1"/>
    <d v="2013-06-19T00:00:00"/>
    <n v="1"/>
    <x v="2"/>
    <s v="Ted Butterfield"/>
    <x v="0"/>
    <s v="United States"/>
    <s v="Troy"/>
    <s v="New York"/>
    <s v="East"/>
    <x v="1"/>
    <x v="10"/>
    <s v="Xerox 232"/>
    <x v="56"/>
    <n v="5"/>
    <n v="0"/>
    <n v="15.552"/>
  </r>
  <r>
    <n v="58"/>
    <x v="26"/>
    <x v="0"/>
    <x v="1"/>
    <d v="2013-06-19T00:00:00"/>
    <n v="1"/>
    <x v="2"/>
    <s v="Ted Butterfield"/>
    <x v="0"/>
    <s v="United States"/>
    <s v="Troy"/>
    <s v="New York"/>
    <s v="East"/>
    <x v="0"/>
    <x v="1"/>
    <s v="Novimex Turbo Task Chair"/>
    <x v="57"/>
    <n v="5"/>
    <n v="0.1"/>
    <n v="7.0979999999999999"/>
  </r>
  <r>
    <n v="59"/>
    <x v="26"/>
    <x v="0"/>
    <x v="1"/>
    <d v="2013-06-19T00:00:00"/>
    <n v="1"/>
    <x v="2"/>
    <s v="Ted Butterfield"/>
    <x v="0"/>
    <s v="United States"/>
    <s v="Troy"/>
    <s v="New York"/>
    <s v="East"/>
    <x v="1"/>
    <x v="10"/>
    <s v="Array Parchment Paper, Assorted Colors"/>
    <x v="58"/>
    <n v="2"/>
    <n v="0"/>
    <n v="6.9888000000000003"/>
  </r>
  <r>
    <n v="60"/>
    <x v="26"/>
    <x v="0"/>
    <x v="1"/>
    <d v="2013-06-19T00:00:00"/>
    <n v="1"/>
    <x v="2"/>
    <s v="Ted Butterfield"/>
    <x v="0"/>
    <s v="United States"/>
    <s v="Troy"/>
    <s v="New York"/>
    <s v="East"/>
    <x v="2"/>
    <x v="11"/>
    <s v="Imation 8gb Micro Traveldrive Usb 2.0 Flash Drive"/>
    <x v="59"/>
    <n v="2"/>
    <n v="0"/>
    <n v="3.3"/>
  </r>
  <r>
    <n v="61"/>
    <x v="26"/>
    <x v="0"/>
    <x v="1"/>
    <d v="2013-06-19T00:00:00"/>
    <n v="1"/>
    <x v="2"/>
    <s v="Ted Butterfield"/>
    <x v="0"/>
    <s v="United States"/>
    <s v="Troy"/>
    <s v="New York"/>
    <s v="East"/>
    <x v="1"/>
    <x v="8"/>
    <s v="Plastic Binding Combs"/>
    <x v="60"/>
    <n v="4"/>
    <n v="0.2"/>
    <n v="16.361999999999998"/>
  </r>
  <r>
    <n v="62"/>
    <x v="26"/>
    <x v="0"/>
    <x v="1"/>
    <d v="2013-06-19T00:00:00"/>
    <n v="1"/>
    <x v="2"/>
    <s v="Ted Butterfield"/>
    <x v="0"/>
    <s v="United States"/>
    <s v="Troy"/>
    <s v="New York"/>
    <s v="East"/>
    <x v="1"/>
    <x v="6"/>
    <s v="Prang Dustless Chalk Sticks"/>
    <x v="61"/>
    <n v="1"/>
    <n v="0"/>
    <n v="0.84"/>
  </r>
  <r>
    <n v="63"/>
    <x v="27"/>
    <x v="1"/>
    <x v="0"/>
    <d v="2012-11-30T00:00:00"/>
    <n v="6"/>
    <x v="1"/>
    <s v="Kunst Miller"/>
    <x v="0"/>
    <s v="United States"/>
    <s v="Los Angeles"/>
    <s v="California"/>
    <s v="West"/>
    <x v="2"/>
    <x v="11"/>
    <s v="Verbatim 25 GB 6x Blu-ray Single Layer Recordable Disc, 3/Pack"/>
    <x v="62"/>
    <n v="2"/>
    <n v="0"/>
    <n v="6.1512000000000002"/>
  </r>
  <r>
    <n v="64"/>
    <x v="27"/>
    <x v="1"/>
    <x v="0"/>
    <d v="2012-11-30T00:00:00"/>
    <n v="6"/>
    <x v="1"/>
    <s v="Kunst Miller"/>
    <x v="0"/>
    <s v="United States"/>
    <s v="Los Angeles"/>
    <s v="California"/>
    <s v="West"/>
    <x v="1"/>
    <x v="8"/>
    <s v="Acco PRESSTEX Data Binder with Storage Hooks, Dark Blue, 14 7/8&quot; X 11&quot;"/>
    <x v="63"/>
    <n v="6"/>
    <n v="0.2"/>
    <n v="9.3612000000000002"/>
  </r>
  <r>
    <n v="65"/>
    <x v="27"/>
    <x v="1"/>
    <x v="0"/>
    <d v="2012-11-30T00:00:00"/>
    <n v="6"/>
    <x v="1"/>
    <s v="Kunst Miller"/>
    <x v="0"/>
    <s v="United States"/>
    <s v="Los Angeles"/>
    <s v="California"/>
    <s v="West"/>
    <x v="1"/>
    <x v="10"/>
    <s v="Xerox 1943"/>
    <x v="64"/>
    <n v="3"/>
    <n v="0"/>
    <n v="68.963099999999997"/>
  </r>
  <r>
    <n v="66"/>
    <x v="27"/>
    <x v="1"/>
    <x v="0"/>
    <d v="2012-11-30T00:00:00"/>
    <n v="6"/>
    <x v="1"/>
    <s v="Kunst Miller"/>
    <x v="0"/>
    <s v="United States"/>
    <s v="Los Angeles"/>
    <s v="California"/>
    <s v="West"/>
    <x v="0"/>
    <x v="5"/>
    <s v="Luxo Economy Swing Arm Lamp"/>
    <x v="65"/>
    <n v="4"/>
    <n v="0"/>
    <n v="22.332799999999999"/>
  </r>
  <r>
    <n v="67"/>
    <x v="28"/>
    <x v="1"/>
    <x v="3"/>
    <d v="2012-05-05T00:00:00"/>
    <n v="5"/>
    <x v="1"/>
    <s v="Paul Stevenson"/>
    <x v="2"/>
    <s v="United States"/>
    <s v="Chicago"/>
    <s v="Illinois"/>
    <s v="Central"/>
    <x v="0"/>
    <x v="1"/>
    <s v="Global Value Mid-Back Manager's Chair, Gray"/>
    <x v="66"/>
    <n v="5"/>
    <n v="0.3"/>
    <n v="-15.2225"/>
  </r>
  <r>
    <n v="68"/>
    <x v="29"/>
    <x v="2"/>
    <x v="4"/>
    <d v="2011-12-10T00:00:00"/>
    <n v="5"/>
    <x v="1"/>
    <s v="Brendan Sweed"/>
    <x v="1"/>
    <s v="United States"/>
    <s v="Gilbert"/>
    <s v="Arizona"/>
    <s v="West"/>
    <x v="1"/>
    <x v="6"/>
    <s v="Hunt BOSTON Model 1606 High-Volume Electric Pencil Sharpener, Beige"/>
    <x v="67"/>
    <n v="8"/>
    <n v="0.2"/>
    <n v="111.30240000000001"/>
  </r>
  <r>
    <n v="69"/>
    <x v="29"/>
    <x v="2"/>
    <x v="4"/>
    <d v="2011-12-10T00:00:00"/>
    <n v="5"/>
    <x v="1"/>
    <s v="Brendan Sweed"/>
    <x v="1"/>
    <s v="United States"/>
    <s v="Gilbert"/>
    <s v="Arizona"/>
    <s v="West"/>
    <x v="2"/>
    <x v="7"/>
    <s v="netTALK DUO VoIP Telephone Service"/>
    <x v="68"/>
    <n v="4"/>
    <n v="0.2"/>
    <n v="62.988"/>
  </r>
  <r>
    <n v="70"/>
    <x v="30"/>
    <x v="0"/>
    <x v="1"/>
    <d v="2013-06-07T00:00:00"/>
    <n v="2"/>
    <x v="2"/>
    <s v="Karen Daniels"/>
    <x v="0"/>
    <s v="United States"/>
    <s v="Springfield"/>
    <s v="Virginia"/>
    <s v="South"/>
    <x v="1"/>
    <x v="10"/>
    <s v="Snap-A-Way Black Print Carbonless Ruled Speed Letter, Triplicate"/>
    <x v="69"/>
    <n v="2"/>
    <n v="0"/>
    <n v="35.663600000000002"/>
  </r>
  <r>
    <n v="71"/>
    <x v="31"/>
    <x v="0"/>
    <x v="8"/>
    <d v="2013-09-24T00:00:00"/>
    <n v="5"/>
    <x v="1"/>
    <s v="Henry MacAllister"/>
    <x v="0"/>
    <s v="United States"/>
    <s v="New York City"/>
    <s v="New York"/>
    <s v="East"/>
    <x v="1"/>
    <x v="8"/>
    <s v="Avery Binding System Hidden Tab Executive Style Index Sets"/>
    <x v="70"/>
    <n v="1"/>
    <n v="0.2"/>
    <n v="1.7310000000000001"/>
  </r>
  <r>
    <n v="72"/>
    <x v="32"/>
    <x v="3"/>
    <x v="8"/>
    <d v="2014-09-18T00:00:00"/>
    <n v="3"/>
    <x v="0"/>
    <s v="Tracy Blumstein"/>
    <x v="0"/>
    <s v="United States"/>
    <s v="Jackson"/>
    <s v="Michigan"/>
    <s v="Central"/>
    <x v="1"/>
    <x v="10"/>
    <s v="Telephone Message Books with Fax/Mobile Section, 5 1/2&quot; x 3 3/16&quot;"/>
    <x v="71"/>
    <n v="3"/>
    <n v="0"/>
    <n v="8.7629999999999999"/>
  </r>
  <r>
    <n v="73"/>
    <x v="33"/>
    <x v="1"/>
    <x v="3"/>
    <d v="2012-05-02T00:00:00"/>
    <n v="6"/>
    <x v="1"/>
    <s v="Joel Eaton"/>
    <x v="0"/>
    <s v="United States"/>
    <s v="Memphis"/>
    <s v="Tennessee"/>
    <s v="South"/>
    <x v="0"/>
    <x v="1"/>
    <s v="High-Back Leather Manager's Chair"/>
    <x v="72"/>
    <n v="8"/>
    <n v="0.2"/>
    <n v="-114.3912"/>
  </r>
  <r>
    <n v="74"/>
    <x v="33"/>
    <x v="1"/>
    <x v="3"/>
    <d v="2012-05-02T00:00:00"/>
    <n v="6"/>
    <x v="1"/>
    <s v="Joel Eaton"/>
    <x v="0"/>
    <s v="United States"/>
    <s v="Memphis"/>
    <s v="Tennessee"/>
    <s v="South"/>
    <x v="0"/>
    <x v="5"/>
    <s v="Tenex Traditional Chairmats for Medium Pile Carpet, Standard Lip, 36&quot; x 48&quot;"/>
    <x v="73"/>
    <n v="2"/>
    <n v="0.2"/>
    <n v="1.2130000000000001"/>
  </r>
  <r>
    <n v="75"/>
    <x v="33"/>
    <x v="1"/>
    <x v="3"/>
    <d v="2012-05-02T00:00:00"/>
    <n v="6"/>
    <x v="1"/>
    <s v="Joel Eaton"/>
    <x v="0"/>
    <s v="United States"/>
    <s v="Memphis"/>
    <s v="Tennessee"/>
    <s v="South"/>
    <x v="1"/>
    <x v="4"/>
    <s v="Safco Industrial Wire Shelving System"/>
    <x v="74"/>
    <n v="1"/>
    <n v="0.2"/>
    <n v="-18.196000000000002"/>
  </r>
  <r>
    <n v="76"/>
    <x v="34"/>
    <x v="3"/>
    <x v="4"/>
    <d v="2014-12-12T00:00:00"/>
    <n v="2"/>
    <x v="2"/>
    <s v="Ken Brennan"/>
    <x v="1"/>
    <s v="United States"/>
    <s v="Houston"/>
    <s v="Texas"/>
    <s v="Central"/>
    <x v="1"/>
    <x v="8"/>
    <s v="Economy Binders"/>
    <x v="75"/>
    <n v="3"/>
    <n v="0.8"/>
    <n v="-1.9343999999999999"/>
  </r>
  <r>
    <n v="77"/>
    <x v="34"/>
    <x v="3"/>
    <x v="4"/>
    <d v="2014-12-12T00:00:00"/>
    <n v="2"/>
    <x v="2"/>
    <s v="Ken Brennan"/>
    <x v="1"/>
    <s v="United States"/>
    <s v="Houston"/>
    <s v="Texas"/>
    <s v="Central"/>
    <x v="0"/>
    <x v="5"/>
    <s v="6&quot; Cubicle Wall Clock, Black"/>
    <x v="76"/>
    <n v="3"/>
    <n v="0.6"/>
    <n v="-5.8247999999999998"/>
  </r>
  <r>
    <n v="78"/>
    <x v="34"/>
    <x v="3"/>
    <x v="4"/>
    <d v="2014-12-12T00:00:00"/>
    <n v="2"/>
    <x v="2"/>
    <s v="Ken Brennan"/>
    <x v="1"/>
    <s v="United States"/>
    <s v="Houston"/>
    <s v="Texas"/>
    <s v="Central"/>
    <x v="1"/>
    <x v="4"/>
    <s v="SimpliFile Personal File, Black Granite, 15w x 6-15/16d x 11-1/4h"/>
    <x v="77"/>
    <n v="3"/>
    <n v="0.2"/>
    <n v="2.7240000000000002"/>
  </r>
  <r>
    <n v="79"/>
    <x v="35"/>
    <x v="2"/>
    <x v="0"/>
    <d v="2011-12-01T00:00:00"/>
    <n v="5"/>
    <x v="0"/>
    <s v="Joel Eaton"/>
    <x v="0"/>
    <s v="United States"/>
    <s v="Houston"/>
    <s v="Texas"/>
    <s v="Central"/>
    <x v="0"/>
    <x v="5"/>
    <s v="Eldon Expressions Desk Accessory, Wood Pencil Holder, Oak"/>
    <x v="78"/>
    <n v="5"/>
    <n v="0.6"/>
    <n v="-14.475"/>
  </r>
  <r>
    <n v="80"/>
    <x v="1"/>
    <x v="0"/>
    <x v="1"/>
    <d v="2013-06-16T00:00:00"/>
    <n v="3"/>
    <x v="2"/>
    <s v="Stewart Carmichael"/>
    <x v="1"/>
    <s v="United States"/>
    <s v="Decatur"/>
    <s v="Alabama"/>
    <s v="South"/>
    <x v="1"/>
    <x v="9"/>
    <s v="1.7 Cubic Foot Compact &quot;Cube&quot; Office Refrigerators"/>
    <x v="79"/>
    <n v="1"/>
    <n v="0"/>
    <n v="56.203200000000002"/>
  </r>
  <r>
    <n v="81"/>
    <x v="1"/>
    <x v="0"/>
    <x v="1"/>
    <d v="2013-06-16T00:00:00"/>
    <n v="3"/>
    <x v="2"/>
    <s v="Stewart Carmichael"/>
    <x v="1"/>
    <s v="United States"/>
    <s v="Decatur"/>
    <s v="Alabama"/>
    <s v="South"/>
    <x v="1"/>
    <x v="8"/>
    <s v="Avery Heavy-Duty EZD  Binder With Locking Rings"/>
    <x v="80"/>
    <n v="3"/>
    <n v="0"/>
    <n v="8.0351999999999997"/>
  </r>
  <r>
    <n v="82"/>
    <x v="36"/>
    <x v="2"/>
    <x v="2"/>
    <d v="2011-10-16T00:00:00"/>
    <n v="4"/>
    <x v="1"/>
    <s v="Duane Noonan"/>
    <x v="0"/>
    <s v="United States"/>
    <s v="San Francisco"/>
    <s v="California"/>
    <s v="West"/>
    <x v="1"/>
    <x v="6"/>
    <s v="Premium Writing Pencils, Soft, #2 by Central Association for the Blind"/>
    <x v="81"/>
    <n v="5"/>
    <n v="0"/>
    <n v="4.1719999999999997"/>
  </r>
  <r>
    <n v="83"/>
    <x v="36"/>
    <x v="2"/>
    <x v="2"/>
    <d v="2011-10-16T00:00:00"/>
    <n v="4"/>
    <x v="1"/>
    <s v="Duane Noonan"/>
    <x v="0"/>
    <s v="United States"/>
    <s v="San Francisco"/>
    <s v="California"/>
    <s v="West"/>
    <x v="1"/>
    <x v="4"/>
    <s v="Sortfiler Multipurpose Personal File Organizer, Black"/>
    <x v="82"/>
    <n v="1"/>
    <n v="0"/>
    <n v="6.2031000000000001"/>
  </r>
  <r>
    <n v="84"/>
    <x v="37"/>
    <x v="1"/>
    <x v="8"/>
    <d v="2012-09-08T00:00:00"/>
    <n v="5"/>
    <x v="1"/>
    <s v="Julie Creighton"/>
    <x v="1"/>
    <s v="United States"/>
    <s v="Durham"/>
    <s v="North Carolina"/>
    <s v="South"/>
    <x v="1"/>
    <x v="12"/>
    <s v="Jet-Pak Recycled Peel 'N' Seal Padded Mailers"/>
    <x v="83"/>
    <n v="7"/>
    <n v="0.2"/>
    <n v="62.807499999999997"/>
  </r>
  <r>
    <n v="85"/>
    <x v="38"/>
    <x v="3"/>
    <x v="0"/>
    <d v="2014-11-17T00:00:00"/>
    <n v="3"/>
    <x v="2"/>
    <s v="Christopher Schild"/>
    <x v="2"/>
    <s v="United States"/>
    <s v="Chicago"/>
    <s v="Illinois"/>
    <s v="Central"/>
    <x v="1"/>
    <x v="4"/>
    <s v="Safco Industrial Wire Shelving"/>
    <x v="84"/>
    <n v="3"/>
    <n v="0.2"/>
    <n v="-48.954900000000002"/>
  </r>
  <r>
    <n v="86"/>
    <x v="39"/>
    <x v="3"/>
    <x v="5"/>
    <d v="2014-05-31T00:00:00"/>
    <n v="2"/>
    <x v="0"/>
    <s v="Patrick O'Donnell"/>
    <x v="0"/>
    <s v="United States"/>
    <s v="Columbia"/>
    <s v="South Carolina"/>
    <s v="South"/>
    <x v="0"/>
    <x v="1"/>
    <s v="Novimex Swivel Fabric Task Chair"/>
    <x v="85"/>
    <n v="2"/>
    <n v="0"/>
    <n v="33.215600000000002"/>
  </r>
  <r>
    <n v="87"/>
    <x v="40"/>
    <x v="3"/>
    <x v="2"/>
    <d v="2014-11-03T00:00:00"/>
    <n v="7"/>
    <x v="1"/>
    <s v="Paul Gonzalez"/>
    <x v="0"/>
    <s v="United States"/>
    <s v="Rochester"/>
    <s v="Minnesota"/>
    <s v="Central"/>
    <x v="2"/>
    <x v="11"/>
    <s v="Logitech LS21 Speaker System - PC Multimedia - 2.1-CH - Wired"/>
    <x v="86"/>
    <n v="1"/>
    <n v="0"/>
    <n v="6.7965999999999998"/>
  </r>
  <r>
    <n v="88"/>
    <x v="40"/>
    <x v="3"/>
    <x v="2"/>
    <d v="2014-11-03T00:00:00"/>
    <n v="7"/>
    <x v="1"/>
    <s v="Paul Gonzalez"/>
    <x v="0"/>
    <s v="United States"/>
    <s v="Rochester"/>
    <s v="Minnesota"/>
    <s v="Central"/>
    <x v="1"/>
    <x v="2"/>
    <s v="Avery 511"/>
    <x v="51"/>
    <n v="2"/>
    <n v="0"/>
    <n v="2.9567999999999999"/>
  </r>
  <r>
    <n v="89"/>
    <x v="41"/>
    <x v="0"/>
    <x v="3"/>
    <d v="2013-04-11T00:00:00"/>
    <n v="5"/>
    <x v="0"/>
    <s v="Gary Mitchum"/>
    <x v="2"/>
    <s v="United States"/>
    <s v="Houston"/>
    <s v="Texas"/>
    <s v="Central"/>
    <x v="1"/>
    <x v="4"/>
    <s v="Eldon Portable Mobile Manager"/>
    <x v="87"/>
    <n v="7"/>
    <n v="0.2"/>
    <n v="13.857200000000001"/>
  </r>
  <r>
    <n v="90"/>
    <x v="42"/>
    <x v="0"/>
    <x v="8"/>
    <d v="2013-09-23T00:00:00"/>
    <n v="5"/>
    <x v="1"/>
    <s v="Jim Sink"/>
    <x v="1"/>
    <s v="United States"/>
    <s v="Los Angeles"/>
    <s v="California"/>
    <s v="West"/>
    <x v="1"/>
    <x v="6"/>
    <s v="Turquoise Lead Holder with Pocket Clip"/>
    <x v="88"/>
    <n v="3"/>
    <n v="0"/>
    <n v="6.633"/>
  </r>
  <r>
    <n v="91"/>
    <x v="42"/>
    <x v="0"/>
    <x v="8"/>
    <d v="2013-09-23T00:00:00"/>
    <n v="5"/>
    <x v="1"/>
    <s v="Jim Sink"/>
    <x v="1"/>
    <s v="United States"/>
    <s v="Los Angeles"/>
    <s v="California"/>
    <s v="West"/>
    <x v="2"/>
    <x v="7"/>
    <s v="Panasonic Kx-TS550"/>
    <x v="89"/>
    <n v="2"/>
    <n v="0.2"/>
    <n v="8.2782"/>
  </r>
  <r>
    <n v="92"/>
    <x v="42"/>
    <x v="0"/>
    <x v="8"/>
    <d v="2013-09-23T00:00:00"/>
    <n v="5"/>
    <x v="1"/>
    <s v="Jim Sink"/>
    <x v="1"/>
    <s v="United States"/>
    <s v="Los Angeles"/>
    <s v="California"/>
    <s v="West"/>
    <x v="1"/>
    <x v="10"/>
    <s v="Xerox 1995"/>
    <x v="90"/>
    <n v="1"/>
    <n v="0"/>
    <n v="3.1103999999999998"/>
  </r>
  <r>
    <n v="93"/>
    <x v="43"/>
    <x v="1"/>
    <x v="9"/>
    <d v="2012-02-05T00:00:00"/>
    <n v="5"/>
    <x v="0"/>
    <s v="Karl Braun"/>
    <x v="0"/>
    <s v="United States"/>
    <s v="Minneapolis"/>
    <s v="Minnesota"/>
    <s v="Central"/>
    <x v="1"/>
    <x v="10"/>
    <s v="Xerox 1999"/>
    <x v="91"/>
    <n v="2"/>
    <n v="0"/>
    <n v="6.2207999999999997"/>
  </r>
  <r>
    <n v="94"/>
    <x v="43"/>
    <x v="1"/>
    <x v="9"/>
    <d v="2012-02-05T00:00:00"/>
    <n v="5"/>
    <x v="0"/>
    <s v="Karl Braun"/>
    <x v="0"/>
    <s v="United States"/>
    <s v="Minneapolis"/>
    <s v="Minnesota"/>
    <s v="Central"/>
    <x v="0"/>
    <x v="5"/>
    <s v="Seth Thomas 13 1/2&quot; Wall Clock"/>
    <x v="92"/>
    <n v="3"/>
    <n v="0"/>
    <n v="16.535399999999999"/>
  </r>
  <r>
    <n v="95"/>
    <x v="43"/>
    <x v="1"/>
    <x v="9"/>
    <d v="2012-02-05T00:00:00"/>
    <n v="5"/>
    <x v="0"/>
    <s v="Karl Braun"/>
    <x v="0"/>
    <s v="United States"/>
    <s v="Minneapolis"/>
    <s v="Minnesota"/>
    <s v="Central"/>
    <x v="1"/>
    <x v="8"/>
    <s v="Ibico Standard Transparent Covers"/>
    <x v="93"/>
    <n v="2"/>
    <n v="0"/>
    <n v="16.150400000000001"/>
  </r>
  <r>
    <n v="96"/>
    <x v="44"/>
    <x v="3"/>
    <x v="0"/>
    <d v="2014-11-13T00:00:00"/>
    <n v="6"/>
    <x v="1"/>
    <s v="Roger Barcio"/>
    <x v="2"/>
    <s v="United States"/>
    <s v="Portland"/>
    <s v="Oregon"/>
    <s v="West"/>
    <x v="1"/>
    <x v="8"/>
    <s v="Flexible Leather- Look Classic Collection Ring Binder"/>
    <x v="94"/>
    <n v="1"/>
    <n v="0.7"/>
    <n v="-3.7879999999999998"/>
  </r>
  <r>
    <n v="97"/>
    <x v="45"/>
    <x v="3"/>
    <x v="0"/>
    <d v="2014-11-12T00:00:00"/>
    <n v="2"/>
    <x v="0"/>
    <s v="Parhena Norris"/>
    <x v="2"/>
    <s v="United States"/>
    <s v="New York City"/>
    <s v="New York"/>
    <s v="East"/>
    <x v="0"/>
    <x v="5"/>
    <s v="9-3/4 Diameter Round Wall Clock"/>
    <x v="95"/>
    <n v="7"/>
    <n v="0"/>
    <n v="40.5426"/>
  </r>
  <r>
    <n v="98"/>
    <x v="46"/>
    <x v="3"/>
    <x v="1"/>
    <d v="2014-06-21T00:00:00"/>
    <n v="3"/>
    <x v="2"/>
    <s v="Katherine Ducich"/>
    <x v="0"/>
    <s v="United States"/>
    <s v="San Francisco"/>
    <s v="California"/>
    <s v="West"/>
    <x v="1"/>
    <x v="8"/>
    <s v="Trimflex Flexible Post Binders"/>
    <x v="96"/>
    <n v="3"/>
    <n v="0.2"/>
    <n v="17.959199999999999"/>
  </r>
  <r>
    <n v="99"/>
    <x v="47"/>
    <x v="0"/>
    <x v="8"/>
    <d v="2013-09-12T00:00:00"/>
    <n v="5"/>
    <x v="1"/>
    <s v="Elpida Rittenbach"/>
    <x v="1"/>
    <s v="United States"/>
    <s v="Saint Paul"/>
    <s v="Minnesota"/>
    <s v="Central"/>
    <x v="1"/>
    <x v="9"/>
    <s v="Fellowes Basic Home/Office Series Surge Protectors"/>
    <x v="42"/>
    <n v="6"/>
    <n v="0"/>
    <n v="22.5852"/>
  </r>
  <r>
    <n v="100"/>
    <x v="48"/>
    <x v="0"/>
    <x v="6"/>
    <d v="2013-09-03T00:00:00"/>
    <n v="4"/>
    <x v="1"/>
    <s v="Rick Bensley"/>
    <x v="2"/>
    <s v="United States"/>
    <s v="Chicago"/>
    <s v="Illinois"/>
    <s v="Central"/>
    <x v="1"/>
    <x v="10"/>
    <s v="Avery Personal Creations Heavyweight Cards"/>
    <x v="97"/>
    <n v="7"/>
    <n v="0.2"/>
    <n v="22.618400000000001"/>
  </r>
  <r>
    <n v="101"/>
    <x v="48"/>
    <x v="0"/>
    <x v="6"/>
    <d v="2013-09-03T00:00:00"/>
    <n v="4"/>
    <x v="1"/>
    <s v="Rick Bensley"/>
    <x v="2"/>
    <s v="United States"/>
    <s v="Chicago"/>
    <s v="Illinois"/>
    <s v="Central"/>
    <x v="2"/>
    <x v="11"/>
    <s v="SanDisk Ultra 64 GB MicroSDHC Class 10 Memory Card"/>
    <x v="98"/>
    <n v="3"/>
    <n v="0.2"/>
    <n v="-10.7973"/>
  </r>
  <r>
    <n v="102"/>
    <x v="48"/>
    <x v="0"/>
    <x v="6"/>
    <d v="2013-09-03T00:00:00"/>
    <n v="4"/>
    <x v="1"/>
    <s v="Rick Bensley"/>
    <x v="2"/>
    <s v="United States"/>
    <s v="Chicago"/>
    <s v="Illinois"/>
    <s v="Central"/>
    <x v="1"/>
    <x v="8"/>
    <s v="Avery Hidden Tab Dividers for Binding Systems"/>
    <x v="99"/>
    <n v="3"/>
    <n v="0.8"/>
    <n v="-3.0396000000000001"/>
  </r>
  <r>
    <n v="103"/>
    <x v="49"/>
    <x v="0"/>
    <x v="4"/>
    <d v="2013-12-05T00:00:00"/>
    <n v="3"/>
    <x v="0"/>
    <s v="Gary Zandusky"/>
    <x v="0"/>
    <s v="United States"/>
    <s v="Rochester"/>
    <s v="Minnesota"/>
    <s v="Central"/>
    <x v="1"/>
    <x v="10"/>
    <s v="Universal Premium White Copier/Laser Paper (20Lb. and 87 Bright)"/>
    <x v="100"/>
    <n v="4"/>
    <n v="0"/>
    <n v="11.720800000000001"/>
  </r>
  <r>
    <n v="104"/>
    <x v="50"/>
    <x v="1"/>
    <x v="0"/>
    <d v="2012-11-17T00:00:00"/>
    <n v="4"/>
    <x v="1"/>
    <s v="Lena Cacioppo"/>
    <x v="0"/>
    <s v="United States"/>
    <s v="Aurora"/>
    <s v="Colorado"/>
    <s v="West"/>
    <x v="2"/>
    <x v="11"/>
    <s v="Logitech K350 2.4Ghz Wireless Keyboard"/>
    <x v="101"/>
    <n v="6"/>
    <n v="0.2"/>
    <n v="-26.875800000000002"/>
  </r>
  <r>
    <n v="105"/>
    <x v="50"/>
    <x v="1"/>
    <x v="0"/>
    <d v="2012-11-17T00:00:00"/>
    <n v="4"/>
    <x v="1"/>
    <s v="Lena Cacioppo"/>
    <x v="0"/>
    <s v="United States"/>
    <s v="Aurora"/>
    <s v="Colorado"/>
    <s v="West"/>
    <x v="0"/>
    <x v="5"/>
    <s v="Deflect-o DuraMat Lighweight, Studded, Beveled Mat for Low Pile Carpeting"/>
    <x v="102"/>
    <n v="3"/>
    <n v="0.2"/>
    <n v="-3.8384999999999998"/>
  </r>
  <r>
    <n v="106"/>
    <x v="50"/>
    <x v="1"/>
    <x v="0"/>
    <d v="2012-11-17T00:00:00"/>
    <n v="4"/>
    <x v="1"/>
    <s v="Lena Cacioppo"/>
    <x v="0"/>
    <s v="United States"/>
    <s v="Aurora"/>
    <s v="Colorado"/>
    <s v="West"/>
    <x v="1"/>
    <x v="8"/>
    <s v="Avery Trapezoid Ring Binder, 3&quot; Capacity, Black, 1040 sheets"/>
    <x v="103"/>
    <n v="3"/>
    <n v="0.7"/>
    <n v="-25.817399999999999"/>
  </r>
  <r>
    <n v="107"/>
    <x v="51"/>
    <x v="3"/>
    <x v="0"/>
    <d v="2014-11-29T00:00:00"/>
    <n v="5"/>
    <x v="1"/>
    <s v="Janet Martin"/>
    <x v="0"/>
    <s v="United States"/>
    <s v="Charlotte"/>
    <s v="North Carolina"/>
    <s v="South"/>
    <x v="2"/>
    <x v="11"/>
    <s v="Memorex Mini Travel Drive 8 GB USB 2.0 Flash Drive"/>
    <x v="104"/>
    <n v="8"/>
    <n v="0.2"/>
    <n v="17.601600000000001"/>
  </r>
  <r>
    <n v="108"/>
    <x v="51"/>
    <x v="3"/>
    <x v="0"/>
    <d v="2014-11-29T00:00:00"/>
    <n v="5"/>
    <x v="1"/>
    <s v="Janet Martin"/>
    <x v="0"/>
    <s v="United States"/>
    <s v="Charlotte"/>
    <s v="North Carolina"/>
    <s v="South"/>
    <x v="2"/>
    <x v="7"/>
    <s v="Speck Products Candyshell Flip Case"/>
    <x v="105"/>
    <n v="1"/>
    <n v="0.2"/>
    <n v="2.0994000000000002"/>
  </r>
  <r>
    <n v="109"/>
    <x v="51"/>
    <x v="3"/>
    <x v="0"/>
    <d v="2014-11-29T00:00:00"/>
    <n v="5"/>
    <x v="1"/>
    <s v="Janet Martin"/>
    <x v="0"/>
    <s v="United States"/>
    <s v="Charlotte"/>
    <s v="North Carolina"/>
    <s v="South"/>
    <x v="1"/>
    <x v="6"/>
    <s v="Newell Chalk Holder"/>
    <x v="106"/>
    <n v="1"/>
    <n v="0.2"/>
    <n v="1.0738000000000001"/>
  </r>
  <r>
    <n v="110"/>
    <x v="52"/>
    <x v="1"/>
    <x v="2"/>
    <d v="2012-10-20T00:00:00"/>
    <n v="5"/>
    <x v="1"/>
    <s v="Pete Armstrong"/>
    <x v="2"/>
    <s v="United States"/>
    <s v="Orland Park"/>
    <s v="Illinois"/>
    <s v="Central"/>
    <x v="2"/>
    <x v="11"/>
    <s v="Logitech Gaming G510s - Keyboard"/>
    <x v="107"/>
    <n v="5"/>
    <n v="0.2"/>
    <n v="67.992000000000004"/>
  </r>
  <r>
    <n v="111"/>
    <x v="53"/>
    <x v="3"/>
    <x v="4"/>
    <d v="2014-12-31T00:00:00"/>
    <n v="5"/>
    <x v="1"/>
    <s v="Cynthia Voltz"/>
    <x v="1"/>
    <s v="United States"/>
    <s v="New York City"/>
    <s v="New York"/>
    <s v="East"/>
    <x v="0"/>
    <x v="5"/>
    <s v="Magnifier Swing Arm Lamp"/>
    <x v="108"/>
    <n v="2"/>
    <n v="0"/>
    <n v="10.909599999999999"/>
  </r>
  <r>
    <n v="112"/>
    <x v="54"/>
    <x v="0"/>
    <x v="0"/>
    <d v="2013-11-11T00:00:00"/>
    <n v="7"/>
    <x v="1"/>
    <s v="Clay Ludtke"/>
    <x v="0"/>
    <s v="United States"/>
    <s v="Urbandale"/>
    <s v="Iowa"/>
    <s v="Central"/>
    <x v="1"/>
    <x v="6"/>
    <s v="Hunt PowerHouse Electric Pencil Sharpener, Blue"/>
    <x v="109"/>
    <n v="2"/>
    <n v="0"/>
    <n v="22.788"/>
  </r>
  <r>
    <n v="113"/>
    <x v="54"/>
    <x v="0"/>
    <x v="0"/>
    <d v="2013-11-11T00:00:00"/>
    <n v="7"/>
    <x v="1"/>
    <s v="Clay Ludtke"/>
    <x v="0"/>
    <s v="United States"/>
    <s v="Urbandale"/>
    <s v="Iowa"/>
    <s v="Central"/>
    <x v="1"/>
    <x v="8"/>
    <s v="Avery Durable Plastic 1&quot; Binders"/>
    <x v="77"/>
    <n v="6"/>
    <n v="0"/>
    <n v="13.3476"/>
  </r>
  <r>
    <n v="114"/>
    <x v="55"/>
    <x v="2"/>
    <x v="6"/>
    <d v="2011-08-27T00:00:00"/>
    <n v="2"/>
    <x v="0"/>
    <s v="Ryan Crowe"/>
    <x v="0"/>
    <s v="United States"/>
    <s v="Columbus"/>
    <s v="Ohio"/>
    <s v="East"/>
    <x v="1"/>
    <x v="13"/>
    <s v="OIC Colored Binder Clips, Assorted Sizes"/>
    <x v="110"/>
    <n v="14"/>
    <n v="0.2"/>
    <n v="14.534800000000001"/>
  </r>
  <r>
    <n v="115"/>
    <x v="55"/>
    <x v="2"/>
    <x v="6"/>
    <d v="2011-08-27T00:00:00"/>
    <n v="2"/>
    <x v="0"/>
    <s v="Ryan Crowe"/>
    <x v="0"/>
    <s v="United States"/>
    <s v="Columbus"/>
    <s v="Ohio"/>
    <s v="East"/>
    <x v="1"/>
    <x v="12"/>
    <s v="Redi-Strip #10 Envelopes, 4 1/8 x 9 1/2"/>
    <x v="111"/>
    <n v="2"/>
    <n v="0.2"/>
    <n v="1.6519999999999999"/>
  </r>
  <r>
    <n v="116"/>
    <x v="55"/>
    <x v="2"/>
    <x v="6"/>
    <d v="2011-08-27T00:00:00"/>
    <n v="2"/>
    <x v="0"/>
    <s v="Ryan Crowe"/>
    <x v="0"/>
    <s v="United States"/>
    <s v="Columbus"/>
    <s v="Ohio"/>
    <s v="East"/>
    <x v="1"/>
    <x v="10"/>
    <s v="Xerox 1921"/>
    <x v="112"/>
    <n v="3"/>
    <n v="0.2"/>
    <n v="7.4924999999999997"/>
  </r>
  <r>
    <n v="117"/>
    <x v="55"/>
    <x v="2"/>
    <x v="6"/>
    <d v="2011-08-27T00:00:00"/>
    <n v="2"/>
    <x v="0"/>
    <s v="Ryan Crowe"/>
    <x v="0"/>
    <s v="United States"/>
    <s v="Columbus"/>
    <s v="Ohio"/>
    <s v="East"/>
    <x v="1"/>
    <x v="12"/>
    <s v="Tyvek  Top-Opening Peel &amp; Seel Envelopes, Plain White"/>
    <x v="113"/>
    <n v="6"/>
    <n v="0.2"/>
    <n v="44.031599999999997"/>
  </r>
  <r>
    <n v="118"/>
    <x v="56"/>
    <x v="1"/>
    <x v="10"/>
    <d v="2012-03-06T00:00:00"/>
    <n v="4"/>
    <x v="1"/>
    <s v="Dave Kipp"/>
    <x v="0"/>
    <s v="United States"/>
    <s v="Seattle"/>
    <s v="Washington"/>
    <s v="West"/>
    <x v="0"/>
    <x v="3"/>
    <s v="Hon Racetrack Conference Tables"/>
    <x v="114"/>
    <n v="3"/>
    <n v="0"/>
    <n v="165.38130000000001"/>
  </r>
  <r>
    <n v="119"/>
    <x v="57"/>
    <x v="1"/>
    <x v="3"/>
    <d v="2012-04-10T00:00:00"/>
    <n v="5"/>
    <x v="1"/>
    <s v="Greg Guthrie"/>
    <x v="1"/>
    <s v="United States"/>
    <s v="Bristol"/>
    <s v="Tennessee"/>
    <s v="South"/>
    <x v="1"/>
    <x v="8"/>
    <s v="GBC DocuBind 300 Electric Binding Machine"/>
    <x v="115"/>
    <n v="1"/>
    <n v="0.7"/>
    <n v="-115.71559999999999"/>
  </r>
  <r>
    <n v="120"/>
    <x v="1"/>
    <x v="0"/>
    <x v="1"/>
    <d v="2013-06-16T00:00:00"/>
    <n v="3"/>
    <x v="2"/>
    <s v="Steven Cartwright"/>
    <x v="0"/>
    <s v="United States"/>
    <s v="Wilmington"/>
    <s v="Delaware"/>
    <s v="East"/>
    <x v="0"/>
    <x v="5"/>
    <s v="Artistic Insta-Plaque"/>
    <x v="116"/>
    <n v="3"/>
    <n v="0"/>
    <n v="18.345600000000001"/>
  </r>
  <r>
    <n v="121"/>
    <x v="1"/>
    <x v="0"/>
    <x v="1"/>
    <d v="2013-06-16T00:00:00"/>
    <n v="3"/>
    <x v="2"/>
    <s v="Steven Cartwright"/>
    <x v="0"/>
    <s v="United States"/>
    <s v="Wilmington"/>
    <s v="Delaware"/>
    <s v="East"/>
    <x v="1"/>
    <x v="8"/>
    <s v="DXL Angle-View Binders with Locking Rings by Samsill"/>
    <x v="117"/>
    <n v="4"/>
    <n v="0"/>
    <n v="13.878"/>
  </r>
  <r>
    <n v="122"/>
    <x v="1"/>
    <x v="0"/>
    <x v="1"/>
    <d v="2013-06-16T00:00:00"/>
    <n v="3"/>
    <x v="2"/>
    <s v="Steven Cartwright"/>
    <x v="0"/>
    <s v="United States"/>
    <s v="Wilmington"/>
    <s v="Delaware"/>
    <s v="East"/>
    <x v="1"/>
    <x v="4"/>
    <s v="Companion Letter/Legal File, Black"/>
    <x v="118"/>
    <n v="6"/>
    <n v="0"/>
    <n v="63.436799999999998"/>
  </r>
  <r>
    <n v="123"/>
    <x v="1"/>
    <x v="0"/>
    <x v="1"/>
    <d v="2013-06-16T00:00:00"/>
    <n v="3"/>
    <x v="2"/>
    <s v="Steven Cartwright"/>
    <x v="0"/>
    <s v="United States"/>
    <s v="Wilmington"/>
    <s v="Delaware"/>
    <s v="East"/>
    <x v="1"/>
    <x v="12"/>
    <s v="Globe Weis Peel &amp; Seel First Class Envelopes"/>
    <x v="119"/>
    <n v="9"/>
    <n v="0"/>
    <n v="51.759"/>
  </r>
  <r>
    <n v="124"/>
    <x v="1"/>
    <x v="0"/>
    <x v="1"/>
    <d v="2013-06-16T00:00:00"/>
    <n v="3"/>
    <x v="2"/>
    <s v="Steven Cartwright"/>
    <x v="0"/>
    <s v="United States"/>
    <s v="Wilmington"/>
    <s v="Delaware"/>
    <s v="East"/>
    <x v="2"/>
    <x v="7"/>
    <s v="KLD Oscar II Style Snap-on Ultra Thin Side Flip Synthetic Leather Cover Case for HTC One HTC M7"/>
    <x v="120"/>
    <n v="7"/>
    <n v="0"/>
    <n v="19.7316"/>
  </r>
  <r>
    <n v="125"/>
    <x v="58"/>
    <x v="2"/>
    <x v="4"/>
    <d v="2011-12-28T00:00:00"/>
    <n v="2"/>
    <x v="0"/>
    <s v="Alan Dominguez"/>
    <x v="2"/>
    <s v="United States"/>
    <s v="Houston"/>
    <s v="Texas"/>
    <s v="Central"/>
    <x v="0"/>
    <x v="1"/>
    <s v="Global Deluxe High-Back Manager's Chair"/>
    <x v="121"/>
    <n v="3"/>
    <n v="0.3"/>
    <n v="-8.5793999999999997"/>
  </r>
  <r>
    <n v="126"/>
    <x v="59"/>
    <x v="2"/>
    <x v="8"/>
    <d v="2011-09-25T00:00:00"/>
    <n v="5"/>
    <x v="1"/>
    <s v="Philip Fox"/>
    <x v="0"/>
    <s v="United States"/>
    <s v="Bloomington"/>
    <s v="Illinois"/>
    <s v="Central"/>
    <x v="0"/>
    <x v="3"/>
    <s v="Bevis 44 x 96 Conference Tables"/>
    <x v="122"/>
    <n v="6"/>
    <n v="0.5"/>
    <n v="-407.68200000000002"/>
  </r>
  <r>
    <n v="127"/>
    <x v="60"/>
    <x v="3"/>
    <x v="0"/>
    <d v="2014-11-13T00:00:00"/>
    <n v="7"/>
    <x v="1"/>
    <s v="Troy Staebel"/>
    <x v="0"/>
    <s v="United States"/>
    <s v="Phoenix"/>
    <s v="Arizona"/>
    <s v="West"/>
    <x v="1"/>
    <x v="8"/>
    <s v="Avery Durable Slant Ring Binders, No Labels"/>
    <x v="123"/>
    <n v="2"/>
    <n v="0.7"/>
    <n v="-1.8308"/>
  </r>
  <r>
    <n v="128"/>
    <x v="60"/>
    <x v="3"/>
    <x v="0"/>
    <d v="2014-11-13T00:00:00"/>
    <n v="7"/>
    <x v="1"/>
    <s v="Troy Staebel"/>
    <x v="0"/>
    <s v="United States"/>
    <s v="Phoenix"/>
    <s v="Arizona"/>
    <s v="West"/>
    <x v="1"/>
    <x v="4"/>
    <s v="Trav-L-File Heavy-Duty Shuttle II, Black"/>
    <x v="124"/>
    <n v="7"/>
    <n v="0.2"/>
    <n v="30.498999999999999"/>
  </r>
  <r>
    <n v="129"/>
    <x v="61"/>
    <x v="0"/>
    <x v="0"/>
    <d v="2013-11-11T00:00:00"/>
    <n v="4"/>
    <x v="0"/>
    <s v="Lindsay Shagiari"/>
    <x v="2"/>
    <s v="United States"/>
    <s v="Los Angeles"/>
    <s v="California"/>
    <s v="West"/>
    <x v="0"/>
    <x v="1"/>
    <s v="Global Task Chair, Black"/>
    <x v="125"/>
    <n v="2"/>
    <n v="0.2"/>
    <n v="-9.1601999999999997"/>
  </r>
  <r>
    <n v="130"/>
    <x v="61"/>
    <x v="0"/>
    <x v="0"/>
    <d v="2013-11-11T00:00:00"/>
    <n v="4"/>
    <x v="0"/>
    <s v="Lindsay Shagiari"/>
    <x v="2"/>
    <s v="United States"/>
    <s v="Los Angeles"/>
    <s v="California"/>
    <s v="West"/>
    <x v="0"/>
    <x v="5"/>
    <s v="Eldon Cleatmat Plus Chair Mats for High Pile Carpets"/>
    <x v="126"/>
    <n v="3"/>
    <n v="0"/>
    <n v="26.241599999999998"/>
  </r>
  <r>
    <n v="131"/>
    <x v="62"/>
    <x v="3"/>
    <x v="11"/>
    <d v="2014-02-06T00:00:00"/>
    <n v="3"/>
    <x v="2"/>
    <s v="Dorothy Wardle"/>
    <x v="1"/>
    <s v="United States"/>
    <s v="Columbus"/>
    <s v="Ohio"/>
    <s v="East"/>
    <x v="2"/>
    <x v="7"/>
    <s v="Anker 36W 4-Port USB Wall Charger Travel Power Adapter for iPhone 5s 5c 5"/>
    <x v="127"/>
    <n v="5"/>
    <n v="0.4"/>
    <n v="-11.994"/>
  </r>
  <r>
    <n v="132"/>
    <x v="62"/>
    <x v="3"/>
    <x v="11"/>
    <d v="2014-02-06T00:00:00"/>
    <n v="3"/>
    <x v="2"/>
    <s v="Dorothy Wardle"/>
    <x v="1"/>
    <s v="United States"/>
    <s v="Columbus"/>
    <s v="Ohio"/>
    <s v="East"/>
    <x v="1"/>
    <x v="10"/>
    <s v="Xerox 1916"/>
    <x v="128"/>
    <n v="2"/>
    <n v="0.2"/>
    <n v="29.364000000000001"/>
  </r>
  <r>
    <n v="133"/>
    <x v="62"/>
    <x v="3"/>
    <x v="11"/>
    <d v="2014-02-06T00:00:00"/>
    <n v="3"/>
    <x v="2"/>
    <s v="Dorothy Wardle"/>
    <x v="1"/>
    <s v="United States"/>
    <s v="Columbus"/>
    <s v="Ohio"/>
    <s v="East"/>
    <x v="1"/>
    <x v="13"/>
    <s v="Staples"/>
    <x v="129"/>
    <n v="9"/>
    <n v="0.2"/>
    <n v="6.9732000000000003"/>
  </r>
  <r>
    <n v="134"/>
    <x v="63"/>
    <x v="0"/>
    <x v="2"/>
    <d v="2013-10-20T00:00:00"/>
    <n v="6"/>
    <x v="1"/>
    <s v="Lena Creighton"/>
    <x v="0"/>
    <s v="United States"/>
    <s v="Roseville"/>
    <s v="California"/>
    <s v="West"/>
    <x v="1"/>
    <x v="10"/>
    <s v="Xerox 195"/>
    <x v="130"/>
    <n v="3"/>
    <n v="0"/>
    <n v="9.6191999999999993"/>
  </r>
  <r>
    <n v="135"/>
    <x v="63"/>
    <x v="0"/>
    <x v="2"/>
    <d v="2013-10-20T00:00:00"/>
    <n v="6"/>
    <x v="1"/>
    <s v="Lena Creighton"/>
    <x v="0"/>
    <s v="United States"/>
    <s v="Roseville"/>
    <s v="California"/>
    <s v="West"/>
    <x v="1"/>
    <x v="10"/>
    <s v="Xerox 1880"/>
    <x v="131"/>
    <n v="1"/>
    <n v="0"/>
    <n v="16.6568"/>
  </r>
  <r>
    <n v="136"/>
    <x v="63"/>
    <x v="0"/>
    <x v="2"/>
    <d v="2013-10-20T00:00:00"/>
    <n v="6"/>
    <x v="1"/>
    <s v="Lena Creighton"/>
    <x v="0"/>
    <s v="United States"/>
    <s v="Roseville"/>
    <s v="California"/>
    <s v="West"/>
    <x v="1"/>
    <x v="6"/>
    <s v="Sanford Colorific Colored Pencils, 12/Box"/>
    <x v="132"/>
    <n v="4"/>
    <n v="0"/>
    <n v="3.456"/>
  </r>
  <r>
    <n v="137"/>
    <x v="63"/>
    <x v="0"/>
    <x v="2"/>
    <d v="2013-10-20T00:00:00"/>
    <n v="6"/>
    <x v="1"/>
    <s v="Lena Creighton"/>
    <x v="0"/>
    <s v="United States"/>
    <s v="Roseville"/>
    <s v="California"/>
    <s v="West"/>
    <x v="1"/>
    <x v="13"/>
    <s v="Ideal Clamps"/>
    <x v="133"/>
    <n v="2"/>
    <n v="0"/>
    <n v="1.9698"/>
  </r>
  <r>
    <n v="138"/>
    <x v="63"/>
    <x v="0"/>
    <x v="2"/>
    <d v="2013-10-20T00:00:00"/>
    <n v="6"/>
    <x v="1"/>
    <s v="Lena Creighton"/>
    <x v="0"/>
    <s v="United States"/>
    <s v="Roseville"/>
    <s v="California"/>
    <s v="West"/>
    <x v="1"/>
    <x v="8"/>
    <s v="GBC Wire Binding Strips"/>
    <x v="134"/>
    <n v="3"/>
    <n v="0.2"/>
    <n v="26.6616"/>
  </r>
  <r>
    <n v="139"/>
    <x v="63"/>
    <x v="0"/>
    <x v="2"/>
    <d v="2013-10-20T00:00:00"/>
    <n v="6"/>
    <x v="1"/>
    <s v="Lena Creighton"/>
    <x v="0"/>
    <s v="United States"/>
    <s v="Roseville"/>
    <s v="California"/>
    <s v="West"/>
    <x v="1"/>
    <x v="14"/>
    <s v="Fiskars Softgrip Scissors"/>
    <x v="135"/>
    <n v="6"/>
    <n v="0"/>
    <n v="18.446400000000001"/>
  </r>
  <r>
    <n v="140"/>
    <x v="63"/>
    <x v="0"/>
    <x v="2"/>
    <d v="2013-10-20T00:00:00"/>
    <n v="6"/>
    <x v="1"/>
    <s v="Lena Creighton"/>
    <x v="0"/>
    <s v="United States"/>
    <s v="Roseville"/>
    <s v="California"/>
    <s v="West"/>
    <x v="0"/>
    <x v="5"/>
    <s v="Longer-Life Soft White Bulbs"/>
    <x v="136"/>
    <n v="14"/>
    <n v="0"/>
    <n v="20.697600000000001"/>
  </r>
  <r>
    <n v="141"/>
    <x v="64"/>
    <x v="0"/>
    <x v="8"/>
    <d v="2013-09-08T00:00:00"/>
    <n v="2"/>
    <x v="0"/>
    <s v="Jonathan Doherty"/>
    <x v="1"/>
    <s v="United States"/>
    <s v="Philadelphia"/>
    <s v="Pennsylvania"/>
    <s v="East"/>
    <x v="0"/>
    <x v="5"/>
    <s v="Howard Miller 13-3/4&quot; Diameter Brushed Chrome Round Wall Clock"/>
    <x v="137"/>
    <n v="2"/>
    <n v="0.2"/>
    <n v="10.35"/>
  </r>
  <r>
    <n v="142"/>
    <x v="65"/>
    <x v="3"/>
    <x v="8"/>
    <d v="2014-09-24T00:00:00"/>
    <n v="5"/>
    <x v="1"/>
    <s v="Sally Hughsby"/>
    <x v="1"/>
    <s v="United States"/>
    <s v="San Francisco"/>
    <s v="California"/>
    <s v="West"/>
    <x v="1"/>
    <x v="6"/>
    <s v="Newell 343"/>
    <x v="138"/>
    <n v="3"/>
    <n v="0"/>
    <n v="2.3814000000000002"/>
  </r>
  <r>
    <n v="143"/>
    <x v="65"/>
    <x v="3"/>
    <x v="8"/>
    <d v="2014-09-24T00:00:00"/>
    <n v="5"/>
    <x v="1"/>
    <s v="Sally Hughsby"/>
    <x v="1"/>
    <s v="United States"/>
    <s v="San Francisco"/>
    <s v="California"/>
    <s v="West"/>
    <x v="1"/>
    <x v="12"/>
    <s v="Convenience Packs of Business Envelopes"/>
    <x v="139"/>
    <n v="3"/>
    <n v="0"/>
    <n v="5.1041999999999996"/>
  </r>
  <r>
    <n v="144"/>
    <x v="65"/>
    <x v="3"/>
    <x v="8"/>
    <d v="2014-09-24T00:00:00"/>
    <n v="5"/>
    <x v="1"/>
    <s v="Sally Hughsby"/>
    <x v="1"/>
    <s v="United States"/>
    <s v="San Francisco"/>
    <s v="California"/>
    <s v="West"/>
    <x v="1"/>
    <x v="10"/>
    <s v="Xerox 1911"/>
    <x v="140"/>
    <n v="3"/>
    <n v="0"/>
    <n v="68.975999999999999"/>
  </r>
  <r>
    <n v="145"/>
    <x v="66"/>
    <x v="3"/>
    <x v="4"/>
    <d v="2014-12-28T00:00:00"/>
    <n v="5"/>
    <x v="1"/>
    <s v="Sandra Glassco"/>
    <x v="0"/>
    <s v="United States"/>
    <s v="Independence"/>
    <s v="Missouri"/>
    <s v="Central"/>
    <x v="1"/>
    <x v="9"/>
    <s v="Sanyo 2.5 Cubic Foot Mid-Size Office Refrigerators"/>
    <x v="141"/>
    <n v="3"/>
    <n v="0"/>
    <n v="218.2518"/>
  </r>
  <r>
    <n v="146"/>
    <x v="67"/>
    <x v="1"/>
    <x v="8"/>
    <d v="2012-09-12T00:00:00"/>
    <n v="5"/>
    <x v="1"/>
    <s v="Helen Andreada"/>
    <x v="0"/>
    <s v="United States"/>
    <s v="Pasadena"/>
    <s v="California"/>
    <s v="West"/>
    <x v="1"/>
    <x v="4"/>
    <s v="Safco Industrial Wire Shelving"/>
    <x v="142"/>
    <n v="7"/>
    <n v="0"/>
    <n v="20.157900000000001"/>
  </r>
  <r>
    <n v="147"/>
    <x v="68"/>
    <x v="2"/>
    <x v="2"/>
    <d v="2011-10-28T00:00:00"/>
    <n v="6"/>
    <x v="1"/>
    <s v="Maureen Gastineau"/>
    <x v="2"/>
    <s v="United States"/>
    <s v="Newark"/>
    <s v="Ohio"/>
    <s v="East"/>
    <x v="0"/>
    <x v="5"/>
    <s v="Seth Thomas 14&quot; Putty-Colored Wall Clock"/>
    <x v="143"/>
    <n v="4"/>
    <n v="0.2"/>
    <n v="12.909599999999999"/>
  </r>
  <r>
    <n v="148"/>
    <x v="5"/>
    <x v="0"/>
    <x v="4"/>
    <d v="2013-12-10T00:00:00"/>
    <n v="4"/>
    <x v="1"/>
    <s v="Justin Ellison"/>
    <x v="1"/>
    <s v="United States"/>
    <s v="Franklin"/>
    <s v="Wisconsin"/>
    <s v="Central"/>
    <x v="2"/>
    <x v="7"/>
    <s v="Plantronics Cordless Phone Headset with In-line Volume - M214C"/>
    <x v="144"/>
    <n v="11"/>
    <n v="0"/>
    <n v="103.8015"/>
  </r>
  <r>
    <n v="149"/>
    <x v="5"/>
    <x v="0"/>
    <x v="4"/>
    <d v="2013-12-10T00:00:00"/>
    <n v="4"/>
    <x v="1"/>
    <s v="Justin Ellison"/>
    <x v="1"/>
    <s v="United States"/>
    <s v="Franklin"/>
    <s v="Wisconsin"/>
    <s v="Central"/>
    <x v="2"/>
    <x v="7"/>
    <s v="Anker Astro 15000mAh USB Portable Charger"/>
    <x v="145"/>
    <n v="3"/>
    <n v="0"/>
    <n v="5.9988000000000001"/>
  </r>
  <r>
    <n v="150"/>
    <x v="5"/>
    <x v="0"/>
    <x v="4"/>
    <d v="2013-12-10T00:00:00"/>
    <n v="4"/>
    <x v="1"/>
    <s v="Justin Ellison"/>
    <x v="1"/>
    <s v="United States"/>
    <s v="Franklin"/>
    <s v="Wisconsin"/>
    <s v="Central"/>
    <x v="0"/>
    <x v="1"/>
    <s v="Hon Deluxe Fabric Upholstered Stacking Chairs, Rounded Back"/>
    <x v="146"/>
    <n v="8"/>
    <n v="0"/>
    <n v="585.55200000000002"/>
  </r>
  <r>
    <n v="151"/>
    <x v="5"/>
    <x v="0"/>
    <x v="4"/>
    <d v="2013-12-10T00:00:00"/>
    <n v="4"/>
    <x v="1"/>
    <s v="Justin Ellison"/>
    <x v="1"/>
    <s v="United States"/>
    <s v="Franklin"/>
    <s v="Wisconsin"/>
    <s v="Central"/>
    <x v="1"/>
    <x v="8"/>
    <s v="GBC Prestige Therm-A-Bind Covers"/>
    <x v="147"/>
    <n v="5"/>
    <n v="0"/>
    <n v="80.628500000000003"/>
  </r>
  <r>
    <n v="152"/>
    <x v="69"/>
    <x v="0"/>
    <x v="10"/>
    <d v="2013-03-17T00:00:00"/>
    <n v="3"/>
    <x v="2"/>
    <s v="Tamara Willingham"/>
    <x v="2"/>
    <s v="United States"/>
    <s v="Scottsdale"/>
    <s v="Arizona"/>
    <s v="West"/>
    <x v="1"/>
    <x v="9"/>
    <s v="Belkin 7 Outlet SurgeMaster Surge Protector with Phone Protection"/>
    <x v="148"/>
    <n v="5"/>
    <n v="0.2"/>
    <n v="17.765999999999998"/>
  </r>
  <r>
    <n v="153"/>
    <x v="69"/>
    <x v="0"/>
    <x v="10"/>
    <d v="2013-03-17T00:00:00"/>
    <n v="3"/>
    <x v="2"/>
    <s v="Tamara Willingham"/>
    <x v="2"/>
    <s v="United States"/>
    <s v="Scottsdale"/>
    <s v="Arizona"/>
    <s v="West"/>
    <x v="2"/>
    <x v="7"/>
    <s v="Jabra BIZ 2300 Duo QD Duo Corded Headset"/>
    <x v="149"/>
    <n v="2"/>
    <n v="0.2"/>
    <n v="15.238799999999999"/>
  </r>
  <r>
    <n v="154"/>
    <x v="70"/>
    <x v="1"/>
    <x v="5"/>
    <d v="2012-06-02T00:00:00"/>
    <n v="2"/>
    <x v="2"/>
    <s v="Stephanie Phelps"/>
    <x v="1"/>
    <s v="United States"/>
    <s v="San Jose"/>
    <s v="California"/>
    <s v="West"/>
    <x v="1"/>
    <x v="10"/>
    <s v="Southworth 25% Cotton Antique Laid Paper &amp; Envelopes"/>
    <x v="150"/>
    <n v="7"/>
    <n v="0"/>
    <n v="26.271000000000001"/>
  </r>
  <r>
    <n v="155"/>
    <x v="70"/>
    <x v="1"/>
    <x v="5"/>
    <d v="2012-06-02T00:00:00"/>
    <n v="2"/>
    <x v="2"/>
    <s v="Stephanie Phelps"/>
    <x v="1"/>
    <s v="United States"/>
    <s v="San Jose"/>
    <s v="California"/>
    <s v="West"/>
    <x v="1"/>
    <x v="10"/>
    <s v="Xerox 1883"/>
    <x v="151"/>
    <n v="4"/>
    <n v="0"/>
    <n v="48.539200000000001"/>
  </r>
  <r>
    <n v="156"/>
    <x v="70"/>
    <x v="1"/>
    <x v="5"/>
    <d v="2012-06-02T00:00:00"/>
    <n v="2"/>
    <x v="2"/>
    <s v="Stephanie Phelps"/>
    <x v="1"/>
    <s v="United States"/>
    <s v="San Jose"/>
    <s v="California"/>
    <s v="West"/>
    <x v="1"/>
    <x v="4"/>
    <s v="Tenex Personal Project File with Scoop Front Design, Black"/>
    <x v="152"/>
    <n v="6"/>
    <n v="0"/>
    <n v="21.0288"/>
  </r>
  <r>
    <n v="157"/>
    <x v="71"/>
    <x v="1"/>
    <x v="5"/>
    <d v="2012-06-03T00:00:00"/>
    <n v="6"/>
    <x v="1"/>
    <s v="Neil Knudson"/>
    <x v="2"/>
    <s v="United States"/>
    <s v="Seattle"/>
    <s v="Washington"/>
    <s v="West"/>
    <x v="1"/>
    <x v="6"/>
    <s v="Newell 311"/>
    <x v="153"/>
    <n v="3"/>
    <n v="0"/>
    <n v="1.7901"/>
  </r>
  <r>
    <n v="158"/>
    <x v="72"/>
    <x v="2"/>
    <x v="10"/>
    <d v="2011-03-06T00:00:00"/>
    <n v="5"/>
    <x v="0"/>
    <s v="Dave Brooks"/>
    <x v="0"/>
    <s v="United States"/>
    <s v="Seattle"/>
    <s v="Washington"/>
    <s v="West"/>
    <x v="0"/>
    <x v="1"/>
    <s v="Global Deluxe High-Back Manager's Chair"/>
    <x v="154"/>
    <n v="2"/>
    <n v="0.2"/>
    <n v="51.476399999999998"/>
  </r>
  <r>
    <n v="159"/>
    <x v="73"/>
    <x v="0"/>
    <x v="0"/>
    <d v="2013-11-25T00:00:00"/>
    <n v="4"/>
    <x v="1"/>
    <s v="Nora Paige"/>
    <x v="0"/>
    <s v="United States"/>
    <s v="Edmond"/>
    <s v="Oklahoma"/>
    <s v="Central"/>
    <x v="1"/>
    <x v="2"/>
    <s v="Avery 519"/>
    <x v="2"/>
    <n v="2"/>
    <n v="0"/>
    <n v="6.8714000000000004"/>
  </r>
  <r>
    <n v="160"/>
    <x v="73"/>
    <x v="0"/>
    <x v="0"/>
    <d v="2013-11-25T00:00:00"/>
    <n v="4"/>
    <x v="1"/>
    <s v="Nora Paige"/>
    <x v="0"/>
    <s v="United States"/>
    <s v="Edmond"/>
    <s v="Oklahoma"/>
    <s v="Central"/>
    <x v="2"/>
    <x v="7"/>
    <s v="Avaya 5420 Digital phone"/>
    <x v="155"/>
    <n v="7"/>
    <n v="0"/>
    <n v="236.23249999999999"/>
  </r>
  <r>
    <n v="161"/>
    <x v="74"/>
    <x v="0"/>
    <x v="5"/>
    <d v="2013-05-13T00:00:00"/>
    <n v="1"/>
    <x v="2"/>
    <s v="Ted Trevino"/>
    <x v="0"/>
    <s v="United States"/>
    <s v="Los Angeles"/>
    <s v="California"/>
    <s v="West"/>
    <x v="1"/>
    <x v="10"/>
    <s v="Xerox 1920"/>
    <x v="156"/>
    <n v="1"/>
    <n v="0"/>
    <n v="2.6909999999999998"/>
  </r>
  <r>
    <n v="162"/>
    <x v="75"/>
    <x v="1"/>
    <x v="4"/>
    <d v="2012-12-31T00:00:00"/>
    <n v="3"/>
    <x v="0"/>
    <s v="Eric Murdock"/>
    <x v="0"/>
    <s v="United States"/>
    <s v="Philadelphia"/>
    <s v="Pennsylvania"/>
    <s v="East"/>
    <x v="2"/>
    <x v="11"/>
    <s v="Lenovo 17-Key USB Numeric Keypad"/>
    <x v="157"/>
    <n v="2"/>
    <n v="0.2"/>
    <n v="1.3595999999999999"/>
  </r>
  <r>
    <n v="163"/>
    <x v="76"/>
    <x v="0"/>
    <x v="0"/>
    <d v="2013-11-21T00:00:00"/>
    <n v="4"/>
    <x v="1"/>
    <s v="Ruben Dartt"/>
    <x v="0"/>
    <s v="United States"/>
    <s v="Carlsbad"/>
    <s v="New Mexico"/>
    <s v="West"/>
    <x v="1"/>
    <x v="12"/>
    <s v="Staples"/>
    <x v="158"/>
    <n v="5"/>
    <n v="0"/>
    <n v="13.348000000000001"/>
  </r>
  <r>
    <n v="164"/>
    <x v="77"/>
    <x v="0"/>
    <x v="0"/>
    <d v="2013-11-12T00:00:00"/>
    <n v="4"/>
    <x v="1"/>
    <s v="Max Jones"/>
    <x v="0"/>
    <s v="United States"/>
    <s v="Seattle"/>
    <s v="Washington"/>
    <s v="West"/>
    <x v="1"/>
    <x v="8"/>
    <s v="Wilson Jones International Size A4 Ring Binders"/>
    <x v="159"/>
    <n v="2"/>
    <n v="0.2"/>
    <n v="9.6880000000000006"/>
  </r>
  <r>
    <n v="165"/>
    <x v="78"/>
    <x v="2"/>
    <x v="8"/>
    <d v="2011-09-12T00:00:00"/>
    <n v="4"/>
    <x v="1"/>
    <s v="Becky Martin"/>
    <x v="0"/>
    <s v="United States"/>
    <s v="San Antonio"/>
    <s v="Texas"/>
    <s v="Central"/>
    <x v="1"/>
    <x v="6"/>
    <s v="BIC Brite Liner Highlighters"/>
    <x v="160"/>
    <n v="3"/>
    <n v="0.2"/>
    <n v="2.7324000000000002"/>
  </r>
  <r>
    <n v="166"/>
    <x v="78"/>
    <x v="2"/>
    <x v="8"/>
    <d v="2011-09-12T00:00:00"/>
    <n v="4"/>
    <x v="1"/>
    <s v="Becky Martin"/>
    <x v="0"/>
    <s v="United States"/>
    <s v="San Antonio"/>
    <s v="Texas"/>
    <s v="Central"/>
    <x v="2"/>
    <x v="15"/>
    <s v="Lexmark MX611dhe Monochrome Laser Printer"/>
    <x v="161"/>
    <n v="8"/>
    <n v="0.4"/>
    <n v="-1359.992"/>
  </r>
  <r>
    <n v="167"/>
    <x v="78"/>
    <x v="2"/>
    <x v="8"/>
    <d v="2011-09-12T00:00:00"/>
    <n v="4"/>
    <x v="1"/>
    <s v="Becky Martin"/>
    <x v="0"/>
    <s v="United States"/>
    <s v="San Antonio"/>
    <s v="Texas"/>
    <s v="Central"/>
    <x v="1"/>
    <x v="4"/>
    <s v="Space Solutions HD Industrial Steel Shelving."/>
    <x v="162"/>
    <n v="3"/>
    <n v="0.2"/>
    <n v="-58.634700000000002"/>
  </r>
  <r>
    <n v="168"/>
    <x v="78"/>
    <x v="2"/>
    <x v="8"/>
    <d v="2011-09-12T00:00:00"/>
    <n v="4"/>
    <x v="1"/>
    <s v="Becky Martin"/>
    <x v="0"/>
    <s v="United States"/>
    <s v="San Antonio"/>
    <s v="Texas"/>
    <s v="Central"/>
    <x v="0"/>
    <x v="1"/>
    <s v="SAFCO Arco Folding Chair"/>
    <x v="163"/>
    <n v="9"/>
    <n v="0.3"/>
    <n v="-24.858000000000001"/>
  </r>
  <r>
    <n v="169"/>
    <x v="78"/>
    <x v="2"/>
    <x v="8"/>
    <d v="2011-09-12T00:00:00"/>
    <n v="4"/>
    <x v="1"/>
    <s v="Becky Martin"/>
    <x v="0"/>
    <s v="United States"/>
    <s v="San Antonio"/>
    <s v="Texas"/>
    <s v="Central"/>
    <x v="1"/>
    <x v="6"/>
    <s v="Sanford Liquid Accent Highlighters"/>
    <x v="164"/>
    <n v="6"/>
    <n v="0.2"/>
    <n v="6.8136000000000001"/>
  </r>
  <r>
    <n v="170"/>
    <x v="78"/>
    <x v="2"/>
    <x v="8"/>
    <d v="2011-09-12T00:00:00"/>
    <n v="4"/>
    <x v="1"/>
    <s v="Becky Martin"/>
    <x v="0"/>
    <s v="United States"/>
    <s v="San Antonio"/>
    <s v="Texas"/>
    <s v="Central"/>
    <x v="1"/>
    <x v="9"/>
    <s v="Kensington 7 Outlet MasterPiece Power Center"/>
    <x v="165"/>
    <n v="5"/>
    <n v="0.8"/>
    <n v="-453.84899999999999"/>
  </r>
  <r>
    <n v="171"/>
    <x v="78"/>
    <x v="2"/>
    <x v="8"/>
    <d v="2011-09-12T00:00:00"/>
    <n v="4"/>
    <x v="1"/>
    <s v="Becky Martin"/>
    <x v="0"/>
    <s v="United States"/>
    <s v="San Antonio"/>
    <s v="Texas"/>
    <s v="Central"/>
    <x v="2"/>
    <x v="7"/>
    <s v="JBL Micro Wireless Portable Bluetooth Speaker"/>
    <x v="166"/>
    <n v="3"/>
    <n v="0.2"/>
    <n v="8.9984999999999999"/>
  </r>
  <r>
    <n v="172"/>
    <x v="79"/>
    <x v="2"/>
    <x v="6"/>
    <d v="2011-08-09T00:00:00"/>
    <n v="4"/>
    <x v="1"/>
    <s v="Chad Sievert"/>
    <x v="0"/>
    <s v="United States"/>
    <s v="Los Angeles"/>
    <s v="California"/>
    <s v="West"/>
    <x v="1"/>
    <x v="10"/>
    <s v="Adams Phone Message Book, Professional, 400 Message Capacity, 5 3/6” x 11”"/>
    <x v="167"/>
    <n v="3"/>
    <n v="0"/>
    <n v="9.8417999999999992"/>
  </r>
  <r>
    <n v="173"/>
    <x v="79"/>
    <x v="2"/>
    <x v="6"/>
    <d v="2011-08-09T00:00:00"/>
    <n v="4"/>
    <x v="1"/>
    <s v="Chad Sievert"/>
    <x v="0"/>
    <s v="United States"/>
    <s v="Los Angeles"/>
    <s v="California"/>
    <s v="West"/>
    <x v="1"/>
    <x v="10"/>
    <s v="Xerox 1913"/>
    <x v="168"/>
    <n v="2"/>
    <n v="0"/>
    <n v="53.260800000000003"/>
  </r>
  <r>
    <n v="174"/>
    <x v="79"/>
    <x v="2"/>
    <x v="6"/>
    <d v="2011-08-09T00:00:00"/>
    <n v="4"/>
    <x v="1"/>
    <s v="Chad Sievert"/>
    <x v="0"/>
    <s v="United States"/>
    <s v="Los Angeles"/>
    <s v="California"/>
    <s v="West"/>
    <x v="0"/>
    <x v="1"/>
    <s v="Global Value Steno Chair, Gray"/>
    <x v="169"/>
    <n v="7"/>
    <n v="0.2"/>
    <n v="21.259"/>
  </r>
  <r>
    <n v="175"/>
    <x v="80"/>
    <x v="2"/>
    <x v="8"/>
    <d v="2011-09-19T00:00:00"/>
    <n v="5"/>
    <x v="1"/>
    <s v="Jennifer Braxton"/>
    <x v="1"/>
    <s v="United States"/>
    <s v="Chicago"/>
    <s v="Illinois"/>
    <s v="Central"/>
    <x v="1"/>
    <x v="9"/>
    <s v="Kensington 7 Outlet MasterPiece HOMEOFFICE Power Control Center"/>
    <x v="170"/>
    <n v="2"/>
    <n v="0.8"/>
    <n v="-131.12"/>
  </r>
  <r>
    <n v="176"/>
    <x v="80"/>
    <x v="2"/>
    <x v="8"/>
    <d v="2011-09-19T00:00:00"/>
    <n v="5"/>
    <x v="1"/>
    <s v="Jennifer Braxton"/>
    <x v="1"/>
    <s v="United States"/>
    <s v="Chicago"/>
    <s v="Illinois"/>
    <s v="Central"/>
    <x v="1"/>
    <x v="2"/>
    <s v="Avery 51"/>
    <x v="171"/>
    <n v="4"/>
    <n v="0.2"/>
    <n v="6.5519999999999996"/>
  </r>
  <r>
    <n v="177"/>
    <x v="81"/>
    <x v="3"/>
    <x v="3"/>
    <d v="2014-04-26T00:00:00"/>
    <n v="4"/>
    <x v="0"/>
    <s v="Shirley Jackson"/>
    <x v="0"/>
    <s v="United States"/>
    <s v="Houston"/>
    <s v="Texas"/>
    <s v="Central"/>
    <x v="1"/>
    <x v="9"/>
    <s v="Acco 7-Outlet Masterpiece Power Center, Wihtout Fax/Phone Line Protection"/>
    <x v="172"/>
    <n v="4"/>
    <n v="0.8"/>
    <n v="-243.16"/>
  </r>
  <r>
    <n v="178"/>
    <x v="82"/>
    <x v="1"/>
    <x v="0"/>
    <d v="2012-11-23T00:00:00"/>
    <n v="2"/>
    <x v="0"/>
    <s v="Joel Eaton"/>
    <x v="0"/>
    <s v="United States"/>
    <s v="Newark"/>
    <s v="Ohio"/>
    <s v="East"/>
    <x v="0"/>
    <x v="1"/>
    <s v="Padded Folding Chairs, Black, 4/Carton"/>
    <x v="173"/>
    <n v="7"/>
    <n v="0.3"/>
    <n v="-11.337199999999999"/>
  </r>
  <r>
    <n v="179"/>
    <x v="82"/>
    <x v="1"/>
    <x v="0"/>
    <d v="2012-11-23T00:00:00"/>
    <n v="2"/>
    <x v="0"/>
    <s v="Joel Eaton"/>
    <x v="0"/>
    <s v="United States"/>
    <s v="Newark"/>
    <s v="Ohio"/>
    <s v="East"/>
    <x v="1"/>
    <x v="14"/>
    <s v="Acme Rosewood Handle Letter Opener"/>
    <x v="174"/>
    <n v="5"/>
    <n v="0.2"/>
    <n v="-3.7715000000000001"/>
  </r>
  <r>
    <n v="180"/>
    <x v="83"/>
    <x v="1"/>
    <x v="4"/>
    <d v="2012-12-19T00:00:00"/>
    <n v="4"/>
    <x v="1"/>
    <s v="Jim Kriz"/>
    <x v="2"/>
    <s v="United States"/>
    <s v="New York City"/>
    <s v="New York"/>
    <s v="East"/>
    <x v="1"/>
    <x v="6"/>
    <s v="Sanford Colorific Eraseable Coloring Pencils, 12 Count"/>
    <x v="175"/>
    <n v="1"/>
    <n v="0"/>
    <n v="1.4104000000000001"/>
  </r>
  <r>
    <n v="181"/>
    <x v="29"/>
    <x v="2"/>
    <x v="4"/>
    <d v="2011-12-09T00:00:00"/>
    <n v="4"/>
    <x v="0"/>
    <s v="David Kendrick"/>
    <x v="1"/>
    <s v="United States"/>
    <s v="Decatur"/>
    <s v="Illinois"/>
    <s v="Central"/>
    <x v="1"/>
    <x v="4"/>
    <s v="Tenex File Box, Personal Filing Tote with Lid, Black"/>
    <x v="176"/>
    <n v="2"/>
    <n v="0.2"/>
    <n v="1.8612"/>
  </r>
  <r>
    <n v="182"/>
    <x v="29"/>
    <x v="2"/>
    <x v="4"/>
    <d v="2011-12-09T00:00:00"/>
    <n v="4"/>
    <x v="0"/>
    <s v="David Kendrick"/>
    <x v="1"/>
    <s v="United States"/>
    <s v="Decatur"/>
    <s v="Illinois"/>
    <s v="Central"/>
    <x v="2"/>
    <x v="11"/>
    <s v="Imation Secure+ Hardware Encrypted USB 2.0 Flash Drive; 16GB"/>
    <x v="177"/>
    <n v="7"/>
    <n v="0.2"/>
    <n v="76.639499999999998"/>
  </r>
  <r>
    <n v="183"/>
    <x v="84"/>
    <x v="2"/>
    <x v="0"/>
    <d v="2011-11-24T00:00:00"/>
    <n v="5"/>
    <x v="0"/>
    <s v="Robert Marley"/>
    <x v="2"/>
    <s v="United States"/>
    <s v="Monroe"/>
    <s v="Louisiana"/>
    <s v="South"/>
    <x v="2"/>
    <x v="7"/>
    <s v="AT&amp;T TR1909W"/>
    <x v="178"/>
    <n v="4"/>
    <n v="0"/>
    <n v="131.02959999999999"/>
  </r>
  <r>
    <n v="184"/>
    <x v="84"/>
    <x v="2"/>
    <x v="0"/>
    <d v="2011-11-24T00:00:00"/>
    <n v="5"/>
    <x v="0"/>
    <s v="Robert Marley"/>
    <x v="2"/>
    <s v="United States"/>
    <s v="Monroe"/>
    <s v="Louisiana"/>
    <s v="South"/>
    <x v="2"/>
    <x v="7"/>
    <s v="Nokia Lumia 521 (T-Mobile)"/>
    <x v="179"/>
    <n v="5"/>
    <n v="0"/>
    <n v="41.985999999999997"/>
  </r>
  <r>
    <n v="185"/>
    <x v="84"/>
    <x v="2"/>
    <x v="0"/>
    <d v="2011-11-24T00:00:00"/>
    <n v="5"/>
    <x v="0"/>
    <s v="Robert Marley"/>
    <x v="2"/>
    <s v="United States"/>
    <s v="Monroe"/>
    <s v="Louisiana"/>
    <s v="South"/>
    <x v="2"/>
    <x v="11"/>
    <s v="HP Standard 104 key PS/2 Keyboard"/>
    <x v="180"/>
    <n v="2"/>
    <n v="0"/>
    <n v="7.25"/>
  </r>
  <r>
    <n v="186"/>
    <x v="85"/>
    <x v="0"/>
    <x v="0"/>
    <d v="2013-12-03T00:00:00"/>
    <n v="4"/>
    <x v="1"/>
    <s v="Sally Knutson"/>
    <x v="0"/>
    <s v="United States"/>
    <s v="Fairfield"/>
    <s v="Connecticut"/>
    <s v="East"/>
    <x v="1"/>
    <x v="8"/>
    <s v="Avery Poly Binder Pockets"/>
    <x v="181"/>
    <n v="2"/>
    <n v="0"/>
    <n v="3.4367999999999999"/>
  </r>
  <r>
    <n v="187"/>
    <x v="86"/>
    <x v="2"/>
    <x v="6"/>
    <d v="2011-08-30T00:00:00"/>
    <n v="4"/>
    <x v="1"/>
    <s v="Frank Merwin"/>
    <x v="2"/>
    <s v="United States"/>
    <s v="Los Angeles"/>
    <s v="California"/>
    <s v="West"/>
    <x v="2"/>
    <x v="11"/>
    <s v="SanDisk Ultra 32 GB MicroSDHC Class 10 Memory Card"/>
    <x v="182"/>
    <n v="8"/>
    <n v="0"/>
    <n v="22.984000000000002"/>
  </r>
  <r>
    <n v="188"/>
    <x v="87"/>
    <x v="0"/>
    <x v="7"/>
    <d v="2013-07-23T00:00:00"/>
    <n v="6"/>
    <x v="1"/>
    <s v="Alice McCarthy"/>
    <x v="1"/>
    <s v="United States"/>
    <s v="Grand Prairie"/>
    <s v="Texas"/>
    <s v="Central"/>
    <x v="1"/>
    <x v="4"/>
    <s v="Personal Filing Tote with Lid, Black/Gray"/>
    <x v="183"/>
    <n v="3"/>
    <n v="0.2"/>
    <n v="3.7223999999999999"/>
  </r>
  <r>
    <n v="189"/>
    <x v="87"/>
    <x v="0"/>
    <x v="7"/>
    <d v="2013-07-23T00:00:00"/>
    <n v="6"/>
    <x v="1"/>
    <s v="Alice McCarthy"/>
    <x v="1"/>
    <s v="United States"/>
    <s v="Grand Prairie"/>
    <s v="Texas"/>
    <s v="Central"/>
    <x v="1"/>
    <x v="10"/>
    <s v="Southworth 25% Cotton Antique Laid Paper &amp; Envelopes"/>
    <x v="184"/>
    <n v="3"/>
    <n v="0.2"/>
    <n v="6.2549999999999999"/>
  </r>
  <r>
    <n v="190"/>
    <x v="88"/>
    <x v="1"/>
    <x v="2"/>
    <d v="2012-10-14T00:00:00"/>
    <n v="2"/>
    <x v="2"/>
    <s v="Mark Packer"/>
    <x v="2"/>
    <s v="United States"/>
    <s v="New York City"/>
    <s v="New York"/>
    <s v="East"/>
    <x v="0"/>
    <x v="0"/>
    <s v="Atlantic Metals Mobile 4-Shelf Bookcases, Custom Colors"/>
    <x v="185"/>
    <n v="4"/>
    <n v="0.2"/>
    <n v="112.392"/>
  </r>
  <r>
    <n v="191"/>
    <x v="88"/>
    <x v="1"/>
    <x v="2"/>
    <d v="2012-10-14T00:00:00"/>
    <n v="2"/>
    <x v="2"/>
    <s v="Mark Packer"/>
    <x v="2"/>
    <s v="United States"/>
    <s v="New York City"/>
    <s v="New York"/>
    <s v="East"/>
    <x v="2"/>
    <x v="7"/>
    <s v="I Need's 3d Hello Kitty Hybrid Silicone Case Cover for HTC One X 4g with 3d Hello Kitty Stylus Pen Green/pink"/>
    <x v="186"/>
    <n v="6"/>
    <n v="0"/>
    <n v="20.0928"/>
  </r>
  <r>
    <n v="192"/>
    <x v="88"/>
    <x v="1"/>
    <x v="2"/>
    <d v="2012-10-14T00:00:00"/>
    <n v="2"/>
    <x v="2"/>
    <s v="Mark Packer"/>
    <x v="2"/>
    <s v="United States"/>
    <s v="New York City"/>
    <s v="New York"/>
    <s v="East"/>
    <x v="1"/>
    <x v="10"/>
    <s v="Xerox 205"/>
    <x v="187"/>
    <n v="8"/>
    <n v="0"/>
    <n v="24.883199999999999"/>
  </r>
  <r>
    <n v="193"/>
    <x v="88"/>
    <x v="1"/>
    <x v="2"/>
    <d v="2012-10-14T00:00:00"/>
    <n v="2"/>
    <x v="2"/>
    <s v="Mark Packer"/>
    <x v="2"/>
    <s v="United States"/>
    <s v="New York City"/>
    <s v="New York"/>
    <s v="East"/>
    <x v="0"/>
    <x v="0"/>
    <s v="Atlantic Metals Mobile 3-Shelf Bookcases, Custom Colors"/>
    <x v="188"/>
    <n v="3"/>
    <n v="0.2"/>
    <n v="46.976399999999998"/>
  </r>
  <r>
    <n v="194"/>
    <x v="88"/>
    <x v="1"/>
    <x v="2"/>
    <d v="2012-10-14T00:00:00"/>
    <n v="2"/>
    <x v="2"/>
    <s v="Mark Packer"/>
    <x v="2"/>
    <s v="United States"/>
    <s v="New York City"/>
    <s v="New York"/>
    <s v="East"/>
    <x v="1"/>
    <x v="6"/>
    <s v="4009 Highlighters by Sanford"/>
    <x v="189"/>
    <n v="5"/>
    <n v="0"/>
    <n v="6.5670000000000002"/>
  </r>
  <r>
    <n v="195"/>
    <x v="89"/>
    <x v="1"/>
    <x v="2"/>
    <d v="2012-11-06T00:00:00"/>
    <n v="6"/>
    <x v="1"/>
    <s v="Mary Zewe"/>
    <x v="1"/>
    <s v="United States"/>
    <s v="Redlands"/>
    <s v="California"/>
    <s v="West"/>
    <x v="1"/>
    <x v="12"/>
    <s v="Poly String Tie Envelopes"/>
    <x v="190"/>
    <n v="7"/>
    <n v="0"/>
    <n v="6.7115999999999998"/>
  </r>
  <r>
    <n v="196"/>
    <x v="90"/>
    <x v="2"/>
    <x v="10"/>
    <d v="2011-03-25T00:00:00"/>
    <n v="4"/>
    <x v="1"/>
    <s v="Cassandra Brandow"/>
    <x v="0"/>
    <s v="United States"/>
    <s v="Hamilton"/>
    <s v="Ohio"/>
    <s v="East"/>
    <x v="1"/>
    <x v="6"/>
    <s v="Binney &amp; Smith Crayola Metallic Colored Pencils, 8-Color Set"/>
    <x v="191"/>
    <n v="2"/>
    <n v="0.2"/>
    <n v="1.2038"/>
  </r>
  <r>
    <n v="197"/>
    <x v="90"/>
    <x v="2"/>
    <x v="10"/>
    <d v="2011-03-25T00:00:00"/>
    <n v="4"/>
    <x v="1"/>
    <s v="Cassandra Brandow"/>
    <x v="0"/>
    <s v="United States"/>
    <s v="Hamilton"/>
    <s v="Ohio"/>
    <s v="East"/>
    <x v="1"/>
    <x v="6"/>
    <s v="Binney &amp; Smith inkTank Erasable Desk Highlighter, Chisel Tip, Yellow, 12/Box"/>
    <x v="192"/>
    <n v="3"/>
    <n v="0.2"/>
    <n v="1.5875999999999999"/>
  </r>
  <r>
    <n v="198"/>
    <x v="44"/>
    <x v="3"/>
    <x v="0"/>
    <d v="2014-11-14T00:00:00"/>
    <n v="7"/>
    <x v="1"/>
    <s v="Valerie Mitchum"/>
    <x v="2"/>
    <s v="United States"/>
    <s v="Westfield"/>
    <s v="New Jersey"/>
    <s v="East"/>
    <x v="1"/>
    <x v="4"/>
    <s v="Decoflex Hanging Personal Folder File"/>
    <x v="193"/>
    <n v="3"/>
    <n v="0"/>
    <n v="12.0276"/>
  </r>
  <r>
    <n v="199"/>
    <x v="91"/>
    <x v="3"/>
    <x v="7"/>
    <d v="2014-07-14T00:00:00"/>
    <n v="7"/>
    <x v="1"/>
    <s v="Fred Hopkins"/>
    <x v="1"/>
    <s v="United States"/>
    <s v="Philadelphia"/>
    <s v="Pennsylvania"/>
    <s v="East"/>
    <x v="1"/>
    <x v="8"/>
    <s v="Pressboard Covers with Storage Hooks, 9 1/2&quot; x 11&quot;, Light Blue"/>
    <x v="194"/>
    <n v="2"/>
    <n v="0.7"/>
    <n v="-2.2585999999999999"/>
  </r>
  <r>
    <n v="200"/>
    <x v="91"/>
    <x v="3"/>
    <x v="7"/>
    <d v="2014-07-14T00:00:00"/>
    <n v="7"/>
    <x v="1"/>
    <s v="Fred Hopkins"/>
    <x v="1"/>
    <s v="United States"/>
    <s v="Philadelphia"/>
    <s v="Pennsylvania"/>
    <s v="East"/>
    <x v="1"/>
    <x v="10"/>
    <s v="Wirebound Message Books, 5-1/2 x 4 Forms, 2 or 4 Forms per Page"/>
    <x v="195"/>
    <n v="3"/>
    <n v="0.2"/>
    <n v="5.8202999999999996"/>
  </r>
  <r>
    <n v="201"/>
    <x v="92"/>
    <x v="3"/>
    <x v="1"/>
    <d v="2014-06-30T00:00:00"/>
    <n v="5"/>
    <x v="1"/>
    <s v="Maria Bertelson"/>
    <x v="0"/>
    <s v="United States"/>
    <s v="Akron"/>
    <s v="Ohio"/>
    <s v="East"/>
    <x v="1"/>
    <x v="10"/>
    <s v="Southworth 25% Cotton Linen-Finish Paper &amp; Envelopes"/>
    <x v="196"/>
    <n v="3"/>
    <n v="0.2"/>
    <n v="6.7949999999999999"/>
  </r>
  <r>
    <n v="202"/>
    <x v="93"/>
    <x v="2"/>
    <x v="6"/>
    <d v="2011-08-05T00:00:00"/>
    <n v="2"/>
    <x v="2"/>
    <s v="Bruce Stewart"/>
    <x v="0"/>
    <s v="United States"/>
    <s v="Denver"/>
    <s v="Colorado"/>
    <s v="West"/>
    <x v="0"/>
    <x v="3"/>
    <s v="BoxOffice By Design Rectangular and Half-Moon Meeting Room Tables"/>
    <x v="197"/>
    <n v="2"/>
    <n v="0.5"/>
    <n v="-161.875"/>
  </r>
  <r>
    <n v="203"/>
    <x v="93"/>
    <x v="2"/>
    <x v="6"/>
    <d v="2011-08-05T00:00:00"/>
    <n v="2"/>
    <x v="2"/>
    <s v="Bruce Stewart"/>
    <x v="0"/>
    <s v="United States"/>
    <s v="Denver"/>
    <s v="Colorado"/>
    <s v="West"/>
    <x v="1"/>
    <x v="9"/>
    <s v="Bravo II Megaboss 12-Amp Hard Body Upright, Replacement Belts, 2 Belts per Pack"/>
    <x v="198"/>
    <n v="1"/>
    <n v="0.2"/>
    <n v="0.29249999999999998"/>
  </r>
  <r>
    <n v="204"/>
    <x v="94"/>
    <x v="3"/>
    <x v="4"/>
    <d v="2014-12-22T00:00:00"/>
    <n v="4"/>
    <x v="0"/>
    <s v="Logan Currie"/>
    <x v="0"/>
    <s v="United States"/>
    <s v="Dallas"/>
    <s v="Texas"/>
    <s v="Central"/>
    <x v="1"/>
    <x v="9"/>
    <s v="Eureka Sanitaire  Commercial Upright"/>
    <x v="199"/>
    <n v="2"/>
    <n v="0.8"/>
    <n v="-178.96680000000001"/>
  </r>
  <r>
    <n v="205"/>
    <x v="95"/>
    <x v="3"/>
    <x v="1"/>
    <d v="2014-06-08T00:00:00"/>
    <n v="4"/>
    <x v="1"/>
    <s v="Heather Kirkland"/>
    <x v="1"/>
    <s v="United States"/>
    <s v="Franklin"/>
    <s v="Tennessee"/>
    <s v="South"/>
    <x v="0"/>
    <x v="5"/>
    <s v="Eldon 200 Class Desk Accessories, Burgundy"/>
    <x v="200"/>
    <n v="7"/>
    <n v="0.2"/>
    <n v="9.6712000000000007"/>
  </r>
  <r>
    <n v="206"/>
    <x v="34"/>
    <x v="3"/>
    <x v="4"/>
    <d v="2014-12-15T00:00:00"/>
    <n v="5"/>
    <x v="1"/>
    <s v="Laurel Elliston"/>
    <x v="0"/>
    <s v="United States"/>
    <s v="Whittier"/>
    <s v="California"/>
    <s v="West"/>
    <x v="2"/>
    <x v="7"/>
    <s v="Nortel Business Series Terminal T7208 Digital phone"/>
    <x v="201"/>
    <n v="4"/>
    <n v="0.2"/>
    <n v="44.476799999999997"/>
  </r>
  <r>
    <n v="207"/>
    <x v="96"/>
    <x v="3"/>
    <x v="4"/>
    <d v="2014-12-08T00:00:00"/>
    <n v="6"/>
    <x v="1"/>
    <s v="Joseph Holt"/>
    <x v="0"/>
    <s v="United States"/>
    <s v="Saginaw"/>
    <s v="Michigan"/>
    <s v="Central"/>
    <x v="1"/>
    <x v="4"/>
    <s v="Tennsco Lockers, Gray"/>
    <x v="202"/>
    <n v="4"/>
    <n v="0"/>
    <n v="5.8743999999999996"/>
  </r>
  <r>
    <n v="208"/>
    <x v="96"/>
    <x v="3"/>
    <x v="4"/>
    <d v="2014-12-08T00:00:00"/>
    <n v="6"/>
    <x v="1"/>
    <s v="Joseph Holt"/>
    <x v="0"/>
    <s v="United States"/>
    <s v="Saginaw"/>
    <s v="Michigan"/>
    <s v="Central"/>
    <x v="2"/>
    <x v="7"/>
    <s v="Panasonic KX-TG6844B Expandable Digital Cordless Telephone"/>
    <x v="203"/>
    <n v="2"/>
    <n v="0"/>
    <n v="35.634599999999999"/>
  </r>
  <r>
    <n v="209"/>
    <x v="96"/>
    <x v="3"/>
    <x v="4"/>
    <d v="2014-12-08T00:00:00"/>
    <n v="6"/>
    <x v="1"/>
    <s v="Joseph Holt"/>
    <x v="0"/>
    <s v="United States"/>
    <s v="Saginaw"/>
    <s v="Michigan"/>
    <s v="Central"/>
    <x v="1"/>
    <x v="8"/>
    <s v="Avery Durable Slant Ring Binders, No Labels"/>
    <x v="204"/>
    <n v="4"/>
    <n v="0"/>
    <n v="7.4824000000000002"/>
  </r>
  <r>
    <n v="210"/>
    <x v="96"/>
    <x v="3"/>
    <x v="4"/>
    <d v="2014-12-08T00:00:00"/>
    <n v="6"/>
    <x v="1"/>
    <s v="Joseph Holt"/>
    <x v="0"/>
    <s v="United States"/>
    <s v="Saginaw"/>
    <s v="Michigan"/>
    <s v="Central"/>
    <x v="1"/>
    <x v="13"/>
    <s v="Advantus Push Pins, Aluminum Head"/>
    <x v="205"/>
    <n v="9"/>
    <n v="0"/>
    <n v="16.209900000000001"/>
  </r>
  <r>
    <n v="211"/>
    <x v="96"/>
    <x v="3"/>
    <x v="4"/>
    <d v="2014-12-08T00:00:00"/>
    <n v="6"/>
    <x v="1"/>
    <s v="Joseph Holt"/>
    <x v="0"/>
    <s v="United States"/>
    <s v="Saginaw"/>
    <s v="Michigan"/>
    <s v="Central"/>
    <x v="1"/>
    <x v="4"/>
    <s v="Gould Plastics 18-Pocket Panel Bin, 34w x 5-1/4d x 20-1/2h"/>
    <x v="206"/>
    <n v="1"/>
    <n v="0"/>
    <n v="3.6796000000000002"/>
  </r>
  <r>
    <n v="212"/>
    <x v="97"/>
    <x v="1"/>
    <x v="11"/>
    <d v="2012-02-13T00:00:00"/>
    <n v="4"/>
    <x v="0"/>
    <s v="Michael Stewart"/>
    <x v="1"/>
    <s v="United States"/>
    <s v="Dallas"/>
    <s v="Texas"/>
    <s v="Central"/>
    <x v="2"/>
    <x v="11"/>
    <s v="Memorex Micro Travel Drive 8 GB"/>
    <x v="207"/>
    <n v="2"/>
    <n v="0.2"/>
    <n v="6.5"/>
  </r>
  <r>
    <n v="213"/>
    <x v="98"/>
    <x v="1"/>
    <x v="9"/>
    <d v="2012-01-09T00:00:00"/>
    <n v="7"/>
    <x v="1"/>
    <s v="Victoria Wilson"/>
    <x v="1"/>
    <s v="United States"/>
    <s v="Medina"/>
    <s v="Ohio"/>
    <s v="East"/>
    <x v="1"/>
    <x v="2"/>
    <s v="Avery 505"/>
    <x v="208"/>
    <n v="2"/>
    <n v="0.2"/>
    <n v="8.8800000000000008"/>
  </r>
  <r>
    <n v="214"/>
    <x v="98"/>
    <x v="1"/>
    <x v="9"/>
    <d v="2012-01-09T00:00:00"/>
    <n v="7"/>
    <x v="1"/>
    <s v="Victoria Wilson"/>
    <x v="1"/>
    <s v="United States"/>
    <s v="Medina"/>
    <s v="Ohio"/>
    <s v="East"/>
    <x v="0"/>
    <x v="0"/>
    <s v="O'Sullivan 2-Door Barrister Bookcase in Odessa Pine"/>
    <x v="209"/>
    <n v="5"/>
    <n v="0.5"/>
    <n v="-244.32300000000001"/>
  </r>
  <r>
    <n v="215"/>
    <x v="98"/>
    <x v="1"/>
    <x v="9"/>
    <d v="2012-01-09T00:00:00"/>
    <n v="7"/>
    <x v="1"/>
    <s v="Victoria Wilson"/>
    <x v="1"/>
    <s v="United States"/>
    <s v="Medina"/>
    <s v="Ohio"/>
    <s v="East"/>
    <x v="2"/>
    <x v="7"/>
    <s v="Speck Products Candyshell Flip Case"/>
    <x v="210"/>
    <n v="3"/>
    <n v="0.4"/>
    <n v="-14.6958"/>
  </r>
  <r>
    <n v="216"/>
    <x v="98"/>
    <x v="1"/>
    <x v="9"/>
    <d v="2012-01-09T00:00:00"/>
    <n v="7"/>
    <x v="1"/>
    <s v="Victoria Wilson"/>
    <x v="1"/>
    <s v="United States"/>
    <s v="Medina"/>
    <s v="Ohio"/>
    <s v="East"/>
    <x v="2"/>
    <x v="15"/>
    <s v="Cisco 9971 IP Video Phone Charcoal"/>
    <x v="211"/>
    <n v="9"/>
    <n v="0.7"/>
    <n v="-950.4"/>
  </r>
  <r>
    <n v="217"/>
    <x v="98"/>
    <x v="1"/>
    <x v="9"/>
    <d v="2012-01-09T00:00:00"/>
    <n v="7"/>
    <x v="1"/>
    <s v="Victoria Wilson"/>
    <x v="1"/>
    <s v="United States"/>
    <s v="Medina"/>
    <s v="Ohio"/>
    <s v="East"/>
    <x v="2"/>
    <x v="11"/>
    <s v="Sony Micro Vault Click 16 GB USB 2.0 Flash Drive"/>
    <x v="212"/>
    <n v="2"/>
    <n v="0.2"/>
    <n v="4.4791999999999996"/>
  </r>
  <r>
    <n v="218"/>
    <x v="99"/>
    <x v="0"/>
    <x v="2"/>
    <d v="2013-11-02T00:00:00"/>
    <n v="4"/>
    <x v="1"/>
    <s v="Jonathan Howell"/>
    <x v="0"/>
    <s v="United States"/>
    <s v="Los Angeles"/>
    <s v="California"/>
    <s v="West"/>
    <x v="1"/>
    <x v="4"/>
    <s v="Personal Filing Tote with Lid, Black/Gray"/>
    <x v="213"/>
    <n v="6"/>
    <n v="0"/>
    <n v="26.056799999999999"/>
  </r>
  <r>
    <n v="219"/>
    <x v="99"/>
    <x v="0"/>
    <x v="2"/>
    <d v="2013-11-02T00:00:00"/>
    <n v="4"/>
    <x v="1"/>
    <s v="Jonathan Howell"/>
    <x v="0"/>
    <s v="United States"/>
    <s v="Los Angeles"/>
    <s v="California"/>
    <s v="West"/>
    <x v="2"/>
    <x v="7"/>
    <s v="Adtran 1202752G1"/>
    <x v="214"/>
    <n v="3"/>
    <n v="0.2"/>
    <n v="22.6782"/>
  </r>
  <r>
    <n v="220"/>
    <x v="100"/>
    <x v="1"/>
    <x v="4"/>
    <d v="2012-12-27T00:00:00"/>
    <n v="3"/>
    <x v="2"/>
    <s v="Joni Blumstein"/>
    <x v="0"/>
    <s v="United States"/>
    <s v="Dublin"/>
    <s v="Ohio"/>
    <s v="East"/>
    <x v="1"/>
    <x v="13"/>
    <s v="OIC Bulk Pack Metal Binder Clips"/>
    <x v="215"/>
    <n v="2"/>
    <n v="0.2"/>
    <n v="1.8148"/>
  </r>
  <r>
    <n v="221"/>
    <x v="100"/>
    <x v="1"/>
    <x v="4"/>
    <d v="2012-12-27T00:00:00"/>
    <n v="3"/>
    <x v="2"/>
    <s v="Joni Blumstein"/>
    <x v="0"/>
    <s v="United States"/>
    <s v="Dublin"/>
    <s v="Ohio"/>
    <s v="East"/>
    <x v="1"/>
    <x v="10"/>
    <s v="While You Were Out Pads, 50 per Pad, 4 x 5 1/4, Green Cycle"/>
    <x v="216"/>
    <n v="6"/>
    <n v="0.2"/>
    <n v="8.2302"/>
  </r>
  <r>
    <n v="222"/>
    <x v="100"/>
    <x v="1"/>
    <x v="4"/>
    <d v="2012-12-27T00:00:00"/>
    <n v="3"/>
    <x v="2"/>
    <s v="Joni Blumstein"/>
    <x v="0"/>
    <s v="United States"/>
    <s v="Dublin"/>
    <s v="Ohio"/>
    <s v="East"/>
    <x v="1"/>
    <x v="8"/>
    <s v="Ibico Standard Transparent Covers"/>
    <x v="217"/>
    <n v="4"/>
    <n v="0.7"/>
    <n v="-13.8432"/>
  </r>
  <r>
    <n v="223"/>
    <x v="100"/>
    <x v="1"/>
    <x v="4"/>
    <d v="2012-12-27T00:00:00"/>
    <n v="3"/>
    <x v="2"/>
    <s v="Joni Blumstein"/>
    <x v="0"/>
    <s v="United States"/>
    <s v="Dublin"/>
    <s v="Ohio"/>
    <s v="East"/>
    <x v="0"/>
    <x v="5"/>
    <s v="Executive Impressions 14&quot; Two-Color Numerals Wall Clock"/>
    <x v="218"/>
    <n v="4"/>
    <n v="0.2"/>
    <n v="19.084800000000001"/>
  </r>
  <r>
    <n v="224"/>
    <x v="100"/>
    <x v="1"/>
    <x v="4"/>
    <d v="2012-12-27T00:00:00"/>
    <n v="3"/>
    <x v="2"/>
    <s v="Joni Blumstein"/>
    <x v="0"/>
    <s v="United States"/>
    <s v="Dublin"/>
    <s v="Ohio"/>
    <s v="East"/>
    <x v="2"/>
    <x v="15"/>
    <s v="Swingline SM12-08 MicroCut Jam Free Shredder"/>
    <x v="219"/>
    <n v="4"/>
    <n v="0.7"/>
    <n v="-383.99040000000002"/>
  </r>
  <r>
    <n v="225"/>
    <x v="100"/>
    <x v="1"/>
    <x v="4"/>
    <d v="2012-12-27T00:00:00"/>
    <n v="3"/>
    <x v="2"/>
    <s v="Joni Blumstein"/>
    <x v="0"/>
    <s v="United States"/>
    <s v="Dublin"/>
    <s v="Ohio"/>
    <s v="East"/>
    <x v="1"/>
    <x v="6"/>
    <s v="Stanley Bostitch Contemporary Electric Pencil Sharpeners"/>
    <x v="220"/>
    <n v="2"/>
    <n v="0.2"/>
    <n v="2.7168000000000001"/>
  </r>
  <r>
    <n v="226"/>
    <x v="101"/>
    <x v="1"/>
    <x v="6"/>
    <d v="2012-08-16T00:00:00"/>
    <n v="7"/>
    <x v="1"/>
    <s v="David Smith"/>
    <x v="1"/>
    <s v="United States"/>
    <s v="Detroit"/>
    <s v="Michigan"/>
    <s v="Central"/>
    <x v="1"/>
    <x v="6"/>
    <s v="Sanford Uni-Blazer View Highlighters, Chisel Tip, Yellow"/>
    <x v="221"/>
    <n v="1"/>
    <n v="0"/>
    <n v="0.96799999999999997"/>
  </r>
  <r>
    <n v="227"/>
    <x v="101"/>
    <x v="1"/>
    <x v="6"/>
    <d v="2012-08-16T00:00:00"/>
    <n v="7"/>
    <x v="1"/>
    <s v="David Smith"/>
    <x v="1"/>
    <s v="United States"/>
    <s v="Detroit"/>
    <s v="Michigan"/>
    <s v="Central"/>
    <x v="0"/>
    <x v="3"/>
    <s v="Bevis 36 x 72 Conference Tables"/>
    <x v="222"/>
    <n v="5"/>
    <n v="0"/>
    <n v="136.93899999999999"/>
  </r>
  <r>
    <n v="228"/>
    <x v="101"/>
    <x v="1"/>
    <x v="6"/>
    <d v="2012-08-16T00:00:00"/>
    <n v="7"/>
    <x v="1"/>
    <s v="David Smith"/>
    <x v="1"/>
    <s v="United States"/>
    <s v="Detroit"/>
    <s v="Michigan"/>
    <s v="Central"/>
    <x v="1"/>
    <x v="4"/>
    <s v="Rogers Deluxe File Chest"/>
    <x v="223"/>
    <n v="1"/>
    <n v="0"/>
    <n v="0.2198"/>
  </r>
  <r>
    <n v="229"/>
    <x v="102"/>
    <x v="1"/>
    <x v="11"/>
    <d v="2012-03-04T00:00:00"/>
    <n v="5"/>
    <x v="1"/>
    <s v="Valerie Dominguez"/>
    <x v="0"/>
    <s v="United States"/>
    <s v="Columbia"/>
    <s v="Tennessee"/>
    <s v="South"/>
    <x v="0"/>
    <x v="1"/>
    <s v="Global Low Back Tilter Chair"/>
    <x v="224"/>
    <n v="2"/>
    <n v="0.2"/>
    <n v="-28.2744"/>
  </r>
  <r>
    <n v="230"/>
    <x v="102"/>
    <x v="1"/>
    <x v="11"/>
    <d v="2012-03-04T00:00:00"/>
    <n v="5"/>
    <x v="1"/>
    <s v="Valerie Dominguez"/>
    <x v="0"/>
    <s v="United States"/>
    <s v="Columbia"/>
    <s v="Tennessee"/>
    <s v="South"/>
    <x v="0"/>
    <x v="1"/>
    <s v="Global Push Button Manager's Chair, Indigo"/>
    <x v="225"/>
    <n v="8"/>
    <n v="0.2"/>
    <n v="43.840800000000002"/>
  </r>
  <r>
    <n v="231"/>
    <x v="103"/>
    <x v="2"/>
    <x v="8"/>
    <d v="2011-09-17T00:00:00"/>
    <n v="4"/>
    <x v="1"/>
    <s v="Erin Ashbrook"/>
    <x v="1"/>
    <s v="United States"/>
    <s v="Charlotte"/>
    <s v="North Carolina"/>
    <s v="South"/>
    <x v="1"/>
    <x v="8"/>
    <s v="GBC Instant Index System for Binding Systems"/>
    <x v="226"/>
    <n v="7"/>
    <n v="0.7"/>
    <n v="-12.432"/>
  </r>
  <r>
    <n v="232"/>
    <x v="104"/>
    <x v="3"/>
    <x v="3"/>
    <d v="2014-04-13T00:00:00"/>
    <n v="5"/>
    <x v="1"/>
    <s v="Christopher Schild"/>
    <x v="2"/>
    <s v="United States"/>
    <s v="Tampa"/>
    <s v="Florida"/>
    <s v="South"/>
    <x v="0"/>
    <x v="3"/>
    <s v="Bush Advantage Collection Round Conference Table"/>
    <x v="227"/>
    <n v="2"/>
    <n v="0.45"/>
    <n v="-102.048"/>
  </r>
  <r>
    <n v="233"/>
    <x v="104"/>
    <x v="3"/>
    <x v="3"/>
    <d v="2014-04-13T00:00:00"/>
    <n v="5"/>
    <x v="1"/>
    <s v="Christopher Schild"/>
    <x v="2"/>
    <s v="United States"/>
    <s v="Tampa"/>
    <s v="Florida"/>
    <s v="South"/>
    <x v="0"/>
    <x v="3"/>
    <s v="Bretford Rectangular Conference Table Tops"/>
    <x v="228"/>
    <n v="3"/>
    <n v="0.45"/>
    <n v="-248.2458"/>
  </r>
  <r>
    <n v="234"/>
    <x v="104"/>
    <x v="3"/>
    <x v="3"/>
    <d v="2014-04-13T00:00:00"/>
    <n v="5"/>
    <x v="1"/>
    <s v="Christopher Schild"/>
    <x v="2"/>
    <s v="United States"/>
    <s v="Tampa"/>
    <s v="Florida"/>
    <s v="South"/>
    <x v="1"/>
    <x v="8"/>
    <s v="GBC Instant Index System for Binding Systems"/>
    <x v="229"/>
    <n v="2"/>
    <n v="0.7"/>
    <n v="-3.552"/>
  </r>
  <r>
    <n v="235"/>
    <x v="104"/>
    <x v="3"/>
    <x v="3"/>
    <d v="2014-04-13T00:00:00"/>
    <n v="5"/>
    <x v="1"/>
    <s v="Christopher Schild"/>
    <x v="2"/>
    <s v="United States"/>
    <s v="Tampa"/>
    <s v="Florida"/>
    <s v="South"/>
    <x v="0"/>
    <x v="5"/>
    <s v="Tenex Contemporary Contur Chairmats for Low and Medium Pile Carpet, Computer, 39&quot; x 49&quot;"/>
    <x v="230"/>
    <n v="3"/>
    <n v="0.2"/>
    <n v="0"/>
  </r>
  <r>
    <n v="236"/>
    <x v="104"/>
    <x v="3"/>
    <x v="3"/>
    <d v="2014-04-13T00:00:00"/>
    <n v="5"/>
    <x v="1"/>
    <s v="Christopher Schild"/>
    <x v="2"/>
    <s v="United States"/>
    <s v="Tampa"/>
    <s v="Florida"/>
    <s v="South"/>
    <x v="2"/>
    <x v="11"/>
    <s v="Logitech P710e Mobile Speakerphone"/>
    <x v="231"/>
    <n v="3"/>
    <n v="0.2"/>
    <n v="-7.7247000000000003"/>
  </r>
  <r>
    <n v="237"/>
    <x v="105"/>
    <x v="3"/>
    <x v="0"/>
    <d v="2014-11-17T00:00:00"/>
    <n v="4"/>
    <x v="1"/>
    <s v="David Bremer"/>
    <x v="1"/>
    <s v="United States"/>
    <s v="Santa Clara"/>
    <s v="California"/>
    <s v="West"/>
    <x v="1"/>
    <x v="10"/>
    <s v="Xerox 4200 Series MultiUse Premium Copy Paper (20Lb. and 84 Bright)"/>
    <x v="232"/>
    <n v="2"/>
    <n v="0"/>
    <n v="4.7519999999999998"/>
  </r>
  <r>
    <n v="238"/>
    <x v="30"/>
    <x v="0"/>
    <x v="1"/>
    <d v="2013-06-10T00:00:00"/>
    <n v="5"/>
    <x v="0"/>
    <s v="Ken Lonsdale"/>
    <x v="0"/>
    <s v="United States"/>
    <s v="Chicago"/>
    <s v="Illinois"/>
    <s v="Central"/>
    <x v="1"/>
    <x v="10"/>
    <s v="Xerox 1957"/>
    <x v="233"/>
    <n v="5"/>
    <n v="0.2"/>
    <n v="9.3960000000000008"/>
  </r>
  <r>
    <n v="239"/>
    <x v="30"/>
    <x v="0"/>
    <x v="1"/>
    <d v="2013-06-10T00:00:00"/>
    <n v="5"/>
    <x v="0"/>
    <s v="Ken Lonsdale"/>
    <x v="0"/>
    <s v="United States"/>
    <s v="Chicago"/>
    <s v="Illinois"/>
    <s v="Central"/>
    <x v="0"/>
    <x v="5"/>
    <s v="Luxo Professional Fluorescent Magnifier Lamp with Clamp-Mount Base"/>
    <x v="234"/>
    <n v="5"/>
    <n v="0.6"/>
    <n v="-356.72800000000001"/>
  </r>
  <r>
    <n v="240"/>
    <x v="30"/>
    <x v="0"/>
    <x v="1"/>
    <d v="2013-06-10T00:00:00"/>
    <n v="5"/>
    <x v="0"/>
    <s v="Ken Lonsdale"/>
    <x v="0"/>
    <s v="United States"/>
    <s v="Chicago"/>
    <s v="Illinois"/>
    <s v="Central"/>
    <x v="0"/>
    <x v="5"/>
    <s v="Staples"/>
    <x v="235"/>
    <n v="3"/>
    <n v="0.6"/>
    <n v="-4.6752000000000002"/>
  </r>
  <r>
    <n v="241"/>
    <x v="30"/>
    <x v="0"/>
    <x v="1"/>
    <d v="2013-06-10T00:00:00"/>
    <n v="5"/>
    <x v="0"/>
    <s v="Ken Lonsdale"/>
    <x v="0"/>
    <s v="United States"/>
    <s v="Chicago"/>
    <s v="Illinois"/>
    <s v="Central"/>
    <x v="2"/>
    <x v="7"/>
    <s v="PureGear Roll-On Screen Protector"/>
    <x v="236"/>
    <n v="2"/>
    <n v="0.2"/>
    <n v="11.1944"/>
  </r>
  <r>
    <n v="242"/>
    <x v="30"/>
    <x v="0"/>
    <x v="1"/>
    <d v="2013-06-10T00:00:00"/>
    <n v="5"/>
    <x v="0"/>
    <s v="Ken Lonsdale"/>
    <x v="0"/>
    <s v="United States"/>
    <s v="Chicago"/>
    <s v="Illinois"/>
    <s v="Central"/>
    <x v="0"/>
    <x v="3"/>
    <s v="KI Conference Tables"/>
    <x v="237"/>
    <n v="5"/>
    <n v="0.5"/>
    <n v="-120.51300000000001"/>
  </r>
  <r>
    <n v="243"/>
    <x v="30"/>
    <x v="0"/>
    <x v="1"/>
    <d v="2013-06-10T00:00:00"/>
    <n v="5"/>
    <x v="0"/>
    <s v="Ken Lonsdale"/>
    <x v="0"/>
    <s v="United States"/>
    <s v="Chicago"/>
    <s v="Illinois"/>
    <s v="Central"/>
    <x v="0"/>
    <x v="5"/>
    <s v="Eldon 100 Class Desk Accessories"/>
    <x v="238"/>
    <n v="3"/>
    <n v="0.6"/>
    <n v="-2.8308"/>
  </r>
  <r>
    <n v="244"/>
    <x v="30"/>
    <x v="0"/>
    <x v="1"/>
    <d v="2013-06-10T00:00:00"/>
    <n v="5"/>
    <x v="0"/>
    <s v="Ken Lonsdale"/>
    <x v="0"/>
    <s v="United States"/>
    <s v="Chicago"/>
    <s v="Illinois"/>
    <s v="Central"/>
    <x v="1"/>
    <x v="6"/>
    <s v="Binney &amp; Smith Crayola Metallic Colored Pencils, 8-Color Set"/>
    <x v="191"/>
    <n v="2"/>
    <n v="0.2"/>
    <n v="1.2038"/>
  </r>
  <r>
    <n v="245"/>
    <x v="106"/>
    <x v="2"/>
    <x v="1"/>
    <d v="2011-06-06T00:00:00"/>
    <n v="5"/>
    <x v="0"/>
    <s v="Dianna Wilson"/>
    <x v="2"/>
    <s v="United States"/>
    <s v="Lakeville"/>
    <s v="Minnesota"/>
    <s v="Central"/>
    <x v="0"/>
    <x v="1"/>
    <s v="Global Deluxe High-Back Manager's Chair"/>
    <x v="239"/>
    <n v="7"/>
    <n v="0"/>
    <n v="580.5394"/>
  </r>
  <r>
    <n v="246"/>
    <x v="106"/>
    <x v="2"/>
    <x v="1"/>
    <d v="2011-06-06T00:00:00"/>
    <n v="5"/>
    <x v="0"/>
    <s v="Dianna Wilson"/>
    <x v="2"/>
    <s v="United States"/>
    <s v="Lakeville"/>
    <s v="Minnesota"/>
    <s v="Central"/>
    <x v="1"/>
    <x v="4"/>
    <s v="Safco Steel Mobile File Cart"/>
    <x v="240"/>
    <n v="2"/>
    <n v="0"/>
    <n v="41.68"/>
  </r>
  <r>
    <n v="247"/>
    <x v="106"/>
    <x v="2"/>
    <x v="1"/>
    <d v="2011-06-06T00:00:00"/>
    <n v="5"/>
    <x v="0"/>
    <s v="Dianna Wilson"/>
    <x v="2"/>
    <s v="United States"/>
    <s v="Lakeville"/>
    <s v="Minnesota"/>
    <s v="Central"/>
    <x v="1"/>
    <x v="10"/>
    <s v="Adams Telephone Message Book w/Frequently-Called Numbers Space, 400 Messages per Book"/>
    <x v="241"/>
    <n v="6"/>
    <n v="0"/>
    <n v="23.94"/>
  </r>
  <r>
    <n v="248"/>
    <x v="106"/>
    <x v="2"/>
    <x v="1"/>
    <d v="2011-06-06T00:00:00"/>
    <n v="5"/>
    <x v="0"/>
    <s v="Dianna Wilson"/>
    <x v="2"/>
    <s v="United States"/>
    <s v="Lakeville"/>
    <s v="Minnesota"/>
    <s v="Central"/>
    <x v="1"/>
    <x v="9"/>
    <s v="Honeywell Enviracaire Portable HEPA Air Cleaner for 17' x 22' Room"/>
    <x v="242"/>
    <n v="5"/>
    <n v="0"/>
    <n v="496.07249999999999"/>
  </r>
  <r>
    <n v="249"/>
    <x v="106"/>
    <x v="2"/>
    <x v="1"/>
    <d v="2011-06-06T00:00:00"/>
    <n v="5"/>
    <x v="0"/>
    <s v="Dianna Wilson"/>
    <x v="2"/>
    <s v="United States"/>
    <s v="Lakeville"/>
    <s v="Minnesota"/>
    <s v="Central"/>
    <x v="1"/>
    <x v="10"/>
    <s v="Xerox 205"/>
    <x v="233"/>
    <n v="4"/>
    <n v="0"/>
    <n v="12.441599999999999"/>
  </r>
  <r>
    <n v="250"/>
    <x v="107"/>
    <x v="0"/>
    <x v="4"/>
    <d v="2013-12-16T00:00:00"/>
    <n v="5"/>
    <x v="0"/>
    <s v="Logan Haushalter"/>
    <x v="0"/>
    <s v="United States"/>
    <s v="San Francisco"/>
    <s v="California"/>
    <s v="West"/>
    <x v="0"/>
    <x v="1"/>
    <s v="Global Leather Highback Executive Chair with Pneumatic Height Adjustment, Black"/>
    <x v="243"/>
    <n v="2"/>
    <n v="0.2"/>
    <n v="28.1372"/>
  </r>
  <r>
    <n v="251"/>
    <x v="108"/>
    <x v="0"/>
    <x v="8"/>
    <d v="2013-09-18T00:00:00"/>
    <n v="6"/>
    <x v="1"/>
    <s v="Kelly Collister"/>
    <x v="0"/>
    <s v="United States"/>
    <s v="San Diego"/>
    <s v="California"/>
    <s v="West"/>
    <x v="1"/>
    <x v="10"/>
    <s v="Wirebound Message Books, Two 4 1/4&quot; x 5&quot; Forms per Page"/>
    <x v="244"/>
    <n v="1"/>
    <n v="0"/>
    <n v="3.5767000000000002"/>
  </r>
  <r>
    <n v="252"/>
    <x v="108"/>
    <x v="0"/>
    <x v="8"/>
    <d v="2013-09-18T00:00:00"/>
    <n v="6"/>
    <x v="1"/>
    <s v="Kelly Collister"/>
    <x v="0"/>
    <s v="United States"/>
    <s v="San Diego"/>
    <s v="California"/>
    <s v="West"/>
    <x v="2"/>
    <x v="11"/>
    <s v="Logitech P710e Mobile Speakerphone"/>
    <x v="245"/>
    <n v="13"/>
    <n v="0"/>
    <n v="636.00030000000004"/>
  </r>
  <r>
    <n v="253"/>
    <x v="107"/>
    <x v="0"/>
    <x v="4"/>
    <d v="2013-12-14T00:00:00"/>
    <n v="3"/>
    <x v="2"/>
    <s v="Delfina Latchford"/>
    <x v="0"/>
    <s v="United States"/>
    <s v="New York City"/>
    <s v="New York"/>
    <s v="East"/>
    <x v="1"/>
    <x v="4"/>
    <s v="Fellowes Personal Hanging Folder Files, Navy"/>
    <x v="246"/>
    <n v="6"/>
    <n v="0"/>
    <n v="22.5624"/>
  </r>
  <r>
    <n v="254"/>
    <x v="107"/>
    <x v="0"/>
    <x v="4"/>
    <d v="2013-12-14T00:00:00"/>
    <n v="3"/>
    <x v="2"/>
    <s v="Delfina Latchford"/>
    <x v="0"/>
    <s v="United States"/>
    <s v="New York City"/>
    <s v="New York"/>
    <s v="East"/>
    <x v="1"/>
    <x v="12"/>
    <s v="Tyvek Side-Opening Peel &amp; Seel Expanding Envelopes"/>
    <x v="247"/>
    <n v="4"/>
    <n v="0"/>
    <n v="162.864"/>
  </r>
  <r>
    <n v="255"/>
    <x v="109"/>
    <x v="1"/>
    <x v="0"/>
    <d v="2012-12-04T00:00:00"/>
    <n v="6"/>
    <x v="1"/>
    <s v="Dan Reichenbach"/>
    <x v="1"/>
    <s v="United States"/>
    <s v="Chicago"/>
    <s v="Illinois"/>
    <s v="Central"/>
    <x v="0"/>
    <x v="5"/>
    <s v="Eldon 100 Class Desk Accessories"/>
    <x v="248"/>
    <n v="9"/>
    <n v="0.6"/>
    <n v="-8.4923999999999999"/>
  </r>
  <r>
    <n v="256"/>
    <x v="109"/>
    <x v="1"/>
    <x v="0"/>
    <d v="2012-12-04T00:00:00"/>
    <n v="6"/>
    <x v="1"/>
    <s v="Dan Reichenbach"/>
    <x v="1"/>
    <s v="United States"/>
    <s v="Chicago"/>
    <s v="Illinois"/>
    <s v="Central"/>
    <x v="1"/>
    <x v="4"/>
    <s v="Belkin 19&quot; Vented Equipment Shelf, Black"/>
    <x v="249"/>
    <n v="2"/>
    <n v="0.2"/>
    <n v="-19.5624"/>
  </r>
  <r>
    <n v="257"/>
    <x v="109"/>
    <x v="1"/>
    <x v="0"/>
    <d v="2012-12-04T00:00:00"/>
    <n v="6"/>
    <x v="1"/>
    <s v="Dan Reichenbach"/>
    <x v="1"/>
    <s v="United States"/>
    <s v="Chicago"/>
    <s v="Illinois"/>
    <s v="Central"/>
    <x v="1"/>
    <x v="4"/>
    <s v="Tenex Personal Project File with Scoop Front Design, Black"/>
    <x v="250"/>
    <n v="5"/>
    <n v="0.2"/>
    <n v="4.0439999999999996"/>
  </r>
  <r>
    <n v="258"/>
    <x v="109"/>
    <x v="1"/>
    <x v="0"/>
    <d v="2012-12-04T00:00:00"/>
    <n v="6"/>
    <x v="1"/>
    <s v="Dan Reichenbach"/>
    <x v="1"/>
    <s v="United States"/>
    <s v="Chicago"/>
    <s v="Illinois"/>
    <s v="Central"/>
    <x v="2"/>
    <x v="7"/>
    <s v="Logitech Mobile Speakerphone P710e - speaker phone"/>
    <x v="251"/>
    <n v="6"/>
    <n v="0.2"/>
    <n v="56.691600000000001"/>
  </r>
  <r>
    <n v="259"/>
    <x v="96"/>
    <x v="3"/>
    <x v="4"/>
    <d v="2014-12-04T00:00:00"/>
    <n v="2"/>
    <x v="0"/>
    <s v="Craig Carreira"/>
    <x v="0"/>
    <s v="United States"/>
    <s v="New York City"/>
    <s v="New York"/>
    <s v="East"/>
    <x v="2"/>
    <x v="11"/>
    <s v="Sabrent 4-Port USB 2.0 Hub"/>
    <x v="252"/>
    <n v="3"/>
    <n v="0"/>
    <n v="6.9257999999999997"/>
  </r>
  <r>
    <n v="260"/>
    <x v="96"/>
    <x v="3"/>
    <x v="4"/>
    <d v="2014-12-04T00:00:00"/>
    <n v="2"/>
    <x v="0"/>
    <s v="Craig Carreira"/>
    <x v="0"/>
    <s v="United States"/>
    <s v="New York City"/>
    <s v="New York"/>
    <s v="East"/>
    <x v="1"/>
    <x v="4"/>
    <s v="Safco Industrial Shelving"/>
    <x v="253"/>
    <n v="3"/>
    <n v="0"/>
    <n v="6.6464999999999996"/>
  </r>
  <r>
    <n v="261"/>
    <x v="96"/>
    <x v="3"/>
    <x v="4"/>
    <d v="2014-12-04T00:00:00"/>
    <n v="2"/>
    <x v="0"/>
    <s v="Craig Carreira"/>
    <x v="0"/>
    <s v="United States"/>
    <s v="New York City"/>
    <s v="New York"/>
    <s v="East"/>
    <x v="1"/>
    <x v="8"/>
    <s v="Acco 3-Hole Punch"/>
    <x v="254"/>
    <n v="5"/>
    <n v="0.2"/>
    <n v="6.1319999999999997"/>
  </r>
  <r>
    <n v="262"/>
    <x v="110"/>
    <x v="3"/>
    <x v="1"/>
    <d v="2014-06-13T00:00:00"/>
    <n v="4"/>
    <x v="1"/>
    <s v="Dorris liebe"/>
    <x v="1"/>
    <s v="United States"/>
    <s v="Pasadena"/>
    <s v="Texas"/>
    <s v="Central"/>
    <x v="1"/>
    <x v="9"/>
    <s v="Eureka Disposable Bags for Sanitaire Vibra Groomer I Upright Vac"/>
    <x v="255"/>
    <n v="2"/>
    <n v="0.8"/>
    <n v="-4.4660000000000002"/>
  </r>
  <r>
    <n v="263"/>
    <x v="111"/>
    <x v="2"/>
    <x v="8"/>
    <d v="2011-09-21T00:00:00"/>
    <n v="2"/>
    <x v="0"/>
    <s v="Sean Braxton"/>
    <x v="1"/>
    <s v="United States"/>
    <s v="Houston"/>
    <s v="Texas"/>
    <s v="Central"/>
    <x v="2"/>
    <x v="15"/>
    <s v="Lexmark MX611dhe Monochrome Laser Printer"/>
    <x v="256"/>
    <n v="3"/>
    <n v="0.4"/>
    <n v="-509.99700000000001"/>
  </r>
  <r>
    <n v="264"/>
    <x v="111"/>
    <x v="2"/>
    <x v="8"/>
    <d v="2011-09-21T00:00:00"/>
    <n v="2"/>
    <x v="0"/>
    <s v="Sean Braxton"/>
    <x v="1"/>
    <s v="United States"/>
    <s v="Houston"/>
    <s v="Texas"/>
    <s v="Central"/>
    <x v="2"/>
    <x v="15"/>
    <s v="Xerox WorkCentre 6505DN Laser Multifunction Printer"/>
    <x v="257"/>
    <n v="7"/>
    <n v="0.4"/>
    <n v="-251.9958"/>
  </r>
  <r>
    <n v="265"/>
    <x v="112"/>
    <x v="0"/>
    <x v="1"/>
    <d v="2013-06-14T00:00:00"/>
    <n v="7"/>
    <x v="1"/>
    <s v="Roy Collins"/>
    <x v="0"/>
    <s v="United States"/>
    <s v="Chicago"/>
    <s v="Illinois"/>
    <s v="Central"/>
    <x v="2"/>
    <x v="7"/>
    <s v="Cisco Small Business SPA 502G VoIP phone"/>
    <x v="258"/>
    <n v="4"/>
    <n v="0.2"/>
    <n v="28.7196"/>
  </r>
  <r>
    <n v="266"/>
    <x v="113"/>
    <x v="1"/>
    <x v="0"/>
    <d v="2012-11-15T00:00:00"/>
    <n v="5"/>
    <x v="1"/>
    <s v="Alan Hwang"/>
    <x v="0"/>
    <s v="United States"/>
    <s v="Brentwood"/>
    <s v="California"/>
    <s v="West"/>
    <x v="2"/>
    <x v="11"/>
    <s v="Microsoft Sculpt Comfort Mouse"/>
    <x v="259"/>
    <n v="2"/>
    <n v="0"/>
    <n v="35.155999999999999"/>
  </r>
  <r>
    <n v="267"/>
    <x v="114"/>
    <x v="3"/>
    <x v="1"/>
    <d v="2014-06-21T00:00:00"/>
    <n v="4"/>
    <x v="1"/>
    <s v="Claudia Bergmann"/>
    <x v="1"/>
    <s v="United States"/>
    <s v="Chapel Hill"/>
    <s v="North Carolina"/>
    <s v="South"/>
    <x v="1"/>
    <x v="6"/>
    <s v="Quartet Omega Colored Chalk, 12/Pack"/>
    <x v="260"/>
    <n v="3"/>
    <n v="0.2"/>
    <n v="4.7304000000000004"/>
  </r>
  <r>
    <n v="268"/>
    <x v="115"/>
    <x v="0"/>
    <x v="9"/>
    <d v="2013-01-28T00:00:00"/>
    <n v="6"/>
    <x v="1"/>
    <s v="Paul Gonzalez"/>
    <x v="0"/>
    <s v="United States"/>
    <s v="Morristown"/>
    <s v="New Jersey"/>
    <s v="East"/>
    <x v="1"/>
    <x v="13"/>
    <s v="Bagged Rubber Bands"/>
    <x v="261"/>
    <n v="6"/>
    <n v="0"/>
    <n v="0.3024"/>
  </r>
  <r>
    <n v="269"/>
    <x v="34"/>
    <x v="3"/>
    <x v="4"/>
    <d v="2014-12-14T00:00:00"/>
    <n v="4"/>
    <x v="1"/>
    <s v="Christine Abelman"/>
    <x v="1"/>
    <s v="United States"/>
    <s v="Cincinnati"/>
    <s v="Ohio"/>
    <s v="East"/>
    <x v="1"/>
    <x v="4"/>
    <s v="Safco Commercial Shelving"/>
    <x v="262"/>
    <n v="1"/>
    <n v="0.2"/>
    <n v="-7.4416000000000002"/>
  </r>
  <r>
    <n v="270"/>
    <x v="34"/>
    <x v="3"/>
    <x v="4"/>
    <d v="2014-12-14T00:00:00"/>
    <n v="4"/>
    <x v="1"/>
    <s v="Christine Abelman"/>
    <x v="1"/>
    <s v="United States"/>
    <s v="Cincinnati"/>
    <s v="Ohio"/>
    <s v="East"/>
    <x v="1"/>
    <x v="12"/>
    <s v="Recycled Interoffice Envelopes with String and Button Closure, 10 x 13"/>
    <x v="263"/>
    <n v="3"/>
    <n v="0.2"/>
    <n v="21.591000000000001"/>
  </r>
  <r>
    <n v="271"/>
    <x v="116"/>
    <x v="3"/>
    <x v="4"/>
    <d v="2015-01-03T00:00:00"/>
    <n v="5"/>
    <x v="0"/>
    <s v="Kristen Hastings"/>
    <x v="1"/>
    <s v="United States"/>
    <s v="San Francisco"/>
    <s v="California"/>
    <s v="West"/>
    <x v="1"/>
    <x v="4"/>
    <s v="Adjustable Depth Letter/Legal Cart"/>
    <x v="264"/>
    <n v="4"/>
    <n v="0"/>
    <n v="210.49359999999999"/>
  </r>
  <r>
    <n v="272"/>
    <x v="117"/>
    <x v="1"/>
    <x v="7"/>
    <d v="2012-07-31T00:00:00"/>
    <n v="1"/>
    <x v="2"/>
    <s v="Helen Andreada"/>
    <x v="0"/>
    <s v="United States"/>
    <s v="San Francisco"/>
    <s v="California"/>
    <s v="West"/>
    <x v="2"/>
    <x v="11"/>
    <s v="Logitech 910-002974 M325 Wireless Mouse for Web Scrolling"/>
    <x v="265"/>
    <n v="7"/>
    <n v="0"/>
    <n v="92.369200000000006"/>
  </r>
  <r>
    <n v="273"/>
    <x v="117"/>
    <x v="1"/>
    <x v="7"/>
    <d v="2012-07-31T00:00:00"/>
    <n v="1"/>
    <x v="2"/>
    <s v="Helen Andreada"/>
    <x v="0"/>
    <s v="United States"/>
    <s v="San Francisco"/>
    <s v="California"/>
    <s v="West"/>
    <x v="0"/>
    <x v="5"/>
    <s v="Regeneration Desk Collection"/>
    <x v="266"/>
    <n v="3"/>
    <n v="0"/>
    <n v="2.3231999999999999"/>
  </r>
  <r>
    <n v="274"/>
    <x v="117"/>
    <x v="1"/>
    <x v="7"/>
    <d v="2012-07-31T00:00:00"/>
    <n v="1"/>
    <x v="2"/>
    <s v="Helen Andreada"/>
    <x v="0"/>
    <s v="United States"/>
    <s v="San Francisco"/>
    <s v="California"/>
    <s v="West"/>
    <x v="1"/>
    <x v="8"/>
    <s v="Presstex Flexible Ring Binders"/>
    <x v="267"/>
    <n v="3"/>
    <n v="0.2"/>
    <n v="4.0949999999999998"/>
  </r>
  <r>
    <n v="275"/>
    <x v="118"/>
    <x v="3"/>
    <x v="8"/>
    <d v="2014-09-18T00:00:00"/>
    <n v="1"/>
    <x v="2"/>
    <s v="Barry Blumstein"/>
    <x v="1"/>
    <s v="United States"/>
    <s v="Inglewood"/>
    <s v="California"/>
    <s v="West"/>
    <x v="1"/>
    <x v="10"/>
    <s v="Ampad Gold Fibre Wirebound Steno Books, 6&quot; x 9&quot;, Gregg Ruled"/>
    <x v="138"/>
    <n v="2"/>
    <n v="0"/>
    <n v="4.0571999999999999"/>
  </r>
  <r>
    <n v="276"/>
    <x v="118"/>
    <x v="3"/>
    <x v="8"/>
    <d v="2014-09-18T00:00:00"/>
    <n v="1"/>
    <x v="2"/>
    <s v="Barry Blumstein"/>
    <x v="1"/>
    <s v="United States"/>
    <s v="Inglewood"/>
    <s v="California"/>
    <s v="West"/>
    <x v="1"/>
    <x v="6"/>
    <s v="Newell 330"/>
    <x v="156"/>
    <n v="1"/>
    <n v="0"/>
    <n v="1.5548"/>
  </r>
  <r>
    <n v="277"/>
    <x v="119"/>
    <x v="3"/>
    <x v="2"/>
    <d v="2014-10-18T00:00:00"/>
    <n v="4"/>
    <x v="1"/>
    <s v="Andrew Gjertsen"/>
    <x v="1"/>
    <s v="United States"/>
    <s v="Philadelphia"/>
    <s v="Pennsylvania"/>
    <s v="East"/>
    <x v="1"/>
    <x v="10"/>
    <s v="Post-it “Important Message” Note Pad, Neon Colors, 50 Sheets/Pad"/>
    <x v="25"/>
    <n v="2"/>
    <n v="0.2"/>
    <n v="4.0768000000000004"/>
  </r>
  <r>
    <n v="278"/>
    <x v="119"/>
    <x v="3"/>
    <x v="2"/>
    <d v="2014-10-18T00:00:00"/>
    <n v="4"/>
    <x v="1"/>
    <s v="Andrew Gjertsen"/>
    <x v="1"/>
    <s v="United States"/>
    <s v="Philadelphia"/>
    <s v="Pennsylvania"/>
    <s v="East"/>
    <x v="1"/>
    <x v="10"/>
    <s v="Adams Write n' Stick Phone Message Book, 11&quot; X 5 1/4&quot;, 200 Messages"/>
    <x v="268"/>
    <n v="4"/>
    <n v="0.2"/>
    <n v="5.9071999999999996"/>
  </r>
  <r>
    <n v="279"/>
    <x v="119"/>
    <x v="3"/>
    <x v="2"/>
    <d v="2014-10-18T00:00:00"/>
    <n v="4"/>
    <x v="1"/>
    <s v="Andrew Gjertsen"/>
    <x v="1"/>
    <s v="United States"/>
    <s v="Philadelphia"/>
    <s v="Pennsylvania"/>
    <s v="East"/>
    <x v="1"/>
    <x v="4"/>
    <s v="Eldon Simplefile Box Office"/>
    <x v="269"/>
    <n v="6"/>
    <n v="0.2"/>
    <n v="5.9711999999999996"/>
  </r>
  <r>
    <n v="280"/>
    <x v="119"/>
    <x v="3"/>
    <x v="2"/>
    <d v="2014-10-18T00:00:00"/>
    <n v="4"/>
    <x v="1"/>
    <s v="Andrew Gjertsen"/>
    <x v="1"/>
    <s v="United States"/>
    <s v="Philadelphia"/>
    <s v="Pennsylvania"/>
    <s v="East"/>
    <x v="1"/>
    <x v="2"/>
    <s v="Avery 489"/>
    <x v="270"/>
    <n v="3"/>
    <n v="0.2"/>
    <n v="8.6940000000000008"/>
  </r>
  <r>
    <n v="281"/>
    <x v="120"/>
    <x v="1"/>
    <x v="8"/>
    <d v="2012-09-28T00:00:00"/>
    <n v="2"/>
    <x v="0"/>
    <s v="Steven Cartwright"/>
    <x v="0"/>
    <s v="United States"/>
    <s v="Houston"/>
    <s v="Texas"/>
    <s v="Central"/>
    <x v="1"/>
    <x v="8"/>
    <s v="Round Ring Binders"/>
    <x v="271"/>
    <n v="5"/>
    <n v="0.8"/>
    <n v="-3.4319999999999999"/>
  </r>
  <r>
    <n v="282"/>
    <x v="120"/>
    <x v="1"/>
    <x v="8"/>
    <d v="2012-09-28T00:00:00"/>
    <n v="2"/>
    <x v="0"/>
    <s v="Steven Cartwright"/>
    <x v="0"/>
    <s v="United States"/>
    <s v="Houston"/>
    <s v="Texas"/>
    <s v="Central"/>
    <x v="2"/>
    <x v="7"/>
    <s v="Bose SoundLink Bluetooth Speaker"/>
    <x v="272"/>
    <n v="7"/>
    <n v="0.2"/>
    <n v="376.11"/>
  </r>
  <r>
    <n v="283"/>
    <x v="121"/>
    <x v="1"/>
    <x v="0"/>
    <d v="2012-11-06T00:00:00"/>
    <n v="4"/>
    <x v="1"/>
    <s v="Jas O'Carroll"/>
    <x v="0"/>
    <s v="United States"/>
    <s v="Los Angeles"/>
    <s v="California"/>
    <s v="West"/>
    <x v="0"/>
    <x v="3"/>
    <s v="Bevis Round Bullnose 29&quot; High Table Top"/>
    <x v="273"/>
    <n v="5"/>
    <n v="0.2"/>
    <n v="51.942"/>
  </r>
  <r>
    <n v="284"/>
    <x v="120"/>
    <x v="1"/>
    <x v="8"/>
    <d v="2012-10-02T00:00:00"/>
    <n v="6"/>
    <x v="1"/>
    <s v="Tracy Blumstein"/>
    <x v="0"/>
    <s v="United States"/>
    <s v="Portland"/>
    <s v="Oregon"/>
    <s v="West"/>
    <x v="1"/>
    <x v="10"/>
    <s v="Staples"/>
    <x v="274"/>
    <n v="5"/>
    <n v="0.2"/>
    <n v="47.844000000000001"/>
  </r>
  <r>
    <n v="285"/>
    <x v="120"/>
    <x v="1"/>
    <x v="8"/>
    <d v="2012-10-02T00:00:00"/>
    <n v="6"/>
    <x v="1"/>
    <s v="Tracy Blumstein"/>
    <x v="0"/>
    <s v="United States"/>
    <s v="Portland"/>
    <s v="Oregon"/>
    <s v="West"/>
    <x v="2"/>
    <x v="11"/>
    <s v="Microsoft Arc Touch Mouse"/>
    <x v="275"/>
    <n v="5"/>
    <n v="0.2"/>
    <n v="47.96"/>
  </r>
  <r>
    <n v="286"/>
    <x v="120"/>
    <x v="1"/>
    <x v="8"/>
    <d v="2012-10-02T00:00:00"/>
    <n v="6"/>
    <x v="1"/>
    <s v="Tracy Blumstein"/>
    <x v="0"/>
    <s v="United States"/>
    <s v="Portland"/>
    <s v="Oregon"/>
    <s v="West"/>
    <x v="1"/>
    <x v="10"/>
    <s v="Xerox 216"/>
    <x v="276"/>
    <n v="6"/>
    <n v="0.2"/>
    <n v="10.8864"/>
  </r>
  <r>
    <n v="287"/>
    <x v="122"/>
    <x v="0"/>
    <x v="4"/>
    <d v="2013-12-21T00:00:00"/>
    <n v="2"/>
    <x v="0"/>
    <s v="Alan Haines"/>
    <x v="1"/>
    <s v="United States"/>
    <s v="Tamarac"/>
    <s v="Florida"/>
    <s v="South"/>
    <x v="1"/>
    <x v="8"/>
    <s v="GBC VeloBinder Electric Binding Machine"/>
    <x v="277"/>
    <n v="7"/>
    <n v="0.7"/>
    <n v="-169.37200000000001"/>
  </r>
  <r>
    <n v="288"/>
    <x v="122"/>
    <x v="0"/>
    <x v="4"/>
    <d v="2013-12-21T00:00:00"/>
    <n v="2"/>
    <x v="0"/>
    <s v="Alan Haines"/>
    <x v="1"/>
    <s v="United States"/>
    <s v="Tamarac"/>
    <s v="Florida"/>
    <s v="South"/>
    <x v="1"/>
    <x v="9"/>
    <s v="Acco 7-Outlet Masterpiece Power Center, Wihtout Fax/Phone Line Protection"/>
    <x v="278"/>
    <n v="2"/>
    <n v="0.2"/>
    <n v="24.315999999999999"/>
  </r>
  <r>
    <n v="289"/>
    <x v="122"/>
    <x v="0"/>
    <x v="4"/>
    <d v="2013-12-21T00:00:00"/>
    <n v="2"/>
    <x v="0"/>
    <s v="Alan Haines"/>
    <x v="1"/>
    <s v="United States"/>
    <s v="Tamarac"/>
    <s v="Florida"/>
    <s v="South"/>
    <x v="1"/>
    <x v="14"/>
    <s v="Premier Automatic Letter Opener"/>
    <x v="279"/>
    <n v="5"/>
    <n v="0.2"/>
    <n v="-204.31450000000001"/>
  </r>
  <r>
    <n v="290"/>
    <x v="73"/>
    <x v="0"/>
    <x v="0"/>
    <d v="2013-11-25T00:00:00"/>
    <n v="4"/>
    <x v="0"/>
    <s v="Nick Zandusky"/>
    <x v="2"/>
    <s v="United States"/>
    <s v="Columbus"/>
    <s v="Ohio"/>
    <s v="East"/>
    <x v="1"/>
    <x v="13"/>
    <s v="Advantus SlideClip Paper Clips"/>
    <x v="280"/>
    <n v="7"/>
    <n v="0.2"/>
    <n v="6.6836000000000002"/>
  </r>
  <r>
    <n v="291"/>
    <x v="73"/>
    <x v="0"/>
    <x v="0"/>
    <d v="2013-11-25T00:00:00"/>
    <n v="4"/>
    <x v="0"/>
    <s v="Nick Zandusky"/>
    <x v="2"/>
    <s v="United States"/>
    <s v="Columbus"/>
    <s v="Ohio"/>
    <s v="East"/>
    <x v="1"/>
    <x v="2"/>
    <s v="Avery 512"/>
    <x v="281"/>
    <n v="8"/>
    <n v="0.2"/>
    <n v="6.2423999999999999"/>
  </r>
  <r>
    <n v="292"/>
    <x v="73"/>
    <x v="0"/>
    <x v="0"/>
    <d v="2013-11-25T00:00:00"/>
    <n v="4"/>
    <x v="0"/>
    <s v="Nick Zandusky"/>
    <x v="2"/>
    <s v="United States"/>
    <s v="Columbus"/>
    <s v="Ohio"/>
    <s v="East"/>
    <x v="2"/>
    <x v="11"/>
    <s v="Logitech Wireless Gaming Headset G930"/>
    <x v="282"/>
    <n v="2"/>
    <n v="0.2"/>
    <n v="54.396599999999999"/>
  </r>
  <r>
    <n v="293"/>
    <x v="73"/>
    <x v="0"/>
    <x v="0"/>
    <d v="2013-11-25T00:00:00"/>
    <n v="4"/>
    <x v="0"/>
    <s v="Nick Zandusky"/>
    <x v="2"/>
    <s v="United States"/>
    <s v="Columbus"/>
    <s v="Ohio"/>
    <s v="East"/>
    <x v="0"/>
    <x v="0"/>
    <s v="Bush Westfield Collection Bookcases, Medium Cherry Finish"/>
    <x v="283"/>
    <n v="3"/>
    <n v="0.5"/>
    <n v="-48.703200000000002"/>
  </r>
  <r>
    <n v="294"/>
    <x v="58"/>
    <x v="2"/>
    <x v="4"/>
    <d v="2011-12-28T00:00:00"/>
    <n v="2"/>
    <x v="2"/>
    <s v="Kelly Lampkin"/>
    <x v="1"/>
    <s v="United States"/>
    <s v="Colorado Springs"/>
    <s v="Colorado"/>
    <s v="West"/>
    <x v="0"/>
    <x v="5"/>
    <s v="Howard Miller 13&quot; Diameter Goldtone Round Wall Clock"/>
    <x v="284"/>
    <n v="8"/>
    <n v="0.2"/>
    <n v="78.859200000000001"/>
  </r>
  <r>
    <n v="295"/>
    <x v="58"/>
    <x v="2"/>
    <x v="4"/>
    <d v="2011-12-28T00:00:00"/>
    <n v="2"/>
    <x v="2"/>
    <s v="Kelly Lampkin"/>
    <x v="1"/>
    <s v="United States"/>
    <s v="Colorado Springs"/>
    <s v="Colorado"/>
    <s v="West"/>
    <x v="0"/>
    <x v="1"/>
    <s v="Global Deluxe Office Fabric Chairs"/>
    <x v="285"/>
    <n v="3"/>
    <n v="0.2"/>
    <n v="20.155799999999999"/>
  </r>
  <r>
    <n v="296"/>
    <x v="58"/>
    <x v="2"/>
    <x v="4"/>
    <d v="2011-12-28T00:00:00"/>
    <n v="2"/>
    <x v="2"/>
    <s v="Kelly Lampkin"/>
    <x v="1"/>
    <s v="United States"/>
    <s v="Colorado Springs"/>
    <s v="Colorado"/>
    <s v="West"/>
    <x v="0"/>
    <x v="5"/>
    <s v="Eldon ClusterMat Chair Mat with Cordless Antistatic Protection"/>
    <x v="286"/>
    <n v="3"/>
    <n v="0.2"/>
    <n v="-24.564599999999999"/>
  </r>
  <r>
    <n v="297"/>
    <x v="58"/>
    <x v="2"/>
    <x v="4"/>
    <d v="2011-12-28T00:00:00"/>
    <n v="2"/>
    <x v="2"/>
    <s v="Kelly Lampkin"/>
    <x v="1"/>
    <s v="United States"/>
    <s v="Colorado Springs"/>
    <s v="Colorado"/>
    <s v="West"/>
    <x v="1"/>
    <x v="8"/>
    <s v="Ibico Laser Imprintable Binding System Covers"/>
    <x v="287"/>
    <n v="5"/>
    <n v="0.7"/>
    <n v="-62.88"/>
  </r>
  <r>
    <n v="298"/>
    <x v="58"/>
    <x v="2"/>
    <x v="4"/>
    <d v="2011-12-28T00:00:00"/>
    <n v="2"/>
    <x v="2"/>
    <s v="Kelly Lampkin"/>
    <x v="1"/>
    <s v="United States"/>
    <s v="Colorado Springs"/>
    <s v="Colorado"/>
    <s v="West"/>
    <x v="1"/>
    <x v="13"/>
    <s v="Vinyl Coated Wire Paper Clips in Organizer Box, 800/Box"/>
    <x v="288"/>
    <n v="3"/>
    <n v="0.2"/>
    <n v="9.2988"/>
  </r>
  <r>
    <n v="299"/>
    <x v="99"/>
    <x v="0"/>
    <x v="2"/>
    <d v="2013-11-04T00:00:00"/>
    <n v="6"/>
    <x v="1"/>
    <s v="Jonathan Doherty"/>
    <x v="1"/>
    <s v="United States"/>
    <s v="Belleville"/>
    <s v="New Jersey"/>
    <s v="East"/>
    <x v="1"/>
    <x v="10"/>
    <s v="Xerox 223"/>
    <x v="56"/>
    <n v="5"/>
    <n v="0"/>
    <n v="15.552"/>
  </r>
  <r>
    <n v="300"/>
    <x v="99"/>
    <x v="0"/>
    <x v="2"/>
    <d v="2013-11-04T00:00:00"/>
    <n v="6"/>
    <x v="1"/>
    <s v="Jonathan Doherty"/>
    <x v="1"/>
    <s v="United States"/>
    <s v="Belleville"/>
    <s v="New Jersey"/>
    <s v="East"/>
    <x v="1"/>
    <x v="4"/>
    <s v="Tennsco Stur-D-Stor Boltless Shelving, 5 Shelves, 24&quot; Deep, Sand"/>
    <x v="289"/>
    <n v="8"/>
    <n v="0"/>
    <n v="10.8248"/>
  </r>
  <r>
    <n v="301"/>
    <x v="99"/>
    <x v="0"/>
    <x v="2"/>
    <d v="2013-11-04T00:00:00"/>
    <n v="6"/>
    <x v="1"/>
    <s v="Jonathan Doherty"/>
    <x v="1"/>
    <s v="United States"/>
    <s v="Belleville"/>
    <s v="New Jersey"/>
    <s v="East"/>
    <x v="1"/>
    <x v="10"/>
    <s v="Xerox 1939"/>
    <x v="290"/>
    <n v="3"/>
    <n v="0"/>
    <n v="27.316800000000001"/>
  </r>
  <r>
    <n v="302"/>
    <x v="99"/>
    <x v="0"/>
    <x v="2"/>
    <d v="2013-11-04T00:00:00"/>
    <n v="6"/>
    <x v="1"/>
    <s v="Jonathan Doherty"/>
    <x v="1"/>
    <s v="United States"/>
    <s v="Belleville"/>
    <s v="New Jersey"/>
    <s v="East"/>
    <x v="0"/>
    <x v="5"/>
    <s v="Floodlight Indoor Halogen Bulbs, 1 Bulb per Pack, 60 Watts"/>
    <x v="291"/>
    <n v="4"/>
    <n v="0"/>
    <n v="38.024000000000001"/>
  </r>
  <r>
    <n v="303"/>
    <x v="99"/>
    <x v="0"/>
    <x v="2"/>
    <d v="2013-11-04T00:00:00"/>
    <n v="6"/>
    <x v="1"/>
    <s v="Jonathan Doherty"/>
    <x v="1"/>
    <s v="United States"/>
    <s v="Belleville"/>
    <s v="New Jersey"/>
    <s v="East"/>
    <x v="1"/>
    <x v="8"/>
    <s v="Avery Premier Heavy-Duty Binder with Round Locking Rings"/>
    <x v="190"/>
    <n v="1"/>
    <n v="0"/>
    <n v="6.5688000000000004"/>
  </r>
  <r>
    <n v="304"/>
    <x v="123"/>
    <x v="3"/>
    <x v="0"/>
    <d v="2014-11-24T00:00:00"/>
    <n v="4"/>
    <x v="1"/>
    <s v="Jonathan Howell"/>
    <x v="0"/>
    <s v="United States"/>
    <s v="Chicago"/>
    <s v="Illinois"/>
    <s v="Central"/>
    <x v="0"/>
    <x v="3"/>
    <s v="BPI Conference Tables"/>
    <x v="292"/>
    <n v="3"/>
    <n v="0.5"/>
    <n v="-131.44499999999999"/>
  </r>
  <r>
    <n v="305"/>
    <x v="124"/>
    <x v="1"/>
    <x v="5"/>
    <d v="2012-05-09T00:00:00"/>
    <n v="5"/>
    <x v="0"/>
    <s v="Alan Schoenberger"/>
    <x v="1"/>
    <s v="United States"/>
    <s v="New York City"/>
    <s v="New York"/>
    <s v="East"/>
    <x v="0"/>
    <x v="5"/>
    <s v="Electrix 20W Halogen Replacement Bulb for Zoom-In Desk Lamp"/>
    <x v="293"/>
    <n v="2"/>
    <n v="0"/>
    <n v="12.864000000000001"/>
  </r>
  <r>
    <n v="306"/>
    <x v="125"/>
    <x v="2"/>
    <x v="4"/>
    <d v="2012-01-04T00:00:00"/>
    <n v="5"/>
    <x v="1"/>
    <s v="Ken Brennan"/>
    <x v="1"/>
    <s v="United States"/>
    <s v="Taylor"/>
    <s v="Michigan"/>
    <s v="Central"/>
    <x v="1"/>
    <x v="6"/>
    <s v="Newell 350"/>
    <x v="294"/>
    <n v="3"/>
    <n v="0"/>
    <n v="2.8536000000000001"/>
  </r>
  <r>
    <n v="307"/>
    <x v="106"/>
    <x v="2"/>
    <x v="1"/>
    <d v="2011-06-06T00:00:00"/>
    <n v="5"/>
    <x v="1"/>
    <s v="Corey Roper"/>
    <x v="2"/>
    <s v="United States"/>
    <s v="Lakewood"/>
    <s v="New Jersey"/>
    <s v="East"/>
    <x v="1"/>
    <x v="8"/>
    <s v="GBC Clear Cover, 8-1/2 x 11, unpunched, 25 covers per pack"/>
    <x v="295"/>
    <n v="3"/>
    <n v="0"/>
    <n v="20.9208"/>
  </r>
  <r>
    <n v="308"/>
    <x v="106"/>
    <x v="2"/>
    <x v="1"/>
    <d v="2011-06-06T00:00:00"/>
    <n v="5"/>
    <x v="1"/>
    <s v="Corey Roper"/>
    <x v="2"/>
    <s v="United States"/>
    <s v="Lakewood"/>
    <s v="New Jersey"/>
    <s v="East"/>
    <x v="1"/>
    <x v="6"/>
    <s v="Boston Heavy-Duty Trimline Electric Pencil Sharpeners"/>
    <x v="296"/>
    <n v="6"/>
    <n v="0"/>
    <n v="83.867999999999995"/>
  </r>
  <r>
    <n v="309"/>
    <x v="4"/>
    <x v="3"/>
    <x v="3"/>
    <d v="2014-04-18T00:00:00"/>
    <n v="2"/>
    <x v="2"/>
    <s v="Shahid Hopkins"/>
    <x v="0"/>
    <s v="United States"/>
    <s v="Arlington"/>
    <s v="Virginia"/>
    <s v="South"/>
    <x v="1"/>
    <x v="6"/>
    <s v="Faber Castell Col-Erase Pencils"/>
    <x v="297"/>
    <n v="1"/>
    <n v="0"/>
    <n v="2.0049000000000001"/>
  </r>
  <r>
    <n v="310"/>
    <x v="126"/>
    <x v="0"/>
    <x v="8"/>
    <d v="2013-09-15T00:00:00"/>
    <n v="2"/>
    <x v="0"/>
    <s v="Ben Peterman"/>
    <x v="1"/>
    <s v="United States"/>
    <s v="Arvada"/>
    <s v="Colorado"/>
    <s v="West"/>
    <x v="0"/>
    <x v="5"/>
    <s v="C-Line Cubicle Keepers Polyproplyene Holder With Velcro Backings"/>
    <x v="298"/>
    <n v="4"/>
    <n v="0.2"/>
    <n v="3.5948000000000002"/>
  </r>
  <r>
    <n v="311"/>
    <x v="126"/>
    <x v="0"/>
    <x v="8"/>
    <d v="2013-09-15T00:00:00"/>
    <n v="2"/>
    <x v="0"/>
    <s v="Ben Peterman"/>
    <x v="1"/>
    <s v="United States"/>
    <s v="Arvada"/>
    <s v="Colorado"/>
    <s v="West"/>
    <x v="0"/>
    <x v="1"/>
    <s v="Hon 4070 Series Pagoda Armless Upholstered Stacking Chairs"/>
    <x v="299"/>
    <n v="2"/>
    <n v="0.2"/>
    <n v="52.511400000000002"/>
  </r>
  <r>
    <n v="312"/>
    <x v="126"/>
    <x v="0"/>
    <x v="8"/>
    <d v="2013-09-15T00:00:00"/>
    <n v="2"/>
    <x v="0"/>
    <s v="Ben Peterman"/>
    <x v="1"/>
    <s v="United States"/>
    <s v="Arvada"/>
    <s v="Colorado"/>
    <s v="West"/>
    <x v="0"/>
    <x v="5"/>
    <s v="Eldon Expressions Desk Accessory, Wood Photo Frame, Mahogany"/>
    <x v="300"/>
    <n v="1"/>
    <n v="0.2"/>
    <n v="1.7136"/>
  </r>
  <r>
    <n v="313"/>
    <x v="126"/>
    <x v="0"/>
    <x v="8"/>
    <d v="2013-09-15T00:00:00"/>
    <n v="2"/>
    <x v="0"/>
    <s v="Ben Peterman"/>
    <x v="1"/>
    <s v="United States"/>
    <s v="Arvada"/>
    <s v="Colorado"/>
    <s v="West"/>
    <x v="1"/>
    <x v="2"/>
    <s v="Avery 509"/>
    <x v="301"/>
    <n v="3"/>
    <n v="0.2"/>
    <n v="2.0358000000000001"/>
  </r>
  <r>
    <n v="314"/>
    <x v="127"/>
    <x v="2"/>
    <x v="8"/>
    <d v="2011-10-03T00:00:00"/>
    <n v="6"/>
    <x v="1"/>
    <s v="Thomas Seio"/>
    <x v="1"/>
    <s v="United States"/>
    <s v="Hackensack"/>
    <s v="New Jersey"/>
    <s v="East"/>
    <x v="0"/>
    <x v="5"/>
    <s v="Deflect-o SuperTray Unbreakable Stackable Tray, Letter, Black"/>
    <x v="302"/>
    <n v="3"/>
    <n v="0"/>
    <n v="37.642200000000003"/>
  </r>
  <r>
    <n v="315"/>
    <x v="128"/>
    <x v="2"/>
    <x v="6"/>
    <d v="2011-08-16T00:00:00"/>
    <n v="7"/>
    <x v="1"/>
    <s v="Andy Gerbode"/>
    <x v="1"/>
    <s v="United States"/>
    <s v="Saint Petersburg"/>
    <s v="Florida"/>
    <s v="South"/>
    <x v="2"/>
    <x v="7"/>
    <s v="AT&amp;T 1070 Corded Phone"/>
    <x v="303"/>
    <n v="2"/>
    <n v="0.2"/>
    <n v="22.297999999999998"/>
  </r>
  <r>
    <n v="316"/>
    <x v="128"/>
    <x v="2"/>
    <x v="6"/>
    <d v="2011-08-16T00:00:00"/>
    <n v="7"/>
    <x v="1"/>
    <s v="Andy Gerbode"/>
    <x v="1"/>
    <s v="United States"/>
    <s v="Saint Petersburg"/>
    <s v="Florida"/>
    <s v="South"/>
    <x v="1"/>
    <x v="10"/>
    <s v="Xerox 21"/>
    <x v="12"/>
    <n v="3"/>
    <n v="0.2"/>
    <n v="5.4432"/>
  </r>
  <r>
    <n v="317"/>
    <x v="129"/>
    <x v="2"/>
    <x v="4"/>
    <d v="2011-12-30T00:00:00"/>
    <n v="2"/>
    <x v="2"/>
    <s v="Sung Pak"/>
    <x v="1"/>
    <s v="United States"/>
    <s v="Philadelphia"/>
    <s v="Pennsylvania"/>
    <s v="East"/>
    <x v="1"/>
    <x v="6"/>
    <s v="Boston School Pro Electric Pencil Sharpener, 1670"/>
    <x v="304"/>
    <n v="4"/>
    <n v="0.2"/>
    <n v="8.6744000000000003"/>
  </r>
  <r>
    <n v="318"/>
    <x v="130"/>
    <x v="2"/>
    <x v="0"/>
    <d v="2011-11-09T00:00:00"/>
    <n v="5"/>
    <x v="1"/>
    <s v="Nathan Mautz"/>
    <x v="2"/>
    <s v="United States"/>
    <s v="New York City"/>
    <s v="New York"/>
    <s v="East"/>
    <x v="0"/>
    <x v="1"/>
    <s v="DMI Arturo Collection Mission-style Design Wood Chair"/>
    <x v="305"/>
    <n v="1"/>
    <n v="0.1"/>
    <n v="24.1568"/>
  </r>
  <r>
    <n v="319"/>
    <x v="130"/>
    <x v="2"/>
    <x v="0"/>
    <d v="2011-11-09T00:00:00"/>
    <n v="5"/>
    <x v="1"/>
    <s v="Nathan Mautz"/>
    <x v="2"/>
    <s v="United States"/>
    <s v="New York City"/>
    <s v="New York"/>
    <s v="East"/>
    <x v="2"/>
    <x v="15"/>
    <s v="Canon imageCLASS MF7460 Monochrome Digital Laser Multifunction Copier"/>
    <x v="306"/>
    <n v="2"/>
    <n v="0"/>
    <n v="1995.99"/>
  </r>
  <r>
    <n v="320"/>
    <x v="130"/>
    <x v="2"/>
    <x v="0"/>
    <d v="2011-11-09T00:00:00"/>
    <n v="5"/>
    <x v="1"/>
    <s v="Nathan Mautz"/>
    <x v="2"/>
    <s v="United States"/>
    <s v="New York City"/>
    <s v="New York"/>
    <s v="East"/>
    <x v="2"/>
    <x v="7"/>
    <s v="Panasonic Kx-TS550"/>
    <x v="307"/>
    <n v="6"/>
    <n v="0"/>
    <n v="80.022599999999997"/>
  </r>
  <r>
    <n v="321"/>
    <x v="130"/>
    <x v="2"/>
    <x v="0"/>
    <d v="2011-11-09T00:00:00"/>
    <n v="5"/>
    <x v="1"/>
    <s v="Nathan Mautz"/>
    <x v="2"/>
    <s v="United States"/>
    <s v="New York City"/>
    <s v="New York"/>
    <s v="East"/>
    <x v="2"/>
    <x v="11"/>
    <s v="NETGEAR N750 Dual Band Wi-Fi Gigabit Router"/>
    <x v="308"/>
    <n v="4"/>
    <n v="0"/>
    <n v="129.6"/>
  </r>
  <r>
    <n v="322"/>
    <x v="130"/>
    <x v="2"/>
    <x v="0"/>
    <d v="2011-11-09T00:00:00"/>
    <n v="5"/>
    <x v="1"/>
    <s v="Nathan Mautz"/>
    <x v="2"/>
    <s v="United States"/>
    <s v="New York City"/>
    <s v="New York"/>
    <s v="East"/>
    <x v="1"/>
    <x v="4"/>
    <s v="Trav-L-File Heavy-Duty Shuttle II, Black"/>
    <x v="309"/>
    <n v="1"/>
    <n v="0"/>
    <n v="13.071"/>
  </r>
  <r>
    <n v="323"/>
    <x v="111"/>
    <x v="2"/>
    <x v="8"/>
    <d v="2011-09-24T00:00:00"/>
    <n v="5"/>
    <x v="1"/>
    <s v="Frank Atkinson"/>
    <x v="1"/>
    <s v="United States"/>
    <s v="Long Beach"/>
    <s v="California"/>
    <s v="West"/>
    <x v="1"/>
    <x v="13"/>
    <s v="OIC Binder Clips"/>
    <x v="181"/>
    <n v="2"/>
    <n v="0"/>
    <n v="3.58"/>
  </r>
  <r>
    <n v="324"/>
    <x v="131"/>
    <x v="0"/>
    <x v="3"/>
    <d v="2013-04-28T00:00:00"/>
    <n v="4"/>
    <x v="1"/>
    <s v="Grace Kelly"/>
    <x v="1"/>
    <s v="United States"/>
    <s v="Hesperia"/>
    <s v="California"/>
    <s v="West"/>
    <x v="1"/>
    <x v="8"/>
    <s v="Ibico Laser Imprintable Binding System Covers"/>
    <x v="310"/>
    <n v="6"/>
    <n v="0.2"/>
    <n v="81.744"/>
  </r>
  <r>
    <n v="325"/>
    <x v="131"/>
    <x v="0"/>
    <x v="3"/>
    <d v="2013-04-28T00:00:00"/>
    <n v="4"/>
    <x v="1"/>
    <s v="Grace Kelly"/>
    <x v="1"/>
    <s v="United States"/>
    <s v="Hesperia"/>
    <s v="California"/>
    <s v="West"/>
    <x v="2"/>
    <x v="11"/>
    <s v="Logitech Wireless Headset h800"/>
    <x v="311"/>
    <n v="1"/>
    <n v="0"/>
    <n v="34.996499999999997"/>
  </r>
  <r>
    <n v="326"/>
    <x v="132"/>
    <x v="3"/>
    <x v="0"/>
    <d v="2014-11-06T00:00:00"/>
    <n v="2"/>
    <x v="0"/>
    <s v="Don Jones"/>
    <x v="1"/>
    <s v="United States"/>
    <s v="Murfreesboro"/>
    <s v="Tennessee"/>
    <s v="South"/>
    <x v="0"/>
    <x v="5"/>
    <s v="Telescoping Adjustable Floor Lamp"/>
    <x v="312"/>
    <n v="1"/>
    <n v="0.2"/>
    <n v="0.99950000000000006"/>
  </r>
  <r>
    <n v="327"/>
    <x v="133"/>
    <x v="0"/>
    <x v="6"/>
    <d v="2013-09-02T00:00:00"/>
    <n v="2"/>
    <x v="2"/>
    <s v="Patrick O'Brill"/>
    <x v="0"/>
    <s v="United States"/>
    <s v="Philadelphia"/>
    <s v="Pennsylvania"/>
    <s v="East"/>
    <x v="2"/>
    <x v="7"/>
    <s v="Aastra 57i VoIP phone"/>
    <x v="313"/>
    <n v="3"/>
    <n v="0.4"/>
    <n v="-67.876199999999997"/>
  </r>
  <r>
    <n v="328"/>
    <x v="133"/>
    <x v="0"/>
    <x v="6"/>
    <d v="2013-09-02T00:00:00"/>
    <n v="2"/>
    <x v="2"/>
    <s v="Patrick O'Brill"/>
    <x v="0"/>
    <s v="United States"/>
    <s v="Philadelphia"/>
    <s v="Pennsylvania"/>
    <s v="East"/>
    <x v="1"/>
    <x v="4"/>
    <s v="File Shuttle II and Handi-File, Black"/>
    <x v="314"/>
    <n v="2"/>
    <n v="0.2"/>
    <n v="3.3889999999999998"/>
  </r>
  <r>
    <n v="329"/>
    <x v="133"/>
    <x v="0"/>
    <x v="6"/>
    <d v="2013-09-02T00:00:00"/>
    <n v="2"/>
    <x v="2"/>
    <s v="Patrick O'Brill"/>
    <x v="0"/>
    <s v="United States"/>
    <s v="Philadelphia"/>
    <s v="Pennsylvania"/>
    <s v="East"/>
    <x v="0"/>
    <x v="1"/>
    <s v="Hon 2090 “Pillow Soft” Series Mid Back Swivel/Tilt Chairs"/>
    <x v="315"/>
    <n v="4"/>
    <n v="0.3"/>
    <n v="-258.5016"/>
  </r>
  <r>
    <n v="330"/>
    <x v="133"/>
    <x v="0"/>
    <x v="6"/>
    <d v="2013-09-02T00:00:00"/>
    <n v="2"/>
    <x v="2"/>
    <s v="Patrick O'Brill"/>
    <x v="0"/>
    <s v="United States"/>
    <s v="Philadelphia"/>
    <s v="Pennsylvania"/>
    <s v="East"/>
    <x v="1"/>
    <x v="2"/>
    <s v="Round Specialty Laser Printer Labels"/>
    <x v="316"/>
    <n v="10"/>
    <n v="0.2"/>
    <n v="33.831000000000003"/>
  </r>
  <r>
    <n v="331"/>
    <x v="133"/>
    <x v="0"/>
    <x v="6"/>
    <d v="2013-09-02T00:00:00"/>
    <n v="2"/>
    <x v="2"/>
    <s v="Patrick O'Brill"/>
    <x v="0"/>
    <s v="United States"/>
    <s v="Philadelphia"/>
    <s v="Pennsylvania"/>
    <s v="East"/>
    <x v="1"/>
    <x v="8"/>
    <s v="GBC Premium Transparent Covers with Diagonal Lined Pattern"/>
    <x v="317"/>
    <n v="6"/>
    <n v="0.7"/>
    <n v="-27.6936"/>
  </r>
  <r>
    <n v="332"/>
    <x v="134"/>
    <x v="0"/>
    <x v="3"/>
    <d v="2013-04-30T00:00:00"/>
    <n v="4"/>
    <x v="0"/>
    <s v="John Lucas"/>
    <x v="0"/>
    <s v="United States"/>
    <s v="Philadelphia"/>
    <s v="Pennsylvania"/>
    <s v="East"/>
    <x v="2"/>
    <x v="7"/>
    <s v="AT&amp;T 841000 Phone"/>
    <x v="137"/>
    <n v="2"/>
    <n v="0.4"/>
    <n v="-20.7"/>
  </r>
  <r>
    <n v="333"/>
    <x v="134"/>
    <x v="0"/>
    <x v="3"/>
    <d v="2013-04-30T00:00:00"/>
    <n v="4"/>
    <x v="0"/>
    <s v="John Lucas"/>
    <x v="0"/>
    <s v="United States"/>
    <s v="Philadelphia"/>
    <s v="Pennsylvania"/>
    <s v="East"/>
    <x v="1"/>
    <x v="8"/>
    <s v="Ibico Recycled Grain-Textured Covers"/>
    <x v="318"/>
    <n v="2"/>
    <n v="0.7"/>
    <n v="-13.816000000000001"/>
  </r>
  <r>
    <n v="334"/>
    <x v="134"/>
    <x v="0"/>
    <x v="3"/>
    <d v="2013-04-30T00:00:00"/>
    <n v="4"/>
    <x v="0"/>
    <s v="John Lucas"/>
    <x v="0"/>
    <s v="United States"/>
    <s v="Philadelphia"/>
    <s v="Pennsylvania"/>
    <s v="East"/>
    <x v="1"/>
    <x v="8"/>
    <s v="Wilson Jones Custom Binder Spines &amp; Labels"/>
    <x v="319"/>
    <n v="3"/>
    <n v="0.7"/>
    <n v="-3.4272"/>
  </r>
  <r>
    <n v="335"/>
    <x v="135"/>
    <x v="1"/>
    <x v="8"/>
    <d v="2012-09-04T00:00:00"/>
    <n v="3"/>
    <x v="0"/>
    <s v="Doug Bickford"/>
    <x v="0"/>
    <s v="United States"/>
    <s v="Los Angeles"/>
    <s v="California"/>
    <s v="West"/>
    <x v="1"/>
    <x v="8"/>
    <s v="Storex Dura Pro Binders"/>
    <x v="320"/>
    <n v="1"/>
    <n v="0.2"/>
    <n v="1.6037999999999999"/>
  </r>
  <r>
    <n v="336"/>
    <x v="135"/>
    <x v="1"/>
    <x v="8"/>
    <d v="2012-09-04T00:00:00"/>
    <n v="3"/>
    <x v="0"/>
    <s v="Doug Bickford"/>
    <x v="0"/>
    <s v="United States"/>
    <s v="Los Angeles"/>
    <s v="California"/>
    <s v="West"/>
    <x v="2"/>
    <x v="16"/>
    <s v="Hewlett Packard LaserJet 3310 Copier"/>
    <x v="321"/>
    <n v="2"/>
    <n v="0.2"/>
    <n v="335.99439999999998"/>
  </r>
  <r>
    <n v="337"/>
    <x v="135"/>
    <x v="1"/>
    <x v="8"/>
    <d v="2012-09-04T00:00:00"/>
    <n v="3"/>
    <x v="0"/>
    <s v="Doug Bickford"/>
    <x v="0"/>
    <s v="United States"/>
    <s v="Los Angeles"/>
    <s v="California"/>
    <s v="West"/>
    <x v="1"/>
    <x v="8"/>
    <s v="Avery Non-Stick Binders"/>
    <x v="322"/>
    <n v="4"/>
    <n v="0.2"/>
    <n v="4.49"/>
  </r>
  <r>
    <n v="338"/>
    <x v="136"/>
    <x v="2"/>
    <x v="7"/>
    <d v="2011-07-17T00:00:00"/>
    <n v="5"/>
    <x v="1"/>
    <s v="Alyssa Crouse"/>
    <x v="1"/>
    <s v="United States"/>
    <s v="San Francisco"/>
    <s v="California"/>
    <s v="West"/>
    <x v="1"/>
    <x v="8"/>
    <s v="Tuff Stuff Recycled Round Ring Binders"/>
    <x v="323"/>
    <n v="2"/>
    <n v="0.2"/>
    <n v="2.7955999999999999"/>
  </r>
  <r>
    <n v="339"/>
    <x v="136"/>
    <x v="2"/>
    <x v="7"/>
    <d v="2011-07-17T00:00:00"/>
    <n v="5"/>
    <x v="1"/>
    <s v="Alyssa Crouse"/>
    <x v="1"/>
    <s v="United States"/>
    <s v="San Francisco"/>
    <s v="California"/>
    <s v="West"/>
    <x v="0"/>
    <x v="3"/>
    <s v="Hon 5100 Series Wood Tables"/>
    <x v="324"/>
    <n v="3"/>
    <n v="0.2"/>
    <n v="-17.4588"/>
  </r>
  <r>
    <n v="340"/>
    <x v="137"/>
    <x v="1"/>
    <x v="1"/>
    <d v="2012-06-26T00:00:00"/>
    <n v="4"/>
    <x v="0"/>
    <s v="Ken Lonsdale"/>
    <x v="0"/>
    <s v="United States"/>
    <s v="Layton"/>
    <s v="Utah"/>
    <s v="West"/>
    <x v="1"/>
    <x v="13"/>
    <s v="OIC Binder Clips, Mini, 1/4&quot; Capacity, Black"/>
    <x v="325"/>
    <n v="4"/>
    <n v="0"/>
    <n v="2.3311999999999999"/>
  </r>
  <r>
    <n v="341"/>
    <x v="138"/>
    <x v="2"/>
    <x v="3"/>
    <d v="2011-04-17T00:00:00"/>
    <n v="4"/>
    <x v="0"/>
    <s v="Jonathan Doherty"/>
    <x v="1"/>
    <s v="United States"/>
    <s v="Philadelphia"/>
    <s v="Pennsylvania"/>
    <s v="East"/>
    <x v="1"/>
    <x v="6"/>
    <s v="Newell 314"/>
    <x v="326"/>
    <n v="4"/>
    <n v="0.2"/>
    <n v="1.1160000000000001"/>
  </r>
  <r>
    <n v="342"/>
    <x v="138"/>
    <x v="2"/>
    <x v="3"/>
    <d v="2011-04-17T00:00:00"/>
    <n v="4"/>
    <x v="0"/>
    <s v="Jonathan Doherty"/>
    <x v="1"/>
    <s v="United States"/>
    <s v="Philadelphia"/>
    <s v="Pennsylvania"/>
    <s v="East"/>
    <x v="1"/>
    <x v="8"/>
    <s v="Fellowes PB200 Plastic Comb Binding Machine"/>
    <x v="327"/>
    <n v="10"/>
    <n v="0.7"/>
    <n v="-407.976"/>
  </r>
  <r>
    <n v="343"/>
    <x v="138"/>
    <x v="2"/>
    <x v="3"/>
    <d v="2011-04-17T00:00:00"/>
    <n v="4"/>
    <x v="0"/>
    <s v="Jonathan Doherty"/>
    <x v="1"/>
    <s v="United States"/>
    <s v="Philadelphia"/>
    <s v="Pennsylvania"/>
    <s v="East"/>
    <x v="1"/>
    <x v="13"/>
    <s v="Staples"/>
    <x v="328"/>
    <n v="13"/>
    <n v="0.2"/>
    <n v="10.0724"/>
  </r>
  <r>
    <n v="344"/>
    <x v="138"/>
    <x v="2"/>
    <x v="3"/>
    <d v="2011-04-17T00:00:00"/>
    <n v="4"/>
    <x v="0"/>
    <s v="Jonathan Doherty"/>
    <x v="1"/>
    <s v="United States"/>
    <s v="Philadelphia"/>
    <s v="Pennsylvania"/>
    <s v="East"/>
    <x v="2"/>
    <x v="7"/>
    <s v="Square Credit Card Reader, 4 1/2&quot; x 4 1/2&quot; x 1&quot;, White"/>
    <x v="329"/>
    <n v="12"/>
    <n v="0.4"/>
    <n v="8.3916000000000004"/>
  </r>
  <r>
    <n v="345"/>
    <x v="139"/>
    <x v="1"/>
    <x v="4"/>
    <d v="2012-12-24T00:00:00"/>
    <n v="4"/>
    <x v="1"/>
    <s v="Chad Sievert"/>
    <x v="0"/>
    <s v="United States"/>
    <s v="Austin"/>
    <s v="Texas"/>
    <s v="Central"/>
    <x v="1"/>
    <x v="4"/>
    <s v="Fellowes Super Stor/Drawer"/>
    <x v="330"/>
    <n v="4"/>
    <n v="0.2"/>
    <n v="-2.2200000000000002"/>
  </r>
  <r>
    <n v="346"/>
    <x v="140"/>
    <x v="3"/>
    <x v="1"/>
    <d v="2014-06-20T00:00:00"/>
    <n v="4"/>
    <x v="1"/>
    <s v="Clay Cheatham"/>
    <x v="0"/>
    <s v="United States"/>
    <s v="San Francisco"/>
    <s v="California"/>
    <s v="West"/>
    <x v="2"/>
    <x v="7"/>
    <s v="Anker 36W 4-Port USB Wall Charger Travel Power Adapter for iPhone 5s 5c 5"/>
    <x v="331"/>
    <n v="3"/>
    <n v="0.2"/>
    <n v="4.7976000000000001"/>
  </r>
  <r>
    <n v="347"/>
    <x v="141"/>
    <x v="3"/>
    <x v="7"/>
    <d v="2014-07-13T00:00:00"/>
    <n v="4"/>
    <x v="1"/>
    <s v="Tamara Dahlen"/>
    <x v="0"/>
    <s v="United States"/>
    <s v="Lowell"/>
    <s v="Massachusetts"/>
    <s v="East"/>
    <x v="1"/>
    <x v="6"/>
    <s v="Binney &amp; Smith inkTank Erasable Desk Highlighter, Chisel Tip, Yellow, 12/Box"/>
    <x v="261"/>
    <n v="3"/>
    <n v="0"/>
    <n v="3.0996000000000001"/>
  </r>
  <r>
    <n v="348"/>
    <x v="141"/>
    <x v="3"/>
    <x v="7"/>
    <d v="2014-07-13T00:00:00"/>
    <n v="4"/>
    <x v="1"/>
    <s v="Tamara Dahlen"/>
    <x v="0"/>
    <s v="United States"/>
    <s v="Lowell"/>
    <s v="Massachusetts"/>
    <s v="East"/>
    <x v="1"/>
    <x v="10"/>
    <s v="Staples"/>
    <x v="332"/>
    <n v="2"/>
    <n v="0"/>
    <n v="11.543200000000001"/>
  </r>
  <r>
    <n v="349"/>
    <x v="141"/>
    <x v="3"/>
    <x v="7"/>
    <d v="2014-07-13T00:00:00"/>
    <n v="4"/>
    <x v="1"/>
    <s v="Tamara Dahlen"/>
    <x v="0"/>
    <s v="United States"/>
    <s v="Lowell"/>
    <s v="Massachusetts"/>
    <s v="East"/>
    <x v="1"/>
    <x v="6"/>
    <s v="BIC Brite Liner Highlighters, Chisel Tip"/>
    <x v="91"/>
    <n v="2"/>
    <n v="0"/>
    <n v="4.1471999999999998"/>
  </r>
  <r>
    <n v="350"/>
    <x v="142"/>
    <x v="0"/>
    <x v="8"/>
    <d v="2013-09-04T00:00:00"/>
    <n v="2"/>
    <x v="2"/>
    <s v="Adam Bellavance"/>
    <x v="2"/>
    <s v="United States"/>
    <s v="New York City"/>
    <s v="New York"/>
    <s v="East"/>
    <x v="2"/>
    <x v="11"/>
    <s v="Sabrent 4-Port USB 2.0 Hub"/>
    <x v="333"/>
    <n v="1"/>
    <n v="0"/>
    <n v="2.3086000000000002"/>
  </r>
  <r>
    <n v="351"/>
    <x v="142"/>
    <x v="0"/>
    <x v="8"/>
    <d v="2013-09-04T00:00:00"/>
    <n v="2"/>
    <x v="2"/>
    <s v="Adam Bellavance"/>
    <x v="2"/>
    <s v="United States"/>
    <s v="New York City"/>
    <s v="New York"/>
    <s v="East"/>
    <x v="1"/>
    <x v="10"/>
    <s v="Xerox 1881"/>
    <x v="332"/>
    <n v="2"/>
    <n v="0"/>
    <n v="11.543200000000001"/>
  </r>
  <r>
    <n v="352"/>
    <x v="142"/>
    <x v="0"/>
    <x v="8"/>
    <d v="2013-09-04T00:00:00"/>
    <n v="2"/>
    <x v="2"/>
    <s v="Adam Bellavance"/>
    <x v="2"/>
    <s v="United States"/>
    <s v="New York City"/>
    <s v="New York"/>
    <s v="East"/>
    <x v="1"/>
    <x v="8"/>
    <s v="Acco Hanging Data Binders"/>
    <x v="334"/>
    <n v="1"/>
    <n v="0.2"/>
    <n v="1.0668"/>
  </r>
  <r>
    <n v="353"/>
    <x v="142"/>
    <x v="0"/>
    <x v="8"/>
    <d v="2013-09-04T00:00:00"/>
    <n v="2"/>
    <x v="2"/>
    <s v="Adam Bellavance"/>
    <x v="2"/>
    <s v="United States"/>
    <s v="New York City"/>
    <s v="New York"/>
    <s v="East"/>
    <x v="1"/>
    <x v="10"/>
    <s v="Xerox 1881"/>
    <x v="335"/>
    <n v="4"/>
    <n v="0"/>
    <n v="23.086400000000001"/>
  </r>
  <r>
    <n v="354"/>
    <x v="142"/>
    <x v="0"/>
    <x v="8"/>
    <d v="2013-09-04T00:00:00"/>
    <n v="2"/>
    <x v="2"/>
    <s v="Adam Bellavance"/>
    <x v="2"/>
    <s v="United States"/>
    <s v="New York City"/>
    <s v="New York"/>
    <s v="East"/>
    <x v="1"/>
    <x v="8"/>
    <s v="GBC DocuBind P400 Electric Binding System"/>
    <x v="336"/>
    <n v="4"/>
    <n v="0.2"/>
    <n v="1415.4295999999999"/>
  </r>
  <r>
    <n v="355"/>
    <x v="143"/>
    <x v="0"/>
    <x v="3"/>
    <d v="2013-04-14T00:00:00"/>
    <n v="5"/>
    <x v="1"/>
    <s v="Jeremy Lonsdale"/>
    <x v="0"/>
    <s v="United States"/>
    <s v="New York City"/>
    <s v="New York"/>
    <s v="East"/>
    <x v="0"/>
    <x v="0"/>
    <s v="Sauder Barrister Bookcases"/>
    <x v="337"/>
    <n v="6"/>
    <n v="0.2"/>
    <n v="-4.8587999999999996"/>
  </r>
  <r>
    <n v="356"/>
    <x v="143"/>
    <x v="0"/>
    <x v="3"/>
    <d v="2013-04-14T00:00:00"/>
    <n v="5"/>
    <x v="1"/>
    <s v="Jeremy Lonsdale"/>
    <x v="0"/>
    <s v="United States"/>
    <s v="New York City"/>
    <s v="New York"/>
    <s v="East"/>
    <x v="1"/>
    <x v="12"/>
    <s v="#10 Gummed Flap White Envelopes, 100/Box"/>
    <x v="338"/>
    <n v="2"/>
    <n v="0"/>
    <n v="3.7995999999999999"/>
  </r>
  <r>
    <n v="357"/>
    <x v="143"/>
    <x v="0"/>
    <x v="3"/>
    <d v="2013-04-14T00:00:00"/>
    <n v="5"/>
    <x v="1"/>
    <s v="Jeremy Lonsdale"/>
    <x v="0"/>
    <s v="United States"/>
    <s v="New York City"/>
    <s v="New York"/>
    <s v="East"/>
    <x v="1"/>
    <x v="6"/>
    <s v="Dixon Prang Watercolor Pencils, 10-Color Set with Brush"/>
    <x v="339"/>
    <n v="4"/>
    <n v="0"/>
    <n v="6.9863999999999997"/>
  </r>
  <r>
    <n v="358"/>
    <x v="143"/>
    <x v="0"/>
    <x v="3"/>
    <d v="2013-04-14T00:00:00"/>
    <n v="5"/>
    <x v="1"/>
    <s v="Jeremy Lonsdale"/>
    <x v="0"/>
    <s v="United States"/>
    <s v="New York City"/>
    <s v="New York"/>
    <s v="East"/>
    <x v="1"/>
    <x v="10"/>
    <s v="Adams Phone Message Book, 200 Message Capacity, 8 1/16” x 11”"/>
    <x v="340"/>
    <n v="5"/>
    <n v="0"/>
    <n v="15.824"/>
  </r>
  <r>
    <n v="359"/>
    <x v="131"/>
    <x v="0"/>
    <x v="3"/>
    <d v="2013-04-29T00:00:00"/>
    <n v="5"/>
    <x v="1"/>
    <s v="Heather Kirkland"/>
    <x v="1"/>
    <s v="United States"/>
    <s v="Charlotte"/>
    <s v="North Carolina"/>
    <s v="South"/>
    <x v="1"/>
    <x v="10"/>
    <s v="Southworth 25% Cotton Linen-Finish Paper &amp; Envelopes"/>
    <x v="341"/>
    <n v="5"/>
    <n v="0.2"/>
    <n v="11.324999999999999"/>
  </r>
  <r>
    <n v="360"/>
    <x v="144"/>
    <x v="3"/>
    <x v="10"/>
    <d v="2014-03-12T00:00:00"/>
    <n v="3"/>
    <x v="2"/>
    <s v="Victoria Brennan"/>
    <x v="1"/>
    <s v="United States"/>
    <s v="Columbus"/>
    <s v="Georgia"/>
    <s v="South"/>
    <x v="1"/>
    <x v="9"/>
    <s v="Belkin 8 Outlet SurgeMaster II Gold Surge Protector with Phone Protection"/>
    <x v="342"/>
    <n v="8"/>
    <n v="0"/>
    <n v="168.4384"/>
  </r>
  <r>
    <n v="361"/>
    <x v="144"/>
    <x v="3"/>
    <x v="10"/>
    <d v="2014-03-12T00:00:00"/>
    <n v="3"/>
    <x v="2"/>
    <s v="Victoria Brennan"/>
    <x v="1"/>
    <s v="United States"/>
    <s v="Columbus"/>
    <s v="Georgia"/>
    <s v="South"/>
    <x v="1"/>
    <x v="2"/>
    <s v="Avery Address/Shipping Labels for Typewriters, 4&quot; x 2&quot;"/>
    <x v="343"/>
    <n v="2"/>
    <n v="0"/>
    <n v="9.9359999999999999"/>
  </r>
  <r>
    <n v="362"/>
    <x v="145"/>
    <x v="3"/>
    <x v="8"/>
    <d v="2014-10-02T00:00:00"/>
    <n v="6"/>
    <x v="1"/>
    <s v="Katrina Willman"/>
    <x v="0"/>
    <s v="United States"/>
    <s v="New York City"/>
    <s v="New York"/>
    <s v="East"/>
    <x v="1"/>
    <x v="2"/>
    <s v="Avery Address/Shipping Labels for Typewriters, 4&quot; x 2&quot;"/>
    <x v="343"/>
    <n v="2"/>
    <n v="0"/>
    <n v="9.9359999999999999"/>
  </r>
  <r>
    <n v="363"/>
    <x v="145"/>
    <x v="3"/>
    <x v="8"/>
    <d v="2014-10-02T00:00:00"/>
    <n v="6"/>
    <x v="1"/>
    <s v="Katrina Willman"/>
    <x v="0"/>
    <s v="United States"/>
    <s v="New York City"/>
    <s v="New York"/>
    <s v="East"/>
    <x v="0"/>
    <x v="1"/>
    <s v="Global Ergonomic Managers Chair"/>
    <x v="344"/>
    <n v="3"/>
    <n v="0.1"/>
    <n v="86.870400000000004"/>
  </r>
  <r>
    <n v="364"/>
    <x v="145"/>
    <x v="3"/>
    <x v="8"/>
    <d v="2014-10-02T00:00:00"/>
    <n v="6"/>
    <x v="1"/>
    <s v="Katrina Willman"/>
    <x v="0"/>
    <s v="United States"/>
    <s v="New York City"/>
    <s v="New York"/>
    <s v="East"/>
    <x v="1"/>
    <x v="6"/>
    <s v="Newell 333"/>
    <x v="345"/>
    <n v="2"/>
    <n v="0"/>
    <n v="1.4456"/>
  </r>
  <r>
    <n v="365"/>
    <x v="145"/>
    <x v="3"/>
    <x v="8"/>
    <d v="2014-10-02T00:00:00"/>
    <n v="6"/>
    <x v="1"/>
    <s v="Katrina Willman"/>
    <x v="0"/>
    <s v="United States"/>
    <s v="New York City"/>
    <s v="New York"/>
    <s v="East"/>
    <x v="0"/>
    <x v="5"/>
    <s v="Eldon Wave Desk Accessories"/>
    <x v="346"/>
    <n v="8"/>
    <n v="0"/>
    <n v="20.732800000000001"/>
  </r>
  <r>
    <n v="366"/>
    <x v="146"/>
    <x v="2"/>
    <x v="8"/>
    <d v="2011-09-29T00:00:00"/>
    <n v="5"/>
    <x v="1"/>
    <s v="Julia Dunbar"/>
    <x v="0"/>
    <s v="United States"/>
    <s v="San Francisco"/>
    <s v="California"/>
    <s v="West"/>
    <x v="1"/>
    <x v="4"/>
    <s v="Gould Plastics 9-Pocket Panel Bin, 18-3/8w x 5-1/4d x 20-1/2h, Black"/>
    <x v="46"/>
    <n v="4"/>
    <n v="0"/>
    <n v="8.4784000000000006"/>
  </r>
  <r>
    <n v="367"/>
    <x v="147"/>
    <x v="0"/>
    <x v="2"/>
    <d v="2013-10-22T00:00:00"/>
    <n v="0"/>
    <x v="3"/>
    <s v="Michael Kennedy"/>
    <x v="1"/>
    <s v="United States"/>
    <s v="Manchester"/>
    <s v="Connecticut"/>
    <s v="East"/>
    <x v="1"/>
    <x v="8"/>
    <s v="Wilson Jones “Snap” Scratch Pad Binder Tool for Ring Binders"/>
    <x v="347"/>
    <n v="4"/>
    <n v="0"/>
    <n v="10.44"/>
  </r>
  <r>
    <n v="368"/>
    <x v="147"/>
    <x v="0"/>
    <x v="2"/>
    <d v="2013-10-22T00:00:00"/>
    <n v="0"/>
    <x v="3"/>
    <s v="Michael Kennedy"/>
    <x v="1"/>
    <s v="United States"/>
    <s v="Manchester"/>
    <s v="Connecticut"/>
    <s v="East"/>
    <x v="1"/>
    <x v="14"/>
    <s v="Staples"/>
    <x v="348"/>
    <n v="2"/>
    <n v="0"/>
    <n v="0.1472"/>
  </r>
  <r>
    <n v="369"/>
    <x v="147"/>
    <x v="0"/>
    <x v="2"/>
    <d v="2013-10-22T00:00:00"/>
    <n v="0"/>
    <x v="3"/>
    <s v="Michael Kennedy"/>
    <x v="1"/>
    <s v="United States"/>
    <s v="Manchester"/>
    <s v="Connecticut"/>
    <s v="East"/>
    <x v="1"/>
    <x v="4"/>
    <s v="Pizazz Global Quick File"/>
    <x v="349"/>
    <n v="7"/>
    <n v="0"/>
    <n v="29.341200000000001"/>
  </r>
  <r>
    <n v="370"/>
    <x v="147"/>
    <x v="0"/>
    <x v="2"/>
    <d v="2013-10-22T00:00:00"/>
    <n v="0"/>
    <x v="3"/>
    <s v="Michael Kennedy"/>
    <x v="1"/>
    <s v="United States"/>
    <s v="Manchester"/>
    <s v="Connecticut"/>
    <s v="East"/>
    <x v="0"/>
    <x v="0"/>
    <s v="Atlantic Metals Mobile 3-Shelf Bookcases, Custom Colors"/>
    <x v="350"/>
    <n v="4"/>
    <n v="0"/>
    <n v="271.41919999999999"/>
  </r>
  <r>
    <n v="371"/>
    <x v="148"/>
    <x v="3"/>
    <x v="5"/>
    <d v="2014-06-05T00:00:00"/>
    <n v="6"/>
    <x v="1"/>
    <s v="Guy Thornton"/>
    <x v="0"/>
    <s v="United States"/>
    <s v="Harlingen"/>
    <s v="Texas"/>
    <s v="Central"/>
    <x v="1"/>
    <x v="10"/>
    <s v="Xerox 1930"/>
    <x v="233"/>
    <n v="5"/>
    <n v="0.2"/>
    <n v="9.3960000000000008"/>
  </r>
  <r>
    <n v="372"/>
    <x v="148"/>
    <x v="3"/>
    <x v="5"/>
    <d v="2014-06-05T00:00:00"/>
    <n v="6"/>
    <x v="1"/>
    <s v="Guy Thornton"/>
    <x v="0"/>
    <s v="United States"/>
    <s v="Harlingen"/>
    <s v="Texas"/>
    <s v="Central"/>
    <x v="1"/>
    <x v="4"/>
    <s v="File Shuttle I and Handi-File"/>
    <x v="351"/>
    <n v="3"/>
    <n v="0.2"/>
    <n v="4.6745999999999999"/>
  </r>
  <r>
    <n v="373"/>
    <x v="149"/>
    <x v="2"/>
    <x v="7"/>
    <d v="2011-07-27T00:00:00"/>
    <n v="4"/>
    <x v="1"/>
    <s v="Arthur Gainer"/>
    <x v="0"/>
    <s v="United States"/>
    <s v="Tucson"/>
    <s v="Arizona"/>
    <s v="West"/>
    <x v="1"/>
    <x v="8"/>
    <s v="Wilson Jones Custom Binder Spines &amp; Labels"/>
    <x v="352"/>
    <n v="5"/>
    <n v="0.7"/>
    <n v="-5.7119999999999997"/>
  </r>
  <r>
    <n v="374"/>
    <x v="149"/>
    <x v="2"/>
    <x v="7"/>
    <d v="2011-07-27T00:00:00"/>
    <n v="4"/>
    <x v="1"/>
    <s v="Arthur Gainer"/>
    <x v="0"/>
    <s v="United States"/>
    <s v="Tucson"/>
    <s v="Arizona"/>
    <s v="West"/>
    <x v="2"/>
    <x v="11"/>
    <s v="NETGEAR AC1750 Dual Band Gigabit Smart WiFi Router"/>
    <x v="353"/>
    <n v="8"/>
    <n v="0.2"/>
    <n v="179.18879999999999"/>
  </r>
  <r>
    <n v="375"/>
    <x v="149"/>
    <x v="2"/>
    <x v="7"/>
    <d v="2011-07-27T00:00:00"/>
    <n v="4"/>
    <x v="1"/>
    <s v="Arthur Gainer"/>
    <x v="0"/>
    <s v="United States"/>
    <s v="Tucson"/>
    <s v="Arizona"/>
    <s v="West"/>
    <x v="1"/>
    <x v="6"/>
    <s v="Newell 324"/>
    <x v="354"/>
    <n v="1"/>
    <n v="0.2"/>
    <n v="0.92400000000000004"/>
  </r>
  <r>
    <n v="376"/>
    <x v="149"/>
    <x v="2"/>
    <x v="7"/>
    <d v="2011-07-27T00:00:00"/>
    <n v="4"/>
    <x v="1"/>
    <s v="Arthur Gainer"/>
    <x v="0"/>
    <s v="United States"/>
    <s v="Tucson"/>
    <s v="Arizona"/>
    <s v="West"/>
    <x v="2"/>
    <x v="11"/>
    <s v="Microsoft Natural Keyboard Elite"/>
    <x v="355"/>
    <n v="10"/>
    <n v="0.2"/>
    <n v="-29.94"/>
  </r>
  <r>
    <n v="377"/>
    <x v="150"/>
    <x v="0"/>
    <x v="8"/>
    <d v="2013-10-02T00:00:00"/>
    <n v="3"/>
    <x v="2"/>
    <s v="Muhammed MacIntyre"/>
    <x v="1"/>
    <s v="United States"/>
    <s v="Quincy"/>
    <s v="Illinois"/>
    <s v="Central"/>
    <x v="1"/>
    <x v="10"/>
    <s v="Xerox 1960"/>
    <x v="304"/>
    <n v="4"/>
    <n v="0.2"/>
    <n v="30.98"/>
  </r>
  <r>
    <n v="378"/>
    <x v="151"/>
    <x v="3"/>
    <x v="6"/>
    <d v="2014-09-02T00:00:00"/>
    <n v="5"/>
    <x v="1"/>
    <s v="Allen Rosenblatt"/>
    <x v="1"/>
    <s v="United States"/>
    <s v="Franklin"/>
    <s v="Massachusetts"/>
    <s v="East"/>
    <x v="0"/>
    <x v="3"/>
    <s v="Office Impressions End Table, 20-1/2&quot;H x 24&quot;W x 20&quot;D"/>
    <x v="356"/>
    <n v="7"/>
    <n v="0.3"/>
    <n v="-297.6848"/>
  </r>
  <r>
    <n v="379"/>
    <x v="152"/>
    <x v="1"/>
    <x v="3"/>
    <d v="2012-05-05T00:00:00"/>
    <n v="7"/>
    <x v="1"/>
    <s v="Russell Applegate"/>
    <x v="0"/>
    <s v="United States"/>
    <s v="Houston"/>
    <s v="Texas"/>
    <s v="Central"/>
    <x v="1"/>
    <x v="9"/>
    <s v="Holmes Odor Grabber"/>
    <x v="357"/>
    <n v="3"/>
    <n v="0.8"/>
    <n v="-20.3322"/>
  </r>
  <r>
    <n v="380"/>
    <x v="152"/>
    <x v="1"/>
    <x v="3"/>
    <d v="2012-05-05T00:00:00"/>
    <n v="7"/>
    <x v="1"/>
    <s v="Russell Applegate"/>
    <x v="0"/>
    <s v="United States"/>
    <s v="Houston"/>
    <s v="Texas"/>
    <s v="Central"/>
    <x v="1"/>
    <x v="4"/>
    <s v="Akro-Mils 12-Gallon Tote"/>
    <x v="358"/>
    <n v="3"/>
    <n v="0.2"/>
    <n v="2.6810999999999998"/>
  </r>
  <r>
    <n v="381"/>
    <x v="152"/>
    <x v="1"/>
    <x v="3"/>
    <d v="2012-05-05T00:00:00"/>
    <n v="7"/>
    <x v="1"/>
    <s v="Russell Applegate"/>
    <x v="0"/>
    <s v="United States"/>
    <s v="Houston"/>
    <s v="Texas"/>
    <s v="Central"/>
    <x v="1"/>
    <x v="8"/>
    <s v="GBC Twin Loop Wire Binding Elements, 9/16&quot; Spine, Black"/>
    <x v="359"/>
    <n v="4"/>
    <n v="0.8"/>
    <n v="-18.872800000000002"/>
  </r>
  <r>
    <n v="382"/>
    <x v="99"/>
    <x v="0"/>
    <x v="2"/>
    <d v="2013-10-30T00:00:00"/>
    <n v="1"/>
    <x v="2"/>
    <s v="Alejandro Savely"/>
    <x v="1"/>
    <s v="United States"/>
    <s v="San Francisco"/>
    <s v="California"/>
    <s v="West"/>
    <x v="1"/>
    <x v="10"/>
    <s v="Southworth Structures Collection"/>
    <x v="360"/>
    <n v="7"/>
    <n v="0"/>
    <n v="25.48"/>
  </r>
  <r>
    <n v="383"/>
    <x v="99"/>
    <x v="0"/>
    <x v="2"/>
    <d v="2013-10-30T00:00:00"/>
    <n v="1"/>
    <x v="2"/>
    <s v="Alejandro Savely"/>
    <x v="1"/>
    <s v="United States"/>
    <s v="San Francisco"/>
    <s v="California"/>
    <s v="West"/>
    <x v="1"/>
    <x v="8"/>
    <s v="Square Ring Data Binders, Rigid 75 Pt. Covers, 11&quot; x 14-7/8&quot;"/>
    <x v="361"/>
    <n v="3"/>
    <n v="0.2"/>
    <n v="17.337599999999998"/>
  </r>
  <r>
    <n v="384"/>
    <x v="153"/>
    <x v="1"/>
    <x v="1"/>
    <d v="2012-06-29T00:00:00"/>
    <n v="3"/>
    <x v="0"/>
    <s v="Laura Armstrong"/>
    <x v="1"/>
    <s v="United States"/>
    <s v="Taylor"/>
    <s v="Michigan"/>
    <s v="Central"/>
    <x v="2"/>
    <x v="11"/>
    <s v="Sony 32GB Class 10 Micro SDHC R40 Memory Card"/>
    <x v="362"/>
    <n v="2"/>
    <n v="0"/>
    <n v="8.7989999999999995"/>
  </r>
  <r>
    <n v="385"/>
    <x v="154"/>
    <x v="1"/>
    <x v="0"/>
    <d v="2012-12-02T00:00:00"/>
    <n v="5"/>
    <x v="1"/>
    <s v="Denny Ordway"/>
    <x v="0"/>
    <s v="United States"/>
    <s v="Pembroke Pines"/>
    <s v="Florida"/>
    <s v="South"/>
    <x v="0"/>
    <x v="3"/>
    <s v="Hon Practical Foundations 30 x 60 Training Table, Light Gray/Charcoal"/>
    <x v="363"/>
    <n v="3"/>
    <n v="0.45"/>
    <n v="-157.0095"/>
  </r>
  <r>
    <n v="386"/>
    <x v="154"/>
    <x v="1"/>
    <x v="0"/>
    <d v="2012-12-02T00:00:00"/>
    <n v="5"/>
    <x v="1"/>
    <s v="Denny Ordway"/>
    <x v="0"/>
    <s v="United States"/>
    <s v="Pembroke Pines"/>
    <s v="Florida"/>
    <s v="South"/>
    <x v="2"/>
    <x v="11"/>
    <s v="Logitech Media Keyboard K200"/>
    <x v="364"/>
    <n v="3"/>
    <n v="0.2"/>
    <n v="-1.0497000000000001"/>
  </r>
  <r>
    <n v="387"/>
    <x v="155"/>
    <x v="1"/>
    <x v="4"/>
    <d v="2012-12-07T00:00:00"/>
    <n v="4"/>
    <x v="1"/>
    <s v="Dean Katz"/>
    <x v="1"/>
    <s v="United States"/>
    <s v="Philadelphia"/>
    <s v="Pennsylvania"/>
    <s v="East"/>
    <x v="2"/>
    <x v="15"/>
    <s v="Lexmark MarkNet N8150 Wireless Print Server"/>
    <x v="365"/>
    <n v="4"/>
    <n v="0.7"/>
    <n v="-337.63799999999998"/>
  </r>
  <r>
    <n v="388"/>
    <x v="155"/>
    <x v="1"/>
    <x v="4"/>
    <d v="2012-12-07T00:00:00"/>
    <n v="4"/>
    <x v="1"/>
    <s v="Dean Katz"/>
    <x v="1"/>
    <s v="United States"/>
    <s v="Philadelphia"/>
    <s v="Pennsylvania"/>
    <s v="East"/>
    <x v="0"/>
    <x v="5"/>
    <s v="3M Hangers With Command Adhesive"/>
    <x v="366"/>
    <n v="1"/>
    <n v="0.2"/>
    <n v="0.77700000000000002"/>
  </r>
  <r>
    <n v="389"/>
    <x v="156"/>
    <x v="2"/>
    <x v="0"/>
    <d v="2011-11-26T00:00:00"/>
    <n v="2"/>
    <x v="2"/>
    <s v="Nathan Gelder"/>
    <x v="0"/>
    <s v="United States"/>
    <s v="Cincinnati"/>
    <s v="Ohio"/>
    <s v="East"/>
    <x v="1"/>
    <x v="6"/>
    <s v="Crayola Colored Pencils"/>
    <x v="367"/>
    <n v="1"/>
    <n v="0.2"/>
    <n v="0.4264"/>
  </r>
  <r>
    <n v="390"/>
    <x v="157"/>
    <x v="3"/>
    <x v="4"/>
    <d v="2014-12-16T00:00:00"/>
    <n v="4"/>
    <x v="1"/>
    <s v="Mike Vittorini"/>
    <x v="0"/>
    <s v="United States"/>
    <s v="New York City"/>
    <s v="New York"/>
    <s v="East"/>
    <x v="1"/>
    <x v="8"/>
    <s v="Angle-D Binders with Locking Rings, Label Holders"/>
    <x v="368"/>
    <n v="4"/>
    <n v="0.2"/>
    <n v="7.8840000000000003"/>
  </r>
  <r>
    <n v="391"/>
    <x v="157"/>
    <x v="3"/>
    <x v="4"/>
    <d v="2014-12-16T00:00:00"/>
    <n v="4"/>
    <x v="1"/>
    <s v="Mike Vittorini"/>
    <x v="0"/>
    <s v="United States"/>
    <s v="New York City"/>
    <s v="New York"/>
    <s v="East"/>
    <x v="2"/>
    <x v="11"/>
    <s v="Logitech LS21 Speaker System - PC Multimedia - 2.1-CH - Wired"/>
    <x v="369"/>
    <n v="2"/>
    <n v="0"/>
    <n v="13.5932"/>
  </r>
  <r>
    <n v="392"/>
    <x v="158"/>
    <x v="2"/>
    <x v="8"/>
    <d v="2011-09-23T00:00:00"/>
    <n v="2"/>
    <x v="0"/>
    <s v="Jack Garza"/>
    <x v="0"/>
    <s v="United States"/>
    <s v="Des Moines"/>
    <s v="Washington"/>
    <s v="West"/>
    <x v="2"/>
    <x v="7"/>
    <s v="Nortel Meridian M3904 Professional Digital phone"/>
    <x v="370"/>
    <n v="2"/>
    <n v="0.2"/>
    <n v="27.7182"/>
  </r>
  <r>
    <n v="393"/>
    <x v="158"/>
    <x v="2"/>
    <x v="8"/>
    <d v="2011-09-23T00:00:00"/>
    <n v="2"/>
    <x v="0"/>
    <s v="Jack Garza"/>
    <x v="0"/>
    <s v="United States"/>
    <s v="Des Moines"/>
    <s v="Washington"/>
    <s v="West"/>
    <x v="2"/>
    <x v="16"/>
    <s v="Canon PC1080F Personal Copier"/>
    <x v="371"/>
    <n v="3"/>
    <n v="0"/>
    <n v="701.98829999999998"/>
  </r>
  <r>
    <n v="394"/>
    <x v="159"/>
    <x v="2"/>
    <x v="1"/>
    <d v="2011-06-10T00:00:00"/>
    <n v="3"/>
    <x v="0"/>
    <s v="Bart Pistole"/>
    <x v="1"/>
    <s v="United States"/>
    <s v="Peoria"/>
    <s v="Illinois"/>
    <s v="Central"/>
    <x v="1"/>
    <x v="8"/>
    <s v="Wilson Jones Century Plastic Molded Ring Binders"/>
    <x v="372"/>
    <n v="3"/>
    <n v="0.8"/>
    <n v="-20.5623"/>
  </r>
  <r>
    <n v="395"/>
    <x v="160"/>
    <x v="3"/>
    <x v="7"/>
    <d v="2014-07-06T00:00:00"/>
    <n v="5"/>
    <x v="1"/>
    <s v="Victor Preis"/>
    <x v="2"/>
    <s v="United States"/>
    <s v="Las Vegas"/>
    <s v="Nevada"/>
    <s v="West"/>
    <x v="1"/>
    <x v="8"/>
    <s v="Tuf-Vin Binders"/>
    <x v="373"/>
    <n v="3"/>
    <n v="0.2"/>
    <n v="25.579799999999999"/>
  </r>
  <r>
    <n v="396"/>
    <x v="161"/>
    <x v="3"/>
    <x v="2"/>
    <d v="2014-10-20T00:00:00"/>
    <n v="2"/>
    <x v="0"/>
    <s v="Saphhira Shifley"/>
    <x v="1"/>
    <s v="United States"/>
    <s v="Warwick"/>
    <s v="Rhode Island"/>
    <s v="East"/>
    <x v="1"/>
    <x v="4"/>
    <s v="2300 Heavy-Duty Transfer File Systems by Perma"/>
    <x v="374"/>
    <n v="2"/>
    <n v="0"/>
    <n v="9.4923999999999999"/>
  </r>
  <r>
    <n v="397"/>
    <x v="161"/>
    <x v="3"/>
    <x v="2"/>
    <d v="2014-10-20T00:00:00"/>
    <n v="2"/>
    <x v="0"/>
    <s v="Saphhira Shifley"/>
    <x v="1"/>
    <s v="United States"/>
    <s v="Warwick"/>
    <s v="Rhode Island"/>
    <s v="East"/>
    <x v="1"/>
    <x v="10"/>
    <s v="Xerox 1958"/>
    <x v="91"/>
    <n v="2"/>
    <n v="0"/>
    <n v="6.2207999999999997"/>
  </r>
  <r>
    <n v="398"/>
    <x v="89"/>
    <x v="1"/>
    <x v="2"/>
    <d v="2012-11-04T00:00:00"/>
    <n v="4"/>
    <x v="1"/>
    <s v="Harold Pawlan"/>
    <x v="2"/>
    <s v="United States"/>
    <s v="Jackson"/>
    <s v="Michigan"/>
    <s v="Central"/>
    <x v="1"/>
    <x v="14"/>
    <s v="Acme 10&quot; Easy Grip Assistive Scissors"/>
    <x v="375"/>
    <n v="4"/>
    <n v="0"/>
    <n v="21.036000000000001"/>
  </r>
  <r>
    <n v="399"/>
    <x v="162"/>
    <x v="0"/>
    <x v="8"/>
    <d v="2013-09-11T00:00:00"/>
    <n v="2"/>
    <x v="0"/>
    <s v="Anna Gayman"/>
    <x v="0"/>
    <s v="United States"/>
    <s v="Houston"/>
    <s v="Texas"/>
    <s v="Central"/>
    <x v="1"/>
    <x v="4"/>
    <s v="Super Decoflex Portable Personal File"/>
    <x v="376"/>
    <n v="3"/>
    <n v="0.2"/>
    <n v="3.5952000000000002"/>
  </r>
  <r>
    <n v="400"/>
    <x v="162"/>
    <x v="0"/>
    <x v="8"/>
    <d v="2013-09-11T00:00:00"/>
    <n v="2"/>
    <x v="0"/>
    <s v="Anna Gayman"/>
    <x v="0"/>
    <s v="United States"/>
    <s v="Houston"/>
    <s v="Texas"/>
    <s v="Central"/>
    <x v="0"/>
    <x v="0"/>
    <s v="Riverside Palais Royal Lawyers Bookcase, Royale Cherry Finish"/>
    <x v="377"/>
    <n v="4"/>
    <n v="0.32"/>
    <n v="-317.15280000000001"/>
  </r>
  <r>
    <n v="401"/>
    <x v="162"/>
    <x v="0"/>
    <x v="8"/>
    <d v="2013-09-11T00:00:00"/>
    <n v="2"/>
    <x v="0"/>
    <s v="Anna Gayman"/>
    <x v="0"/>
    <s v="United States"/>
    <s v="Houston"/>
    <s v="Texas"/>
    <s v="Central"/>
    <x v="1"/>
    <x v="4"/>
    <s v="Contico 72&quot;H Heavy-Duty Storage System"/>
    <x v="378"/>
    <n v="4"/>
    <n v="0.2"/>
    <n v="-32.783999999999999"/>
  </r>
  <r>
    <n v="402"/>
    <x v="162"/>
    <x v="0"/>
    <x v="8"/>
    <d v="2013-09-11T00:00:00"/>
    <n v="2"/>
    <x v="0"/>
    <s v="Anna Gayman"/>
    <x v="0"/>
    <s v="United States"/>
    <s v="Houston"/>
    <s v="Texas"/>
    <s v="Central"/>
    <x v="2"/>
    <x v="11"/>
    <s v="Sony 64GB Class 10 Micro SDHC R40 Memory Card"/>
    <x v="379"/>
    <n v="2"/>
    <n v="0.2"/>
    <n v="0.7198"/>
  </r>
  <r>
    <n v="403"/>
    <x v="163"/>
    <x v="2"/>
    <x v="4"/>
    <d v="2011-12-26T00:00:00"/>
    <n v="2"/>
    <x v="2"/>
    <s v="Luke Foster"/>
    <x v="0"/>
    <s v="United States"/>
    <s v="Miami"/>
    <s v="Florida"/>
    <s v="South"/>
    <x v="1"/>
    <x v="10"/>
    <s v="Xerox 1974"/>
    <x v="380"/>
    <n v="2"/>
    <n v="0.2"/>
    <n v="3.4683999999999999"/>
  </r>
  <r>
    <n v="404"/>
    <x v="164"/>
    <x v="2"/>
    <x v="3"/>
    <d v="2011-04-20T00:00:00"/>
    <n v="4"/>
    <x v="1"/>
    <s v="Stephanie Phelps"/>
    <x v="1"/>
    <s v="United States"/>
    <s v="Wilmington"/>
    <s v="North Carolina"/>
    <s v="South"/>
    <x v="1"/>
    <x v="6"/>
    <s v="Avery Hi-Liter EverBold Pen Style Fluorescent Highlighters, 4/Pack"/>
    <x v="381"/>
    <n v="6"/>
    <n v="0.2"/>
    <n v="9.7680000000000007"/>
  </r>
  <r>
    <n v="405"/>
    <x v="165"/>
    <x v="3"/>
    <x v="4"/>
    <d v="2014-12-30T00:00:00"/>
    <n v="5"/>
    <x v="1"/>
    <s v="Roy Französisch"/>
    <x v="0"/>
    <s v="United States"/>
    <s v="New York City"/>
    <s v="New York"/>
    <s v="East"/>
    <x v="1"/>
    <x v="9"/>
    <s v="Staples"/>
    <x v="382"/>
    <n v="3"/>
    <n v="0"/>
    <n v="9.6957000000000004"/>
  </r>
  <r>
    <n v="406"/>
    <x v="166"/>
    <x v="3"/>
    <x v="4"/>
    <d v="2014-12-13T00:00:00"/>
    <n v="4"/>
    <x v="1"/>
    <s v="Keith Herrera"/>
    <x v="0"/>
    <s v="United States"/>
    <s v="San Francisco"/>
    <s v="California"/>
    <s v="West"/>
    <x v="2"/>
    <x v="11"/>
    <s v="Sony 64GB Class 10 Micro SDHC R40 Memory Card"/>
    <x v="383"/>
    <n v="5"/>
    <n v="0"/>
    <n v="37.789499999999997"/>
  </r>
  <r>
    <n v="407"/>
    <x v="166"/>
    <x v="3"/>
    <x v="4"/>
    <d v="2014-12-13T00:00:00"/>
    <n v="4"/>
    <x v="1"/>
    <s v="Keith Herrera"/>
    <x v="0"/>
    <s v="United States"/>
    <s v="San Francisco"/>
    <s v="California"/>
    <s v="West"/>
    <x v="2"/>
    <x v="16"/>
    <s v="Sharp AL-1530CS Digital Copier"/>
    <x v="384"/>
    <n v="3"/>
    <n v="0.2"/>
    <n v="434.99130000000002"/>
  </r>
  <r>
    <n v="408"/>
    <x v="166"/>
    <x v="3"/>
    <x v="4"/>
    <d v="2014-12-13T00:00:00"/>
    <n v="4"/>
    <x v="1"/>
    <s v="Keith Herrera"/>
    <x v="0"/>
    <s v="United States"/>
    <s v="San Francisco"/>
    <s v="California"/>
    <s v="West"/>
    <x v="1"/>
    <x v="10"/>
    <s v="Wirebound Message Book, 4 per Page"/>
    <x v="385"/>
    <n v="5"/>
    <n v="0"/>
    <n v="13.3035"/>
  </r>
  <r>
    <n v="409"/>
    <x v="166"/>
    <x v="3"/>
    <x v="4"/>
    <d v="2014-12-13T00:00:00"/>
    <n v="4"/>
    <x v="1"/>
    <s v="Keith Herrera"/>
    <x v="0"/>
    <s v="United States"/>
    <s v="San Francisco"/>
    <s v="California"/>
    <s v="West"/>
    <x v="0"/>
    <x v="3"/>
    <s v="Bevis Round Conference Table Top, X-Base"/>
    <x v="386"/>
    <n v="7"/>
    <n v="0.2"/>
    <n v="-112.95269999999999"/>
  </r>
  <r>
    <n v="410"/>
    <x v="166"/>
    <x v="3"/>
    <x v="4"/>
    <d v="2014-12-13T00:00:00"/>
    <n v="4"/>
    <x v="1"/>
    <s v="Keith Herrera"/>
    <x v="0"/>
    <s v="United States"/>
    <s v="San Francisco"/>
    <s v="California"/>
    <s v="West"/>
    <x v="1"/>
    <x v="10"/>
    <s v="Wirebound Service Call Books, 5 1/2&quot; x 4&quot;"/>
    <x v="387"/>
    <n v="1"/>
    <n v="0"/>
    <n v="4.6463999999999999"/>
  </r>
  <r>
    <n v="411"/>
    <x v="166"/>
    <x v="3"/>
    <x v="4"/>
    <d v="2014-12-13T00:00:00"/>
    <n v="4"/>
    <x v="1"/>
    <s v="Keith Herrera"/>
    <x v="0"/>
    <s v="United States"/>
    <s v="San Francisco"/>
    <s v="California"/>
    <s v="West"/>
    <x v="1"/>
    <x v="2"/>
    <s v="Self-Adhesive Removable Labels"/>
    <x v="388"/>
    <n v="9"/>
    <n v="0"/>
    <n v="13.608000000000001"/>
  </r>
  <r>
    <n v="412"/>
    <x v="166"/>
    <x v="3"/>
    <x v="4"/>
    <d v="2014-12-13T00:00:00"/>
    <n v="4"/>
    <x v="1"/>
    <s v="Keith Herrera"/>
    <x v="0"/>
    <s v="United States"/>
    <s v="San Francisco"/>
    <s v="California"/>
    <s v="West"/>
    <x v="1"/>
    <x v="10"/>
    <s v="Xerox 1908"/>
    <x v="389"/>
    <n v="1"/>
    <n v="0"/>
    <n v="27.430199999999999"/>
  </r>
  <r>
    <n v="413"/>
    <x v="166"/>
    <x v="3"/>
    <x v="4"/>
    <d v="2014-12-13T00:00:00"/>
    <n v="4"/>
    <x v="1"/>
    <s v="Keith Herrera"/>
    <x v="0"/>
    <s v="United States"/>
    <s v="San Francisco"/>
    <s v="California"/>
    <s v="West"/>
    <x v="0"/>
    <x v="0"/>
    <s v="O'Sullivan 4-Shelf Bookcase in Odessa Pine"/>
    <x v="390"/>
    <n v="13"/>
    <n v="0.15"/>
    <n v="31.454799999999999"/>
  </r>
  <r>
    <n v="414"/>
    <x v="166"/>
    <x v="3"/>
    <x v="4"/>
    <d v="2014-12-13T00:00:00"/>
    <n v="4"/>
    <x v="1"/>
    <s v="Keith Herrera"/>
    <x v="0"/>
    <s v="United States"/>
    <s v="San Francisco"/>
    <s v="California"/>
    <s v="West"/>
    <x v="0"/>
    <x v="1"/>
    <s v="Novimex High-Tech Fabric Mesh Task Chair"/>
    <x v="391"/>
    <n v="2"/>
    <n v="0.2"/>
    <n v="-18.454799999999999"/>
  </r>
  <r>
    <n v="415"/>
    <x v="132"/>
    <x v="3"/>
    <x v="0"/>
    <d v="2014-11-08T00:00:00"/>
    <n v="4"/>
    <x v="1"/>
    <s v="Kimberly Carter"/>
    <x v="1"/>
    <s v="United States"/>
    <s v="Seattle"/>
    <s v="Washington"/>
    <s v="West"/>
    <x v="1"/>
    <x v="10"/>
    <s v="Xerox 191"/>
    <x v="392"/>
    <n v="7"/>
    <n v="0"/>
    <n v="65.734200000000001"/>
  </r>
  <r>
    <n v="416"/>
    <x v="132"/>
    <x v="3"/>
    <x v="0"/>
    <d v="2014-11-08T00:00:00"/>
    <n v="4"/>
    <x v="1"/>
    <s v="Kimberly Carter"/>
    <x v="1"/>
    <s v="United States"/>
    <s v="Seattle"/>
    <s v="Washington"/>
    <s v="West"/>
    <x v="0"/>
    <x v="1"/>
    <s v="Global Deluxe Office Fabric Chairs"/>
    <x v="393"/>
    <n v="4"/>
    <n v="0.2"/>
    <n v="26.874400000000001"/>
  </r>
  <r>
    <n v="417"/>
    <x v="92"/>
    <x v="3"/>
    <x v="1"/>
    <d v="2014-06-29T00:00:00"/>
    <n v="4"/>
    <x v="1"/>
    <s v="Caroline Jumper"/>
    <x v="0"/>
    <s v="United States"/>
    <s v="Huntington Beach"/>
    <s v="California"/>
    <s v="West"/>
    <x v="1"/>
    <x v="6"/>
    <s v="Bulldog Vacuum Base Pencil Sharpener"/>
    <x v="394"/>
    <n v="8"/>
    <n v="0"/>
    <n v="25.898399999999999"/>
  </r>
  <r>
    <n v="418"/>
    <x v="167"/>
    <x v="0"/>
    <x v="3"/>
    <d v="2013-04-19T00:00:00"/>
    <n v="4"/>
    <x v="1"/>
    <s v="Philip Brown"/>
    <x v="0"/>
    <s v="United States"/>
    <s v="Los Angeles"/>
    <s v="California"/>
    <s v="West"/>
    <x v="0"/>
    <x v="1"/>
    <s v="Bevis Steel Folding Chairs"/>
    <x v="395"/>
    <n v="5"/>
    <n v="0.2"/>
    <n v="38.380000000000003"/>
  </r>
  <r>
    <n v="419"/>
    <x v="44"/>
    <x v="3"/>
    <x v="0"/>
    <d v="2014-11-11T00:00:00"/>
    <n v="4"/>
    <x v="1"/>
    <s v="Victoria Brennan"/>
    <x v="1"/>
    <s v="United States"/>
    <s v="Richmond"/>
    <s v="Kentucky"/>
    <s v="South"/>
    <x v="1"/>
    <x v="10"/>
    <s v="Xerox 1987"/>
    <x v="396"/>
    <n v="1"/>
    <n v="0"/>
    <n v="2.8321999999999998"/>
  </r>
  <r>
    <n v="420"/>
    <x v="168"/>
    <x v="3"/>
    <x v="10"/>
    <d v="2014-03-10T00:00:00"/>
    <n v="5"/>
    <x v="1"/>
    <s v="Sung Pak"/>
    <x v="1"/>
    <s v="United States"/>
    <s v="Los Angeles"/>
    <s v="California"/>
    <s v="West"/>
    <x v="1"/>
    <x v="6"/>
    <s v="American Pencil"/>
    <x v="397"/>
    <n v="4"/>
    <n v="0"/>
    <n v="2.7027999999999999"/>
  </r>
  <r>
    <n v="421"/>
    <x v="168"/>
    <x v="3"/>
    <x v="10"/>
    <d v="2014-03-10T00:00:00"/>
    <n v="5"/>
    <x v="1"/>
    <s v="Sung Pak"/>
    <x v="1"/>
    <s v="United States"/>
    <s v="Los Angeles"/>
    <s v="California"/>
    <s v="West"/>
    <x v="1"/>
    <x v="12"/>
    <s v="White Envelopes, White Envelopes with Clear Poly Window"/>
    <x v="398"/>
    <n v="1"/>
    <n v="0"/>
    <n v="7.0149999999999997"/>
  </r>
  <r>
    <n v="422"/>
    <x v="169"/>
    <x v="2"/>
    <x v="1"/>
    <d v="2011-06-25T00:00:00"/>
    <n v="3"/>
    <x v="2"/>
    <s v="Joel Eaton"/>
    <x v="0"/>
    <s v="United States"/>
    <s v="Louisville"/>
    <s v="Colorado"/>
    <s v="West"/>
    <x v="2"/>
    <x v="11"/>
    <s v="KeyTronic 6101 Series - Keyboard - Black"/>
    <x v="399"/>
    <n v="6"/>
    <n v="0.2"/>
    <n v="56.566200000000002"/>
  </r>
  <r>
    <n v="423"/>
    <x v="15"/>
    <x v="3"/>
    <x v="2"/>
    <d v="2014-10-24T00:00:00"/>
    <n v="4"/>
    <x v="1"/>
    <s v="Michael Paige"/>
    <x v="1"/>
    <s v="United States"/>
    <s v="Lawrence"/>
    <s v="Massachusetts"/>
    <s v="East"/>
    <x v="0"/>
    <x v="5"/>
    <s v="Westinghouse Mesh Shade Clip-On Gooseneck Lamp, Black"/>
    <x v="400"/>
    <n v="4"/>
    <n v="0"/>
    <n v="14.7056"/>
  </r>
  <r>
    <n v="424"/>
    <x v="15"/>
    <x v="3"/>
    <x v="2"/>
    <d v="2014-10-24T00:00:00"/>
    <n v="4"/>
    <x v="1"/>
    <s v="Michael Paige"/>
    <x v="1"/>
    <s v="United States"/>
    <s v="Lawrence"/>
    <s v="Massachusetts"/>
    <s v="East"/>
    <x v="1"/>
    <x v="4"/>
    <s v="Crate-A-Files"/>
    <x v="401"/>
    <n v="3"/>
    <n v="0"/>
    <n v="8.5020000000000007"/>
  </r>
  <r>
    <n v="425"/>
    <x v="170"/>
    <x v="3"/>
    <x v="6"/>
    <d v="2014-08-24T00:00:00"/>
    <n v="2"/>
    <x v="0"/>
    <s v="Natalie Fritzler"/>
    <x v="0"/>
    <s v="United States"/>
    <s v="Jackson"/>
    <s v="Mississippi"/>
    <s v="South"/>
    <x v="0"/>
    <x v="1"/>
    <s v="Hon Multipurpose Stacking Arm Chairs"/>
    <x v="402"/>
    <n v="4"/>
    <n v="0"/>
    <n v="225.26400000000001"/>
  </r>
  <r>
    <n v="426"/>
    <x v="51"/>
    <x v="3"/>
    <x v="0"/>
    <d v="2014-11-27T00:00:00"/>
    <n v="3"/>
    <x v="0"/>
    <s v="Janet Molinari"/>
    <x v="1"/>
    <s v="United States"/>
    <s v="Canton"/>
    <s v="Michigan"/>
    <s v="Central"/>
    <x v="0"/>
    <x v="5"/>
    <s v="Coloredge Poster Frame"/>
    <x v="158"/>
    <n v="2"/>
    <n v="0"/>
    <n v="11.076000000000001"/>
  </r>
  <r>
    <n v="427"/>
    <x v="51"/>
    <x v="3"/>
    <x v="0"/>
    <d v="2014-11-27T00:00:00"/>
    <n v="3"/>
    <x v="0"/>
    <s v="Janet Molinari"/>
    <x v="1"/>
    <s v="United States"/>
    <s v="Canton"/>
    <s v="Michigan"/>
    <s v="Central"/>
    <x v="1"/>
    <x v="8"/>
    <s v="GBC VeloBinder Manual Binding System"/>
    <x v="403"/>
    <n v="8"/>
    <n v="0"/>
    <n v="138.20160000000001"/>
  </r>
  <r>
    <n v="428"/>
    <x v="171"/>
    <x v="2"/>
    <x v="8"/>
    <d v="2011-09-13T00:00:00"/>
    <n v="1"/>
    <x v="2"/>
    <s v="Shirley Daniels"/>
    <x v="2"/>
    <s v="United States"/>
    <s v="New Rochelle"/>
    <s v="New York"/>
    <s v="East"/>
    <x v="2"/>
    <x v="15"/>
    <s v="Epson WorkForce WF-2530 All-in-One Printer, Copier Scanner"/>
    <x v="404"/>
    <n v="1"/>
    <n v="0"/>
    <n v="30.095700000000001"/>
  </r>
  <r>
    <n v="429"/>
    <x v="172"/>
    <x v="3"/>
    <x v="2"/>
    <d v="2014-10-09T00:00:00"/>
    <n v="7"/>
    <x v="1"/>
    <s v="Ken Heidel"/>
    <x v="1"/>
    <s v="United States"/>
    <s v="San Antonio"/>
    <s v="Texas"/>
    <s v="Central"/>
    <x v="1"/>
    <x v="6"/>
    <s v="Design Ebony Sketching Pencil"/>
    <x v="405"/>
    <n v="6"/>
    <n v="0.2"/>
    <n v="0.50039999999999996"/>
  </r>
  <r>
    <n v="430"/>
    <x v="173"/>
    <x v="0"/>
    <x v="3"/>
    <d v="2013-04-22T00:00:00"/>
    <n v="6"/>
    <x v="1"/>
    <s v="Ross Baird"/>
    <x v="2"/>
    <s v="United States"/>
    <s v="Gastonia"/>
    <s v="North Carolina"/>
    <s v="South"/>
    <x v="1"/>
    <x v="8"/>
    <s v="GBC ProClick 150 Presentation Binding System"/>
    <x v="406"/>
    <n v="2"/>
    <n v="0.7"/>
    <n v="-145.35079999999999"/>
  </r>
  <r>
    <n v="431"/>
    <x v="173"/>
    <x v="0"/>
    <x v="3"/>
    <d v="2013-04-22T00:00:00"/>
    <n v="6"/>
    <x v="1"/>
    <s v="Ross Baird"/>
    <x v="2"/>
    <s v="United States"/>
    <s v="Gastonia"/>
    <s v="North Carolina"/>
    <s v="South"/>
    <x v="2"/>
    <x v="11"/>
    <s v="Imation Secure+ Hardware Encrypted USB 2.0 Flash Drive; 16GB"/>
    <x v="177"/>
    <n v="7"/>
    <n v="0.2"/>
    <n v="76.639499999999998"/>
  </r>
  <r>
    <n v="432"/>
    <x v="173"/>
    <x v="0"/>
    <x v="3"/>
    <d v="2013-04-22T00:00:00"/>
    <n v="6"/>
    <x v="1"/>
    <s v="Ross Baird"/>
    <x v="2"/>
    <s v="United States"/>
    <s v="Gastonia"/>
    <s v="North Carolina"/>
    <s v="South"/>
    <x v="2"/>
    <x v="11"/>
    <s v="Imation Secure+ Hardware Encrypted USB 2.0 Flash Drive; 16GB"/>
    <x v="407"/>
    <n v="5"/>
    <n v="0.2"/>
    <n v="54.7425"/>
  </r>
  <r>
    <n v="433"/>
    <x v="173"/>
    <x v="0"/>
    <x v="3"/>
    <d v="2013-04-22T00:00:00"/>
    <n v="6"/>
    <x v="1"/>
    <s v="Ross Baird"/>
    <x v="2"/>
    <s v="United States"/>
    <s v="Gastonia"/>
    <s v="North Carolina"/>
    <s v="South"/>
    <x v="1"/>
    <x v="4"/>
    <s v="Woodgrain Magazine Files by Perma"/>
    <x v="408"/>
    <n v="2"/>
    <n v="0.2"/>
    <n v="-0.77480000000000004"/>
  </r>
  <r>
    <n v="434"/>
    <x v="112"/>
    <x v="0"/>
    <x v="1"/>
    <d v="2013-06-08T00:00:00"/>
    <n v="1"/>
    <x v="2"/>
    <s v="Dave Brooks"/>
    <x v="0"/>
    <s v="United States"/>
    <s v="Lowell"/>
    <s v="Massachusetts"/>
    <s v="East"/>
    <x v="1"/>
    <x v="4"/>
    <s v="Letter Size Cart"/>
    <x v="409"/>
    <n v="5"/>
    <n v="0"/>
    <n v="207.14699999999999"/>
  </r>
  <r>
    <n v="435"/>
    <x v="174"/>
    <x v="2"/>
    <x v="4"/>
    <d v="2011-12-25T00:00:00"/>
    <n v="6"/>
    <x v="1"/>
    <s v="Mike Kennedy"/>
    <x v="0"/>
    <s v="United States"/>
    <s v="Jacksonville"/>
    <s v="Florida"/>
    <s v="South"/>
    <x v="1"/>
    <x v="8"/>
    <s v="Insertable Tab Post Binder Dividers"/>
    <x v="410"/>
    <n v="2"/>
    <n v="0.7"/>
    <n v="-3.6892"/>
  </r>
  <r>
    <n v="436"/>
    <x v="174"/>
    <x v="2"/>
    <x v="4"/>
    <d v="2011-12-25T00:00:00"/>
    <n v="6"/>
    <x v="1"/>
    <s v="Mike Kennedy"/>
    <x v="0"/>
    <s v="United States"/>
    <s v="Jacksonville"/>
    <s v="Florida"/>
    <s v="South"/>
    <x v="2"/>
    <x v="11"/>
    <s v="Belkin QODE FastFit Bluetooth Keyboard"/>
    <x v="411"/>
    <n v="5"/>
    <n v="0.2"/>
    <n v="-18.585000000000001"/>
  </r>
  <r>
    <n v="437"/>
    <x v="1"/>
    <x v="0"/>
    <x v="1"/>
    <d v="2013-06-15T00:00:00"/>
    <n v="2"/>
    <x v="0"/>
    <s v="Philisse Overcash"/>
    <x v="2"/>
    <s v="United States"/>
    <s v="Chicago"/>
    <s v="Illinois"/>
    <s v="Central"/>
    <x v="2"/>
    <x v="15"/>
    <s v="Canon Color ImageCLASS MF8580Cdw Wireless Laser All-In-One Printer, Copier, Scanner"/>
    <x v="412"/>
    <n v="3"/>
    <n v="0.3"/>
    <n v="43.199100000000001"/>
  </r>
  <r>
    <n v="438"/>
    <x v="1"/>
    <x v="0"/>
    <x v="1"/>
    <d v="2013-06-15T00:00:00"/>
    <n v="2"/>
    <x v="0"/>
    <s v="Philisse Overcash"/>
    <x v="2"/>
    <s v="United States"/>
    <s v="Chicago"/>
    <s v="Illinois"/>
    <s v="Central"/>
    <x v="1"/>
    <x v="10"/>
    <s v="Xerox 1908"/>
    <x v="413"/>
    <n v="7"/>
    <n v="0.2"/>
    <n v="113.63939999999999"/>
  </r>
  <r>
    <n v="439"/>
    <x v="175"/>
    <x v="3"/>
    <x v="8"/>
    <d v="2014-09-20T00:00:00"/>
    <n v="4"/>
    <x v="1"/>
    <s v="Brenda Bowman"/>
    <x v="1"/>
    <s v="United States"/>
    <s v="Houston"/>
    <s v="Texas"/>
    <s v="Central"/>
    <x v="1"/>
    <x v="10"/>
    <s v="Xerox 1897"/>
    <x v="414"/>
    <n v="8"/>
    <n v="0.2"/>
    <n v="11.553599999999999"/>
  </r>
  <r>
    <n v="440"/>
    <x v="176"/>
    <x v="3"/>
    <x v="9"/>
    <d v="2014-01-24T00:00:00"/>
    <n v="3"/>
    <x v="0"/>
    <s v="Cynthia Voltz"/>
    <x v="1"/>
    <s v="United States"/>
    <s v="New York City"/>
    <s v="New York"/>
    <s v="East"/>
    <x v="0"/>
    <x v="1"/>
    <s v="Global Deluxe Steno Chair"/>
    <x v="415"/>
    <n v="3"/>
    <n v="0.1"/>
    <n v="2.3094000000000001"/>
  </r>
  <r>
    <n v="441"/>
    <x v="64"/>
    <x v="0"/>
    <x v="8"/>
    <d v="2013-09-08T00:00:00"/>
    <n v="2"/>
    <x v="0"/>
    <s v="Pete Kriz"/>
    <x v="0"/>
    <s v="United States"/>
    <s v="Detroit"/>
    <s v="Michigan"/>
    <s v="Central"/>
    <x v="0"/>
    <x v="5"/>
    <s v="Aluminum Document Frame"/>
    <x v="416"/>
    <n v="1"/>
    <n v="0"/>
    <n v="3.6659999999999999"/>
  </r>
  <r>
    <n v="442"/>
    <x v="64"/>
    <x v="0"/>
    <x v="8"/>
    <d v="2013-09-08T00:00:00"/>
    <n v="2"/>
    <x v="0"/>
    <s v="Pete Kriz"/>
    <x v="0"/>
    <s v="United States"/>
    <s v="Detroit"/>
    <s v="Michigan"/>
    <s v="Central"/>
    <x v="1"/>
    <x v="4"/>
    <s v="Fellowes Bankers Box Staxonsteel Drawer File/Stacking System"/>
    <x v="417"/>
    <n v="3"/>
    <n v="0"/>
    <n v="23.392800000000001"/>
  </r>
  <r>
    <n v="443"/>
    <x v="64"/>
    <x v="0"/>
    <x v="8"/>
    <d v="2013-09-08T00:00:00"/>
    <n v="2"/>
    <x v="0"/>
    <s v="Pete Kriz"/>
    <x v="0"/>
    <s v="United States"/>
    <s v="Detroit"/>
    <s v="Michigan"/>
    <s v="Central"/>
    <x v="1"/>
    <x v="4"/>
    <s v="Eldon Mobile Mega Data Cart  Mega Stackable  Add-On Trays"/>
    <x v="418"/>
    <n v="3"/>
    <n v="0"/>
    <n v="20.575500000000002"/>
  </r>
  <r>
    <n v="444"/>
    <x v="64"/>
    <x v="0"/>
    <x v="8"/>
    <d v="2013-09-08T00:00:00"/>
    <n v="2"/>
    <x v="0"/>
    <s v="Pete Kriz"/>
    <x v="0"/>
    <s v="United States"/>
    <s v="Detroit"/>
    <s v="Michigan"/>
    <s v="Central"/>
    <x v="1"/>
    <x v="10"/>
    <s v="Xerox Color Copier Paper, 11&quot; x 17&quot;, Ream"/>
    <x v="419"/>
    <n v="4"/>
    <n v="0"/>
    <n v="42.025599999999997"/>
  </r>
  <r>
    <n v="445"/>
    <x v="64"/>
    <x v="0"/>
    <x v="8"/>
    <d v="2013-09-08T00:00:00"/>
    <n v="2"/>
    <x v="0"/>
    <s v="Pete Kriz"/>
    <x v="0"/>
    <s v="United States"/>
    <s v="Detroit"/>
    <s v="Michigan"/>
    <s v="Central"/>
    <x v="0"/>
    <x v="1"/>
    <s v="Office Star - Ergonomically Designed Knee Chair"/>
    <x v="420"/>
    <n v="3"/>
    <n v="0"/>
    <n v="29.152799999999999"/>
  </r>
  <r>
    <n v="446"/>
    <x v="64"/>
    <x v="0"/>
    <x v="8"/>
    <d v="2013-09-08T00:00:00"/>
    <n v="2"/>
    <x v="0"/>
    <s v="Pete Kriz"/>
    <x v="0"/>
    <s v="United States"/>
    <s v="Detroit"/>
    <s v="Michigan"/>
    <s v="Central"/>
    <x v="1"/>
    <x v="2"/>
    <s v="Avery 520"/>
    <x v="421"/>
    <n v="7"/>
    <n v="0"/>
    <n v="10.584"/>
  </r>
  <r>
    <n v="447"/>
    <x v="177"/>
    <x v="3"/>
    <x v="10"/>
    <d v="2014-03-26T00:00:00"/>
    <n v="5"/>
    <x v="0"/>
    <s v="Troy Blackwell"/>
    <x v="0"/>
    <s v="United States"/>
    <s v="Columbus"/>
    <s v="Indiana"/>
    <s v="Central"/>
    <x v="0"/>
    <x v="5"/>
    <s v="GE General Purpose, Extra Long Life, Showcase &amp; Floodlight Incandescent Bulbs"/>
    <x v="422"/>
    <n v="1"/>
    <n v="0"/>
    <n v="1.3676999999999999"/>
  </r>
  <r>
    <n v="448"/>
    <x v="178"/>
    <x v="0"/>
    <x v="3"/>
    <d v="2013-04-04T00:00:00"/>
    <n v="2"/>
    <x v="0"/>
    <s v="Raymond Buch"/>
    <x v="0"/>
    <s v="United States"/>
    <s v="Auburn"/>
    <s v="New York"/>
    <s v="East"/>
    <x v="1"/>
    <x v="6"/>
    <s v="Newell 345"/>
    <x v="423"/>
    <n v="3"/>
    <n v="0"/>
    <n v="15.475199999999999"/>
  </r>
  <r>
    <n v="449"/>
    <x v="178"/>
    <x v="0"/>
    <x v="3"/>
    <d v="2013-04-04T00:00:00"/>
    <n v="2"/>
    <x v="0"/>
    <s v="Raymond Buch"/>
    <x v="0"/>
    <s v="United States"/>
    <s v="Auburn"/>
    <s v="New York"/>
    <s v="East"/>
    <x v="1"/>
    <x v="4"/>
    <s v="Fellowes Bankers Box Recycled Super Stor/Drawer"/>
    <x v="424"/>
    <n v="3"/>
    <n v="0"/>
    <n v="9.7164000000000001"/>
  </r>
  <r>
    <n v="450"/>
    <x v="178"/>
    <x v="0"/>
    <x v="3"/>
    <d v="2013-04-04T00:00:00"/>
    <n v="2"/>
    <x v="0"/>
    <s v="Raymond Buch"/>
    <x v="0"/>
    <s v="United States"/>
    <s v="Auburn"/>
    <s v="New York"/>
    <s v="East"/>
    <x v="1"/>
    <x v="6"/>
    <s v="Boston 1645 Deluxe Heavier-Duty Electric Pencil Sharpener"/>
    <x v="425"/>
    <n v="6"/>
    <n v="0"/>
    <n v="71.247600000000006"/>
  </r>
  <r>
    <n v="451"/>
    <x v="178"/>
    <x v="0"/>
    <x v="3"/>
    <d v="2013-04-04T00:00:00"/>
    <n v="2"/>
    <x v="0"/>
    <s v="Raymond Buch"/>
    <x v="0"/>
    <s v="United States"/>
    <s v="Auburn"/>
    <s v="New York"/>
    <s v="East"/>
    <x v="1"/>
    <x v="6"/>
    <s v="50 Colored Long Pencils"/>
    <x v="426"/>
    <n v="3"/>
    <n v="0"/>
    <n v="7.9248000000000003"/>
  </r>
  <r>
    <n v="452"/>
    <x v="178"/>
    <x v="0"/>
    <x v="3"/>
    <d v="2013-04-04T00:00:00"/>
    <n v="2"/>
    <x v="0"/>
    <s v="Raymond Buch"/>
    <x v="0"/>
    <s v="United States"/>
    <s v="Auburn"/>
    <s v="New York"/>
    <s v="East"/>
    <x v="1"/>
    <x v="6"/>
    <s v="Newell 342"/>
    <x v="294"/>
    <n v="3"/>
    <n v="0"/>
    <n v="2.8536000000000001"/>
  </r>
  <r>
    <n v="453"/>
    <x v="178"/>
    <x v="0"/>
    <x v="3"/>
    <d v="2013-04-04T00:00:00"/>
    <n v="2"/>
    <x v="0"/>
    <s v="Raymond Buch"/>
    <x v="0"/>
    <s v="United States"/>
    <s v="Auburn"/>
    <s v="New York"/>
    <s v="East"/>
    <x v="2"/>
    <x v="7"/>
    <s v="Belkin Grip Candy Sheer Case / Cover for iPhone 5 and 5S"/>
    <x v="427"/>
    <n v="4"/>
    <n v="0"/>
    <n v="9.1311999999999998"/>
  </r>
  <r>
    <n v="454"/>
    <x v="179"/>
    <x v="3"/>
    <x v="2"/>
    <d v="2014-10-25T00:00:00"/>
    <n v="4"/>
    <x v="1"/>
    <s v="Ed Braxton"/>
    <x v="1"/>
    <s v="United States"/>
    <s v="Akron"/>
    <s v="Ohio"/>
    <s v="East"/>
    <x v="0"/>
    <x v="3"/>
    <s v="Chromcraft Rectangular Conference Tables"/>
    <x v="428"/>
    <n v="2"/>
    <n v="0.4"/>
    <n v="-75.830399999999997"/>
  </r>
  <r>
    <n v="455"/>
    <x v="179"/>
    <x v="3"/>
    <x v="2"/>
    <d v="2014-10-25T00:00:00"/>
    <n v="4"/>
    <x v="1"/>
    <s v="Ed Braxton"/>
    <x v="1"/>
    <s v="United States"/>
    <s v="Akron"/>
    <s v="Ohio"/>
    <s v="East"/>
    <x v="1"/>
    <x v="4"/>
    <s v="Deluxe Rollaway Locking File with Drawer"/>
    <x v="429"/>
    <n v="2"/>
    <n v="0.2"/>
    <n v="66.540800000000004"/>
  </r>
  <r>
    <n v="456"/>
    <x v="180"/>
    <x v="0"/>
    <x v="4"/>
    <d v="2013-12-18T00:00:00"/>
    <n v="4"/>
    <x v="1"/>
    <s v="Ken Heidel"/>
    <x v="1"/>
    <s v="United States"/>
    <s v="Norman"/>
    <s v="Oklahoma"/>
    <s v="Central"/>
    <x v="2"/>
    <x v="11"/>
    <s v="Memorex Mini Travel Drive 16 GB USB 2.0 Flash Drive"/>
    <x v="430"/>
    <n v="4"/>
    <n v="0"/>
    <n v="24.9132"/>
  </r>
  <r>
    <n v="457"/>
    <x v="181"/>
    <x v="2"/>
    <x v="11"/>
    <d v="2011-02-19T00:00:00"/>
    <n v="6"/>
    <x v="1"/>
    <s v="Sanjit Chand"/>
    <x v="0"/>
    <s v="United States"/>
    <s v="Concord"/>
    <s v="California"/>
    <s v="West"/>
    <x v="0"/>
    <x v="1"/>
    <s v="Global Geo Office Task Chair, Gray"/>
    <x v="431"/>
    <n v="2"/>
    <n v="0.2"/>
    <n v="-24.294"/>
  </r>
  <r>
    <n v="458"/>
    <x v="182"/>
    <x v="0"/>
    <x v="8"/>
    <d v="2013-10-02T00:00:00"/>
    <n v="5"/>
    <x v="1"/>
    <s v="Natalie Fritzler"/>
    <x v="0"/>
    <s v="United States"/>
    <s v="Decatur"/>
    <s v="Illinois"/>
    <s v="Central"/>
    <x v="0"/>
    <x v="1"/>
    <s v="Hon 4700 Series Mobuis Mid-Back Task Chairs with Adjustable Arms"/>
    <x v="432"/>
    <n v="3"/>
    <n v="0.3"/>
    <n v="-96.114599999999996"/>
  </r>
  <r>
    <n v="459"/>
    <x v="182"/>
    <x v="0"/>
    <x v="8"/>
    <d v="2013-10-02T00:00:00"/>
    <n v="5"/>
    <x v="1"/>
    <s v="Natalie Fritzler"/>
    <x v="0"/>
    <s v="United States"/>
    <s v="Decatur"/>
    <s v="Illinois"/>
    <s v="Central"/>
    <x v="1"/>
    <x v="12"/>
    <s v="Staples"/>
    <x v="433"/>
    <n v="2"/>
    <n v="0.2"/>
    <n v="3.3479999999999999"/>
  </r>
  <r>
    <n v="460"/>
    <x v="83"/>
    <x v="1"/>
    <x v="4"/>
    <d v="2012-12-22T00:00:00"/>
    <n v="7"/>
    <x v="1"/>
    <s v="Joseph Holt"/>
    <x v="0"/>
    <s v="United States"/>
    <s v="Seattle"/>
    <s v="Washington"/>
    <s v="West"/>
    <x v="1"/>
    <x v="9"/>
    <s v="3M Office Air Cleaner"/>
    <x v="434"/>
    <n v="4"/>
    <n v="0"/>
    <n v="36.372"/>
  </r>
  <r>
    <n v="461"/>
    <x v="83"/>
    <x v="1"/>
    <x v="4"/>
    <d v="2012-12-22T00:00:00"/>
    <n v="7"/>
    <x v="1"/>
    <s v="Joseph Holt"/>
    <x v="0"/>
    <s v="United States"/>
    <s v="Seattle"/>
    <s v="Washington"/>
    <s v="West"/>
    <x v="2"/>
    <x v="11"/>
    <s v="Logitech G700s Rechargeable Gaming Mouse"/>
    <x v="435"/>
    <n v="9"/>
    <n v="0"/>
    <n v="377.9622"/>
  </r>
  <r>
    <n v="462"/>
    <x v="83"/>
    <x v="1"/>
    <x v="4"/>
    <d v="2012-12-22T00:00:00"/>
    <n v="7"/>
    <x v="1"/>
    <s v="Joseph Holt"/>
    <x v="0"/>
    <s v="United States"/>
    <s v="Seattle"/>
    <s v="Washington"/>
    <s v="West"/>
    <x v="1"/>
    <x v="8"/>
    <s v="Acco D-Ring Binder w/DublLock"/>
    <x v="96"/>
    <n v="3"/>
    <n v="0.2"/>
    <n v="18.6006"/>
  </r>
  <r>
    <n v="463"/>
    <x v="183"/>
    <x v="0"/>
    <x v="3"/>
    <d v="2013-04-30T00:00:00"/>
    <n v="7"/>
    <x v="1"/>
    <s v="Tanja Norvell"/>
    <x v="2"/>
    <s v="United States"/>
    <s v="Phoenix"/>
    <s v="Arizona"/>
    <s v="West"/>
    <x v="0"/>
    <x v="5"/>
    <s v="Eldon Wave Desk Accessories"/>
    <x v="436"/>
    <n v="5"/>
    <n v="0.2"/>
    <n v="7.0679999999999996"/>
  </r>
  <r>
    <n v="464"/>
    <x v="183"/>
    <x v="0"/>
    <x v="3"/>
    <d v="2013-04-30T00:00:00"/>
    <n v="7"/>
    <x v="1"/>
    <s v="Tanja Norvell"/>
    <x v="2"/>
    <s v="United States"/>
    <s v="Phoenix"/>
    <s v="Arizona"/>
    <s v="West"/>
    <x v="0"/>
    <x v="3"/>
    <s v="Bush Advantage Collection Racetrack Conference Table"/>
    <x v="437"/>
    <n v="6"/>
    <n v="0.5"/>
    <n v="-814.48320000000001"/>
  </r>
  <r>
    <n v="465"/>
    <x v="183"/>
    <x v="0"/>
    <x v="3"/>
    <d v="2013-04-30T00:00:00"/>
    <n v="7"/>
    <x v="1"/>
    <s v="Tanja Norvell"/>
    <x v="2"/>
    <s v="United States"/>
    <s v="Phoenix"/>
    <s v="Arizona"/>
    <s v="West"/>
    <x v="1"/>
    <x v="8"/>
    <s v="Poly Designer Cover &amp; Back"/>
    <x v="438"/>
    <n v="5"/>
    <n v="0.7"/>
    <n v="-20.888999999999999"/>
  </r>
  <r>
    <n v="466"/>
    <x v="183"/>
    <x v="0"/>
    <x v="3"/>
    <d v="2013-04-30T00:00:00"/>
    <n v="7"/>
    <x v="1"/>
    <s v="Tanja Norvell"/>
    <x v="2"/>
    <s v="United States"/>
    <s v="Phoenix"/>
    <s v="Arizona"/>
    <s v="West"/>
    <x v="1"/>
    <x v="14"/>
    <s v="Premier Electric Letter Opener"/>
    <x v="439"/>
    <n v="2"/>
    <n v="0.2"/>
    <n v="-34.758000000000003"/>
  </r>
  <r>
    <n v="467"/>
    <x v="183"/>
    <x v="0"/>
    <x v="3"/>
    <d v="2013-04-30T00:00:00"/>
    <n v="7"/>
    <x v="1"/>
    <s v="Tanja Norvell"/>
    <x v="2"/>
    <s v="United States"/>
    <s v="Phoenix"/>
    <s v="Arizona"/>
    <s v="West"/>
    <x v="1"/>
    <x v="9"/>
    <s v="Fellowes Premier Superior Surge Suppressor, 10-Outlet, With Phone and Remote"/>
    <x v="440"/>
    <n v="2"/>
    <n v="0.2"/>
    <n v="5.8704000000000001"/>
  </r>
  <r>
    <n v="468"/>
    <x v="184"/>
    <x v="1"/>
    <x v="9"/>
    <d v="2012-01-24T00:00:00"/>
    <n v="7"/>
    <x v="1"/>
    <s v="Joni Sundaresam"/>
    <x v="2"/>
    <s v="United States"/>
    <s v="Park Ridge"/>
    <s v="Illinois"/>
    <s v="Central"/>
    <x v="0"/>
    <x v="5"/>
    <s v="Eldon ClusterMat Chair Mat with Cordless Antistatic Protection"/>
    <x v="441"/>
    <n v="7"/>
    <n v="0.6"/>
    <n v="-312.06139999999999"/>
  </r>
  <r>
    <n v="469"/>
    <x v="185"/>
    <x v="3"/>
    <x v="3"/>
    <d v="2014-04-05T00:00:00"/>
    <n v="4"/>
    <x v="1"/>
    <s v="David Smith"/>
    <x v="1"/>
    <s v="United States"/>
    <s v="Amarillo"/>
    <s v="Texas"/>
    <s v="Central"/>
    <x v="0"/>
    <x v="0"/>
    <s v="Bush Mission Pointe Library"/>
    <x v="442"/>
    <n v="2"/>
    <n v="0.32"/>
    <n v="-36.235199999999999"/>
  </r>
  <r>
    <n v="470"/>
    <x v="186"/>
    <x v="0"/>
    <x v="4"/>
    <d v="2013-12-21T00:00:00"/>
    <n v="4"/>
    <x v="0"/>
    <s v="Craig Carreira"/>
    <x v="0"/>
    <s v="United States"/>
    <s v="Chicago"/>
    <s v="Illinois"/>
    <s v="Central"/>
    <x v="1"/>
    <x v="8"/>
    <s v="Cardinal Hold-It CD Pocket"/>
    <x v="443"/>
    <n v="3"/>
    <n v="0.8"/>
    <n v="-7.9001999999999999"/>
  </r>
  <r>
    <n v="471"/>
    <x v="139"/>
    <x v="1"/>
    <x v="4"/>
    <d v="2012-12-24T00:00:00"/>
    <n v="4"/>
    <x v="1"/>
    <s v="Maya Herman"/>
    <x v="1"/>
    <s v="United States"/>
    <s v="Lindenhurst"/>
    <s v="New York"/>
    <s v="East"/>
    <x v="1"/>
    <x v="10"/>
    <s v="Eaton Premium Continuous-Feed Paper, 25% Cotton, Letter Size, White, 1000 Shts/Box"/>
    <x v="444"/>
    <n v="1"/>
    <n v="0"/>
    <n v="26.630400000000002"/>
  </r>
  <r>
    <n v="472"/>
    <x v="187"/>
    <x v="2"/>
    <x v="0"/>
    <d v="2011-11-11T00:00:00"/>
    <n v="2"/>
    <x v="0"/>
    <s v="Jeremy Pistek"/>
    <x v="0"/>
    <s v="United States"/>
    <s v="San Francisco"/>
    <s v="California"/>
    <s v="West"/>
    <x v="1"/>
    <x v="4"/>
    <s v="SAFCO Boltless Steel Shelving"/>
    <x v="445"/>
    <n v="3"/>
    <n v="0"/>
    <n v="3.4091999999999998"/>
  </r>
  <r>
    <n v="473"/>
    <x v="187"/>
    <x v="2"/>
    <x v="0"/>
    <d v="2011-11-11T00:00:00"/>
    <n v="2"/>
    <x v="0"/>
    <s v="Jeremy Pistek"/>
    <x v="0"/>
    <s v="United States"/>
    <s v="San Francisco"/>
    <s v="California"/>
    <s v="West"/>
    <x v="0"/>
    <x v="0"/>
    <s v="Sauder Mission Library with Doors, Fruitwood Finish"/>
    <x v="446"/>
    <n v="2"/>
    <n v="0.15"/>
    <n v="10.478400000000001"/>
  </r>
  <r>
    <n v="474"/>
    <x v="187"/>
    <x v="2"/>
    <x v="0"/>
    <d v="2011-11-11T00:00:00"/>
    <n v="2"/>
    <x v="0"/>
    <s v="Jeremy Pistek"/>
    <x v="0"/>
    <s v="United States"/>
    <s v="San Francisco"/>
    <s v="California"/>
    <s v="West"/>
    <x v="2"/>
    <x v="7"/>
    <s v="Samsung Galaxy Note 3"/>
    <x v="447"/>
    <n v="4"/>
    <n v="0.2"/>
    <n v="87.995999999999995"/>
  </r>
  <r>
    <n v="475"/>
    <x v="187"/>
    <x v="2"/>
    <x v="0"/>
    <d v="2011-11-11T00:00:00"/>
    <n v="2"/>
    <x v="0"/>
    <s v="Jeremy Pistek"/>
    <x v="0"/>
    <s v="United States"/>
    <s v="San Francisco"/>
    <s v="California"/>
    <s v="West"/>
    <x v="1"/>
    <x v="4"/>
    <s v="Decoflex Hanging Personal Folder File, Blue"/>
    <x v="448"/>
    <n v="6"/>
    <n v="0"/>
    <n v="24.980399999999999"/>
  </r>
  <r>
    <n v="476"/>
    <x v="187"/>
    <x v="2"/>
    <x v="0"/>
    <d v="2011-11-11T00:00:00"/>
    <n v="2"/>
    <x v="0"/>
    <s v="Jeremy Pistek"/>
    <x v="0"/>
    <s v="United States"/>
    <s v="San Francisco"/>
    <s v="California"/>
    <s v="West"/>
    <x v="1"/>
    <x v="10"/>
    <s v="Recycled Desk Saver Line &quot;While You Were Out&quot; Book, 5 1/2&quot; X 4&quot;"/>
    <x v="449"/>
    <n v="7"/>
    <n v="0"/>
    <n v="28.818999999999999"/>
  </r>
  <r>
    <n v="477"/>
    <x v="187"/>
    <x v="2"/>
    <x v="0"/>
    <d v="2011-11-11T00:00:00"/>
    <n v="2"/>
    <x v="0"/>
    <s v="Jeremy Pistek"/>
    <x v="0"/>
    <s v="United States"/>
    <s v="San Francisco"/>
    <s v="California"/>
    <s v="West"/>
    <x v="1"/>
    <x v="10"/>
    <s v="Xerox 1912"/>
    <x v="450"/>
    <n v="5"/>
    <n v="0"/>
    <n v="45.527999999999999"/>
  </r>
  <r>
    <n v="478"/>
    <x v="188"/>
    <x v="0"/>
    <x v="7"/>
    <d v="2013-07-20T00:00:00"/>
    <n v="7"/>
    <x v="1"/>
    <s v="Kristen Hastings"/>
    <x v="1"/>
    <s v="United States"/>
    <s v="Los Angeles"/>
    <s v="California"/>
    <s v="West"/>
    <x v="2"/>
    <x v="7"/>
    <s v="Cisco SPA525G2 IP Phone - Wireless"/>
    <x v="451"/>
    <n v="6"/>
    <n v="0.2"/>
    <n v="7.1820000000000004"/>
  </r>
  <r>
    <n v="479"/>
    <x v="189"/>
    <x v="0"/>
    <x v="2"/>
    <d v="2013-11-03T00:00:00"/>
    <n v="6"/>
    <x v="1"/>
    <s v="Jeremy Ellison"/>
    <x v="0"/>
    <s v="United States"/>
    <s v="Troy"/>
    <s v="New York"/>
    <s v="East"/>
    <x v="0"/>
    <x v="5"/>
    <s v="Electrix 20W Halogen Replacement Bulb for Zoom-In Desk Lamp"/>
    <x v="452"/>
    <n v="3"/>
    <n v="0"/>
    <n v="19.295999999999999"/>
  </r>
  <r>
    <n v="480"/>
    <x v="190"/>
    <x v="0"/>
    <x v="1"/>
    <d v="2013-07-03T00:00:00"/>
    <n v="6"/>
    <x v="1"/>
    <s v="John Grady"/>
    <x v="1"/>
    <s v="United States"/>
    <s v="New York City"/>
    <s v="New York"/>
    <s v="East"/>
    <x v="1"/>
    <x v="6"/>
    <s v="Prang Colored Pencils"/>
    <x v="453"/>
    <n v="5"/>
    <n v="0"/>
    <n v="6.6150000000000002"/>
  </r>
  <r>
    <n v="481"/>
    <x v="190"/>
    <x v="0"/>
    <x v="1"/>
    <d v="2013-07-03T00:00:00"/>
    <n v="6"/>
    <x v="1"/>
    <s v="John Grady"/>
    <x v="1"/>
    <s v="United States"/>
    <s v="New York City"/>
    <s v="New York"/>
    <s v="East"/>
    <x v="1"/>
    <x v="4"/>
    <s v="Fellowes Strictly Business Drawer File, Letter/Legal Size"/>
    <x v="454"/>
    <n v="5"/>
    <n v="0"/>
    <n v="84.51"/>
  </r>
  <r>
    <n v="482"/>
    <x v="191"/>
    <x v="2"/>
    <x v="2"/>
    <d v="2011-10-10T00:00:00"/>
    <n v="4"/>
    <x v="1"/>
    <s v="Xylona Preis"/>
    <x v="0"/>
    <s v="United States"/>
    <s v="San Diego"/>
    <s v="California"/>
    <s v="West"/>
    <x v="2"/>
    <x v="11"/>
    <s v="Imation USB 2.0 Swivel Flash Drive USB flash drive - 4 GB - Pink"/>
    <x v="455"/>
    <n v="3"/>
    <n v="0"/>
    <n v="1.9089"/>
  </r>
  <r>
    <n v="483"/>
    <x v="192"/>
    <x v="2"/>
    <x v="7"/>
    <d v="2011-07-27T00:00:00"/>
    <n v="5"/>
    <x v="1"/>
    <s v="Erin Mull"/>
    <x v="0"/>
    <s v="United States"/>
    <s v="New York City"/>
    <s v="New York"/>
    <s v="East"/>
    <x v="1"/>
    <x v="6"/>
    <s v="Premium Writing Pencils, Soft, #2 by Central Association for the Blind"/>
    <x v="456"/>
    <n v="2"/>
    <n v="0"/>
    <n v="1.6688000000000001"/>
  </r>
  <r>
    <n v="484"/>
    <x v="192"/>
    <x v="2"/>
    <x v="7"/>
    <d v="2011-07-27T00:00:00"/>
    <n v="5"/>
    <x v="1"/>
    <s v="Erin Mull"/>
    <x v="0"/>
    <s v="United States"/>
    <s v="New York City"/>
    <s v="New York"/>
    <s v="East"/>
    <x v="2"/>
    <x v="11"/>
    <s v="Logitech G602 Wireless Gaming Mouse"/>
    <x v="457"/>
    <n v="2"/>
    <n v="0"/>
    <n v="57.592799999999997"/>
  </r>
  <r>
    <n v="485"/>
    <x v="193"/>
    <x v="3"/>
    <x v="1"/>
    <d v="2014-06-14T00:00:00"/>
    <n v="3"/>
    <x v="2"/>
    <s v="Michelle Tran"/>
    <x v="2"/>
    <s v="United States"/>
    <s v="Los Angeles"/>
    <s v="California"/>
    <s v="West"/>
    <x v="1"/>
    <x v="2"/>
    <s v="Alphabetical Labels for Top Tab Filing"/>
    <x v="458"/>
    <n v="2"/>
    <n v="0"/>
    <n v="14.8"/>
  </r>
  <r>
    <n v="486"/>
    <x v="193"/>
    <x v="3"/>
    <x v="1"/>
    <d v="2014-06-14T00:00:00"/>
    <n v="3"/>
    <x v="2"/>
    <s v="Michelle Tran"/>
    <x v="2"/>
    <s v="United States"/>
    <s v="Los Angeles"/>
    <s v="California"/>
    <s v="West"/>
    <x v="0"/>
    <x v="0"/>
    <s v="O'Sullivan Living Dimensions 2-Shelf Bookcases"/>
    <x v="459"/>
    <n v="5"/>
    <n v="0.15"/>
    <n v="-30.245000000000001"/>
  </r>
  <r>
    <n v="487"/>
    <x v="193"/>
    <x v="3"/>
    <x v="1"/>
    <d v="2014-06-14T00:00:00"/>
    <n v="3"/>
    <x v="2"/>
    <s v="Michelle Tran"/>
    <x v="2"/>
    <s v="United States"/>
    <s v="Los Angeles"/>
    <s v="California"/>
    <s v="West"/>
    <x v="2"/>
    <x v="7"/>
    <s v="iHome FM Clock Radio with Lightning Dock"/>
    <x v="460"/>
    <n v="5"/>
    <n v="0.2"/>
    <n v="17.497499999999999"/>
  </r>
  <r>
    <n v="488"/>
    <x v="194"/>
    <x v="2"/>
    <x v="2"/>
    <d v="2011-10-31T00:00:00"/>
    <n v="2"/>
    <x v="2"/>
    <s v="Sue Ann Reed"/>
    <x v="0"/>
    <s v="United States"/>
    <s v="Chicago"/>
    <s v="Illinois"/>
    <s v="Central"/>
    <x v="2"/>
    <x v="7"/>
    <s v="Apple iPhone 5S"/>
    <x v="461"/>
    <n v="6"/>
    <n v="0.2"/>
    <n v="341.99400000000003"/>
  </r>
  <r>
    <n v="489"/>
    <x v="3"/>
    <x v="2"/>
    <x v="1"/>
    <d v="2011-06-13T00:00:00"/>
    <n v="4"/>
    <x v="0"/>
    <s v="Carl Weiss"/>
    <x v="2"/>
    <s v="United States"/>
    <s v="Huntsville"/>
    <s v="Texas"/>
    <s v="Central"/>
    <x v="2"/>
    <x v="7"/>
    <s v="Square Credit Card Reader"/>
    <x v="462"/>
    <n v="1"/>
    <n v="0.2"/>
    <n v="0.59940000000000004"/>
  </r>
  <r>
    <n v="490"/>
    <x v="3"/>
    <x v="2"/>
    <x v="1"/>
    <d v="2011-06-13T00:00:00"/>
    <n v="4"/>
    <x v="0"/>
    <s v="Carl Weiss"/>
    <x v="2"/>
    <s v="United States"/>
    <s v="Huntsville"/>
    <s v="Texas"/>
    <s v="Central"/>
    <x v="2"/>
    <x v="11"/>
    <s v="Logitech M510 Wireless Mouse"/>
    <x v="463"/>
    <n v="2"/>
    <n v="0.2"/>
    <n v="10.397399999999999"/>
  </r>
  <r>
    <n v="491"/>
    <x v="3"/>
    <x v="2"/>
    <x v="1"/>
    <d v="2011-06-13T00:00:00"/>
    <n v="4"/>
    <x v="0"/>
    <s v="Carl Weiss"/>
    <x v="2"/>
    <s v="United States"/>
    <s v="Huntsville"/>
    <s v="Texas"/>
    <s v="Central"/>
    <x v="1"/>
    <x v="6"/>
    <s v="Boston 1645 Deluxe Heavier-Duty Electric Pencil Sharpener"/>
    <x v="464"/>
    <n v="2"/>
    <n v="0.2"/>
    <n v="6.1571999999999996"/>
  </r>
  <r>
    <n v="492"/>
    <x v="80"/>
    <x v="2"/>
    <x v="8"/>
    <d v="2011-09-19T00:00:00"/>
    <n v="5"/>
    <x v="1"/>
    <s v="Astrea Jones"/>
    <x v="0"/>
    <s v="United States"/>
    <s v="Rochester"/>
    <s v="New York"/>
    <s v="East"/>
    <x v="1"/>
    <x v="4"/>
    <s v="Fellowes Officeware Wire Shelving"/>
    <x v="465"/>
    <n v="5"/>
    <n v="0"/>
    <n v="8.9830000000000005"/>
  </r>
  <r>
    <n v="493"/>
    <x v="80"/>
    <x v="2"/>
    <x v="8"/>
    <d v="2011-09-19T00:00:00"/>
    <n v="5"/>
    <x v="1"/>
    <s v="Astrea Jones"/>
    <x v="0"/>
    <s v="United States"/>
    <s v="Rochester"/>
    <s v="New York"/>
    <s v="East"/>
    <x v="1"/>
    <x v="12"/>
    <s v="Colored Envelopes"/>
    <x v="466"/>
    <n v="3"/>
    <n v="0"/>
    <n v="5.0922000000000001"/>
  </r>
  <r>
    <n v="494"/>
    <x v="195"/>
    <x v="0"/>
    <x v="5"/>
    <d v="2013-05-15T00:00:00"/>
    <n v="5"/>
    <x v="1"/>
    <s v="Sonia Sunley"/>
    <x v="0"/>
    <s v="United States"/>
    <s v="Seattle"/>
    <s v="Washington"/>
    <s v="West"/>
    <x v="2"/>
    <x v="11"/>
    <s v="Sony Micro Vault Click 8 GB USB 2.0 Flash Drive"/>
    <x v="467"/>
    <n v="2"/>
    <n v="0"/>
    <n v="13.1572"/>
  </r>
  <r>
    <n v="495"/>
    <x v="196"/>
    <x v="0"/>
    <x v="10"/>
    <d v="2013-03-22T00:00:00"/>
    <n v="3"/>
    <x v="0"/>
    <s v="Rose O'Brian"/>
    <x v="0"/>
    <s v="United States"/>
    <s v="Memphis"/>
    <s v="Tennessee"/>
    <s v="South"/>
    <x v="0"/>
    <x v="3"/>
    <s v="Balt Solid Wood Rectangular Table"/>
    <x v="468"/>
    <n v="3"/>
    <n v="0.4"/>
    <n v="-94.941000000000003"/>
  </r>
  <r>
    <n v="496"/>
    <x v="17"/>
    <x v="1"/>
    <x v="4"/>
    <d v="2012-12-31T00:00:00"/>
    <n v="4"/>
    <x v="1"/>
    <s v="Maribeth Dona"/>
    <x v="0"/>
    <s v="United States"/>
    <s v="Fayetteville"/>
    <s v="Arkansas"/>
    <s v="South"/>
    <x v="1"/>
    <x v="12"/>
    <s v="Strathmore #10 Envelopes, Ultimate White"/>
    <x v="469"/>
    <n v="2"/>
    <n v="0"/>
    <n v="51.655799999999999"/>
  </r>
  <r>
    <n v="497"/>
    <x v="197"/>
    <x v="0"/>
    <x v="7"/>
    <d v="2013-08-01T00:00:00"/>
    <n v="6"/>
    <x v="1"/>
    <s v="Sanjit Chand"/>
    <x v="0"/>
    <s v="United States"/>
    <s v="Costa Mesa"/>
    <s v="California"/>
    <s v="West"/>
    <x v="1"/>
    <x v="8"/>
    <s v="Clear Mylar Reinforcing Strips"/>
    <x v="470"/>
    <n v="8"/>
    <n v="0.2"/>
    <n v="40.370399999999997"/>
  </r>
  <r>
    <n v="498"/>
    <x v="197"/>
    <x v="0"/>
    <x v="7"/>
    <d v="2013-08-01T00:00:00"/>
    <n v="6"/>
    <x v="1"/>
    <s v="Sanjit Chand"/>
    <x v="0"/>
    <s v="United States"/>
    <s v="Costa Mesa"/>
    <s v="California"/>
    <s v="West"/>
    <x v="0"/>
    <x v="5"/>
    <s v="Howard Miller 14-1/2&quot; Diameter Chrome Round Wall Clock"/>
    <x v="471"/>
    <n v="4"/>
    <n v="0"/>
    <n v="81.843199999999996"/>
  </r>
  <r>
    <n v="499"/>
    <x v="197"/>
    <x v="0"/>
    <x v="7"/>
    <d v="2013-08-01T00:00:00"/>
    <n v="6"/>
    <x v="1"/>
    <s v="Sanjit Chand"/>
    <x v="0"/>
    <s v="United States"/>
    <s v="Costa Mesa"/>
    <s v="California"/>
    <s v="West"/>
    <x v="0"/>
    <x v="1"/>
    <s v="DMI Arturo Collection Mission-style Design Wood Chair"/>
    <x v="472"/>
    <n v="2"/>
    <n v="0.2"/>
    <n v="18.117599999999999"/>
  </r>
  <r>
    <n v="500"/>
    <x v="197"/>
    <x v="0"/>
    <x v="7"/>
    <d v="2013-08-01T00:00:00"/>
    <n v="6"/>
    <x v="1"/>
    <s v="Sanjit Chand"/>
    <x v="0"/>
    <s v="United States"/>
    <s v="Costa Mesa"/>
    <s v="California"/>
    <s v="West"/>
    <x v="0"/>
    <x v="5"/>
    <s v="Deflect-O Glasstique Clear Desk Accessories"/>
    <x v="473"/>
    <n v="9"/>
    <n v="0"/>
    <n v="22.869"/>
  </r>
  <r>
    <n v="501"/>
    <x v="198"/>
    <x v="0"/>
    <x v="5"/>
    <d v="2013-06-05T00:00:00"/>
    <n v="5"/>
    <x v="1"/>
    <s v="Maribeth Yedwab"/>
    <x v="1"/>
    <s v="United States"/>
    <s v="Parker"/>
    <s v="Colorado"/>
    <s v="West"/>
    <x v="1"/>
    <x v="8"/>
    <s v="Vinyl Sectional Post Binders"/>
    <x v="474"/>
    <n v="2"/>
    <n v="0.7"/>
    <n v="-15.08"/>
  </r>
  <r>
    <n v="502"/>
    <x v="198"/>
    <x v="0"/>
    <x v="5"/>
    <d v="2013-06-05T00:00:00"/>
    <n v="5"/>
    <x v="1"/>
    <s v="Maribeth Yedwab"/>
    <x v="1"/>
    <s v="United States"/>
    <s v="Parker"/>
    <s v="Colorado"/>
    <s v="West"/>
    <x v="1"/>
    <x v="8"/>
    <s v="GBC Standard Therm-A-Bind Covers"/>
    <x v="475"/>
    <n v="2"/>
    <n v="0.7"/>
    <n v="-11.961600000000001"/>
  </r>
  <r>
    <n v="503"/>
    <x v="198"/>
    <x v="0"/>
    <x v="5"/>
    <d v="2013-06-05T00:00:00"/>
    <n v="5"/>
    <x v="1"/>
    <s v="Maribeth Yedwab"/>
    <x v="1"/>
    <s v="United States"/>
    <s v="Parker"/>
    <s v="Colorado"/>
    <s v="West"/>
    <x v="0"/>
    <x v="1"/>
    <s v="Global Troy Executive Leather Low-Back Tilter"/>
    <x v="476"/>
    <n v="2"/>
    <n v="0.2"/>
    <n v="50.097999999999999"/>
  </r>
  <r>
    <n v="504"/>
    <x v="198"/>
    <x v="0"/>
    <x v="5"/>
    <d v="2013-06-05T00:00:00"/>
    <n v="5"/>
    <x v="1"/>
    <s v="Maribeth Yedwab"/>
    <x v="1"/>
    <s v="United States"/>
    <s v="Parker"/>
    <s v="Colorado"/>
    <s v="West"/>
    <x v="1"/>
    <x v="8"/>
    <s v="Storex Flexible Poly Binders with Double Pockets"/>
    <x v="477"/>
    <n v="3"/>
    <n v="0.7"/>
    <n v="-1.9008"/>
  </r>
  <r>
    <n v="505"/>
    <x v="198"/>
    <x v="0"/>
    <x v="5"/>
    <d v="2013-06-05T00:00:00"/>
    <n v="5"/>
    <x v="1"/>
    <s v="Maribeth Yedwab"/>
    <x v="1"/>
    <s v="United States"/>
    <s v="Parker"/>
    <s v="Colorado"/>
    <s v="West"/>
    <x v="1"/>
    <x v="10"/>
    <s v="White Dual Perf Computer Printout Paper, 2700 Sheets, 1 Part, Heavyweight, 20 lbs., 14 7/8 x 11"/>
    <x v="478"/>
    <n v="1"/>
    <n v="0.2"/>
    <n v="11.8871"/>
  </r>
  <r>
    <n v="506"/>
    <x v="105"/>
    <x v="3"/>
    <x v="0"/>
    <d v="2014-11-16T00:00:00"/>
    <n v="3"/>
    <x v="0"/>
    <s v="Ed Braxton"/>
    <x v="1"/>
    <s v="United States"/>
    <s v="New York City"/>
    <s v="New York"/>
    <s v="East"/>
    <x v="1"/>
    <x v="8"/>
    <s v="Avery Durable Slant Ring Binders, No Labels"/>
    <x v="204"/>
    <n v="5"/>
    <n v="0.2"/>
    <n v="5.3730000000000002"/>
  </r>
  <r>
    <n v="507"/>
    <x v="199"/>
    <x v="1"/>
    <x v="10"/>
    <d v="2012-03-22T00:00:00"/>
    <n v="6"/>
    <x v="1"/>
    <s v="Christopher Martinez"/>
    <x v="0"/>
    <s v="United States"/>
    <s v="Atlanta"/>
    <s v="Georgia"/>
    <s v="South"/>
    <x v="1"/>
    <x v="6"/>
    <s v="Rogers Handheld Barrel Pencil Sharpener"/>
    <x v="479"/>
    <n v="1"/>
    <n v="0"/>
    <n v="0.73980000000000001"/>
  </r>
  <r>
    <n v="508"/>
    <x v="199"/>
    <x v="1"/>
    <x v="10"/>
    <d v="2012-03-22T00:00:00"/>
    <n v="6"/>
    <x v="1"/>
    <s v="Christopher Martinez"/>
    <x v="0"/>
    <s v="United States"/>
    <s v="Atlanta"/>
    <s v="Georgia"/>
    <s v="South"/>
    <x v="1"/>
    <x v="6"/>
    <s v="Newell 344"/>
    <x v="480"/>
    <n v="3"/>
    <n v="0"/>
    <n v="2.1684000000000001"/>
  </r>
  <r>
    <n v="509"/>
    <x v="199"/>
    <x v="1"/>
    <x v="10"/>
    <d v="2012-03-22T00:00:00"/>
    <n v="6"/>
    <x v="1"/>
    <s v="Christopher Martinez"/>
    <x v="0"/>
    <s v="United States"/>
    <s v="Atlanta"/>
    <s v="Georgia"/>
    <s v="South"/>
    <x v="1"/>
    <x v="4"/>
    <s v="Personal File Boxes with Fold-Down Carry Handle"/>
    <x v="481"/>
    <n v="3"/>
    <n v="0"/>
    <n v="11.685"/>
  </r>
  <r>
    <n v="510"/>
    <x v="199"/>
    <x v="1"/>
    <x v="10"/>
    <d v="2012-03-22T00:00:00"/>
    <n v="6"/>
    <x v="1"/>
    <s v="Christopher Martinez"/>
    <x v="0"/>
    <s v="United States"/>
    <s v="Atlanta"/>
    <s v="Georgia"/>
    <s v="South"/>
    <x v="1"/>
    <x v="8"/>
    <s v="Fellowes PB500 Electric Punch Plastic Comb Binding Machine with Manual Bind"/>
    <x v="482"/>
    <n v="5"/>
    <n v="0"/>
    <n v="3177.4749999999999"/>
  </r>
  <r>
    <n v="511"/>
    <x v="200"/>
    <x v="3"/>
    <x v="0"/>
    <d v="2014-11-28T00:00:00"/>
    <n v="1"/>
    <x v="2"/>
    <s v="Lynn Smith"/>
    <x v="0"/>
    <s v="United States"/>
    <s v="Gladstone"/>
    <s v="Missouri"/>
    <s v="Central"/>
    <x v="0"/>
    <x v="5"/>
    <s v="Executive Impressions Supervisor Wall Clock"/>
    <x v="483"/>
    <n v="3"/>
    <n v="0"/>
    <n v="40.415999999999997"/>
  </r>
  <r>
    <n v="512"/>
    <x v="200"/>
    <x v="3"/>
    <x v="0"/>
    <d v="2014-11-28T00:00:00"/>
    <n v="1"/>
    <x v="2"/>
    <s v="Lynn Smith"/>
    <x v="0"/>
    <s v="United States"/>
    <s v="Gladstone"/>
    <s v="Missouri"/>
    <s v="Central"/>
    <x v="2"/>
    <x v="11"/>
    <s v="SanDisk Cruzer 32 GB USB Flash Drive"/>
    <x v="484"/>
    <n v="2"/>
    <n v="0"/>
    <n v="12.172800000000001"/>
  </r>
  <r>
    <n v="513"/>
    <x v="201"/>
    <x v="0"/>
    <x v="2"/>
    <d v="2013-10-24T00:00:00"/>
    <n v="3"/>
    <x v="2"/>
    <s v="Luke Foster"/>
    <x v="0"/>
    <s v="United States"/>
    <s v="Newark"/>
    <s v="Ohio"/>
    <s v="East"/>
    <x v="1"/>
    <x v="6"/>
    <s v="Premium Writing Pencils, Soft, #2 by Central Association for the Blind"/>
    <x v="485"/>
    <n v="3"/>
    <n v="0.2"/>
    <n v="0.71519999999999995"/>
  </r>
  <r>
    <n v="514"/>
    <x v="202"/>
    <x v="3"/>
    <x v="4"/>
    <d v="2014-12-26T00:00:00"/>
    <n v="4"/>
    <x v="1"/>
    <s v="Bradley Nguyen"/>
    <x v="0"/>
    <s v="United States"/>
    <s v="Los Angeles"/>
    <s v="California"/>
    <s v="West"/>
    <x v="1"/>
    <x v="6"/>
    <s v="Newell 327"/>
    <x v="153"/>
    <n v="3"/>
    <n v="0"/>
    <n v="1.7901"/>
  </r>
  <r>
    <n v="515"/>
    <x v="202"/>
    <x v="3"/>
    <x v="4"/>
    <d v="2014-12-26T00:00:00"/>
    <n v="4"/>
    <x v="1"/>
    <s v="Bradley Nguyen"/>
    <x v="0"/>
    <s v="United States"/>
    <s v="Los Angeles"/>
    <s v="California"/>
    <s v="West"/>
    <x v="1"/>
    <x v="6"/>
    <s v="Newell 317"/>
    <x v="486"/>
    <n v="2"/>
    <n v="0"/>
    <n v="1.7052"/>
  </r>
  <r>
    <n v="516"/>
    <x v="203"/>
    <x v="3"/>
    <x v="9"/>
    <d v="2014-01-28T00:00:00"/>
    <n v="5"/>
    <x v="1"/>
    <s v="Alan Dominguez"/>
    <x v="2"/>
    <s v="United States"/>
    <s v="Great Falls"/>
    <s v="Montana"/>
    <s v="West"/>
    <x v="2"/>
    <x v="16"/>
    <s v="Canon Image Class D660 Copier"/>
    <x v="487"/>
    <n v="5"/>
    <n v="0"/>
    <n v="1379.9770000000001"/>
  </r>
  <r>
    <n v="517"/>
    <x v="203"/>
    <x v="3"/>
    <x v="9"/>
    <d v="2014-01-28T00:00:00"/>
    <n v="5"/>
    <x v="1"/>
    <s v="Alan Dominguez"/>
    <x v="2"/>
    <s v="United States"/>
    <s v="Great Falls"/>
    <s v="Montana"/>
    <s v="West"/>
    <x v="1"/>
    <x v="4"/>
    <s v="Advantus Rolling Storage Box"/>
    <x v="488"/>
    <n v="3"/>
    <n v="0"/>
    <n v="13.891500000000001"/>
  </r>
  <r>
    <n v="518"/>
    <x v="203"/>
    <x v="3"/>
    <x v="9"/>
    <d v="2014-01-28T00:00:00"/>
    <n v="5"/>
    <x v="1"/>
    <s v="Alan Dominguez"/>
    <x v="2"/>
    <s v="United States"/>
    <s v="Great Falls"/>
    <s v="Montana"/>
    <s v="West"/>
    <x v="1"/>
    <x v="10"/>
    <s v="Great White Multi-Use Recycled Paper (20Lb. and 84 Bright)"/>
    <x v="489"/>
    <n v="2"/>
    <n v="0"/>
    <n v="5.3819999999999997"/>
  </r>
  <r>
    <n v="519"/>
    <x v="203"/>
    <x v="3"/>
    <x v="9"/>
    <d v="2014-01-28T00:00:00"/>
    <n v="5"/>
    <x v="1"/>
    <s v="Alan Dominguez"/>
    <x v="2"/>
    <s v="United States"/>
    <s v="Great Falls"/>
    <s v="Montana"/>
    <s v="West"/>
    <x v="1"/>
    <x v="4"/>
    <s v="Tennsco Single-Tier Lockers"/>
    <x v="490"/>
    <n v="3"/>
    <n v="0"/>
    <n v="56.301000000000002"/>
  </r>
  <r>
    <n v="520"/>
    <x v="204"/>
    <x v="1"/>
    <x v="10"/>
    <d v="2012-03-26T00:00:00"/>
    <n v="4"/>
    <x v="1"/>
    <s v="Dean Braden"/>
    <x v="0"/>
    <s v="United States"/>
    <s v="Houston"/>
    <s v="Texas"/>
    <s v="Central"/>
    <x v="2"/>
    <x v="11"/>
    <s v="Verbatim 25 GB 6x Blu-ray Single Layer Recordable Disc, 25/Pack"/>
    <x v="491"/>
    <n v="1"/>
    <n v="0.2"/>
    <n v="5.2877000000000001"/>
  </r>
  <r>
    <n v="521"/>
    <x v="204"/>
    <x v="1"/>
    <x v="10"/>
    <d v="2012-03-26T00:00:00"/>
    <n v="4"/>
    <x v="1"/>
    <s v="Dean Braden"/>
    <x v="0"/>
    <s v="United States"/>
    <s v="Houston"/>
    <s v="Texas"/>
    <s v="Central"/>
    <x v="1"/>
    <x v="4"/>
    <s v="Carina Double Wide Media Storage Towers in Natural &amp; Black"/>
    <x v="431"/>
    <n v="2"/>
    <n v="0.2"/>
    <n v="-25.913599999999999"/>
  </r>
  <r>
    <n v="522"/>
    <x v="204"/>
    <x v="1"/>
    <x v="10"/>
    <d v="2012-03-26T00:00:00"/>
    <n v="4"/>
    <x v="1"/>
    <s v="Dean Braden"/>
    <x v="0"/>
    <s v="United States"/>
    <s v="Houston"/>
    <s v="Texas"/>
    <s v="Central"/>
    <x v="1"/>
    <x v="8"/>
    <s v="XtraLife ClearVue Slant-D Ring Binders by Cardinal"/>
    <x v="492"/>
    <n v="9"/>
    <n v="0.8"/>
    <n v="-21.167999999999999"/>
  </r>
  <r>
    <n v="523"/>
    <x v="205"/>
    <x v="3"/>
    <x v="9"/>
    <d v="2014-01-26T00:00:00"/>
    <n v="2"/>
    <x v="2"/>
    <s v="Matt Connell"/>
    <x v="1"/>
    <s v="United States"/>
    <s v="Detroit"/>
    <s v="Michigan"/>
    <s v="Central"/>
    <x v="0"/>
    <x v="3"/>
    <s v="Balt Solid Wood Rectangular Table"/>
    <x v="493"/>
    <n v="2"/>
    <n v="0"/>
    <n v="21.097999999999999"/>
  </r>
  <r>
    <n v="524"/>
    <x v="206"/>
    <x v="0"/>
    <x v="5"/>
    <d v="2013-05-24T00:00:00"/>
    <n v="2"/>
    <x v="2"/>
    <s v="Logan Haushalter"/>
    <x v="0"/>
    <s v="United States"/>
    <s v="Los Angeles"/>
    <s v="California"/>
    <s v="West"/>
    <x v="2"/>
    <x v="7"/>
    <s v="Motorola HK250 Universal Bluetooth Headset"/>
    <x v="494"/>
    <n v="3"/>
    <n v="0.2"/>
    <n v="-12.4146"/>
  </r>
  <r>
    <n v="525"/>
    <x v="206"/>
    <x v="0"/>
    <x v="5"/>
    <d v="2013-05-24T00:00:00"/>
    <n v="2"/>
    <x v="2"/>
    <s v="Logan Haushalter"/>
    <x v="0"/>
    <s v="United States"/>
    <s v="Los Angeles"/>
    <s v="California"/>
    <s v="West"/>
    <x v="2"/>
    <x v="11"/>
    <s v="Imation 16GB Mini TravelDrive USB 2.0 Flash Drive"/>
    <x v="495"/>
    <n v="2"/>
    <n v="0"/>
    <n v="27.166599999999999"/>
  </r>
  <r>
    <n v="526"/>
    <x v="207"/>
    <x v="1"/>
    <x v="4"/>
    <d v="2013-01-02T00:00:00"/>
    <n v="7"/>
    <x v="1"/>
    <s v="Brian Dahlen"/>
    <x v="0"/>
    <s v="United States"/>
    <s v="Lawrence"/>
    <s v="Massachusetts"/>
    <s v="East"/>
    <x v="1"/>
    <x v="13"/>
    <s v="Staples"/>
    <x v="496"/>
    <n v="5"/>
    <n v="0"/>
    <n v="10.433999999999999"/>
  </r>
  <r>
    <n v="527"/>
    <x v="208"/>
    <x v="3"/>
    <x v="2"/>
    <d v="2014-10-27T00:00:00"/>
    <n v="5"/>
    <x v="1"/>
    <s v="Patricia Hirasaki"/>
    <x v="2"/>
    <s v="United States"/>
    <s v="Lakeland"/>
    <s v="Florida"/>
    <s v="South"/>
    <x v="0"/>
    <x v="1"/>
    <s v="Global Commerce Series High-Back Swivel/Tilt Chairs"/>
    <x v="497"/>
    <n v="3"/>
    <n v="0.2"/>
    <n v="42.747"/>
  </r>
  <r>
    <n v="528"/>
    <x v="208"/>
    <x v="3"/>
    <x v="2"/>
    <d v="2014-10-27T00:00:00"/>
    <n v="5"/>
    <x v="1"/>
    <s v="Patricia Hirasaki"/>
    <x v="2"/>
    <s v="United States"/>
    <s v="Lakeland"/>
    <s v="Florida"/>
    <s v="South"/>
    <x v="0"/>
    <x v="5"/>
    <s v="Eldon Expressions Desk Accessory, Wood Photo Frame, Mahogany"/>
    <x v="498"/>
    <n v="3"/>
    <n v="0.2"/>
    <n v="5.1407999999999996"/>
  </r>
  <r>
    <n v="529"/>
    <x v="37"/>
    <x v="1"/>
    <x v="8"/>
    <d v="2012-09-07T00:00:00"/>
    <n v="4"/>
    <x v="1"/>
    <s v="Mike Gockenbach"/>
    <x v="0"/>
    <s v="United States"/>
    <s v="Philadelphia"/>
    <s v="Pennsylvania"/>
    <s v="East"/>
    <x v="1"/>
    <x v="4"/>
    <s v="Eldon Gobal File Keepers"/>
    <x v="499"/>
    <n v="3"/>
    <n v="0.2"/>
    <n v="-7.2671999999999999"/>
  </r>
  <r>
    <n v="530"/>
    <x v="37"/>
    <x v="1"/>
    <x v="8"/>
    <d v="2012-09-07T00:00:00"/>
    <n v="4"/>
    <x v="1"/>
    <s v="Mike Gockenbach"/>
    <x v="0"/>
    <s v="United States"/>
    <s v="Philadelphia"/>
    <s v="Pennsylvania"/>
    <s v="East"/>
    <x v="1"/>
    <x v="14"/>
    <s v="Martin Yale Chadless Opener Electric Letter Opener"/>
    <x v="500"/>
    <n v="1"/>
    <n v="0.2"/>
    <n v="-149.9058"/>
  </r>
  <r>
    <n v="531"/>
    <x v="37"/>
    <x v="1"/>
    <x v="8"/>
    <d v="2012-09-07T00:00:00"/>
    <n v="4"/>
    <x v="1"/>
    <s v="Mike Gockenbach"/>
    <x v="0"/>
    <s v="United States"/>
    <s v="Philadelphia"/>
    <s v="Pennsylvania"/>
    <s v="East"/>
    <x v="1"/>
    <x v="12"/>
    <s v="White Business Envelopes with Contemporary Seam, Recycled White Business Envelopes"/>
    <x v="501"/>
    <n v="6"/>
    <n v="0.2"/>
    <n v="19.692"/>
  </r>
  <r>
    <n v="532"/>
    <x v="209"/>
    <x v="1"/>
    <x v="0"/>
    <d v="2012-11-09T00:00:00"/>
    <n v="2"/>
    <x v="0"/>
    <s v="Karen Bern"/>
    <x v="1"/>
    <s v="United States"/>
    <s v="Los Angeles"/>
    <s v="California"/>
    <s v="West"/>
    <x v="0"/>
    <x v="1"/>
    <s v="Safco Contoured Stacking Chairs"/>
    <x v="502"/>
    <n v="1"/>
    <n v="0.2"/>
    <n v="11.92"/>
  </r>
  <r>
    <n v="533"/>
    <x v="210"/>
    <x v="3"/>
    <x v="8"/>
    <d v="2014-09-12T00:00:00"/>
    <n v="4"/>
    <x v="1"/>
    <s v="Jasper Cacioppo"/>
    <x v="0"/>
    <s v="United States"/>
    <s v="Los Angeles"/>
    <s v="California"/>
    <s v="West"/>
    <x v="0"/>
    <x v="5"/>
    <s v="Tenex Chairmats For Use With Carpeted Floors"/>
    <x v="503"/>
    <n v="3"/>
    <n v="0"/>
    <n v="2.3969999999999998"/>
  </r>
  <r>
    <n v="534"/>
    <x v="211"/>
    <x v="0"/>
    <x v="5"/>
    <d v="2013-06-02T00:00:00"/>
    <n v="3"/>
    <x v="0"/>
    <s v="Rob Lucas"/>
    <x v="0"/>
    <s v="United States"/>
    <s v="Montgomery"/>
    <s v="Alabama"/>
    <s v="South"/>
    <x v="2"/>
    <x v="7"/>
    <s v="Panasonic KX-TG9471B"/>
    <x v="504"/>
    <n v="5"/>
    <n v="0"/>
    <n v="274.38600000000002"/>
  </r>
  <r>
    <n v="535"/>
    <x v="211"/>
    <x v="0"/>
    <x v="5"/>
    <d v="2013-06-02T00:00:00"/>
    <n v="3"/>
    <x v="0"/>
    <s v="Rob Lucas"/>
    <x v="0"/>
    <s v="United States"/>
    <s v="Montgomery"/>
    <s v="Alabama"/>
    <s v="South"/>
    <x v="1"/>
    <x v="8"/>
    <s v="Presstex Flexible Ring Binders"/>
    <x v="505"/>
    <n v="5"/>
    <n v="0"/>
    <n v="11.375"/>
  </r>
  <r>
    <n v="536"/>
    <x v="212"/>
    <x v="0"/>
    <x v="7"/>
    <d v="2013-07-17T00:00:00"/>
    <n v="6"/>
    <x v="1"/>
    <s v="Allen Armold"/>
    <x v="0"/>
    <s v="United States"/>
    <s v="Mesa"/>
    <s v="Arizona"/>
    <s v="West"/>
    <x v="1"/>
    <x v="4"/>
    <s v="Sterilite Officeware Hinged File Box"/>
    <x v="506"/>
    <n v="2"/>
    <n v="0.2"/>
    <n v="1.4672000000000001"/>
  </r>
  <r>
    <n v="537"/>
    <x v="213"/>
    <x v="3"/>
    <x v="8"/>
    <d v="2014-09-09T00:00:00"/>
    <n v="5"/>
    <x v="0"/>
    <s v="Emily Phan"/>
    <x v="0"/>
    <s v="United States"/>
    <s v="Chicago"/>
    <s v="Illinois"/>
    <s v="Central"/>
    <x v="1"/>
    <x v="8"/>
    <s v="Premier Elliptical Ring Binder, Black"/>
    <x v="507"/>
    <n v="7"/>
    <n v="0.8"/>
    <n v="-68.185599999999994"/>
  </r>
  <r>
    <n v="538"/>
    <x v="155"/>
    <x v="1"/>
    <x v="4"/>
    <d v="2012-12-08T00:00:00"/>
    <n v="5"/>
    <x v="1"/>
    <s v="Mark Packer"/>
    <x v="2"/>
    <s v="United States"/>
    <s v="New York City"/>
    <s v="New York"/>
    <s v="East"/>
    <x v="1"/>
    <x v="8"/>
    <s v="Cardinal Poly Pocket Divider Pockets for Ring Binders"/>
    <x v="508"/>
    <n v="4"/>
    <n v="0.2"/>
    <n v="3.36"/>
  </r>
  <r>
    <n v="539"/>
    <x v="214"/>
    <x v="1"/>
    <x v="4"/>
    <d v="2012-12-11T00:00:00"/>
    <n v="4"/>
    <x v="1"/>
    <s v="Darren Koutras"/>
    <x v="0"/>
    <s v="United States"/>
    <s v="Henderson"/>
    <s v="Kentucky"/>
    <s v="South"/>
    <x v="1"/>
    <x v="9"/>
    <s v="Eureka The Boss Cordless Rechargeable Stick Vac"/>
    <x v="509"/>
    <n v="3"/>
    <n v="0"/>
    <n v="41.293799999999997"/>
  </r>
  <r>
    <n v="540"/>
    <x v="214"/>
    <x v="1"/>
    <x v="4"/>
    <d v="2012-12-11T00:00:00"/>
    <n v="4"/>
    <x v="1"/>
    <s v="Darren Koutras"/>
    <x v="0"/>
    <s v="United States"/>
    <s v="Henderson"/>
    <s v="Kentucky"/>
    <s v="South"/>
    <x v="0"/>
    <x v="1"/>
    <s v="Situations Contoured Folding Chairs, 4/Set"/>
    <x v="510"/>
    <n v="4"/>
    <n v="0"/>
    <n v="70.98"/>
  </r>
  <r>
    <n v="541"/>
    <x v="215"/>
    <x v="2"/>
    <x v="11"/>
    <d v="2011-02-04T00:00:00"/>
    <n v="2"/>
    <x v="2"/>
    <s v="Bradley Drucker"/>
    <x v="0"/>
    <s v="United States"/>
    <s v="Green Bay"/>
    <s v="Wisconsin"/>
    <s v="Central"/>
    <x v="2"/>
    <x v="11"/>
    <s v="Enermax Aurora Lite Keyboard"/>
    <x v="511"/>
    <n v="6"/>
    <n v="0"/>
    <n v="206.316"/>
  </r>
  <r>
    <n v="542"/>
    <x v="216"/>
    <x v="0"/>
    <x v="7"/>
    <d v="2013-07-18T00:00:00"/>
    <n v="3"/>
    <x v="2"/>
    <s v="Erin Smith"/>
    <x v="1"/>
    <s v="United States"/>
    <s v="Tucson"/>
    <s v="Arizona"/>
    <s v="West"/>
    <x v="2"/>
    <x v="7"/>
    <s v="LG Electronics Tone+ HBS-730 Bluetooth Headset"/>
    <x v="512"/>
    <n v="8"/>
    <n v="0.2"/>
    <n v="38.086399999999998"/>
  </r>
  <r>
    <n v="543"/>
    <x v="217"/>
    <x v="1"/>
    <x v="4"/>
    <d v="2012-12-23T00:00:00"/>
    <n v="5"/>
    <x v="1"/>
    <s v="Liz MacKendrick"/>
    <x v="0"/>
    <s v="United States"/>
    <s v="Springfield"/>
    <s v="Ohio"/>
    <s v="East"/>
    <x v="1"/>
    <x v="4"/>
    <s v="Fellowes Officeware Wire Shelving"/>
    <x v="513"/>
    <n v="9"/>
    <n v="0.2"/>
    <n v="-145.52459999999999"/>
  </r>
  <r>
    <n v="544"/>
    <x v="218"/>
    <x v="2"/>
    <x v="5"/>
    <d v="2011-05-16T00:00:00"/>
    <n v="5"/>
    <x v="1"/>
    <s v="Paul Gonzalez"/>
    <x v="0"/>
    <s v="United States"/>
    <s v="Fort Worth"/>
    <s v="Texas"/>
    <s v="Central"/>
    <x v="2"/>
    <x v="11"/>
    <s v="SanDisk Cruzer 64 GB USB Flash Drive"/>
    <x v="514"/>
    <n v="2"/>
    <n v="0.2"/>
    <n v="7.2640000000000002"/>
  </r>
  <r>
    <n v="545"/>
    <x v="218"/>
    <x v="2"/>
    <x v="5"/>
    <d v="2011-05-16T00:00:00"/>
    <n v="5"/>
    <x v="1"/>
    <s v="Paul Gonzalez"/>
    <x v="0"/>
    <s v="United States"/>
    <s v="Fort Worth"/>
    <s v="Texas"/>
    <s v="Central"/>
    <x v="2"/>
    <x v="7"/>
    <s v="Xblue XB-1670-86 X16 Small Office Telephone - Titanium"/>
    <x v="515"/>
    <n v="1"/>
    <n v="0.2"/>
    <n v="6.2995000000000001"/>
  </r>
  <r>
    <n v="546"/>
    <x v="218"/>
    <x v="2"/>
    <x v="5"/>
    <d v="2011-05-16T00:00:00"/>
    <n v="5"/>
    <x v="1"/>
    <s v="Paul Gonzalez"/>
    <x v="0"/>
    <s v="United States"/>
    <s v="Fort Worth"/>
    <s v="Texas"/>
    <s v="Central"/>
    <x v="0"/>
    <x v="5"/>
    <s v="Deflect-o EconoMat Studded, No Bevel Mat for Low Pile Carpeting"/>
    <x v="516"/>
    <n v="4"/>
    <n v="0.6"/>
    <n v="-84.2928"/>
  </r>
  <r>
    <n v="547"/>
    <x v="123"/>
    <x v="3"/>
    <x v="0"/>
    <d v="2014-11-23T00:00:00"/>
    <n v="3"/>
    <x v="2"/>
    <s v="Adrian Shami"/>
    <x v="2"/>
    <s v="United States"/>
    <s v="New York City"/>
    <s v="New York"/>
    <s v="East"/>
    <x v="1"/>
    <x v="8"/>
    <s v="Avery Printable Repositionable Plastic Tabs"/>
    <x v="517"/>
    <n v="6"/>
    <n v="0.2"/>
    <n v="13.932"/>
  </r>
  <r>
    <n v="548"/>
    <x v="123"/>
    <x v="3"/>
    <x v="0"/>
    <d v="2014-11-23T00:00:00"/>
    <n v="3"/>
    <x v="2"/>
    <s v="Adrian Shami"/>
    <x v="2"/>
    <s v="United States"/>
    <s v="New York City"/>
    <s v="New York"/>
    <s v="East"/>
    <x v="1"/>
    <x v="10"/>
    <s v="Xerox 1898"/>
    <x v="518"/>
    <n v="2"/>
    <n v="0"/>
    <n v="6.4127999999999998"/>
  </r>
  <r>
    <n v="549"/>
    <x v="219"/>
    <x v="1"/>
    <x v="0"/>
    <d v="2012-11-17T00:00:00"/>
    <n v="2"/>
    <x v="0"/>
    <s v="Dean Katz"/>
    <x v="1"/>
    <s v="United States"/>
    <s v="Chicago"/>
    <s v="Illinois"/>
    <s v="Central"/>
    <x v="1"/>
    <x v="4"/>
    <s v="Home/Office Personal File Carts"/>
    <x v="519"/>
    <n v="9"/>
    <n v="0.2"/>
    <n v="15.641999999999999"/>
  </r>
  <r>
    <n v="550"/>
    <x v="219"/>
    <x v="1"/>
    <x v="0"/>
    <d v="2012-11-17T00:00:00"/>
    <n v="2"/>
    <x v="0"/>
    <s v="Dean Katz"/>
    <x v="1"/>
    <s v="United States"/>
    <s v="Chicago"/>
    <s v="Illinois"/>
    <s v="Central"/>
    <x v="1"/>
    <x v="8"/>
    <s v="Flexible Leather- Look Classic Collection Ring Binder"/>
    <x v="520"/>
    <n v="3"/>
    <n v="0.8"/>
    <n v="-17.045999999999999"/>
  </r>
  <r>
    <n v="551"/>
    <x v="219"/>
    <x v="1"/>
    <x v="0"/>
    <d v="2012-11-17T00:00:00"/>
    <n v="2"/>
    <x v="0"/>
    <s v="Dean Katz"/>
    <x v="1"/>
    <s v="United States"/>
    <s v="Chicago"/>
    <s v="Illinois"/>
    <s v="Central"/>
    <x v="1"/>
    <x v="14"/>
    <s v="Staples"/>
    <x v="521"/>
    <n v="5"/>
    <n v="0.2"/>
    <n v="-1.744"/>
  </r>
  <r>
    <n v="552"/>
    <x v="173"/>
    <x v="0"/>
    <x v="3"/>
    <d v="2013-04-18T00:00:00"/>
    <n v="2"/>
    <x v="0"/>
    <s v="Bill Donatelli"/>
    <x v="0"/>
    <s v="United States"/>
    <s v="San Francisco"/>
    <s v="California"/>
    <s v="West"/>
    <x v="0"/>
    <x v="1"/>
    <s v="HON 5400 Series Task Chairs for Big and Tall"/>
    <x v="522"/>
    <n v="2"/>
    <n v="0.2"/>
    <n v="0"/>
  </r>
  <r>
    <n v="553"/>
    <x v="220"/>
    <x v="3"/>
    <x v="8"/>
    <d v="2014-09-13T00:00:00"/>
    <n v="1"/>
    <x v="2"/>
    <s v="Ryan Crowe"/>
    <x v="0"/>
    <s v="United States"/>
    <s v="Jacksonville"/>
    <s v="Florida"/>
    <s v="South"/>
    <x v="0"/>
    <x v="5"/>
    <s v="Howard Miller 11-1/2&quot; Diameter Grantwood Wall Clock"/>
    <x v="523"/>
    <n v="1"/>
    <n v="0.2"/>
    <n v="6.0381999999999998"/>
  </r>
  <r>
    <n v="554"/>
    <x v="221"/>
    <x v="3"/>
    <x v="0"/>
    <d v="2014-11-29T00:00:00"/>
    <n v="4"/>
    <x v="1"/>
    <s v="Greg Tran"/>
    <x v="0"/>
    <s v="United States"/>
    <s v="Houston"/>
    <s v="Texas"/>
    <s v="Central"/>
    <x v="1"/>
    <x v="13"/>
    <s v="Advantus T-Pin Paper Clips"/>
    <x v="524"/>
    <n v="3"/>
    <n v="0.2"/>
    <n v="2.5707"/>
  </r>
  <r>
    <n v="555"/>
    <x v="222"/>
    <x v="3"/>
    <x v="1"/>
    <d v="2014-07-04T00:00:00"/>
    <n v="4"/>
    <x v="0"/>
    <s v="Dean Katz"/>
    <x v="1"/>
    <s v="United States"/>
    <s v="Anaheim"/>
    <s v="California"/>
    <s v="West"/>
    <x v="1"/>
    <x v="4"/>
    <s v="Tennsco 16-Compartment Lockers with Coat Rack"/>
    <x v="525"/>
    <n v="2"/>
    <n v="0"/>
    <n v="310.98719999999997"/>
  </r>
  <r>
    <n v="556"/>
    <x v="223"/>
    <x v="2"/>
    <x v="10"/>
    <d v="2011-03-07T00:00:00"/>
    <n v="4"/>
    <x v="0"/>
    <s v="Ashley Jarboe"/>
    <x v="0"/>
    <s v="United States"/>
    <s v="Wilmington"/>
    <s v="North Carolina"/>
    <s v="South"/>
    <x v="1"/>
    <x v="6"/>
    <s v="Zebra Zazzle Fluorescent Highlighters"/>
    <x v="526"/>
    <n v="4"/>
    <n v="0.2"/>
    <n v="3.4047999999999998"/>
  </r>
  <r>
    <n v="557"/>
    <x v="224"/>
    <x v="0"/>
    <x v="1"/>
    <d v="2013-06-16T00:00:00"/>
    <n v="5"/>
    <x v="1"/>
    <s v="Olvera Toch"/>
    <x v="0"/>
    <s v="United States"/>
    <s v="Los Angeles"/>
    <s v="California"/>
    <s v="West"/>
    <x v="1"/>
    <x v="2"/>
    <s v="Avery 473"/>
    <x v="343"/>
    <n v="2"/>
    <n v="0"/>
    <n v="9.9359999999999999"/>
  </r>
  <r>
    <n v="558"/>
    <x v="224"/>
    <x v="0"/>
    <x v="1"/>
    <d v="2013-06-16T00:00:00"/>
    <n v="5"/>
    <x v="1"/>
    <s v="Olvera Toch"/>
    <x v="0"/>
    <s v="United States"/>
    <s v="Los Angeles"/>
    <s v="California"/>
    <s v="West"/>
    <x v="0"/>
    <x v="3"/>
    <s v="Bretford “Just In Time” Height-Adjustable Multi-Task Work Tables"/>
    <x v="527"/>
    <n v="4"/>
    <n v="0.2"/>
    <n v="-217.048"/>
  </r>
  <r>
    <n v="559"/>
    <x v="224"/>
    <x v="0"/>
    <x v="1"/>
    <d v="2013-06-16T00:00:00"/>
    <n v="5"/>
    <x v="1"/>
    <s v="Olvera Toch"/>
    <x v="0"/>
    <s v="United States"/>
    <s v="Los Angeles"/>
    <s v="California"/>
    <s v="West"/>
    <x v="1"/>
    <x v="10"/>
    <s v="Xerox 226"/>
    <x v="56"/>
    <n v="5"/>
    <n v="0"/>
    <n v="15.552"/>
  </r>
  <r>
    <n v="560"/>
    <x v="225"/>
    <x v="3"/>
    <x v="0"/>
    <d v="2014-11-23T00:00:00"/>
    <n v="2"/>
    <x v="0"/>
    <s v="Liz Pelletier"/>
    <x v="0"/>
    <s v="United States"/>
    <s v="San Francisco"/>
    <s v="California"/>
    <s v="West"/>
    <x v="0"/>
    <x v="5"/>
    <s v="Coloredge Poster Frame"/>
    <x v="528"/>
    <n v="3"/>
    <n v="0"/>
    <n v="16.614000000000001"/>
  </r>
  <r>
    <n v="561"/>
    <x v="225"/>
    <x v="3"/>
    <x v="0"/>
    <d v="2014-11-23T00:00:00"/>
    <n v="2"/>
    <x v="0"/>
    <s v="Liz Pelletier"/>
    <x v="0"/>
    <s v="United States"/>
    <s v="San Francisco"/>
    <s v="California"/>
    <s v="West"/>
    <x v="1"/>
    <x v="8"/>
    <s v="GBC Prepunched Paper, 19-Hole, for Binding Systems, 24-lb"/>
    <x v="529"/>
    <n v="7"/>
    <n v="0.2"/>
    <n v="27.318200000000001"/>
  </r>
  <r>
    <n v="562"/>
    <x v="80"/>
    <x v="2"/>
    <x v="8"/>
    <d v="2011-09-18T00:00:00"/>
    <n v="4"/>
    <x v="0"/>
    <s v="Cynthia Arntzen"/>
    <x v="0"/>
    <s v="United States"/>
    <s v="Tampa"/>
    <s v="Florida"/>
    <s v="South"/>
    <x v="1"/>
    <x v="9"/>
    <s v="Sanitaire Vibra Groomer IR Commercial Upright Vacuum, Replacement Belts"/>
    <x v="530"/>
    <n v="5"/>
    <n v="0.2"/>
    <n v="1.3"/>
  </r>
  <r>
    <n v="563"/>
    <x v="80"/>
    <x v="2"/>
    <x v="8"/>
    <d v="2011-09-18T00:00:00"/>
    <n v="4"/>
    <x v="0"/>
    <s v="Cynthia Arntzen"/>
    <x v="0"/>
    <s v="United States"/>
    <s v="Tampa"/>
    <s v="Florida"/>
    <s v="South"/>
    <x v="0"/>
    <x v="5"/>
    <s v="Advantus Panel Wall Acrylic Frame"/>
    <x v="531"/>
    <n v="3"/>
    <n v="0.2"/>
    <n v="3.7743000000000002"/>
  </r>
  <r>
    <n v="564"/>
    <x v="214"/>
    <x v="1"/>
    <x v="4"/>
    <d v="2012-12-09T00:00:00"/>
    <n v="2"/>
    <x v="2"/>
    <s v="Jeremy Farry"/>
    <x v="0"/>
    <s v="United States"/>
    <s v="Seattle"/>
    <s v="Washington"/>
    <s v="West"/>
    <x v="1"/>
    <x v="13"/>
    <s v="Alliance Big Bands Rubber Bands, 12/Pack"/>
    <x v="532"/>
    <n v="2"/>
    <n v="0"/>
    <n v="0"/>
  </r>
  <r>
    <n v="565"/>
    <x v="214"/>
    <x v="1"/>
    <x v="4"/>
    <d v="2012-12-09T00:00:00"/>
    <n v="2"/>
    <x v="2"/>
    <s v="Jeremy Farry"/>
    <x v="0"/>
    <s v="United States"/>
    <s v="Seattle"/>
    <s v="Washington"/>
    <s v="West"/>
    <x v="1"/>
    <x v="2"/>
    <s v="Avery 509"/>
    <x v="533"/>
    <n v="1"/>
    <n v="0"/>
    <n v="1.2005999999999999"/>
  </r>
  <r>
    <n v="566"/>
    <x v="226"/>
    <x v="3"/>
    <x v="4"/>
    <d v="2014-12-11T00:00:00"/>
    <n v="3"/>
    <x v="2"/>
    <s v="Frank Preis"/>
    <x v="0"/>
    <s v="United States"/>
    <s v="Los Angeles"/>
    <s v="California"/>
    <s v="West"/>
    <x v="2"/>
    <x v="7"/>
    <s v="Cisco SPA301"/>
    <x v="534"/>
    <n v="3"/>
    <n v="0.2"/>
    <n v="46.796999999999997"/>
  </r>
  <r>
    <n v="567"/>
    <x v="172"/>
    <x v="3"/>
    <x v="2"/>
    <d v="2014-10-09T00:00:00"/>
    <n v="7"/>
    <x v="1"/>
    <s v="Ellis Ballard"/>
    <x v="1"/>
    <s v="United States"/>
    <s v="Seattle"/>
    <s v="Washington"/>
    <s v="West"/>
    <x v="1"/>
    <x v="10"/>
    <s v="Personal Creations Ink Jet Cards and Labels"/>
    <x v="535"/>
    <n v="8"/>
    <n v="0"/>
    <n v="45.001600000000003"/>
  </r>
  <r>
    <n v="568"/>
    <x v="172"/>
    <x v="3"/>
    <x v="2"/>
    <d v="2014-10-09T00:00:00"/>
    <n v="7"/>
    <x v="1"/>
    <s v="Ellis Ballard"/>
    <x v="1"/>
    <s v="United States"/>
    <s v="Seattle"/>
    <s v="Washington"/>
    <s v="West"/>
    <x v="1"/>
    <x v="8"/>
    <s v="GBC White Gloss Covers, Plain Front"/>
    <x v="536"/>
    <n v="7"/>
    <n v="0.2"/>
    <n v="27.3672"/>
  </r>
  <r>
    <n v="569"/>
    <x v="172"/>
    <x v="3"/>
    <x v="2"/>
    <d v="2014-10-09T00:00:00"/>
    <n v="7"/>
    <x v="1"/>
    <s v="Ellis Ballard"/>
    <x v="1"/>
    <s v="United States"/>
    <s v="Seattle"/>
    <s v="Washington"/>
    <s v="West"/>
    <x v="1"/>
    <x v="10"/>
    <s v="Xerox 222"/>
    <x v="537"/>
    <n v="3"/>
    <n v="0"/>
    <n v="9.3312000000000008"/>
  </r>
  <r>
    <n v="570"/>
    <x v="172"/>
    <x v="3"/>
    <x v="2"/>
    <d v="2014-10-09T00:00:00"/>
    <n v="7"/>
    <x v="1"/>
    <s v="Ellis Ballard"/>
    <x v="1"/>
    <s v="United States"/>
    <s v="Seattle"/>
    <s v="Washington"/>
    <s v="West"/>
    <x v="0"/>
    <x v="1"/>
    <s v="Hon Every-Day Series Multi-Task Chairs"/>
    <x v="538"/>
    <n v="3"/>
    <n v="0.2"/>
    <n v="0"/>
  </r>
  <r>
    <n v="571"/>
    <x v="116"/>
    <x v="3"/>
    <x v="4"/>
    <d v="2015-01-05T00:00:00"/>
    <n v="7"/>
    <x v="1"/>
    <s v="Jennifer Ferguson"/>
    <x v="0"/>
    <s v="United States"/>
    <s v="New York City"/>
    <s v="New York"/>
    <s v="East"/>
    <x v="1"/>
    <x v="2"/>
    <s v="Avery 473"/>
    <x v="539"/>
    <n v="7"/>
    <n v="0"/>
    <n v="34.776000000000003"/>
  </r>
  <r>
    <n v="572"/>
    <x v="116"/>
    <x v="3"/>
    <x v="4"/>
    <d v="2015-01-05T00:00:00"/>
    <n v="7"/>
    <x v="1"/>
    <s v="Jennifer Ferguson"/>
    <x v="0"/>
    <s v="United States"/>
    <s v="New York City"/>
    <s v="New York"/>
    <s v="East"/>
    <x v="1"/>
    <x v="13"/>
    <s v="OIC Bulk Pack Metal Binder Clips"/>
    <x v="540"/>
    <n v="4"/>
    <n v="0"/>
    <n v="6.4215999999999998"/>
  </r>
  <r>
    <n v="573"/>
    <x v="116"/>
    <x v="3"/>
    <x v="4"/>
    <d v="2015-01-05T00:00:00"/>
    <n v="7"/>
    <x v="1"/>
    <s v="Jennifer Ferguson"/>
    <x v="0"/>
    <s v="United States"/>
    <s v="New York City"/>
    <s v="New York"/>
    <s v="East"/>
    <x v="1"/>
    <x v="8"/>
    <s v="Storex Dura Pro Binders"/>
    <x v="541"/>
    <n v="7"/>
    <n v="0.2"/>
    <n v="11.226599999999999"/>
  </r>
  <r>
    <n v="574"/>
    <x v="116"/>
    <x v="3"/>
    <x v="4"/>
    <d v="2015-01-05T00:00:00"/>
    <n v="7"/>
    <x v="1"/>
    <s v="Jennifer Ferguson"/>
    <x v="0"/>
    <s v="United States"/>
    <s v="New York City"/>
    <s v="New York"/>
    <s v="East"/>
    <x v="2"/>
    <x v="7"/>
    <s v="Cush Cases Heavy Duty Rugged Cover Case for Samsung Galaxy S5 - Purple"/>
    <x v="542"/>
    <n v="3"/>
    <n v="0"/>
    <n v="4.0095000000000001"/>
  </r>
  <r>
    <n v="575"/>
    <x v="54"/>
    <x v="0"/>
    <x v="0"/>
    <d v="2013-11-08T00:00:00"/>
    <n v="4"/>
    <x v="1"/>
    <s v="Sarah Foster"/>
    <x v="0"/>
    <s v="United States"/>
    <s v="Marysville"/>
    <s v="Washington"/>
    <s v="West"/>
    <x v="1"/>
    <x v="6"/>
    <s v="Newell 332"/>
    <x v="138"/>
    <n v="3"/>
    <n v="0"/>
    <n v="2.3814000000000002"/>
  </r>
  <r>
    <n v="576"/>
    <x v="227"/>
    <x v="1"/>
    <x v="8"/>
    <d v="2012-09-22T00:00:00"/>
    <n v="4"/>
    <x v="0"/>
    <s v="Trudy Glocke"/>
    <x v="0"/>
    <s v="United States"/>
    <s v="Long Beach"/>
    <s v="California"/>
    <s v="West"/>
    <x v="1"/>
    <x v="10"/>
    <s v="Personal Creations Ink Jet Cards and Labels"/>
    <x v="543"/>
    <n v="14"/>
    <n v="0"/>
    <n v="78.752799999999993"/>
  </r>
  <r>
    <n v="577"/>
    <x v="227"/>
    <x v="1"/>
    <x v="8"/>
    <d v="2012-09-22T00:00:00"/>
    <n v="4"/>
    <x v="0"/>
    <s v="Trudy Glocke"/>
    <x v="0"/>
    <s v="United States"/>
    <s v="Long Beach"/>
    <s v="California"/>
    <s v="West"/>
    <x v="1"/>
    <x v="10"/>
    <s v="Rediform S.O.S. Phone Message Books"/>
    <x v="544"/>
    <n v="4"/>
    <n v="0"/>
    <n v="9.7607999999999997"/>
  </r>
  <r>
    <n v="578"/>
    <x v="227"/>
    <x v="1"/>
    <x v="8"/>
    <d v="2012-09-22T00:00:00"/>
    <n v="4"/>
    <x v="0"/>
    <s v="Trudy Glocke"/>
    <x v="0"/>
    <s v="United States"/>
    <s v="Long Beach"/>
    <s v="California"/>
    <s v="West"/>
    <x v="1"/>
    <x v="14"/>
    <s v="Acme Value Line Scissors"/>
    <x v="545"/>
    <n v="2"/>
    <n v="0"/>
    <n v="2.19"/>
  </r>
  <r>
    <n v="579"/>
    <x v="228"/>
    <x v="3"/>
    <x v="7"/>
    <d v="2014-07-27T00:00:00"/>
    <n v="6"/>
    <x v="1"/>
    <s v="Carlos Soltero"/>
    <x v="0"/>
    <s v="United States"/>
    <s v="Chicago"/>
    <s v="Illinois"/>
    <s v="Central"/>
    <x v="1"/>
    <x v="4"/>
    <s v="Trav-L-File Heavy-Duty Shuttle II, Black"/>
    <x v="546"/>
    <n v="2"/>
    <n v="0.2"/>
    <n v="8.7140000000000004"/>
  </r>
  <r>
    <n v="580"/>
    <x v="228"/>
    <x v="3"/>
    <x v="7"/>
    <d v="2014-07-27T00:00:00"/>
    <n v="6"/>
    <x v="1"/>
    <s v="Carlos Soltero"/>
    <x v="0"/>
    <s v="United States"/>
    <s v="Chicago"/>
    <s v="Illinois"/>
    <s v="Central"/>
    <x v="0"/>
    <x v="5"/>
    <s v="Contract Clock, 14&quot;, Brown"/>
    <x v="547"/>
    <n v="1"/>
    <n v="0.6"/>
    <n v="-5.7148000000000003"/>
  </r>
  <r>
    <n v="581"/>
    <x v="229"/>
    <x v="1"/>
    <x v="8"/>
    <d v="2012-09-14T00:00:00"/>
    <n v="4"/>
    <x v="1"/>
    <s v="Charles Crestani"/>
    <x v="0"/>
    <s v="United States"/>
    <s v="Los Angeles"/>
    <s v="California"/>
    <s v="West"/>
    <x v="1"/>
    <x v="14"/>
    <s v="Martin-Yale Premier Letter Opener"/>
    <x v="548"/>
    <n v="4"/>
    <n v="0"/>
    <n v="1.5456000000000001"/>
  </r>
  <r>
    <n v="582"/>
    <x v="96"/>
    <x v="3"/>
    <x v="4"/>
    <d v="2014-12-06T00:00:00"/>
    <n v="4"/>
    <x v="1"/>
    <s v="Dianna Vittorini"/>
    <x v="0"/>
    <s v="United States"/>
    <s v="Denver"/>
    <s v="Colorado"/>
    <s v="West"/>
    <x v="2"/>
    <x v="7"/>
    <s v="GE 30524EE4"/>
    <x v="549"/>
    <n v="3"/>
    <n v="0.2"/>
    <n v="52.917299999999997"/>
  </r>
  <r>
    <n v="583"/>
    <x v="96"/>
    <x v="3"/>
    <x v="4"/>
    <d v="2014-12-06T00:00:00"/>
    <n v="4"/>
    <x v="1"/>
    <s v="Dianna Vittorini"/>
    <x v="0"/>
    <s v="United States"/>
    <s v="Denver"/>
    <s v="Colorado"/>
    <s v="West"/>
    <x v="2"/>
    <x v="7"/>
    <s v="AT&amp;T SB67148 SynJ"/>
    <x v="550"/>
    <n v="2"/>
    <n v="0.2"/>
    <n v="9.2385999999999999"/>
  </r>
  <r>
    <n v="584"/>
    <x v="96"/>
    <x v="3"/>
    <x v="4"/>
    <d v="2014-12-06T00:00:00"/>
    <n v="4"/>
    <x v="1"/>
    <s v="Dianna Vittorini"/>
    <x v="0"/>
    <s v="United States"/>
    <s v="Denver"/>
    <s v="Colorado"/>
    <s v="West"/>
    <x v="1"/>
    <x v="9"/>
    <s v="Fellowes Basic Home/Office Series Surge Protectors"/>
    <x v="551"/>
    <n v="3"/>
    <n v="0.2"/>
    <n v="3.5045999999999999"/>
  </r>
  <r>
    <n v="585"/>
    <x v="96"/>
    <x v="3"/>
    <x v="4"/>
    <d v="2014-12-06T00:00:00"/>
    <n v="4"/>
    <x v="1"/>
    <s v="Dianna Vittorini"/>
    <x v="0"/>
    <s v="United States"/>
    <s v="Denver"/>
    <s v="Colorado"/>
    <s v="West"/>
    <x v="1"/>
    <x v="8"/>
    <s v="Recycled Pressboard Report Cover with Reinforced Top Hinge"/>
    <x v="552"/>
    <n v="7"/>
    <n v="0.7"/>
    <n v="-4.7481"/>
  </r>
  <r>
    <n v="586"/>
    <x v="96"/>
    <x v="3"/>
    <x v="4"/>
    <d v="2014-12-06T00:00:00"/>
    <n v="4"/>
    <x v="1"/>
    <s v="Dianna Vittorini"/>
    <x v="0"/>
    <s v="United States"/>
    <s v="Denver"/>
    <s v="Colorado"/>
    <s v="West"/>
    <x v="2"/>
    <x v="7"/>
    <s v="Jabra BIZ 2300 Duo QD Duo Corded Headset"/>
    <x v="553"/>
    <n v="4"/>
    <n v="0.2"/>
    <n v="30.477599999999999"/>
  </r>
  <r>
    <n v="587"/>
    <x v="230"/>
    <x v="1"/>
    <x v="7"/>
    <d v="2012-07-09T00:00:00"/>
    <n v="6"/>
    <x v="1"/>
    <s v="Bruce Degenhardt"/>
    <x v="0"/>
    <s v="United States"/>
    <s v="Richmond"/>
    <s v="Kentucky"/>
    <s v="South"/>
    <x v="0"/>
    <x v="1"/>
    <s v="Novimex High-Tech Fabric Mesh Task Chair"/>
    <x v="554"/>
    <n v="1"/>
    <n v="0"/>
    <n v="4.9686000000000003"/>
  </r>
  <r>
    <n v="588"/>
    <x v="230"/>
    <x v="1"/>
    <x v="7"/>
    <d v="2012-07-09T00:00:00"/>
    <n v="6"/>
    <x v="1"/>
    <s v="Bruce Degenhardt"/>
    <x v="0"/>
    <s v="United States"/>
    <s v="Richmond"/>
    <s v="Kentucky"/>
    <s v="South"/>
    <x v="1"/>
    <x v="2"/>
    <s v="Dot Matrix Printer Tape Reel Labels, White, 5000/Box"/>
    <x v="555"/>
    <n v="3"/>
    <n v="0"/>
    <n v="144.51570000000001"/>
  </r>
  <r>
    <n v="589"/>
    <x v="231"/>
    <x v="0"/>
    <x v="10"/>
    <d v="2013-03-25T00:00:00"/>
    <n v="4"/>
    <x v="1"/>
    <s v="Zuschuss Carroll"/>
    <x v="0"/>
    <s v="United States"/>
    <s v="Salem"/>
    <s v="Oregon"/>
    <s v="West"/>
    <x v="2"/>
    <x v="7"/>
    <s v="i.Sound Portable Power - 8000 mAh"/>
    <x v="556"/>
    <n v="2"/>
    <n v="0.2"/>
    <n v="-20.136199999999999"/>
  </r>
  <r>
    <n v="590"/>
    <x v="231"/>
    <x v="0"/>
    <x v="10"/>
    <d v="2013-03-25T00:00:00"/>
    <n v="4"/>
    <x v="1"/>
    <s v="Zuschuss Carroll"/>
    <x v="0"/>
    <s v="United States"/>
    <s v="Salem"/>
    <s v="Oregon"/>
    <s v="West"/>
    <x v="1"/>
    <x v="10"/>
    <s v="Xerox 225"/>
    <x v="557"/>
    <n v="4"/>
    <n v="0.2"/>
    <n v="7.2576000000000001"/>
  </r>
  <r>
    <n v="591"/>
    <x v="231"/>
    <x v="0"/>
    <x v="10"/>
    <d v="2013-03-25T00:00:00"/>
    <n v="4"/>
    <x v="1"/>
    <s v="Zuschuss Carroll"/>
    <x v="0"/>
    <s v="United States"/>
    <s v="Salem"/>
    <s v="Oregon"/>
    <s v="West"/>
    <x v="1"/>
    <x v="8"/>
    <s v="Clear Mylar Reinforcing Strips"/>
    <x v="558"/>
    <n v="3"/>
    <n v="0.7"/>
    <n v="-12.896100000000001"/>
  </r>
  <r>
    <n v="592"/>
    <x v="231"/>
    <x v="0"/>
    <x v="10"/>
    <d v="2013-03-25T00:00:00"/>
    <n v="4"/>
    <x v="1"/>
    <s v="Zuschuss Carroll"/>
    <x v="0"/>
    <s v="United States"/>
    <s v="Salem"/>
    <s v="Oregon"/>
    <s v="West"/>
    <x v="1"/>
    <x v="10"/>
    <s v="Xerox 1894"/>
    <x v="559"/>
    <n v="2"/>
    <n v="0.2"/>
    <n v="3.6288"/>
  </r>
  <r>
    <n v="593"/>
    <x v="232"/>
    <x v="2"/>
    <x v="9"/>
    <d v="2011-01-14T00:00:00"/>
    <n v="4"/>
    <x v="1"/>
    <s v="Melanie Seite"/>
    <x v="0"/>
    <s v="United States"/>
    <s v="Laredo"/>
    <s v="Texas"/>
    <s v="Central"/>
    <x v="1"/>
    <x v="6"/>
    <s v="Newell 312"/>
    <x v="560"/>
    <n v="2"/>
    <n v="0.2"/>
    <n v="1.1679999999999999"/>
  </r>
  <r>
    <n v="594"/>
    <x v="232"/>
    <x v="2"/>
    <x v="9"/>
    <d v="2011-01-14T00:00:00"/>
    <n v="4"/>
    <x v="1"/>
    <s v="Melanie Seite"/>
    <x v="0"/>
    <s v="United States"/>
    <s v="Laredo"/>
    <s v="Texas"/>
    <s v="Central"/>
    <x v="2"/>
    <x v="11"/>
    <s v="Memorex Micro Travel Drive 8 GB"/>
    <x v="561"/>
    <n v="3"/>
    <n v="0.2"/>
    <n v="9.75"/>
  </r>
  <r>
    <n v="595"/>
    <x v="233"/>
    <x v="2"/>
    <x v="6"/>
    <d v="2011-08-15T00:00:00"/>
    <n v="7"/>
    <x v="1"/>
    <s v="Lena Radford"/>
    <x v="0"/>
    <s v="United States"/>
    <s v="San Diego"/>
    <s v="California"/>
    <s v="West"/>
    <x v="1"/>
    <x v="9"/>
    <s v="Fellowes Superior 10 Outlet Split Surge Protector"/>
    <x v="562"/>
    <n v="2"/>
    <n v="0"/>
    <n v="22.0748"/>
  </r>
  <r>
    <n v="596"/>
    <x v="233"/>
    <x v="2"/>
    <x v="6"/>
    <d v="2011-08-15T00:00:00"/>
    <n v="7"/>
    <x v="1"/>
    <s v="Lena Radford"/>
    <x v="0"/>
    <s v="United States"/>
    <s v="San Diego"/>
    <s v="California"/>
    <s v="West"/>
    <x v="2"/>
    <x v="16"/>
    <s v="Sharp AL-1530CS Digital Copier"/>
    <x v="384"/>
    <n v="3"/>
    <n v="0.2"/>
    <n v="434.99130000000002"/>
  </r>
  <r>
    <n v="597"/>
    <x v="233"/>
    <x v="2"/>
    <x v="6"/>
    <d v="2011-08-15T00:00:00"/>
    <n v="7"/>
    <x v="1"/>
    <s v="Lena Radford"/>
    <x v="0"/>
    <s v="United States"/>
    <s v="San Diego"/>
    <s v="California"/>
    <s v="West"/>
    <x v="2"/>
    <x v="7"/>
    <s v="AT&amp;T 1070 Corded Phone"/>
    <x v="563"/>
    <n v="5"/>
    <n v="0.2"/>
    <n v="55.744999999999997"/>
  </r>
  <r>
    <n v="598"/>
    <x v="233"/>
    <x v="2"/>
    <x v="6"/>
    <d v="2011-08-15T00:00:00"/>
    <n v="7"/>
    <x v="1"/>
    <s v="Lena Radford"/>
    <x v="0"/>
    <s v="United States"/>
    <s v="San Diego"/>
    <s v="California"/>
    <s v="West"/>
    <x v="0"/>
    <x v="5"/>
    <s v="Dana Halogen Swing-Arm Architect Lamp"/>
    <x v="564"/>
    <n v="8"/>
    <n v="0"/>
    <n v="91.772800000000004"/>
  </r>
  <r>
    <n v="599"/>
    <x v="216"/>
    <x v="0"/>
    <x v="7"/>
    <d v="2013-07-17T00:00:00"/>
    <n v="2"/>
    <x v="2"/>
    <s v="Theone Pippenger"/>
    <x v="0"/>
    <s v="United States"/>
    <s v="Philadelphia"/>
    <s v="Pennsylvania"/>
    <s v="East"/>
    <x v="1"/>
    <x v="14"/>
    <s v="Acme Stainless Steel Office Snips"/>
    <x v="565"/>
    <n v="2"/>
    <n v="0.2"/>
    <n v="1.0178"/>
  </r>
  <r>
    <n v="600"/>
    <x v="87"/>
    <x v="0"/>
    <x v="7"/>
    <d v="2013-07-22T00:00:00"/>
    <n v="5"/>
    <x v="1"/>
    <s v="Chloris Kastensmidt"/>
    <x v="0"/>
    <s v="United States"/>
    <s v="Philadelphia"/>
    <s v="Pennsylvania"/>
    <s v="East"/>
    <x v="2"/>
    <x v="7"/>
    <s v="Mophie Juice Pack Helium for iPhone"/>
    <x v="566"/>
    <n v="3"/>
    <n v="0.4"/>
    <n v="-28.796399999999998"/>
  </r>
  <r>
    <n v="601"/>
    <x v="87"/>
    <x v="0"/>
    <x v="7"/>
    <d v="2013-07-22T00:00:00"/>
    <n v="5"/>
    <x v="1"/>
    <s v="Chloris Kastensmidt"/>
    <x v="0"/>
    <s v="United States"/>
    <s v="Philadelphia"/>
    <s v="Pennsylvania"/>
    <s v="East"/>
    <x v="2"/>
    <x v="7"/>
    <s v="GE 2-Jack Phone Line Splitter"/>
    <x v="567"/>
    <n v="4"/>
    <n v="0.4"/>
    <n v="-115.3544"/>
  </r>
  <r>
    <n v="602"/>
    <x v="87"/>
    <x v="0"/>
    <x v="7"/>
    <d v="2013-07-22T00:00:00"/>
    <n v="5"/>
    <x v="1"/>
    <s v="Chloris Kastensmidt"/>
    <x v="0"/>
    <s v="United States"/>
    <s v="Philadelphia"/>
    <s v="Pennsylvania"/>
    <s v="East"/>
    <x v="1"/>
    <x v="14"/>
    <s v="Acme Value Line Scissors"/>
    <x v="568"/>
    <n v="2"/>
    <n v="0.2"/>
    <n v="0.73"/>
  </r>
  <r>
    <n v="603"/>
    <x v="234"/>
    <x v="2"/>
    <x v="10"/>
    <d v="2011-03-19T00:00:00"/>
    <n v="4"/>
    <x v="1"/>
    <s v="Alan Shonely"/>
    <x v="0"/>
    <s v="United States"/>
    <s v="Tampa"/>
    <s v="Florida"/>
    <s v="South"/>
    <x v="1"/>
    <x v="4"/>
    <s v="Hot File 7-Pocket, Floor Stand"/>
    <x v="569"/>
    <n v="1"/>
    <n v="0.2"/>
    <n v="17.847000000000001"/>
  </r>
  <r>
    <n v="604"/>
    <x v="234"/>
    <x v="2"/>
    <x v="10"/>
    <d v="2011-03-19T00:00:00"/>
    <n v="4"/>
    <x v="1"/>
    <s v="Alan Shonely"/>
    <x v="0"/>
    <s v="United States"/>
    <s v="Tampa"/>
    <s v="Florida"/>
    <s v="South"/>
    <x v="0"/>
    <x v="5"/>
    <s v="Eldon Expressions Desk Accessory, Wood Photo Frame, Mahogany"/>
    <x v="498"/>
    <n v="3"/>
    <n v="0.2"/>
    <n v="5.1407999999999996"/>
  </r>
  <r>
    <n v="605"/>
    <x v="234"/>
    <x v="2"/>
    <x v="10"/>
    <d v="2011-03-19T00:00:00"/>
    <n v="4"/>
    <x v="1"/>
    <s v="Alan Shonely"/>
    <x v="0"/>
    <s v="United States"/>
    <s v="Tampa"/>
    <s v="Florida"/>
    <s v="South"/>
    <x v="1"/>
    <x v="8"/>
    <s v="Insertable Tab Post Binder Dividers"/>
    <x v="570"/>
    <n v="3"/>
    <n v="0.7"/>
    <n v="-5.5338000000000003"/>
  </r>
  <r>
    <n v="606"/>
    <x v="234"/>
    <x v="2"/>
    <x v="10"/>
    <d v="2011-03-19T00:00:00"/>
    <n v="4"/>
    <x v="1"/>
    <s v="Alan Shonely"/>
    <x v="0"/>
    <s v="United States"/>
    <s v="Tampa"/>
    <s v="Florida"/>
    <s v="South"/>
    <x v="1"/>
    <x v="8"/>
    <s v="GBC VeloBinder Manual Binding System"/>
    <x v="571"/>
    <n v="4"/>
    <n v="0.7"/>
    <n v="-31.671199999999999"/>
  </r>
  <r>
    <n v="607"/>
    <x v="234"/>
    <x v="2"/>
    <x v="10"/>
    <d v="2011-03-19T00:00:00"/>
    <n v="4"/>
    <x v="1"/>
    <s v="Alan Shonely"/>
    <x v="0"/>
    <s v="United States"/>
    <s v="Tampa"/>
    <s v="Florida"/>
    <s v="South"/>
    <x v="1"/>
    <x v="10"/>
    <s v="Xerox 1889"/>
    <x v="572"/>
    <n v="3"/>
    <n v="0.2"/>
    <n v="47.815199999999997"/>
  </r>
  <r>
    <n v="608"/>
    <x v="235"/>
    <x v="2"/>
    <x v="5"/>
    <d v="2011-05-27T00:00:00"/>
    <n v="4"/>
    <x v="1"/>
    <s v="Andrew Roberts"/>
    <x v="0"/>
    <s v="United States"/>
    <s v="Philadelphia"/>
    <s v="Pennsylvania"/>
    <s v="East"/>
    <x v="1"/>
    <x v="8"/>
    <s v="Angle-D Ring Binders"/>
    <x v="573"/>
    <n v="2"/>
    <n v="0.7"/>
    <n v="-2.6255999999999999"/>
  </r>
  <r>
    <n v="609"/>
    <x v="235"/>
    <x v="2"/>
    <x v="5"/>
    <d v="2011-05-27T00:00:00"/>
    <n v="4"/>
    <x v="1"/>
    <s v="Andrew Roberts"/>
    <x v="0"/>
    <s v="United States"/>
    <s v="Philadelphia"/>
    <s v="Pennsylvania"/>
    <s v="East"/>
    <x v="1"/>
    <x v="6"/>
    <s v="Newell 317"/>
    <x v="574"/>
    <n v="9"/>
    <n v="0.2"/>
    <n v="2.3814000000000002"/>
  </r>
  <r>
    <n v="610"/>
    <x v="235"/>
    <x v="2"/>
    <x v="5"/>
    <d v="2011-05-27T00:00:00"/>
    <n v="4"/>
    <x v="1"/>
    <s v="Andrew Roberts"/>
    <x v="0"/>
    <s v="United States"/>
    <s v="Philadelphia"/>
    <s v="Pennsylvania"/>
    <s v="East"/>
    <x v="2"/>
    <x v="7"/>
    <s v="Motorola L804"/>
    <x v="575"/>
    <n v="2"/>
    <n v="0.4"/>
    <n v="-10.117800000000001"/>
  </r>
  <r>
    <n v="611"/>
    <x v="236"/>
    <x v="0"/>
    <x v="3"/>
    <d v="2013-05-02T00:00:00"/>
    <n v="3"/>
    <x v="2"/>
    <s v="Nona Balk"/>
    <x v="1"/>
    <s v="United States"/>
    <s v="Dallas"/>
    <s v="Texas"/>
    <s v="Central"/>
    <x v="2"/>
    <x v="7"/>
    <s v="Nortel Meridian M3904 Professional Digital phone"/>
    <x v="576"/>
    <n v="3"/>
    <n v="0.2"/>
    <n v="41.577300000000001"/>
  </r>
  <r>
    <n v="612"/>
    <x v="236"/>
    <x v="0"/>
    <x v="3"/>
    <d v="2013-05-02T00:00:00"/>
    <n v="3"/>
    <x v="2"/>
    <s v="Nona Balk"/>
    <x v="1"/>
    <s v="United States"/>
    <s v="Dallas"/>
    <s v="Texas"/>
    <s v="Central"/>
    <x v="1"/>
    <x v="2"/>
    <s v="Avery 493"/>
    <x v="577"/>
    <n v="4"/>
    <n v="0.2"/>
    <n v="5.6955999999999998"/>
  </r>
  <r>
    <n v="613"/>
    <x v="108"/>
    <x v="0"/>
    <x v="8"/>
    <d v="2013-09-14T00:00:00"/>
    <n v="2"/>
    <x v="0"/>
    <s v="Giulietta Dortch"/>
    <x v="1"/>
    <s v="United States"/>
    <s v="Philadelphia"/>
    <s v="Pennsylvania"/>
    <s v="East"/>
    <x v="1"/>
    <x v="10"/>
    <s v="Xerox 1972"/>
    <x v="578"/>
    <n v="2"/>
    <n v="0.2"/>
    <n v="2.64"/>
  </r>
  <r>
    <n v="614"/>
    <x v="108"/>
    <x v="0"/>
    <x v="8"/>
    <d v="2013-09-14T00:00:00"/>
    <n v="2"/>
    <x v="0"/>
    <s v="Giulietta Dortch"/>
    <x v="1"/>
    <s v="United States"/>
    <s v="Philadelphia"/>
    <s v="Pennsylvania"/>
    <s v="East"/>
    <x v="2"/>
    <x v="7"/>
    <s v="Cisco 8x8 Inc. 6753i IP Business Phone System"/>
    <x v="579"/>
    <n v="9"/>
    <n v="0.4"/>
    <n v="-157.9383"/>
  </r>
  <r>
    <n v="615"/>
    <x v="237"/>
    <x v="3"/>
    <x v="0"/>
    <d v="2014-11-18T00:00:00"/>
    <n v="3"/>
    <x v="0"/>
    <s v="Clytie Kelty"/>
    <x v="0"/>
    <s v="United States"/>
    <s v="Grove City"/>
    <s v="Ohio"/>
    <s v="East"/>
    <x v="2"/>
    <x v="7"/>
    <s v="PureGear Roll-On Screen Protector"/>
    <x v="580"/>
    <n v="10"/>
    <n v="0.4"/>
    <n v="15.992000000000001"/>
  </r>
  <r>
    <n v="616"/>
    <x v="237"/>
    <x v="3"/>
    <x v="0"/>
    <d v="2014-11-18T00:00:00"/>
    <n v="3"/>
    <x v="0"/>
    <s v="Clytie Kelty"/>
    <x v="0"/>
    <s v="United States"/>
    <s v="Grove City"/>
    <s v="Ohio"/>
    <s v="East"/>
    <x v="1"/>
    <x v="8"/>
    <s v="Prestige Round Ring Binders"/>
    <x v="581"/>
    <n v="2"/>
    <n v="0.7"/>
    <n v="-2.7968000000000002"/>
  </r>
  <r>
    <n v="617"/>
    <x v="238"/>
    <x v="3"/>
    <x v="6"/>
    <d v="2014-08-24T00:00:00"/>
    <n v="5"/>
    <x v="0"/>
    <s v="Nat Gilpin"/>
    <x v="1"/>
    <s v="United States"/>
    <s v="New York City"/>
    <s v="New York"/>
    <s v="East"/>
    <x v="0"/>
    <x v="5"/>
    <s v="DAX Metal Frame, Desktop, Stepped-Edge"/>
    <x v="582"/>
    <n v="2"/>
    <n v="0"/>
    <n v="15.7872"/>
  </r>
  <r>
    <n v="618"/>
    <x v="238"/>
    <x v="3"/>
    <x v="6"/>
    <d v="2014-08-24T00:00:00"/>
    <n v="5"/>
    <x v="0"/>
    <s v="Nat Gilpin"/>
    <x v="1"/>
    <s v="United States"/>
    <s v="New York City"/>
    <s v="New York"/>
    <s v="East"/>
    <x v="0"/>
    <x v="5"/>
    <s v="DAX Value U-Channel Document Frames, Easel Back"/>
    <x v="583"/>
    <n v="2"/>
    <n v="0"/>
    <n v="3.0813999999999999"/>
  </r>
  <r>
    <n v="619"/>
    <x v="238"/>
    <x v="3"/>
    <x v="6"/>
    <d v="2014-08-24T00:00:00"/>
    <n v="5"/>
    <x v="0"/>
    <s v="Nat Gilpin"/>
    <x v="1"/>
    <s v="United States"/>
    <s v="New York City"/>
    <s v="New York"/>
    <s v="East"/>
    <x v="1"/>
    <x v="8"/>
    <s v="Recycled Easel Ring Binders"/>
    <x v="584"/>
    <n v="9"/>
    <n v="0.2"/>
    <n v="33.57"/>
  </r>
  <r>
    <n v="620"/>
    <x v="238"/>
    <x v="3"/>
    <x v="6"/>
    <d v="2014-08-24T00:00:00"/>
    <n v="5"/>
    <x v="0"/>
    <s v="Nat Gilpin"/>
    <x v="1"/>
    <s v="United States"/>
    <s v="New York City"/>
    <s v="New York"/>
    <s v="East"/>
    <x v="2"/>
    <x v="7"/>
    <s v="Grandstream GXP1160 VoIP phone"/>
    <x v="585"/>
    <n v="1"/>
    <n v="0"/>
    <n v="10.9939"/>
  </r>
  <r>
    <n v="621"/>
    <x v="238"/>
    <x v="3"/>
    <x v="6"/>
    <d v="2014-08-24T00:00:00"/>
    <n v="5"/>
    <x v="0"/>
    <s v="Nat Gilpin"/>
    <x v="1"/>
    <s v="United States"/>
    <s v="New York City"/>
    <s v="New York"/>
    <s v="East"/>
    <x v="0"/>
    <x v="5"/>
    <s v="Seth Thomas 14&quot; Putty-Colored Wall Clock"/>
    <x v="586"/>
    <n v="3"/>
    <n v="0"/>
    <n v="27.286200000000001"/>
  </r>
  <r>
    <n v="622"/>
    <x v="58"/>
    <x v="2"/>
    <x v="4"/>
    <d v="2011-12-31T00:00:00"/>
    <n v="5"/>
    <x v="1"/>
    <s v="Christina Anderson"/>
    <x v="0"/>
    <s v="United States"/>
    <s v="Chicago"/>
    <s v="Illinois"/>
    <s v="Central"/>
    <x v="1"/>
    <x v="8"/>
    <s v="Cardinal Slant-D Ring Binder, Heavy Gauge Vinyl"/>
    <x v="587"/>
    <n v="5"/>
    <n v="0.8"/>
    <n v="-14.773"/>
  </r>
  <r>
    <n v="623"/>
    <x v="239"/>
    <x v="1"/>
    <x v="0"/>
    <d v="2012-12-03T00:00:00"/>
    <n v="4"/>
    <x v="1"/>
    <s v="Sylvia Foulston"/>
    <x v="1"/>
    <s v="United States"/>
    <s v="Dearborn"/>
    <s v="Michigan"/>
    <s v="Central"/>
    <x v="0"/>
    <x v="1"/>
    <s v="Global Manager's Adjustable Task Chair, Storm"/>
    <x v="85"/>
    <n v="2"/>
    <n v="0"/>
    <n v="87.568399999999997"/>
  </r>
  <r>
    <n v="624"/>
    <x v="239"/>
    <x v="1"/>
    <x v="0"/>
    <d v="2012-12-03T00:00:00"/>
    <n v="4"/>
    <x v="1"/>
    <s v="Sylvia Foulston"/>
    <x v="1"/>
    <s v="United States"/>
    <s v="Dearborn"/>
    <s v="Michigan"/>
    <s v="Central"/>
    <x v="1"/>
    <x v="9"/>
    <s v="Honeywell Enviracaire Portable HEPA Air Cleaner for up to 10 x 16 Room"/>
    <x v="588"/>
    <n v="5"/>
    <n v="0.1"/>
    <n v="178.90100000000001"/>
  </r>
  <r>
    <n v="625"/>
    <x v="239"/>
    <x v="1"/>
    <x v="0"/>
    <d v="2012-12-03T00:00:00"/>
    <n v="4"/>
    <x v="1"/>
    <s v="Sylvia Foulston"/>
    <x v="1"/>
    <s v="United States"/>
    <s v="Dearborn"/>
    <s v="Michigan"/>
    <s v="Central"/>
    <x v="1"/>
    <x v="4"/>
    <s v="Mini 13-1/2 Capacity Data Binder Rack, Pearl"/>
    <x v="589"/>
    <n v="4"/>
    <n v="0"/>
    <n v="130.87"/>
  </r>
  <r>
    <n v="626"/>
    <x v="239"/>
    <x v="1"/>
    <x v="0"/>
    <d v="2012-12-03T00:00:00"/>
    <n v="4"/>
    <x v="1"/>
    <s v="Sylvia Foulston"/>
    <x v="1"/>
    <s v="United States"/>
    <s v="Dearborn"/>
    <s v="Michigan"/>
    <s v="Central"/>
    <x v="1"/>
    <x v="6"/>
    <s v="BOSTON Model 1800 Electric Pencil Sharpeners, Putty/Woodgrain"/>
    <x v="590"/>
    <n v="9"/>
    <n v="0"/>
    <n v="46.927799999999998"/>
  </r>
  <r>
    <n v="627"/>
    <x v="175"/>
    <x v="3"/>
    <x v="8"/>
    <d v="2014-09-20T00:00:00"/>
    <n v="4"/>
    <x v="1"/>
    <s v="Meg O'Connel"/>
    <x v="2"/>
    <s v="United States"/>
    <s v="New York City"/>
    <s v="New York"/>
    <s v="East"/>
    <x v="0"/>
    <x v="5"/>
    <s v="Master Caster Door Stop, Brown"/>
    <x v="591"/>
    <n v="7"/>
    <n v="0"/>
    <n v="12.090400000000001"/>
  </r>
  <r>
    <n v="628"/>
    <x v="240"/>
    <x v="3"/>
    <x v="5"/>
    <d v="2014-05-24T00:00:00"/>
    <n v="4"/>
    <x v="1"/>
    <s v="Annie Thurman"/>
    <x v="0"/>
    <s v="United States"/>
    <s v="Seattle"/>
    <s v="Washington"/>
    <s v="West"/>
    <x v="1"/>
    <x v="9"/>
    <s v="Belkin Premiere Surge Master II 8-outlet surge protector"/>
    <x v="592"/>
    <n v="2"/>
    <n v="0"/>
    <n v="28.176400000000001"/>
  </r>
  <r>
    <n v="629"/>
    <x v="94"/>
    <x v="3"/>
    <x v="4"/>
    <d v="2014-12-22T00:00:00"/>
    <n v="4"/>
    <x v="1"/>
    <s v="Logan Currie"/>
    <x v="0"/>
    <s v="United States"/>
    <s v="San Francisco"/>
    <s v="California"/>
    <s v="West"/>
    <x v="1"/>
    <x v="8"/>
    <s v="Acco Pressboard Covers with Storage Hooks, 9 1/2&quot; x 11&quot;, Executive Red"/>
    <x v="593"/>
    <n v="5"/>
    <n v="0.2"/>
    <n v="5.1435000000000004"/>
  </r>
  <r>
    <n v="630"/>
    <x v="94"/>
    <x v="3"/>
    <x v="4"/>
    <d v="2014-12-22T00:00:00"/>
    <n v="4"/>
    <x v="1"/>
    <s v="Logan Currie"/>
    <x v="0"/>
    <s v="United States"/>
    <s v="San Francisco"/>
    <s v="California"/>
    <s v="West"/>
    <x v="1"/>
    <x v="10"/>
    <s v="Ampad Gold Fibre Wirebound Steno Books, 6&quot; x 9&quot;, Gregg Ruled"/>
    <x v="594"/>
    <n v="3"/>
    <n v="0"/>
    <n v="6.0857999999999999"/>
  </r>
  <r>
    <n v="631"/>
    <x v="25"/>
    <x v="0"/>
    <x v="4"/>
    <d v="2013-12-14T00:00:00"/>
    <n v="2"/>
    <x v="0"/>
    <s v="Fred McMath"/>
    <x v="0"/>
    <s v="United States"/>
    <s v="Aurora"/>
    <s v="Colorado"/>
    <s v="West"/>
    <x v="1"/>
    <x v="4"/>
    <s v="Tennsco Regal Shelving Units"/>
    <x v="595"/>
    <n v="3"/>
    <n v="0.2"/>
    <n v="-51.719099999999997"/>
  </r>
  <r>
    <n v="632"/>
    <x v="25"/>
    <x v="0"/>
    <x v="4"/>
    <d v="2013-12-14T00:00:00"/>
    <n v="2"/>
    <x v="0"/>
    <s v="Fred McMath"/>
    <x v="0"/>
    <s v="United States"/>
    <s v="Aurora"/>
    <s v="Colorado"/>
    <s v="West"/>
    <x v="2"/>
    <x v="11"/>
    <s v="Imation 32GB Pocket Pro USB 3.0 Flash Drive - 32 GB - Black - 1 P ..."/>
    <x v="596"/>
    <n v="5"/>
    <n v="0.2"/>
    <n v="29.95"/>
  </r>
  <r>
    <n v="633"/>
    <x v="25"/>
    <x v="0"/>
    <x v="4"/>
    <d v="2013-12-14T00:00:00"/>
    <n v="2"/>
    <x v="0"/>
    <s v="Fred McMath"/>
    <x v="0"/>
    <s v="United States"/>
    <s v="Aurora"/>
    <s v="Colorado"/>
    <s v="West"/>
    <x v="2"/>
    <x v="7"/>
    <s v="Jabra SPEAK 410"/>
    <x v="597"/>
    <n v="4"/>
    <n v="0.2"/>
    <n v="30.076799999999999"/>
  </r>
  <r>
    <n v="634"/>
    <x v="241"/>
    <x v="3"/>
    <x v="8"/>
    <d v="2014-09-27T00:00:00"/>
    <n v="2"/>
    <x v="0"/>
    <s v="Brian Dahlen"/>
    <x v="0"/>
    <s v="United States"/>
    <s v="Miami"/>
    <s v="Florida"/>
    <s v="South"/>
    <x v="2"/>
    <x v="11"/>
    <s v="Verbatim 25 GB 6x Blu-ray Single Layer Recordable Disc, 1/Pack"/>
    <x v="598"/>
    <n v="3"/>
    <n v="0.2"/>
    <n v="2.4584999999999999"/>
  </r>
  <r>
    <n v="635"/>
    <x v="241"/>
    <x v="3"/>
    <x v="8"/>
    <d v="2014-09-27T00:00:00"/>
    <n v="2"/>
    <x v="0"/>
    <s v="Brian Dahlen"/>
    <x v="0"/>
    <s v="United States"/>
    <s v="Miami"/>
    <s v="Florida"/>
    <s v="South"/>
    <x v="1"/>
    <x v="2"/>
    <s v="Dot Matrix Printer Tape Reel Labels, White, 5000/Box"/>
    <x v="599"/>
    <n v="3"/>
    <n v="0.2"/>
    <n v="85.529700000000005"/>
  </r>
  <r>
    <n v="636"/>
    <x v="242"/>
    <x v="1"/>
    <x v="2"/>
    <d v="2012-10-09T00:00:00"/>
    <n v="5"/>
    <x v="0"/>
    <s v="Denny Joy"/>
    <x v="1"/>
    <s v="United States"/>
    <s v="Warner Robins"/>
    <s v="Georgia"/>
    <s v="South"/>
    <x v="0"/>
    <x v="1"/>
    <s v="Office Star - Mesh Screen back chair with Vinyl seat"/>
    <x v="600"/>
    <n v="3"/>
    <n v="0"/>
    <n v="43.223399999999998"/>
  </r>
  <r>
    <n v="637"/>
    <x v="243"/>
    <x v="0"/>
    <x v="6"/>
    <d v="2013-08-22T00:00:00"/>
    <n v="6"/>
    <x v="1"/>
    <s v="Max Engle"/>
    <x v="0"/>
    <s v="United States"/>
    <s v="Aurora"/>
    <s v="Colorado"/>
    <s v="West"/>
    <x v="1"/>
    <x v="8"/>
    <s v="Premium Transparent Presentation Covers by GBC"/>
    <x v="601"/>
    <n v="3"/>
    <n v="0.7"/>
    <n v="-13.8468"/>
  </r>
  <r>
    <n v="638"/>
    <x v="243"/>
    <x v="0"/>
    <x v="6"/>
    <d v="2013-08-22T00:00:00"/>
    <n v="6"/>
    <x v="1"/>
    <s v="Max Engle"/>
    <x v="0"/>
    <s v="United States"/>
    <s v="Aurora"/>
    <s v="Colorado"/>
    <s v="West"/>
    <x v="1"/>
    <x v="9"/>
    <s v="Tripp Lite TLP810NET Broadband Surge for Modem/Fax"/>
    <x v="602"/>
    <n v="3"/>
    <n v="0.2"/>
    <n v="12.232799999999999"/>
  </r>
  <r>
    <n v="639"/>
    <x v="244"/>
    <x v="0"/>
    <x v="5"/>
    <d v="2013-05-26T00:00:00"/>
    <n v="5"/>
    <x v="1"/>
    <s v="Rick Bensley"/>
    <x v="2"/>
    <s v="United States"/>
    <s v="Vallejo"/>
    <s v="California"/>
    <s v="West"/>
    <x v="0"/>
    <x v="5"/>
    <s v="Luxo Professional Fluorescent Magnifier Lamp with Clamp-Mount Base"/>
    <x v="603"/>
    <n v="5"/>
    <n v="0"/>
    <n v="272.79199999999997"/>
  </r>
  <r>
    <n v="640"/>
    <x v="244"/>
    <x v="0"/>
    <x v="5"/>
    <d v="2013-05-26T00:00:00"/>
    <n v="5"/>
    <x v="1"/>
    <s v="Rick Bensley"/>
    <x v="2"/>
    <s v="United States"/>
    <s v="Vallejo"/>
    <s v="California"/>
    <s v="West"/>
    <x v="1"/>
    <x v="8"/>
    <s v="Wilson Jones Turn Tabs Binder Tool for Ring Binders"/>
    <x v="604"/>
    <n v="4"/>
    <n v="0.2"/>
    <n v="5.0128000000000004"/>
  </r>
  <r>
    <n v="641"/>
    <x v="122"/>
    <x v="0"/>
    <x v="4"/>
    <d v="2013-12-23T00:00:00"/>
    <n v="4"/>
    <x v="1"/>
    <s v="Justin Deggeller"/>
    <x v="1"/>
    <s v="United States"/>
    <s v="Minneapolis"/>
    <s v="Minnesota"/>
    <s v="Central"/>
    <x v="0"/>
    <x v="5"/>
    <s v="Eldon 200 Class Desk Accessories"/>
    <x v="605"/>
    <n v="3"/>
    <n v="0"/>
    <n v="6.0288000000000004"/>
  </r>
  <r>
    <n v="642"/>
    <x v="245"/>
    <x v="3"/>
    <x v="7"/>
    <d v="2014-08-04T00:00:00"/>
    <n v="4"/>
    <x v="0"/>
    <s v="John Lee"/>
    <x v="0"/>
    <s v="United States"/>
    <s v="Mission Viejo"/>
    <s v="California"/>
    <s v="West"/>
    <x v="1"/>
    <x v="4"/>
    <s v="Economy Rollaway Files"/>
    <x v="606"/>
    <n v="2"/>
    <n v="0"/>
    <n v="85.903999999999996"/>
  </r>
  <r>
    <n v="643"/>
    <x v="245"/>
    <x v="3"/>
    <x v="7"/>
    <d v="2014-08-04T00:00:00"/>
    <n v="4"/>
    <x v="0"/>
    <s v="John Lee"/>
    <x v="0"/>
    <s v="United States"/>
    <s v="Mission Viejo"/>
    <s v="California"/>
    <s v="West"/>
    <x v="1"/>
    <x v="2"/>
    <s v="Avery 480"/>
    <x v="607"/>
    <n v="7"/>
    <n v="0"/>
    <n v="12.6"/>
  </r>
  <r>
    <n v="644"/>
    <x v="193"/>
    <x v="3"/>
    <x v="1"/>
    <d v="2014-06-16T00:00:00"/>
    <n v="5"/>
    <x v="1"/>
    <s v="Sean Christensen"/>
    <x v="0"/>
    <s v="United States"/>
    <s v="Rochester Hills"/>
    <s v="Michigan"/>
    <s v="Central"/>
    <x v="2"/>
    <x v="11"/>
    <s v="Imation 16GB Mini TravelDrive USB 2.0 Flash Drive"/>
    <x v="608"/>
    <n v="4"/>
    <n v="0"/>
    <n v="54.333199999999998"/>
  </r>
  <r>
    <n v="645"/>
    <x v="246"/>
    <x v="3"/>
    <x v="7"/>
    <d v="2014-07-26T00:00:00"/>
    <n v="4"/>
    <x v="1"/>
    <s v="Tamara Willingham"/>
    <x v="2"/>
    <s v="United States"/>
    <s v="Plainfield"/>
    <s v="New Jersey"/>
    <s v="East"/>
    <x v="1"/>
    <x v="10"/>
    <s v="Xerox 1993"/>
    <x v="90"/>
    <n v="1"/>
    <n v="0"/>
    <n v="3.1751999999999998"/>
  </r>
  <r>
    <n v="646"/>
    <x v="247"/>
    <x v="3"/>
    <x v="4"/>
    <d v="2015-01-06T00:00:00"/>
    <n v="6"/>
    <x v="1"/>
    <s v="Chuck Clark"/>
    <x v="2"/>
    <s v="United States"/>
    <s v="Columbus"/>
    <s v="Indiana"/>
    <s v="Central"/>
    <x v="1"/>
    <x v="9"/>
    <s v="Eureka The Boss Plus 12-Amp Hard Box Upright Vacuum, Red"/>
    <x v="609"/>
    <n v="2"/>
    <n v="0"/>
    <n v="56.511000000000003"/>
  </r>
  <r>
    <n v="647"/>
    <x v="178"/>
    <x v="0"/>
    <x v="3"/>
    <d v="2013-04-09T00:00:00"/>
    <n v="7"/>
    <x v="1"/>
    <s v="Barry Blumstein"/>
    <x v="1"/>
    <s v="United States"/>
    <s v="Sierra Vista"/>
    <s v="Arizona"/>
    <s v="West"/>
    <x v="1"/>
    <x v="13"/>
    <s v="Staples"/>
    <x v="610"/>
    <n v="5"/>
    <n v="0.2"/>
    <n v="9.8625000000000007"/>
  </r>
  <r>
    <n v="648"/>
    <x v="178"/>
    <x v="0"/>
    <x v="3"/>
    <d v="2013-04-09T00:00:00"/>
    <n v="7"/>
    <x v="1"/>
    <s v="Barry Blumstein"/>
    <x v="1"/>
    <s v="United States"/>
    <s v="Sierra Vista"/>
    <s v="Arizona"/>
    <s v="West"/>
    <x v="1"/>
    <x v="9"/>
    <s v="Belkin F9H710-06 7 Outlet SurgeMaster Surge Protector"/>
    <x v="611"/>
    <n v="2"/>
    <n v="0.2"/>
    <n v="3.0144000000000002"/>
  </r>
  <r>
    <n v="649"/>
    <x v="25"/>
    <x v="0"/>
    <x v="4"/>
    <d v="2013-12-17T00:00:00"/>
    <n v="5"/>
    <x v="0"/>
    <s v="Anthony Rawles"/>
    <x v="1"/>
    <s v="United States"/>
    <s v="Vancouver"/>
    <s v="Washington"/>
    <s v="West"/>
    <x v="0"/>
    <x v="5"/>
    <s v="3M Hangers With Command Adhesive"/>
    <x v="612"/>
    <n v="4"/>
    <n v="0"/>
    <n v="6.0679999999999996"/>
  </r>
  <r>
    <n v="650"/>
    <x v="25"/>
    <x v="0"/>
    <x v="4"/>
    <d v="2013-12-17T00:00:00"/>
    <n v="5"/>
    <x v="0"/>
    <s v="Anthony Rawles"/>
    <x v="1"/>
    <s v="United States"/>
    <s v="Vancouver"/>
    <s v="Washington"/>
    <s v="West"/>
    <x v="2"/>
    <x v="7"/>
    <s v="AT&amp;T TR1909W"/>
    <x v="214"/>
    <n v="3"/>
    <n v="0.2"/>
    <n v="22.6782"/>
  </r>
  <r>
    <n v="651"/>
    <x v="25"/>
    <x v="0"/>
    <x v="4"/>
    <d v="2013-12-17T00:00:00"/>
    <n v="5"/>
    <x v="0"/>
    <s v="Anthony Rawles"/>
    <x v="1"/>
    <s v="United States"/>
    <s v="Vancouver"/>
    <s v="Washington"/>
    <s v="West"/>
    <x v="2"/>
    <x v="11"/>
    <s v="First Data FD10 PIN Pad"/>
    <x v="613"/>
    <n v="4"/>
    <n v="0"/>
    <n v="31.6"/>
  </r>
  <r>
    <n v="652"/>
    <x v="248"/>
    <x v="0"/>
    <x v="2"/>
    <d v="2013-10-30T00:00:00"/>
    <n v="6"/>
    <x v="1"/>
    <s v="Steven Roelle"/>
    <x v="2"/>
    <s v="United States"/>
    <s v="New York City"/>
    <s v="New York"/>
    <s v="East"/>
    <x v="1"/>
    <x v="10"/>
    <s v="Snap-A-Way Black Print Carbonless Ruled Speed Letter, Triplicate"/>
    <x v="614"/>
    <n v="10"/>
    <n v="0"/>
    <n v="178.31800000000001"/>
  </r>
  <r>
    <n v="653"/>
    <x v="249"/>
    <x v="3"/>
    <x v="1"/>
    <d v="2014-06-24T00:00:00"/>
    <n v="4"/>
    <x v="1"/>
    <s v="Allen Rosenblatt"/>
    <x v="1"/>
    <s v="United States"/>
    <s v="New York City"/>
    <s v="New York"/>
    <s v="East"/>
    <x v="1"/>
    <x v="10"/>
    <s v="Xerox 1943"/>
    <x v="615"/>
    <n v="2"/>
    <n v="0"/>
    <n v="45.9754"/>
  </r>
  <r>
    <n v="654"/>
    <x v="249"/>
    <x v="3"/>
    <x v="1"/>
    <d v="2014-06-24T00:00:00"/>
    <n v="4"/>
    <x v="1"/>
    <s v="Allen Rosenblatt"/>
    <x v="1"/>
    <s v="United States"/>
    <s v="New York City"/>
    <s v="New York"/>
    <s v="East"/>
    <x v="2"/>
    <x v="11"/>
    <s v="Sony 16GB Class 10 Micro SDHC R40 Memory Card"/>
    <x v="616"/>
    <n v="8"/>
    <n v="0"/>
    <n v="10.311999999999999"/>
  </r>
  <r>
    <n v="655"/>
    <x v="250"/>
    <x v="0"/>
    <x v="6"/>
    <d v="2013-08-29T00:00:00"/>
    <n v="6"/>
    <x v="1"/>
    <s v="Craig Reiter"/>
    <x v="0"/>
    <s v="United States"/>
    <s v="Columbus"/>
    <s v="Ohio"/>
    <s v="East"/>
    <x v="1"/>
    <x v="9"/>
    <s v="Tripp Lite Isotel 8 Ultra 8 Outlet Metal Surge"/>
    <x v="617"/>
    <n v="2"/>
    <n v="0.2"/>
    <n v="8.5164000000000009"/>
  </r>
  <r>
    <n v="656"/>
    <x v="250"/>
    <x v="0"/>
    <x v="6"/>
    <d v="2013-08-29T00:00:00"/>
    <n v="6"/>
    <x v="1"/>
    <s v="Craig Reiter"/>
    <x v="0"/>
    <s v="United States"/>
    <s v="Columbus"/>
    <s v="Ohio"/>
    <s v="East"/>
    <x v="1"/>
    <x v="8"/>
    <s v="Avery Durable Poly Binders"/>
    <x v="618"/>
    <n v="2"/>
    <n v="0.7"/>
    <n v="-2.6543999999999999"/>
  </r>
  <r>
    <n v="657"/>
    <x v="250"/>
    <x v="0"/>
    <x v="6"/>
    <d v="2013-08-29T00:00:00"/>
    <n v="6"/>
    <x v="1"/>
    <s v="Craig Reiter"/>
    <x v="0"/>
    <s v="United States"/>
    <s v="Columbus"/>
    <s v="Ohio"/>
    <s v="East"/>
    <x v="1"/>
    <x v="12"/>
    <s v="Airmail Envelopes"/>
    <x v="619"/>
    <n v="2"/>
    <n v="0.2"/>
    <n v="45.322200000000002"/>
  </r>
  <r>
    <n v="658"/>
    <x v="251"/>
    <x v="0"/>
    <x v="8"/>
    <d v="2013-09-20T00:00:00"/>
    <n v="0"/>
    <x v="3"/>
    <s v="Eugene Hildebrand"/>
    <x v="2"/>
    <s v="United States"/>
    <s v="Aurora"/>
    <s v="Illinois"/>
    <s v="Central"/>
    <x v="0"/>
    <x v="1"/>
    <s v="Global Troy Executive Leather Low-Back Tilter"/>
    <x v="620"/>
    <n v="2"/>
    <n v="0.3"/>
    <n v="-50.097999999999999"/>
  </r>
  <r>
    <n v="659"/>
    <x v="251"/>
    <x v="0"/>
    <x v="8"/>
    <d v="2013-09-20T00:00:00"/>
    <n v="0"/>
    <x v="3"/>
    <s v="Eugene Hildebrand"/>
    <x v="2"/>
    <s v="United States"/>
    <s v="Aurora"/>
    <s v="Illinois"/>
    <s v="Central"/>
    <x v="1"/>
    <x v="8"/>
    <s v="Avery Binding System Hidden Tab Executive Style Index Sets"/>
    <x v="621"/>
    <n v="2"/>
    <n v="0.8"/>
    <n v="-3.4620000000000002"/>
  </r>
  <r>
    <n v="660"/>
    <x v="252"/>
    <x v="1"/>
    <x v="6"/>
    <d v="2012-08-28T00:00:00"/>
    <n v="4"/>
    <x v="1"/>
    <s v="Cassandra Brandow"/>
    <x v="0"/>
    <s v="United States"/>
    <s v="Arlington"/>
    <s v="Texas"/>
    <s v="Central"/>
    <x v="1"/>
    <x v="4"/>
    <s v="Hot File 7-Pocket, Floor Stand"/>
    <x v="622"/>
    <n v="7"/>
    <n v="0.2"/>
    <n v="124.929"/>
  </r>
  <r>
    <n v="661"/>
    <x v="252"/>
    <x v="1"/>
    <x v="6"/>
    <d v="2012-08-28T00:00:00"/>
    <n v="4"/>
    <x v="1"/>
    <s v="Cassandra Brandow"/>
    <x v="0"/>
    <s v="United States"/>
    <s v="Arlington"/>
    <s v="Texas"/>
    <s v="Central"/>
    <x v="1"/>
    <x v="4"/>
    <s v="Space Solutions Commercial Steel Shelving"/>
    <x v="623"/>
    <n v="14"/>
    <n v="0.2"/>
    <n v="-135.76499999999999"/>
  </r>
  <r>
    <n v="662"/>
    <x v="252"/>
    <x v="1"/>
    <x v="6"/>
    <d v="2012-08-28T00:00:00"/>
    <n v="4"/>
    <x v="1"/>
    <s v="Cassandra Brandow"/>
    <x v="0"/>
    <s v="United States"/>
    <s v="Arlington"/>
    <s v="Texas"/>
    <s v="Central"/>
    <x v="0"/>
    <x v="3"/>
    <s v="Hon Racetrack Conference Tables"/>
    <x v="624"/>
    <n v="5"/>
    <n v="0.3"/>
    <n v="-118.12949999999999"/>
  </r>
  <r>
    <n v="663"/>
    <x v="252"/>
    <x v="1"/>
    <x v="6"/>
    <d v="2012-08-28T00:00:00"/>
    <n v="4"/>
    <x v="1"/>
    <s v="Cassandra Brandow"/>
    <x v="0"/>
    <s v="United States"/>
    <s v="Arlington"/>
    <s v="Texas"/>
    <s v="Central"/>
    <x v="1"/>
    <x v="8"/>
    <s v="Avery Durable Plastic 1&quot; Binders"/>
    <x v="625"/>
    <n v="3"/>
    <n v="0.8"/>
    <n v="-4.2222"/>
  </r>
  <r>
    <n v="664"/>
    <x v="253"/>
    <x v="0"/>
    <x v="10"/>
    <d v="2013-03-31T00:00:00"/>
    <n v="4"/>
    <x v="1"/>
    <s v="Sibella Parks"/>
    <x v="1"/>
    <s v="United States"/>
    <s v="New York City"/>
    <s v="New York"/>
    <s v="East"/>
    <x v="1"/>
    <x v="4"/>
    <s v="Gould Plastics 18-Pocket Panel Bin, 34w x 5-1/4d x 20-1/2h"/>
    <x v="626"/>
    <n v="5"/>
    <n v="0"/>
    <n v="18.398"/>
  </r>
  <r>
    <n v="665"/>
    <x v="254"/>
    <x v="0"/>
    <x v="0"/>
    <d v="2013-11-05T00:00:00"/>
    <n v="0"/>
    <x v="3"/>
    <s v="Roy Collins"/>
    <x v="0"/>
    <s v="United States"/>
    <s v="Louisville"/>
    <s v="Kentucky"/>
    <s v="South"/>
    <x v="1"/>
    <x v="13"/>
    <s v="OIC Colored Binder Clips, Assorted Sizes"/>
    <x v="627"/>
    <n v="3"/>
    <n v="0"/>
    <n v="5.2625999999999999"/>
  </r>
  <r>
    <n v="666"/>
    <x v="110"/>
    <x v="3"/>
    <x v="1"/>
    <d v="2014-06-11T00:00:00"/>
    <n v="2"/>
    <x v="0"/>
    <s v="Tiffany House"/>
    <x v="1"/>
    <s v="United States"/>
    <s v="Dallas"/>
    <s v="Texas"/>
    <s v="Central"/>
    <x v="1"/>
    <x v="14"/>
    <s v="Acme Tagit Stainless Steel Antibacterial Scissors"/>
    <x v="628"/>
    <n v="3"/>
    <n v="0.2"/>
    <n v="2.0790000000000002"/>
  </r>
  <r>
    <n v="667"/>
    <x v="110"/>
    <x v="3"/>
    <x v="1"/>
    <d v="2014-06-11T00:00:00"/>
    <n v="2"/>
    <x v="0"/>
    <s v="Tiffany House"/>
    <x v="1"/>
    <s v="United States"/>
    <s v="Dallas"/>
    <s v="Texas"/>
    <s v="Central"/>
    <x v="1"/>
    <x v="10"/>
    <s v="Staples"/>
    <x v="629"/>
    <n v="3"/>
    <n v="0.2"/>
    <n v="28.706399999999999"/>
  </r>
  <r>
    <n v="668"/>
    <x v="110"/>
    <x v="3"/>
    <x v="1"/>
    <d v="2014-06-11T00:00:00"/>
    <n v="2"/>
    <x v="0"/>
    <s v="Tiffany House"/>
    <x v="1"/>
    <s v="United States"/>
    <s v="Dallas"/>
    <s v="Texas"/>
    <s v="Central"/>
    <x v="2"/>
    <x v="7"/>
    <s v="ClearOne Communications CHAT 70 OC Speaker Phone"/>
    <x v="630"/>
    <n v="3"/>
    <n v="0.2"/>
    <n v="28.618200000000002"/>
  </r>
  <r>
    <n v="669"/>
    <x v="163"/>
    <x v="2"/>
    <x v="4"/>
    <d v="2011-12-26T00:00:00"/>
    <n v="2"/>
    <x v="2"/>
    <s v="Resi Pölking"/>
    <x v="0"/>
    <s v="United States"/>
    <s v="Cleveland"/>
    <s v="Ohio"/>
    <s v="East"/>
    <x v="0"/>
    <x v="5"/>
    <s v="Master Giant Foot Doorstop, Safety Yellow"/>
    <x v="631"/>
    <n v="5"/>
    <n v="0.2"/>
    <n v="8.7285000000000004"/>
  </r>
  <r>
    <n v="670"/>
    <x v="255"/>
    <x v="3"/>
    <x v="1"/>
    <d v="2014-06-14T00:00:00"/>
    <n v="4"/>
    <x v="1"/>
    <s v="Meg O'Connel"/>
    <x v="2"/>
    <s v="United States"/>
    <s v="Chicago"/>
    <s v="Illinois"/>
    <s v="Central"/>
    <x v="0"/>
    <x v="5"/>
    <s v="12-1/2 Diameter Round Wall Clock"/>
    <x v="112"/>
    <n v="3"/>
    <n v="0.6"/>
    <n v="-14.3856"/>
  </r>
  <r>
    <n v="671"/>
    <x v="255"/>
    <x v="3"/>
    <x v="1"/>
    <d v="2014-06-14T00:00:00"/>
    <n v="4"/>
    <x v="1"/>
    <s v="Meg O'Connel"/>
    <x v="2"/>
    <s v="United States"/>
    <s v="Chicago"/>
    <s v="Illinois"/>
    <s v="Central"/>
    <x v="0"/>
    <x v="3"/>
    <s v="Chromcraft Bull-Nose Wood Round Conference Table Top, Wood Base"/>
    <x v="632"/>
    <n v="1"/>
    <n v="0.5"/>
    <n v="-71.890500000000003"/>
  </r>
  <r>
    <n v="672"/>
    <x v="255"/>
    <x v="3"/>
    <x v="1"/>
    <d v="2014-06-14T00:00:00"/>
    <n v="4"/>
    <x v="1"/>
    <s v="Meg O'Connel"/>
    <x v="2"/>
    <s v="United States"/>
    <s v="Chicago"/>
    <s v="Illinois"/>
    <s v="Central"/>
    <x v="1"/>
    <x v="10"/>
    <s v="Adams Telephone Message Book W/Dividers/Space For Phone Numbers, 5 1/4&quot;X8 1/2&quot;, 200/Messages"/>
    <x v="633"/>
    <n v="8"/>
    <n v="0.2"/>
    <n v="11.36"/>
  </r>
  <r>
    <n v="673"/>
    <x v="140"/>
    <x v="3"/>
    <x v="1"/>
    <d v="2014-06-23T00:00:00"/>
    <n v="7"/>
    <x v="1"/>
    <s v="Tamara Dahlen"/>
    <x v="0"/>
    <s v="United States"/>
    <s v="Quincy"/>
    <s v="Illinois"/>
    <s v="Central"/>
    <x v="1"/>
    <x v="6"/>
    <s v="Newell 331"/>
    <x v="634"/>
    <n v="5"/>
    <n v="0.2"/>
    <n v="1.7115"/>
  </r>
  <r>
    <n v="674"/>
    <x v="256"/>
    <x v="3"/>
    <x v="4"/>
    <d v="2014-12-09T00:00:00"/>
    <n v="3"/>
    <x v="2"/>
    <s v="Rob Beeghly"/>
    <x v="0"/>
    <s v="United States"/>
    <s v="Columbus"/>
    <s v="Indiana"/>
    <s v="Central"/>
    <x v="1"/>
    <x v="9"/>
    <s v="Kensington 6 Outlet Guardian Standard Surge Protector"/>
    <x v="635"/>
    <n v="3"/>
    <n v="0"/>
    <n v="16.588799999999999"/>
  </r>
  <r>
    <n v="675"/>
    <x v="256"/>
    <x v="3"/>
    <x v="4"/>
    <d v="2014-12-09T00:00:00"/>
    <n v="3"/>
    <x v="2"/>
    <s v="Rob Beeghly"/>
    <x v="0"/>
    <s v="United States"/>
    <s v="Columbus"/>
    <s v="Indiana"/>
    <s v="Central"/>
    <x v="1"/>
    <x v="10"/>
    <s v="Southworth 100% Résumé Paper, 24lb."/>
    <x v="636"/>
    <n v="5"/>
    <n v="0"/>
    <n v="17.504999999999999"/>
  </r>
  <r>
    <n v="676"/>
    <x v="256"/>
    <x v="3"/>
    <x v="4"/>
    <d v="2014-12-09T00:00:00"/>
    <n v="3"/>
    <x v="2"/>
    <s v="Rob Beeghly"/>
    <x v="0"/>
    <s v="United States"/>
    <s v="Columbus"/>
    <s v="Indiana"/>
    <s v="Central"/>
    <x v="2"/>
    <x v="11"/>
    <s v="Imation 16GB Mini TravelDrive USB 2.0 Flash Drive"/>
    <x v="637"/>
    <n v="3"/>
    <n v="0"/>
    <n v="40.749899999999997"/>
  </r>
  <r>
    <n v="677"/>
    <x v="257"/>
    <x v="3"/>
    <x v="10"/>
    <d v="2014-03-24T00:00:00"/>
    <n v="5"/>
    <x v="1"/>
    <s v="Carol Darley"/>
    <x v="0"/>
    <s v="United States"/>
    <s v="Tyler"/>
    <s v="Texas"/>
    <s v="Central"/>
    <x v="1"/>
    <x v="9"/>
    <s v="Hoover Portapower Portable Vacuum"/>
    <x v="638"/>
    <n v="3"/>
    <n v="0.8"/>
    <n v="-7.3920000000000003"/>
  </r>
  <r>
    <n v="678"/>
    <x v="257"/>
    <x v="3"/>
    <x v="10"/>
    <d v="2014-03-24T00:00:00"/>
    <n v="5"/>
    <x v="1"/>
    <s v="Carol Darley"/>
    <x v="0"/>
    <s v="United States"/>
    <s v="Tyler"/>
    <s v="Texas"/>
    <s v="Central"/>
    <x v="2"/>
    <x v="11"/>
    <s v="Verbatim 25 GB 6x Blu-ray Single Layer Recordable Disc, 10/Pack"/>
    <x v="639"/>
    <n v="3"/>
    <n v="0.2"/>
    <n v="4.5201000000000002"/>
  </r>
  <r>
    <n v="679"/>
    <x v="257"/>
    <x v="3"/>
    <x v="10"/>
    <d v="2014-03-24T00:00:00"/>
    <n v="5"/>
    <x v="1"/>
    <s v="Carol Darley"/>
    <x v="0"/>
    <s v="United States"/>
    <s v="Tyler"/>
    <s v="Texas"/>
    <s v="Central"/>
    <x v="0"/>
    <x v="5"/>
    <s v="Howard Miller 13-1/2&quot; Diameter Rosebrook Wall Clock"/>
    <x v="640"/>
    <n v="3"/>
    <n v="0.6"/>
    <n v="-41.262"/>
  </r>
  <r>
    <n v="680"/>
    <x v="257"/>
    <x v="3"/>
    <x v="10"/>
    <d v="2014-03-24T00:00:00"/>
    <n v="5"/>
    <x v="1"/>
    <s v="Carol Darley"/>
    <x v="0"/>
    <s v="United States"/>
    <s v="Tyler"/>
    <s v="Texas"/>
    <s v="Central"/>
    <x v="1"/>
    <x v="8"/>
    <s v="Ibico Hi-Tech Manual Binding System"/>
    <x v="641"/>
    <n v="3"/>
    <n v="0.8"/>
    <n v="-320.23950000000002"/>
  </r>
  <r>
    <n v="681"/>
    <x v="258"/>
    <x v="0"/>
    <x v="0"/>
    <d v="2013-11-25T00:00:00"/>
    <n v="5"/>
    <x v="1"/>
    <s v="Doug Jacobs"/>
    <x v="0"/>
    <s v="United States"/>
    <s v="New York City"/>
    <s v="New York"/>
    <s v="East"/>
    <x v="1"/>
    <x v="8"/>
    <s v="Avery Hanging File Binders"/>
    <x v="642"/>
    <n v="3"/>
    <n v="0.2"/>
    <n v="4.6643999999999997"/>
  </r>
  <r>
    <n v="682"/>
    <x v="258"/>
    <x v="0"/>
    <x v="0"/>
    <d v="2013-11-25T00:00:00"/>
    <n v="5"/>
    <x v="1"/>
    <s v="Doug Jacobs"/>
    <x v="0"/>
    <s v="United States"/>
    <s v="New York City"/>
    <s v="New York"/>
    <s v="East"/>
    <x v="1"/>
    <x v="4"/>
    <s v="Fellowes Neat Ideas Storage Cubes"/>
    <x v="643"/>
    <n v="2"/>
    <n v="0"/>
    <n v="2.5983999999999998"/>
  </r>
  <r>
    <n v="683"/>
    <x v="258"/>
    <x v="0"/>
    <x v="0"/>
    <d v="2013-11-25T00:00:00"/>
    <n v="5"/>
    <x v="1"/>
    <s v="Doug Jacobs"/>
    <x v="0"/>
    <s v="United States"/>
    <s v="New York City"/>
    <s v="New York"/>
    <s v="East"/>
    <x v="1"/>
    <x v="4"/>
    <s v="Advantus Rolling Storage Box"/>
    <x v="644"/>
    <n v="4"/>
    <n v="0"/>
    <n v="18.521999999999998"/>
  </r>
  <r>
    <n v="684"/>
    <x v="259"/>
    <x v="3"/>
    <x v="0"/>
    <d v="2014-11-05T00:00:00"/>
    <n v="0"/>
    <x v="3"/>
    <s v="Grant Thornton"/>
    <x v="1"/>
    <s v="United States"/>
    <s v="Burlington"/>
    <s v="North Carolina"/>
    <s v="South"/>
    <x v="2"/>
    <x v="15"/>
    <s v="Cubify CubeX 3D Printer Triple Head Print"/>
    <x v="645"/>
    <n v="4"/>
    <n v="0.5"/>
    <n v="-3839.9904000000001"/>
  </r>
  <r>
    <n v="685"/>
    <x v="259"/>
    <x v="3"/>
    <x v="0"/>
    <d v="2014-11-05T00:00:00"/>
    <n v="0"/>
    <x v="3"/>
    <s v="Grant Thornton"/>
    <x v="1"/>
    <s v="United States"/>
    <s v="Burlington"/>
    <s v="North Carolina"/>
    <s v="South"/>
    <x v="1"/>
    <x v="9"/>
    <s v="Eureka The Boss Plus 12-Amp Hard Box Upright Vacuum, Red"/>
    <x v="646"/>
    <n v="2"/>
    <n v="0.2"/>
    <n v="14.651"/>
  </r>
  <r>
    <n v="686"/>
    <x v="260"/>
    <x v="2"/>
    <x v="7"/>
    <d v="2011-07-08T00:00:00"/>
    <n v="3"/>
    <x v="2"/>
    <s v="Michael Chen"/>
    <x v="0"/>
    <s v="United States"/>
    <s v="Jackson"/>
    <s v="Mississippi"/>
    <s v="South"/>
    <x v="2"/>
    <x v="11"/>
    <s v="NETGEAR AC1750 Dual Band Gigabit Smart WiFi Router"/>
    <x v="647"/>
    <n v="3"/>
    <n v="0"/>
    <n v="163.18979999999999"/>
  </r>
  <r>
    <n v="687"/>
    <x v="260"/>
    <x v="2"/>
    <x v="7"/>
    <d v="2011-07-08T00:00:00"/>
    <n v="3"/>
    <x v="2"/>
    <s v="Michael Chen"/>
    <x v="0"/>
    <s v="United States"/>
    <s v="Jackson"/>
    <s v="Mississippi"/>
    <s v="South"/>
    <x v="1"/>
    <x v="2"/>
    <s v="Avery 516"/>
    <x v="2"/>
    <n v="2"/>
    <n v="0"/>
    <n v="6.8714000000000004"/>
  </r>
  <r>
    <n v="688"/>
    <x v="260"/>
    <x v="2"/>
    <x v="7"/>
    <d v="2011-07-08T00:00:00"/>
    <n v="3"/>
    <x v="2"/>
    <s v="Michael Chen"/>
    <x v="0"/>
    <s v="United States"/>
    <s v="Jackson"/>
    <s v="Mississippi"/>
    <s v="South"/>
    <x v="1"/>
    <x v="10"/>
    <s v="Xerox 1995"/>
    <x v="537"/>
    <n v="3"/>
    <n v="0"/>
    <n v="9.3312000000000008"/>
  </r>
  <r>
    <n v="689"/>
    <x v="53"/>
    <x v="3"/>
    <x v="4"/>
    <d v="2014-12-30T00:00:00"/>
    <n v="4"/>
    <x v="1"/>
    <s v="Ralph Arnett"/>
    <x v="0"/>
    <s v="United States"/>
    <s v="New York City"/>
    <s v="New York"/>
    <s v="East"/>
    <x v="0"/>
    <x v="0"/>
    <s v="Bush Andora Bookcase, Maple/Graphite Gray Finish"/>
    <x v="648"/>
    <n v="2"/>
    <n v="0.2"/>
    <n v="4.7995999999999999"/>
  </r>
  <r>
    <n v="690"/>
    <x v="261"/>
    <x v="2"/>
    <x v="1"/>
    <d v="2011-06-23T00:00:00"/>
    <n v="2"/>
    <x v="0"/>
    <s v="Naresj Patel"/>
    <x v="0"/>
    <s v="United States"/>
    <s v="Waynesboro"/>
    <s v="Virginia"/>
    <s v="South"/>
    <x v="0"/>
    <x v="5"/>
    <s v="Luxo Professional Magnifying Clamp-On Fluorescent Lamps"/>
    <x v="649"/>
    <n v="1"/>
    <n v="0"/>
    <n v="14.561400000000001"/>
  </r>
  <r>
    <n v="691"/>
    <x v="261"/>
    <x v="2"/>
    <x v="1"/>
    <d v="2011-06-23T00:00:00"/>
    <n v="2"/>
    <x v="0"/>
    <s v="Naresj Patel"/>
    <x v="0"/>
    <s v="United States"/>
    <s v="Waynesboro"/>
    <s v="Virginia"/>
    <s v="South"/>
    <x v="2"/>
    <x v="7"/>
    <s v="Konftel 250 Conference phone - Charcoal black"/>
    <x v="650"/>
    <n v="1"/>
    <n v="0"/>
    <n v="74.053200000000004"/>
  </r>
  <r>
    <n v="692"/>
    <x v="261"/>
    <x v="2"/>
    <x v="1"/>
    <d v="2011-06-23T00:00:00"/>
    <n v="2"/>
    <x v="0"/>
    <s v="Naresj Patel"/>
    <x v="0"/>
    <s v="United States"/>
    <s v="Waynesboro"/>
    <s v="Virginia"/>
    <s v="South"/>
    <x v="1"/>
    <x v="4"/>
    <s v="Recycled Eldon Regeneration Jumbo File"/>
    <x v="651"/>
    <n v="3"/>
    <n v="0"/>
    <n v="10.315200000000001"/>
  </r>
  <r>
    <n v="693"/>
    <x v="262"/>
    <x v="1"/>
    <x v="10"/>
    <d v="2012-04-02T00:00:00"/>
    <n v="5"/>
    <x v="1"/>
    <s v="Alan Barnes"/>
    <x v="0"/>
    <s v="United States"/>
    <s v="Los Angeles"/>
    <s v="California"/>
    <s v="West"/>
    <x v="2"/>
    <x v="11"/>
    <s v="Imation Bio 8GB USB Flash Drive Imation Corp"/>
    <x v="652"/>
    <n v="1"/>
    <n v="0"/>
    <n v="24.936"/>
  </r>
  <r>
    <n v="694"/>
    <x v="262"/>
    <x v="1"/>
    <x v="10"/>
    <d v="2012-04-02T00:00:00"/>
    <n v="5"/>
    <x v="1"/>
    <s v="Alan Barnes"/>
    <x v="0"/>
    <s v="United States"/>
    <s v="Los Angeles"/>
    <s v="California"/>
    <s v="West"/>
    <x v="1"/>
    <x v="10"/>
    <s v="Xerox 1977"/>
    <x v="653"/>
    <n v="5"/>
    <n v="0"/>
    <n v="16.032"/>
  </r>
  <r>
    <n v="695"/>
    <x v="263"/>
    <x v="1"/>
    <x v="5"/>
    <d v="2012-05-17T00:00:00"/>
    <n v="3"/>
    <x v="2"/>
    <s v="Jesus Ocampo"/>
    <x v="2"/>
    <s v="United States"/>
    <s v="Chester"/>
    <s v="Pennsylvania"/>
    <s v="East"/>
    <x v="1"/>
    <x v="6"/>
    <s v="Boston School Pro Electric Pencil Sharpener, 1670"/>
    <x v="654"/>
    <n v="8"/>
    <n v="0.2"/>
    <n v="17.348800000000001"/>
  </r>
  <r>
    <n v="696"/>
    <x v="263"/>
    <x v="1"/>
    <x v="5"/>
    <d v="2012-05-17T00:00:00"/>
    <n v="3"/>
    <x v="2"/>
    <s v="Jesus Ocampo"/>
    <x v="2"/>
    <s v="United States"/>
    <s v="Chester"/>
    <s v="Pennsylvania"/>
    <s v="East"/>
    <x v="1"/>
    <x v="2"/>
    <s v="Avery 490"/>
    <x v="655"/>
    <n v="4"/>
    <n v="0.2"/>
    <n v="17.760000000000002"/>
  </r>
  <r>
    <n v="697"/>
    <x v="263"/>
    <x v="1"/>
    <x v="5"/>
    <d v="2012-05-17T00:00:00"/>
    <n v="3"/>
    <x v="2"/>
    <s v="Jesus Ocampo"/>
    <x v="2"/>
    <s v="United States"/>
    <s v="Chester"/>
    <s v="Pennsylvania"/>
    <s v="East"/>
    <x v="1"/>
    <x v="12"/>
    <s v="Jet-Pak Recycled Peel 'N' Seal Padded Mailers"/>
    <x v="83"/>
    <n v="7"/>
    <n v="0.2"/>
    <n v="62.807499999999997"/>
  </r>
  <r>
    <n v="698"/>
    <x v="263"/>
    <x v="1"/>
    <x v="5"/>
    <d v="2012-05-17T00:00:00"/>
    <n v="3"/>
    <x v="2"/>
    <s v="Jesus Ocampo"/>
    <x v="2"/>
    <s v="United States"/>
    <s v="Chester"/>
    <s v="Pennsylvania"/>
    <s v="East"/>
    <x v="1"/>
    <x v="2"/>
    <s v="Avery 4027 File Folder Labels for Dot Matrix Printers, 5000 Labels per Box, White"/>
    <x v="656"/>
    <n v="4"/>
    <n v="0.2"/>
    <n v="31.751200000000001"/>
  </r>
  <r>
    <n v="699"/>
    <x v="263"/>
    <x v="1"/>
    <x v="5"/>
    <d v="2012-05-17T00:00:00"/>
    <n v="3"/>
    <x v="2"/>
    <s v="Jesus Ocampo"/>
    <x v="2"/>
    <s v="United States"/>
    <s v="Chester"/>
    <s v="Pennsylvania"/>
    <s v="East"/>
    <x v="1"/>
    <x v="6"/>
    <s v="Binney &amp; Smith Crayola Metallic Crayons, 16-Color Pack"/>
    <x v="657"/>
    <n v="1"/>
    <n v="0.2"/>
    <n v="0.80879999999999996"/>
  </r>
  <r>
    <n v="700"/>
    <x v="263"/>
    <x v="1"/>
    <x v="5"/>
    <d v="2012-05-17T00:00:00"/>
    <n v="3"/>
    <x v="2"/>
    <s v="Jesus Ocampo"/>
    <x v="2"/>
    <s v="United States"/>
    <s v="Chester"/>
    <s v="Pennsylvania"/>
    <s v="East"/>
    <x v="1"/>
    <x v="8"/>
    <s v="GBC Linen Binding Covers"/>
    <x v="658"/>
    <n v="2"/>
    <n v="0.7"/>
    <n v="-13.6312"/>
  </r>
  <r>
    <n v="701"/>
    <x v="263"/>
    <x v="1"/>
    <x v="5"/>
    <d v="2012-05-17T00:00:00"/>
    <n v="3"/>
    <x v="2"/>
    <s v="Jesus Ocampo"/>
    <x v="2"/>
    <s v="United States"/>
    <s v="Chester"/>
    <s v="Pennsylvania"/>
    <s v="East"/>
    <x v="1"/>
    <x v="8"/>
    <s v="Wilson Jones Custom Binder Spines &amp; Labels"/>
    <x v="319"/>
    <n v="3"/>
    <n v="0.7"/>
    <n v="-3.4272"/>
  </r>
  <r>
    <n v="702"/>
    <x v="264"/>
    <x v="3"/>
    <x v="8"/>
    <d v="2014-09-09T00:00:00"/>
    <n v="6"/>
    <x v="1"/>
    <s v="Dorris liebe"/>
    <x v="1"/>
    <s v="United States"/>
    <s v="Cleveland"/>
    <s v="Ohio"/>
    <s v="East"/>
    <x v="0"/>
    <x v="5"/>
    <s v="Eldon 200 Class Desk Accessories, Burgundy"/>
    <x v="659"/>
    <n v="3"/>
    <n v="0.2"/>
    <n v="4.1448"/>
  </r>
  <r>
    <n v="703"/>
    <x v="254"/>
    <x v="0"/>
    <x v="0"/>
    <d v="2013-11-09T00:00:00"/>
    <n v="4"/>
    <x v="0"/>
    <s v="Alejandro Savely"/>
    <x v="1"/>
    <s v="United States"/>
    <s v="Seattle"/>
    <s v="Washington"/>
    <s v="West"/>
    <x v="0"/>
    <x v="5"/>
    <s v="Tenex &quot;The Solids&quot; Textured Chair Mats"/>
    <x v="660"/>
    <n v="3"/>
    <n v="0"/>
    <n v="35.679600000000001"/>
  </r>
  <r>
    <n v="704"/>
    <x v="265"/>
    <x v="1"/>
    <x v="3"/>
    <d v="2012-04-14T00:00:00"/>
    <n v="5"/>
    <x v="1"/>
    <s v="Jay Kimmel"/>
    <x v="0"/>
    <s v="United States"/>
    <s v="Long Beach"/>
    <s v="California"/>
    <s v="West"/>
    <x v="0"/>
    <x v="3"/>
    <s v="Laminate Occasional Tables"/>
    <x v="661"/>
    <n v="3"/>
    <n v="0.2"/>
    <n v="-13.871700000000001"/>
  </r>
  <r>
    <n v="705"/>
    <x v="171"/>
    <x v="2"/>
    <x v="8"/>
    <d v="2011-09-17T00:00:00"/>
    <n v="5"/>
    <x v="1"/>
    <s v="Brad Norvell"/>
    <x v="1"/>
    <s v="United States"/>
    <s v="Cary"/>
    <s v="North Carolina"/>
    <s v="South"/>
    <x v="1"/>
    <x v="10"/>
    <s v="Xerox 220"/>
    <x v="559"/>
    <n v="2"/>
    <n v="0.2"/>
    <n v="3.6288"/>
  </r>
  <r>
    <n v="706"/>
    <x v="171"/>
    <x v="2"/>
    <x v="8"/>
    <d v="2011-09-17T00:00:00"/>
    <n v="5"/>
    <x v="1"/>
    <s v="Brad Norvell"/>
    <x v="1"/>
    <s v="United States"/>
    <s v="Cary"/>
    <s v="North Carolina"/>
    <s v="South"/>
    <x v="1"/>
    <x v="9"/>
    <s v="Fellowes 8 Outlet Superior Workstation Surge Protector"/>
    <x v="662"/>
    <n v="5"/>
    <n v="0.2"/>
    <n v="18.769500000000001"/>
  </r>
  <r>
    <n v="707"/>
    <x v="171"/>
    <x v="2"/>
    <x v="8"/>
    <d v="2011-09-17T00:00:00"/>
    <n v="5"/>
    <x v="1"/>
    <s v="Brad Norvell"/>
    <x v="1"/>
    <s v="United States"/>
    <s v="Cary"/>
    <s v="North Carolina"/>
    <s v="South"/>
    <x v="2"/>
    <x v="11"/>
    <s v="SanDisk Cruzer 32 GB USB Flash Drive"/>
    <x v="663"/>
    <n v="1"/>
    <n v="0.2"/>
    <n v="2.2824"/>
  </r>
  <r>
    <n v="708"/>
    <x v="266"/>
    <x v="2"/>
    <x v="4"/>
    <d v="2011-12-04T00:00:00"/>
    <n v="2"/>
    <x v="2"/>
    <s v="David Philippe"/>
    <x v="0"/>
    <s v="United States"/>
    <s v="New York City"/>
    <s v="New York"/>
    <s v="East"/>
    <x v="2"/>
    <x v="11"/>
    <s v="Logitech 910-002974 M325 Wireless Mouse for Web Scrolling"/>
    <x v="664"/>
    <n v="4"/>
    <n v="0"/>
    <n v="52.782400000000003"/>
  </r>
  <r>
    <n v="709"/>
    <x v="266"/>
    <x v="2"/>
    <x v="4"/>
    <d v="2011-12-04T00:00:00"/>
    <n v="2"/>
    <x v="2"/>
    <s v="David Philippe"/>
    <x v="0"/>
    <s v="United States"/>
    <s v="New York City"/>
    <s v="New York"/>
    <s v="East"/>
    <x v="0"/>
    <x v="0"/>
    <s v="O'Sullivan Living Dimensions 5-Shelf Bookcases"/>
    <x v="665"/>
    <n v="5"/>
    <n v="0.2"/>
    <n v="-110.49"/>
  </r>
  <r>
    <n v="710"/>
    <x v="266"/>
    <x v="2"/>
    <x v="4"/>
    <d v="2011-12-04T00:00:00"/>
    <n v="2"/>
    <x v="2"/>
    <s v="David Philippe"/>
    <x v="0"/>
    <s v="United States"/>
    <s v="New York City"/>
    <s v="New York"/>
    <s v="East"/>
    <x v="1"/>
    <x v="8"/>
    <s v="Angle-D Binders with Locking Rings, Label Holders"/>
    <x v="666"/>
    <n v="8"/>
    <n v="0.2"/>
    <n v="15.768000000000001"/>
  </r>
  <r>
    <n v="711"/>
    <x v="267"/>
    <x v="2"/>
    <x v="3"/>
    <d v="2011-04-07T00:00:00"/>
    <n v="2"/>
    <x v="2"/>
    <s v="Tracy Hopkins"/>
    <x v="2"/>
    <s v="United States"/>
    <s v="New York City"/>
    <s v="New York"/>
    <s v="East"/>
    <x v="1"/>
    <x v="10"/>
    <s v="Eaton Premium Continuous-Feed Paper, 25% Cotton, Letter Size, White, 1000 Shts/Box"/>
    <x v="444"/>
    <n v="1"/>
    <n v="0"/>
    <n v="26.630400000000002"/>
  </r>
  <r>
    <n v="712"/>
    <x v="213"/>
    <x v="3"/>
    <x v="8"/>
    <d v="2014-09-08T00:00:00"/>
    <n v="4"/>
    <x v="1"/>
    <s v="Arthur Prichep"/>
    <x v="0"/>
    <s v="United States"/>
    <s v="Palm Coast"/>
    <s v="Florida"/>
    <s v="South"/>
    <x v="1"/>
    <x v="12"/>
    <s v="#10- 4 1/8&quot; x 9 1/2&quot; Security-Tint Envelopes"/>
    <x v="667"/>
    <n v="4"/>
    <n v="0.2"/>
    <n v="8.8623999999999992"/>
  </r>
  <r>
    <n v="713"/>
    <x v="240"/>
    <x v="3"/>
    <x v="5"/>
    <d v="2014-05-25T00:00:00"/>
    <n v="5"/>
    <x v="1"/>
    <s v="Roland Schwarz"/>
    <x v="1"/>
    <s v="United States"/>
    <s v="Mount Vernon"/>
    <s v="New York"/>
    <s v="East"/>
    <x v="1"/>
    <x v="9"/>
    <s v="Bionaire Personal Warm Mist Humidifier/Vaporizer"/>
    <x v="668"/>
    <n v="6"/>
    <n v="0"/>
    <n v="109.7226"/>
  </r>
  <r>
    <n v="714"/>
    <x v="240"/>
    <x v="3"/>
    <x v="5"/>
    <d v="2014-05-25T00:00:00"/>
    <n v="5"/>
    <x v="1"/>
    <s v="Roland Schwarz"/>
    <x v="1"/>
    <s v="United States"/>
    <s v="Mount Vernon"/>
    <s v="New York"/>
    <s v="East"/>
    <x v="2"/>
    <x v="7"/>
    <s v="Nortel Meridian M3904 Professional Digital phone"/>
    <x v="669"/>
    <n v="2"/>
    <n v="0"/>
    <n v="89.3142"/>
  </r>
  <r>
    <n v="715"/>
    <x v="240"/>
    <x v="3"/>
    <x v="5"/>
    <d v="2014-05-25T00:00:00"/>
    <n v="5"/>
    <x v="1"/>
    <s v="Roland Schwarz"/>
    <x v="1"/>
    <s v="United States"/>
    <s v="Mount Vernon"/>
    <s v="New York"/>
    <s v="East"/>
    <x v="2"/>
    <x v="11"/>
    <s v="Logitech Wireless Performance Mouse MX for PC and Mac"/>
    <x v="670"/>
    <n v="3"/>
    <n v="0"/>
    <n v="113.98860000000001"/>
  </r>
  <r>
    <n v="716"/>
    <x v="268"/>
    <x v="2"/>
    <x v="7"/>
    <d v="2011-07-06T00:00:00"/>
    <n v="5"/>
    <x v="0"/>
    <s v="Dorris liebe"/>
    <x v="1"/>
    <s v="United States"/>
    <s v="Seattle"/>
    <s v="Washington"/>
    <s v="West"/>
    <x v="1"/>
    <x v="8"/>
    <s v="Cardinal Holdit Business Card Pockets"/>
    <x v="544"/>
    <n v="5"/>
    <n v="0.2"/>
    <n v="6.9720000000000004"/>
  </r>
  <r>
    <n v="717"/>
    <x v="269"/>
    <x v="2"/>
    <x v="9"/>
    <d v="2011-01-15T00:00:00"/>
    <n v="3"/>
    <x v="2"/>
    <s v="Seth Vernon"/>
    <x v="0"/>
    <s v="United States"/>
    <s v="Dover"/>
    <s v="Delaware"/>
    <s v="East"/>
    <x v="0"/>
    <x v="5"/>
    <s v="DAX Value U-Channel Document Frames, Easel Back"/>
    <x v="583"/>
    <n v="2"/>
    <n v="0"/>
    <n v="3.0813999999999999"/>
  </r>
  <r>
    <n v="718"/>
    <x v="241"/>
    <x v="3"/>
    <x v="8"/>
    <d v="2014-09-30T00:00:00"/>
    <n v="5"/>
    <x v="1"/>
    <s v="Kelly Collister"/>
    <x v="0"/>
    <s v="United States"/>
    <s v="Newark"/>
    <s v="Ohio"/>
    <s v="East"/>
    <x v="0"/>
    <x v="5"/>
    <s v="Howard Miller 13&quot; Diameter Pewter Finish Round Wall Clock"/>
    <x v="671"/>
    <n v="3"/>
    <n v="0.2"/>
    <n v="24.4758"/>
  </r>
  <r>
    <n v="719"/>
    <x v="270"/>
    <x v="2"/>
    <x v="1"/>
    <d v="2011-06-07T00:00:00"/>
    <n v="5"/>
    <x v="1"/>
    <s v="Christine Kargatis"/>
    <x v="2"/>
    <s v="United States"/>
    <s v="Orem"/>
    <s v="Utah"/>
    <s v="West"/>
    <x v="1"/>
    <x v="8"/>
    <s v="GBC Standard Therm-A-Bind Covers"/>
    <x v="672"/>
    <n v="3"/>
    <n v="0.2"/>
    <n v="19.4376"/>
  </r>
  <r>
    <n v="720"/>
    <x v="270"/>
    <x v="2"/>
    <x v="1"/>
    <d v="2011-06-07T00:00:00"/>
    <n v="5"/>
    <x v="1"/>
    <s v="Christine Kargatis"/>
    <x v="2"/>
    <s v="United States"/>
    <s v="Orem"/>
    <s v="Utah"/>
    <s v="West"/>
    <x v="0"/>
    <x v="5"/>
    <s v="Aluminum Document Frame"/>
    <x v="673"/>
    <n v="6"/>
    <n v="0"/>
    <n v="21.995999999999999"/>
  </r>
  <r>
    <n v="721"/>
    <x v="271"/>
    <x v="0"/>
    <x v="11"/>
    <d v="2013-02-18T00:00:00"/>
    <n v="5"/>
    <x v="1"/>
    <s v="Ross DeVincentis"/>
    <x v="2"/>
    <s v="United States"/>
    <s v="Los Angeles"/>
    <s v="California"/>
    <s v="West"/>
    <x v="1"/>
    <x v="10"/>
    <s v="Tops Green Bar Computer Printout Paper"/>
    <x v="674"/>
    <n v="3"/>
    <n v="0"/>
    <n v="73.41"/>
  </r>
  <r>
    <n v="722"/>
    <x v="272"/>
    <x v="0"/>
    <x v="4"/>
    <d v="2013-12-20T00:00:00"/>
    <n v="4"/>
    <x v="1"/>
    <s v="Michael Paige"/>
    <x v="1"/>
    <s v="United States"/>
    <s v="Detroit"/>
    <s v="Michigan"/>
    <s v="Central"/>
    <x v="0"/>
    <x v="3"/>
    <s v="Chromcraft Bull-Nose Wood Oval Conference Tables &amp; Bases"/>
    <x v="675"/>
    <n v="3"/>
    <n v="0"/>
    <n v="231.41159999999999"/>
  </r>
  <r>
    <n v="723"/>
    <x v="272"/>
    <x v="0"/>
    <x v="4"/>
    <d v="2013-12-20T00:00:00"/>
    <n v="4"/>
    <x v="1"/>
    <s v="Michael Paige"/>
    <x v="1"/>
    <s v="United States"/>
    <s v="Detroit"/>
    <s v="Michigan"/>
    <s v="Central"/>
    <x v="1"/>
    <x v="4"/>
    <s v="Recycled Data-Pak for Archival Bound Computer Printouts, 12-1/2 x 12-1/2 x 16"/>
    <x v="676"/>
    <n v="3"/>
    <n v="0"/>
    <n v="80.019900000000007"/>
  </r>
  <r>
    <n v="724"/>
    <x v="273"/>
    <x v="2"/>
    <x v="2"/>
    <d v="2011-10-13T00:00:00"/>
    <n v="6"/>
    <x v="1"/>
    <s v="Mathew Reese"/>
    <x v="2"/>
    <s v="United States"/>
    <s v="Philadelphia"/>
    <s v="Pennsylvania"/>
    <s v="East"/>
    <x v="0"/>
    <x v="5"/>
    <s v="Seth Thomas 16&quot; Steel Case Clock"/>
    <x v="677"/>
    <n v="5"/>
    <n v="0.2"/>
    <n v="21.111999999999998"/>
  </r>
  <r>
    <n v="725"/>
    <x v="274"/>
    <x v="0"/>
    <x v="7"/>
    <d v="2013-07-13T00:00:00"/>
    <n v="5"/>
    <x v="1"/>
    <s v="Steve Chapman"/>
    <x v="1"/>
    <s v="United States"/>
    <s v="Hialeah"/>
    <s v="Florida"/>
    <s v="South"/>
    <x v="1"/>
    <x v="14"/>
    <s v="Acme Softgrip Scissors"/>
    <x v="678"/>
    <n v="7"/>
    <n v="0.2"/>
    <n v="5.1281999999999996"/>
  </r>
  <r>
    <n v="726"/>
    <x v="118"/>
    <x v="3"/>
    <x v="8"/>
    <d v="2014-09-21T00:00:00"/>
    <n v="4"/>
    <x v="1"/>
    <s v="Jay Fein"/>
    <x v="0"/>
    <s v="United States"/>
    <s v="Austin"/>
    <s v="Texas"/>
    <s v="Central"/>
    <x v="1"/>
    <x v="12"/>
    <s v="Manila Recycled Extra-Heavyweight Clasp Envelopes, 6&quot; x 9&quot;"/>
    <x v="679"/>
    <n v="2"/>
    <n v="0.2"/>
    <n v="6.3684000000000003"/>
  </r>
  <r>
    <n v="727"/>
    <x v="118"/>
    <x v="3"/>
    <x v="8"/>
    <d v="2014-09-21T00:00:00"/>
    <n v="4"/>
    <x v="1"/>
    <s v="Jay Fein"/>
    <x v="0"/>
    <s v="United States"/>
    <s v="Austin"/>
    <s v="Texas"/>
    <s v="Central"/>
    <x v="2"/>
    <x v="7"/>
    <s v="ClearSounds CSC500 Amplified Spirit Phone Corded phone"/>
    <x v="680"/>
    <n v="1"/>
    <n v="0.2"/>
    <n v="5.5991999999999997"/>
  </r>
  <r>
    <n v="728"/>
    <x v="275"/>
    <x v="0"/>
    <x v="4"/>
    <d v="2013-12-07T00:00:00"/>
    <n v="3"/>
    <x v="2"/>
    <s v="Emily Grady"/>
    <x v="0"/>
    <s v="United States"/>
    <s v="Oceanside"/>
    <s v="New York"/>
    <s v="East"/>
    <x v="1"/>
    <x v="10"/>
    <s v="Xerox 1964"/>
    <x v="681"/>
    <n v="8"/>
    <n v="0"/>
    <n v="84.051199999999994"/>
  </r>
  <r>
    <n v="729"/>
    <x v="275"/>
    <x v="0"/>
    <x v="4"/>
    <d v="2013-12-07T00:00:00"/>
    <n v="3"/>
    <x v="2"/>
    <s v="Emily Grady"/>
    <x v="0"/>
    <s v="United States"/>
    <s v="Oceanside"/>
    <s v="New York"/>
    <s v="East"/>
    <x v="0"/>
    <x v="3"/>
    <s v="Bevis Traditional Conference Table Top, Plinth Base"/>
    <x v="682"/>
    <n v="2"/>
    <n v="0.4"/>
    <n v="-153.34559999999999"/>
  </r>
  <r>
    <n v="730"/>
    <x v="275"/>
    <x v="0"/>
    <x v="4"/>
    <d v="2013-12-07T00:00:00"/>
    <n v="3"/>
    <x v="2"/>
    <s v="Emily Grady"/>
    <x v="0"/>
    <s v="United States"/>
    <s v="Oceanside"/>
    <s v="New York"/>
    <s v="East"/>
    <x v="1"/>
    <x v="4"/>
    <s v="Personal Folder Holder, Ebony"/>
    <x v="683"/>
    <n v="3"/>
    <n v="0"/>
    <n v="10.089"/>
  </r>
  <r>
    <n v="731"/>
    <x v="275"/>
    <x v="0"/>
    <x v="4"/>
    <d v="2013-12-07T00:00:00"/>
    <n v="3"/>
    <x v="2"/>
    <s v="Emily Grady"/>
    <x v="0"/>
    <s v="United States"/>
    <s v="Oceanside"/>
    <s v="New York"/>
    <s v="East"/>
    <x v="0"/>
    <x v="1"/>
    <s v="Global Leather Highback Executive Chair with Pneumatic Height Adjustment, Black"/>
    <x v="684"/>
    <n v="3"/>
    <n v="0.1"/>
    <n v="102.49979999999999"/>
  </r>
  <r>
    <n v="732"/>
    <x v="275"/>
    <x v="0"/>
    <x v="4"/>
    <d v="2013-12-07T00:00:00"/>
    <n v="3"/>
    <x v="2"/>
    <s v="Emily Grady"/>
    <x v="0"/>
    <s v="United States"/>
    <s v="Oceanside"/>
    <s v="New York"/>
    <s v="East"/>
    <x v="1"/>
    <x v="2"/>
    <s v="Avery 520"/>
    <x v="685"/>
    <n v="2"/>
    <n v="0"/>
    <n v="3.024"/>
  </r>
  <r>
    <n v="733"/>
    <x v="276"/>
    <x v="3"/>
    <x v="9"/>
    <d v="2014-01-26T00:00:00"/>
    <n v="4"/>
    <x v="1"/>
    <s v="Darrin Sayre"/>
    <x v="2"/>
    <s v="United States"/>
    <s v="Seattle"/>
    <s v="Washington"/>
    <s v="West"/>
    <x v="1"/>
    <x v="4"/>
    <s v="Carina Double Wide Media Storage Towers in Natural &amp; Black"/>
    <x v="420"/>
    <n v="3"/>
    <n v="0"/>
    <n v="9.7175999999999991"/>
  </r>
  <r>
    <n v="734"/>
    <x v="276"/>
    <x v="3"/>
    <x v="9"/>
    <d v="2014-01-26T00:00:00"/>
    <n v="4"/>
    <x v="1"/>
    <s v="Darrin Sayre"/>
    <x v="2"/>
    <s v="United States"/>
    <s v="Seattle"/>
    <s v="Washington"/>
    <s v="West"/>
    <x v="2"/>
    <x v="11"/>
    <s v="Logitech Illuminated - Keyboard"/>
    <x v="686"/>
    <n v="3"/>
    <n v="0"/>
    <n v="86.385599999999997"/>
  </r>
  <r>
    <n v="735"/>
    <x v="276"/>
    <x v="3"/>
    <x v="9"/>
    <d v="2014-01-26T00:00:00"/>
    <n v="4"/>
    <x v="1"/>
    <s v="Darrin Sayre"/>
    <x v="2"/>
    <s v="United States"/>
    <s v="Seattle"/>
    <s v="Washington"/>
    <s v="West"/>
    <x v="1"/>
    <x v="8"/>
    <s v="Wilson Jones Century Plastic Molded Ring Binders"/>
    <x v="687"/>
    <n v="6"/>
    <n v="0.2"/>
    <n v="33.647399999999998"/>
  </r>
  <r>
    <n v="736"/>
    <x v="276"/>
    <x v="3"/>
    <x v="9"/>
    <d v="2014-01-26T00:00:00"/>
    <n v="4"/>
    <x v="1"/>
    <s v="Darrin Sayre"/>
    <x v="2"/>
    <s v="United States"/>
    <s v="Seattle"/>
    <s v="Washington"/>
    <s v="West"/>
    <x v="1"/>
    <x v="8"/>
    <s v="Wilson Jones Leather-Like Binders with DublLock Round Rings"/>
    <x v="688"/>
    <n v="4"/>
    <n v="0.2"/>
    <n v="9.4283999999999999"/>
  </r>
  <r>
    <n v="737"/>
    <x v="276"/>
    <x v="3"/>
    <x v="9"/>
    <d v="2014-01-26T00:00:00"/>
    <n v="4"/>
    <x v="1"/>
    <s v="Darrin Sayre"/>
    <x v="2"/>
    <s v="United States"/>
    <s v="Seattle"/>
    <s v="Washington"/>
    <s v="West"/>
    <x v="0"/>
    <x v="0"/>
    <s v="O'Sullivan Cherrywood Estates Traditional Bookcase"/>
    <x v="689"/>
    <n v="1"/>
    <n v="0"/>
    <n v="18.695599999999999"/>
  </r>
  <r>
    <n v="738"/>
    <x v="276"/>
    <x v="3"/>
    <x v="9"/>
    <d v="2014-01-26T00:00:00"/>
    <n v="4"/>
    <x v="1"/>
    <s v="Darrin Sayre"/>
    <x v="2"/>
    <s v="United States"/>
    <s v="Seattle"/>
    <s v="Washington"/>
    <s v="West"/>
    <x v="1"/>
    <x v="8"/>
    <s v="Acco Translucent Poly Ring Binders"/>
    <x v="690"/>
    <n v="5"/>
    <n v="0.2"/>
    <n v="6.5519999999999996"/>
  </r>
  <r>
    <n v="739"/>
    <x v="78"/>
    <x v="2"/>
    <x v="8"/>
    <d v="2011-09-12T00:00:00"/>
    <n v="4"/>
    <x v="1"/>
    <s v="Gary Zandusky"/>
    <x v="0"/>
    <s v="United States"/>
    <s v="San Francisco"/>
    <s v="California"/>
    <s v="West"/>
    <x v="2"/>
    <x v="11"/>
    <s v="Logitech Wireless Touch Keyboard K400"/>
    <x v="691"/>
    <n v="2"/>
    <n v="0"/>
    <n v="8.4966000000000008"/>
  </r>
  <r>
    <n v="740"/>
    <x v="277"/>
    <x v="2"/>
    <x v="9"/>
    <d v="2011-01-09T00:00:00"/>
    <n v="4"/>
    <x v="1"/>
    <s v="Phillina Ober"/>
    <x v="2"/>
    <s v="United States"/>
    <s v="Naperville"/>
    <s v="Illinois"/>
    <s v="Central"/>
    <x v="1"/>
    <x v="2"/>
    <s v="Avery 508"/>
    <x v="692"/>
    <n v="3"/>
    <n v="0.2"/>
    <n v="4.2717000000000001"/>
  </r>
  <r>
    <n v="741"/>
    <x v="277"/>
    <x v="2"/>
    <x v="9"/>
    <d v="2011-01-09T00:00:00"/>
    <n v="4"/>
    <x v="1"/>
    <s v="Phillina Ober"/>
    <x v="2"/>
    <s v="United States"/>
    <s v="Naperville"/>
    <s v="Illinois"/>
    <s v="Central"/>
    <x v="1"/>
    <x v="4"/>
    <s v="SAFCO Boltless Steel Shelving"/>
    <x v="693"/>
    <n v="3"/>
    <n v="0.2"/>
    <n v="-64.774799999999999"/>
  </r>
  <r>
    <n v="742"/>
    <x v="277"/>
    <x v="2"/>
    <x v="9"/>
    <d v="2011-01-09T00:00:00"/>
    <n v="4"/>
    <x v="1"/>
    <s v="Phillina Ober"/>
    <x v="2"/>
    <s v="United States"/>
    <s v="Naperville"/>
    <s v="Illinois"/>
    <s v="Central"/>
    <x v="1"/>
    <x v="8"/>
    <s v="GBC Standard Plastic Binding Systems Combs"/>
    <x v="694"/>
    <n v="2"/>
    <n v="0.8"/>
    <n v="-5.4870000000000001"/>
  </r>
  <r>
    <n v="743"/>
    <x v="278"/>
    <x v="0"/>
    <x v="6"/>
    <d v="2013-09-02T00:00:00"/>
    <n v="5"/>
    <x v="1"/>
    <s v="Sung Shariari"/>
    <x v="0"/>
    <s v="United States"/>
    <s v="Dallas"/>
    <s v="Texas"/>
    <s v="Central"/>
    <x v="1"/>
    <x v="14"/>
    <s v="Martin-Yale Premier Letter Opener"/>
    <x v="548"/>
    <n v="5"/>
    <n v="0.2"/>
    <n v="-10.948"/>
  </r>
  <r>
    <n v="744"/>
    <x v="278"/>
    <x v="0"/>
    <x v="6"/>
    <d v="2013-09-02T00:00:00"/>
    <n v="5"/>
    <x v="1"/>
    <s v="Sung Shariari"/>
    <x v="0"/>
    <s v="United States"/>
    <s v="Dallas"/>
    <s v="Texas"/>
    <s v="Central"/>
    <x v="1"/>
    <x v="10"/>
    <s v="Ampad Gold Fibre Wirebound Steno Books, 6&quot; x 9&quot;, Gregg Ruled"/>
    <x v="695"/>
    <n v="1"/>
    <n v="0.2"/>
    <n v="1.1466000000000001"/>
  </r>
  <r>
    <n v="745"/>
    <x v="278"/>
    <x v="0"/>
    <x v="6"/>
    <d v="2013-09-02T00:00:00"/>
    <n v="5"/>
    <x v="1"/>
    <s v="Sung Shariari"/>
    <x v="0"/>
    <s v="United States"/>
    <s v="Dallas"/>
    <s v="Texas"/>
    <s v="Central"/>
    <x v="1"/>
    <x v="10"/>
    <s v="Xerox 196"/>
    <x v="696"/>
    <n v="1"/>
    <n v="0.2"/>
    <n v="1.6761999999999999"/>
  </r>
  <r>
    <n v="746"/>
    <x v="278"/>
    <x v="0"/>
    <x v="6"/>
    <d v="2013-09-02T00:00:00"/>
    <n v="5"/>
    <x v="1"/>
    <s v="Sung Shariari"/>
    <x v="0"/>
    <s v="United States"/>
    <s v="Dallas"/>
    <s v="Texas"/>
    <s v="Central"/>
    <x v="1"/>
    <x v="14"/>
    <s v="Fiskars 8&quot; Scissors, 2/Pack"/>
    <x v="697"/>
    <n v="4"/>
    <n v="0.2"/>
    <n v="6.2064000000000004"/>
  </r>
  <r>
    <n v="747"/>
    <x v="279"/>
    <x v="2"/>
    <x v="5"/>
    <d v="2011-05-27T00:00:00"/>
    <n v="0"/>
    <x v="3"/>
    <s v="Maya Herman"/>
    <x v="1"/>
    <s v="United States"/>
    <s v="San Diego"/>
    <s v="California"/>
    <s v="West"/>
    <x v="0"/>
    <x v="3"/>
    <s v="KI Conference Tables"/>
    <x v="698"/>
    <n v="10"/>
    <n v="0.2"/>
    <n v="-28.356000000000002"/>
  </r>
  <r>
    <n v="748"/>
    <x v="279"/>
    <x v="2"/>
    <x v="5"/>
    <d v="2011-05-27T00:00:00"/>
    <n v="0"/>
    <x v="3"/>
    <s v="Maya Herman"/>
    <x v="1"/>
    <s v="United States"/>
    <s v="San Diego"/>
    <s v="California"/>
    <s v="West"/>
    <x v="1"/>
    <x v="4"/>
    <s v="Fellowes Officeware Wire Shelving"/>
    <x v="699"/>
    <n v="4"/>
    <n v="0"/>
    <n v="7.1863999999999999"/>
  </r>
  <r>
    <n v="749"/>
    <x v="231"/>
    <x v="0"/>
    <x v="10"/>
    <d v="2013-03-23T00:00:00"/>
    <n v="2"/>
    <x v="0"/>
    <s v="Peter Bühler"/>
    <x v="0"/>
    <s v="United States"/>
    <s v="Evanston"/>
    <s v="Illinois"/>
    <s v="Central"/>
    <x v="2"/>
    <x v="7"/>
    <s v="Belkin iPhone and iPad Lightning Cable"/>
    <x v="700"/>
    <n v="1"/>
    <n v="0.2"/>
    <n v="0.89939999999999998"/>
  </r>
  <r>
    <n v="750"/>
    <x v="280"/>
    <x v="3"/>
    <x v="2"/>
    <d v="2014-10-07T00:00:00"/>
    <n v="4"/>
    <x v="1"/>
    <s v="Roland Fjeld"/>
    <x v="0"/>
    <s v="United States"/>
    <s v="Trenton"/>
    <s v="Michigan"/>
    <s v="Central"/>
    <x v="1"/>
    <x v="8"/>
    <s v="GBC Durable Plastic Covers"/>
    <x v="701"/>
    <n v="3"/>
    <n v="0"/>
    <n v="26.702999999999999"/>
  </r>
  <r>
    <n v="751"/>
    <x v="280"/>
    <x v="3"/>
    <x v="2"/>
    <d v="2014-10-07T00:00:00"/>
    <n v="4"/>
    <x v="1"/>
    <s v="Roland Fjeld"/>
    <x v="0"/>
    <s v="United States"/>
    <s v="Trenton"/>
    <s v="Michigan"/>
    <s v="Central"/>
    <x v="0"/>
    <x v="5"/>
    <s v="Nu-Dell Leatherette Frames"/>
    <x v="702"/>
    <n v="11"/>
    <n v="0"/>
    <n v="56.7864"/>
  </r>
  <r>
    <n v="752"/>
    <x v="280"/>
    <x v="3"/>
    <x v="2"/>
    <d v="2014-10-07T00:00:00"/>
    <n v="4"/>
    <x v="1"/>
    <s v="Roland Fjeld"/>
    <x v="0"/>
    <s v="United States"/>
    <s v="Trenton"/>
    <s v="Michigan"/>
    <s v="Central"/>
    <x v="1"/>
    <x v="6"/>
    <s v="Avery Hi-Liter EverBold Pen Style Fluorescent Highlighters, 4/Pack"/>
    <x v="703"/>
    <n v="7"/>
    <n v="0"/>
    <n v="22.792000000000002"/>
  </r>
  <r>
    <n v="753"/>
    <x v="280"/>
    <x v="3"/>
    <x v="2"/>
    <d v="2014-10-07T00:00:00"/>
    <n v="4"/>
    <x v="1"/>
    <s v="Roland Fjeld"/>
    <x v="0"/>
    <s v="United States"/>
    <s v="Trenton"/>
    <s v="Michigan"/>
    <s v="Central"/>
    <x v="1"/>
    <x v="8"/>
    <s v="Avery Durable Binders"/>
    <x v="704"/>
    <n v="1"/>
    <n v="0"/>
    <n v="1.4112"/>
  </r>
  <r>
    <n v="754"/>
    <x v="281"/>
    <x v="0"/>
    <x v="3"/>
    <d v="2013-04-10T00:00:00"/>
    <n v="2"/>
    <x v="2"/>
    <s v="Yoseph Carroll"/>
    <x v="1"/>
    <s v="United States"/>
    <s v="San Francisco"/>
    <s v="California"/>
    <s v="West"/>
    <x v="2"/>
    <x v="16"/>
    <s v="Hewlett Packard 610 Color Digital Copier / Printer"/>
    <x v="384"/>
    <n v="3"/>
    <n v="0.2"/>
    <n v="374.99250000000001"/>
  </r>
  <r>
    <n v="755"/>
    <x v="214"/>
    <x v="1"/>
    <x v="4"/>
    <d v="2012-12-12T00:00:00"/>
    <n v="5"/>
    <x v="1"/>
    <s v="Melanie Seite"/>
    <x v="0"/>
    <s v="United States"/>
    <s v="Los Angeles"/>
    <s v="California"/>
    <s v="West"/>
    <x v="0"/>
    <x v="5"/>
    <s v="12-1/2 Diameter Round Wall Clock"/>
    <x v="705"/>
    <n v="4"/>
    <n v="0"/>
    <n v="28.7712"/>
  </r>
  <r>
    <n v="756"/>
    <x v="31"/>
    <x v="0"/>
    <x v="8"/>
    <d v="2013-09-23T00:00:00"/>
    <n v="4"/>
    <x v="1"/>
    <s v="Nona Balk"/>
    <x v="1"/>
    <s v="United States"/>
    <s v="Jacksonville"/>
    <s v="Florida"/>
    <s v="South"/>
    <x v="0"/>
    <x v="3"/>
    <s v="Chromcraft Round Conference Tables"/>
    <x v="706"/>
    <n v="4"/>
    <n v="0.45"/>
    <n v="-167.3184"/>
  </r>
  <r>
    <n v="757"/>
    <x v="282"/>
    <x v="2"/>
    <x v="4"/>
    <d v="2012-01-02T00:00:00"/>
    <n v="4"/>
    <x v="1"/>
    <s v="Debra Catini"/>
    <x v="0"/>
    <s v="United States"/>
    <s v="Cottage Grove"/>
    <s v="Minnesota"/>
    <s v="Central"/>
    <x v="1"/>
    <x v="4"/>
    <s v="Recycled Eldon Regeneration Jumbo File"/>
    <x v="332"/>
    <n v="2"/>
    <n v="0"/>
    <n v="6.8768000000000002"/>
  </r>
  <r>
    <n v="758"/>
    <x v="282"/>
    <x v="2"/>
    <x v="4"/>
    <d v="2012-01-02T00:00:00"/>
    <n v="4"/>
    <x v="1"/>
    <s v="Debra Catini"/>
    <x v="0"/>
    <s v="United States"/>
    <s v="Cottage Grove"/>
    <s v="Minnesota"/>
    <s v="Central"/>
    <x v="2"/>
    <x v="11"/>
    <s v="Imation 32GB Pocket Pro USB 3.0 Flash Drive - 32 GB - Black - 1 P ..."/>
    <x v="596"/>
    <n v="4"/>
    <n v="0"/>
    <n v="47.92"/>
  </r>
  <r>
    <n v="759"/>
    <x v="283"/>
    <x v="3"/>
    <x v="7"/>
    <d v="2014-07-29T00:00:00"/>
    <n v="5"/>
    <x v="1"/>
    <s v="Christine Phan"/>
    <x v="1"/>
    <s v="United States"/>
    <s v="New York City"/>
    <s v="New York"/>
    <s v="East"/>
    <x v="1"/>
    <x v="8"/>
    <s v="Angle-D Ring Binders"/>
    <x v="531"/>
    <n v="3"/>
    <n v="0.2"/>
    <n v="4.2666000000000004"/>
  </r>
  <r>
    <n v="760"/>
    <x v="65"/>
    <x v="3"/>
    <x v="8"/>
    <d v="2014-09-23T00:00:00"/>
    <n v="4"/>
    <x v="1"/>
    <s v="Barry Französisch"/>
    <x v="1"/>
    <s v="United States"/>
    <s v="Green Bay"/>
    <s v="Wisconsin"/>
    <s v="Central"/>
    <x v="1"/>
    <x v="10"/>
    <s v="Adams Telephone Message Book W/Dividers/Space For Phone Numbers, 5 1/4&quot;X8 1/2&quot;, 200/Messages"/>
    <x v="20"/>
    <n v="4"/>
    <n v="0"/>
    <n v="10.224"/>
  </r>
  <r>
    <n v="761"/>
    <x v="284"/>
    <x v="1"/>
    <x v="6"/>
    <d v="2012-09-05T00:00:00"/>
    <n v="5"/>
    <x v="1"/>
    <s v="Andrew Roberts"/>
    <x v="0"/>
    <s v="United States"/>
    <s v="Los Angeles"/>
    <s v="California"/>
    <s v="West"/>
    <x v="1"/>
    <x v="10"/>
    <s v="Xerox 226"/>
    <x v="707"/>
    <n v="9"/>
    <n v="0"/>
    <n v="27.993600000000001"/>
  </r>
  <r>
    <n v="762"/>
    <x v="132"/>
    <x v="3"/>
    <x v="0"/>
    <d v="2014-11-08T00:00:00"/>
    <n v="4"/>
    <x v="1"/>
    <s v="Julie Creighton"/>
    <x v="1"/>
    <s v="United States"/>
    <s v="Atlanta"/>
    <s v="Georgia"/>
    <s v="South"/>
    <x v="1"/>
    <x v="2"/>
    <s v="Avery 476"/>
    <x v="708"/>
    <n v="3"/>
    <n v="0"/>
    <n v="5.6993999999999998"/>
  </r>
  <r>
    <n v="763"/>
    <x v="285"/>
    <x v="1"/>
    <x v="11"/>
    <d v="2012-02-13T00:00:00"/>
    <n v="5"/>
    <x v="1"/>
    <s v="Lisa Hazard"/>
    <x v="0"/>
    <s v="United States"/>
    <s v="Columbus"/>
    <s v="Ohio"/>
    <s v="East"/>
    <x v="2"/>
    <x v="7"/>
    <s v="JBL Micro Wireless Portable Bluetooth Speaker"/>
    <x v="709"/>
    <n v="3"/>
    <n v="0.4"/>
    <n v="-26.9955"/>
  </r>
  <r>
    <n v="764"/>
    <x v="286"/>
    <x v="2"/>
    <x v="9"/>
    <d v="2011-01-16T00:00:00"/>
    <n v="2"/>
    <x v="0"/>
    <s v="Chris Selesnick"/>
    <x v="1"/>
    <s v="United States"/>
    <s v="Bossier City"/>
    <s v="Louisiana"/>
    <s v="South"/>
    <x v="1"/>
    <x v="12"/>
    <s v="Staples"/>
    <x v="710"/>
    <n v="2"/>
    <n v="0"/>
    <n v="5.3391999999999999"/>
  </r>
  <r>
    <n v="765"/>
    <x v="286"/>
    <x v="2"/>
    <x v="9"/>
    <d v="2011-01-16T00:00:00"/>
    <n v="2"/>
    <x v="0"/>
    <s v="Chris Selesnick"/>
    <x v="1"/>
    <s v="United States"/>
    <s v="Bossier City"/>
    <s v="Louisiana"/>
    <s v="South"/>
    <x v="1"/>
    <x v="12"/>
    <s v="Brown Kraft Recycled Envelopes"/>
    <x v="711"/>
    <n v="3"/>
    <n v="0"/>
    <n v="25.47"/>
  </r>
  <r>
    <n v="766"/>
    <x v="286"/>
    <x v="2"/>
    <x v="9"/>
    <d v="2011-01-16T00:00:00"/>
    <n v="2"/>
    <x v="0"/>
    <s v="Chris Selesnick"/>
    <x v="1"/>
    <s v="United States"/>
    <s v="Bossier City"/>
    <s v="Louisiana"/>
    <s v="South"/>
    <x v="2"/>
    <x v="11"/>
    <s v="Plantronics S12 Corded Telephone Headset System"/>
    <x v="712"/>
    <n v="6"/>
    <n v="0"/>
    <n v="258.69600000000003"/>
  </r>
  <r>
    <n v="767"/>
    <x v="286"/>
    <x v="2"/>
    <x v="9"/>
    <d v="2011-01-16T00:00:00"/>
    <n v="2"/>
    <x v="0"/>
    <s v="Chris Selesnick"/>
    <x v="1"/>
    <s v="United States"/>
    <s v="Bossier City"/>
    <s v="Louisiana"/>
    <s v="South"/>
    <x v="1"/>
    <x v="8"/>
    <s v="Staples"/>
    <x v="713"/>
    <n v="3"/>
    <n v="0"/>
    <n v="2.7071999999999998"/>
  </r>
  <r>
    <n v="768"/>
    <x v="286"/>
    <x v="2"/>
    <x v="9"/>
    <d v="2011-01-16T00:00:00"/>
    <n v="2"/>
    <x v="0"/>
    <s v="Chris Selesnick"/>
    <x v="1"/>
    <s v="United States"/>
    <s v="Bossier City"/>
    <s v="Louisiana"/>
    <s v="South"/>
    <x v="1"/>
    <x v="4"/>
    <s v="Fellowes Stor/Drawer Steel Plus Storage Drawers"/>
    <x v="714"/>
    <n v="6"/>
    <n v="0"/>
    <n v="34.354799999999997"/>
  </r>
  <r>
    <n v="769"/>
    <x v="287"/>
    <x v="2"/>
    <x v="5"/>
    <d v="2011-05-20T00:00:00"/>
    <n v="6"/>
    <x v="1"/>
    <s v="Anthony Johnson"/>
    <x v="1"/>
    <s v="United States"/>
    <s v="Saint Petersburg"/>
    <s v="Florida"/>
    <s v="South"/>
    <x v="0"/>
    <x v="5"/>
    <s v="Electrix Halogen Magnifier Lamp"/>
    <x v="715"/>
    <n v="2"/>
    <n v="0.2"/>
    <n v="23.315999999999999"/>
  </r>
  <r>
    <n v="770"/>
    <x v="288"/>
    <x v="0"/>
    <x v="5"/>
    <d v="2013-05-25T00:00:00"/>
    <n v="5"/>
    <x v="1"/>
    <s v="Laurel Elliston"/>
    <x v="0"/>
    <s v="United States"/>
    <s v="Arlington"/>
    <s v="Virginia"/>
    <s v="South"/>
    <x v="0"/>
    <x v="1"/>
    <s v="Hon 4070 Series Pagoda Round Back Stacking Chairs"/>
    <x v="716"/>
    <n v="2"/>
    <n v="0"/>
    <n v="179.74879999999999"/>
  </r>
  <r>
    <n v="771"/>
    <x v="289"/>
    <x v="3"/>
    <x v="9"/>
    <d v="2014-02-06T00:00:00"/>
    <n v="6"/>
    <x v="1"/>
    <s v="Benjamin Venier"/>
    <x v="1"/>
    <s v="United States"/>
    <s v="Des Moines"/>
    <s v="Iowa"/>
    <s v="Central"/>
    <x v="1"/>
    <x v="8"/>
    <s v="Cardinal EasyOpen D-Ring Binders"/>
    <x v="717"/>
    <n v="2"/>
    <n v="0"/>
    <n v="9.14"/>
  </r>
  <r>
    <n v="772"/>
    <x v="289"/>
    <x v="3"/>
    <x v="9"/>
    <d v="2014-02-06T00:00:00"/>
    <n v="6"/>
    <x v="1"/>
    <s v="Benjamin Venier"/>
    <x v="1"/>
    <s v="United States"/>
    <s v="Des Moines"/>
    <s v="Iowa"/>
    <s v="Central"/>
    <x v="2"/>
    <x v="7"/>
    <s v="AT&amp;T 841000 Phone"/>
    <x v="718"/>
    <n v="3"/>
    <n v="0"/>
    <n v="51.75"/>
  </r>
  <r>
    <n v="773"/>
    <x v="289"/>
    <x v="3"/>
    <x v="9"/>
    <d v="2014-02-06T00:00:00"/>
    <n v="6"/>
    <x v="1"/>
    <s v="Benjamin Venier"/>
    <x v="1"/>
    <s v="United States"/>
    <s v="Des Moines"/>
    <s v="Iowa"/>
    <s v="Central"/>
    <x v="1"/>
    <x v="8"/>
    <s v="GBC Instant Report Kit"/>
    <x v="719"/>
    <n v="5"/>
    <n v="0"/>
    <n v="16.175000000000001"/>
  </r>
  <r>
    <n v="774"/>
    <x v="289"/>
    <x v="3"/>
    <x v="9"/>
    <d v="2014-02-06T00:00:00"/>
    <n v="6"/>
    <x v="1"/>
    <s v="Benjamin Venier"/>
    <x v="1"/>
    <s v="United States"/>
    <s v="Des Moines"/>
    <s v="Iowa"/>
    <s v="Central"/>
    <x v="1"/>
    <x v="8"/>
    <s v="DXL Angle-View Binders with Locking Rings by Samsill"/>
    <x v="720"/>
    <n v="1"/>
    <n v="0"/>
    <n v="3.4695"/>
  </r>
  <r>
    <n v="775"/>
    <x v="289"/>
    <x v="3"/>
    <x v="9"/>
    <d v="2014-02-06T00:00:00"/>
    <n v="6"/>
    <x v="1"/>
    <s v="Benjamin Venier"/>
    <x v="1"/>
    <s v="United States"/>
    <s v="Des Moines"/>
    <s v="Iowa"/>
    <s v="Central"/>
    <x v="1"/>
    <x v="6"/>
    <s v="Boston 19500 Mighty Mite Electric Pencil Sharpener"/>
    <x v="721"/>
    <n v="2"/>
    <n v="0"/>
    <n v="10.881"/>
  </r>
  <r>
    <n v="776"/>
    <x v="289"/>
    <x v="3"/>
    <x v="9"/>
    <d v="2014-02-06T00:00:00"/>
    <n v="6"/>
    <x v="1"/>
    <s v="Benjamin Venier"/>
    <x v="1"/>
    <s v="United States"/>
    <s v="Des Moines"/>
    <s v="Iowa"/>
    <s v="Central"/>
    <x v="0"/>
    <x v="5"/>
    <s v="C-Line Magnetic Cubicle Keepers, Clear Polypropylene"/>
    <x v="722"/>
    <n v="7"/>
    <n v="0"/>
    <n v="14.5236"/>
  </r>
  <r>
    <n v="777"/>
    <x v="290"/>
    <x v="2"/>
    <x v="1"/>
    <d v="2011-07-06T00:00:00"/>
    <n v="7"/>
    <x v="1"/>
    <s v="Dan Lawera"/>
    <x v="0"/>
    <s v="United States"/>
    <s v="Cincinnati"/>
    <s v="Ohio"/>
    <s v="East"/>
    <x v="1"/>
    <x v="6"/>
    <s v="Dixon My First Ticonderoga Pencil, #2"/>
    <x v="723"/>
    <n v="7"/>
    <n v="0.2"/>
    <n v="3.6855000000000002"/>
  </r>
  <r>
    <n v="778"/>
    <x v="291"/>
    <x v="1"/>
    <x v="6"/>
    <d v="2012-08-23T00:00:00"/>
    <n v="2"/>
    <x v="2"/>
    <s v="Nick Zandusky"/>
    <x v="2"/>
    <s v="United States"/>
    <s v="San Francisco"/>
    <s v="California"/>
    <s v="West"/>
    <x v="0"/>
    <x v="1"/>
    <s v="Hon GuestStacker Chair"/>
    <x v="724"/>
    <n v="3"/>
    <n v="0.2"/>
    <n v="40.800600000000003"/>
  </r>
  <r>
    <n v="779"/>
    <x v="291"/>
    <x v="1"/>
    <x v="6"/>
    <d v="2012-08-23T00:00:00"/>
    <n v="2"/>
    <x v="2"/>
    <s v="Nick Zandusky"/>
    <x v="2"/>
    <s v="United States"/>
    <s v="San Francisco"/>
    <s v="California"/>
    <s v="West"/>
    <x v="1"/>
    <x v="10"/>
    <s v="Xerox 191"/>
    <x v="725"/>
    <n v="3"/>
    <n v="0"/>
    <n v="28.171800000000001"/>
  </r>
  <r>
    <n v="780"/>
    <x v="291"/>
    <x v="1"/>
    <x v="6"/>
    <d v="2012-08-23T00:00:00"/>
    <n v="2"/>
    <x v="2"/>
    <s v="Nick Zandusky"/>
    <x v="2"/>
    <s v="United States"/>
    <s v="San Francisco"/>
    <s v="California"/>
    <s v="West"/>
    <x v="1"/>
    <x v="10"/>
    <s v="Xerox 1974"/>
    <x v="100"/>
    <n v="4"/>
    <n v="0"/>
    <n v="11.720800000000001"/>
  </r>
  <r>
    <n v="781"/>
    <x v="291"/>
    <x v="1"/>
    <x v="6"/>
    <d v="2012-08-23T00:00:00"/>
    <n v="2"/>
    <x v="2"/>
    <s v="Nick Zandusky"/>
    <x v="2"/>
    <s v="United States"/>
    <s v="San Francisco"/>
    <s v="California"/>
    <s v="West"/>
    <x v="1"/>
    <x v="10"/>
    <s v="Xerox 1927"/>
    <x v="726"/>
    <n v="1"/>
    <n v="0"/>
    <n v="1.9259999999999999"/>
  </r>
  <r>
    <n v="782"/>
    <x v="292"/>
    <x v="1"/>
    <x v="2"/>
    <d v="2012-10-06T00:00:00"/>
    <n v="3"/>
    <x v="0"/>
    <s v="Bryan Mills"/>
    <x v="0"/>
    <s v="United States"/>
    <s v="Columbus"/>
    <s v="Ohio"/>
    <s v="East"/>
    <x v="1"/>
    <x v="8"/>
    <s v="Acco D-Ring Binder w/DublLock"/>
    <x v="727"/>
    <n v="5"/>
    <n v="0.7"/>
    <n v="-22.449000000000002"/>
  </r>
  <r>
    <n v="783"/>
    <x v="292"/>
    <x v="1"/>
    <x v="2"/>
    <d v="2012-10-06T00:00:00"/>
    <n v="3"/>
    <x v="0"/>
    <s v="Bryan Mills"/>
    <x v="0"/>
    <s v="United States"/>
    <s v="Columbus"/>
    <s v="Ohio"/>
    <s v="East"/>
    <x v="2"/>
    <x v="11"/>
    <s v="Imation 8gb Micro Traveldrive Usb 2.0 Flash Drive"/>
    <x v="728"/>
    <n v="2"/>
    <n v="0.2"/>
    <n v="-2.7"/>
  </r>
  <r>
    <n v="784"/>
    <x v="292"/>
    <x v="1"/>
    <x v="2"/>
    <d v="2012-10-06T00:00:00"/>
    <n v="3"/>
    <x v="0"/>
    <s v="Bryan Mills"/>
    <x v="0"/>
    <s v="United States"/>
    <s v="Columbus"/>
    <s v="Ohio"/>
    <s v="East"/>
    <x v="0"/>
    <x v="0"/>
    <s v="Safco Value Mate Series Steel Bookcases, Baked Enamel Finish on Steel, Gray"/>
    <x v="729"/>
    <n v="1"/>
    <n v="0.5"/>
    <n v="-15.615600000000001"/>
  </r>
  <r>
    <n v="785"/>
    <x v="292"/>
    <x v="1"/>
    <x v="2"/>
    <d v="2012-10-06T00:00:00"/>
    <n v="3"/>
    <x v="0"/>
    <s v="Bryan Mills"/>
    <x v="0"/>
    <s v="United States"/>
    <s v="Columbus"/>
    <s v="Ohio"/>
    <s v="East"/>
    <x v="2"/>
    <x v="11"/>
    <s v="Microsoft Natural Ergonomic Keyboard 4000"/>
    <x v="730"/>
    <n v="2"/>
    <n v="0.2"/>
    <n v="0.5998"/>
  </r>
  <r>
    <n v="786"/>
    <x v="293"/>
    <x v="1"/>
    <x v="5"/>
    <d v="2012-05-28T00:00:00"/>
    <n v="5"/>
    <x v="1"/>
    <s v="Erin Ashbrook"/>
    <x v="1"/>
    <s v="United States"/>
    <s v="Columbia"/>
    <s v="South Carolina"/>
    <s v="South"/>
    <x v="1"/>
    <x v="12"/>
    <s v="Cameo Buff Policy Envelopes"/>
    <x v="731"/>
    <n v="3"/>
    <n v="0"/>
    <n v="87.744299999999996"/>
  </r>
  <r>
    <n v="787"/>
    <x v="294"/>
    <x v="3"/>
    <x v="10"/>
    <d v="2014-03-22T00:00:00"/>
    <n v="4"/>
    <x v="0"/>
    <s v="Clay Ludtke"/>
    <x v="0"/>
    <s v="United States"/>
    <s v="Lancaster"/>
    <s v="California"/>
    <s v="West"/>
    <x v="1"/>
    <x v="8"/>
    <s v="Heavy-Duty E-Z-D Binders"/>
    <x v="732"/>
    <n v="2"/>
    <n v="0.2"/>
    <n v="5.8914"/>
  </r>
  <r>
    <n v="788"/>
    <x v="295"/>
    <x v="1"/>
    <x v="4"/>
    <d v="2012-12-16T00:00:00"/>
    <n v="4"/>
    <x v="1"/>
    <s v="Liz Thompson"/>
    <x v="0"/>
    <s v="United States"/>
    <s v="Lancaster"/>
    <s v="California"/>
    <s v="West"/>
    <x v="0"/>
    <x v="1"/>
    <s v="Lifetime Advantage Folding Chairs, 4/Carton"/>
    <x v="733"/>
    <n v="2"/>
    <n v="0.2"/>
    <n v="34.892800000000001"/>
  </r>
  <r>
    <n v="789"/>
    <x v="153"/>
    <x v="1"/>
    <x v="1"/>
    <d v="2012-06-30T00:00:00"/>
    <n v="4"/>
    <x v="1"/>
    <s v="Sue Ann Reed"/>
    <x v="0"/>
    <s v="United States"/>
    <s v="Richmond"/>
    <s v="Virginia"/>
    <s v="South"/>
    <x v="1"/>
    <x v="8"/>
    <s v="GBC VeloBinder Manual Binding System"/>
    <x v="734"/>
    <n v="4"/>
    <n v="0"/>
    <n v="69.100800000000007"/>
  </r>
  <r>
    <n v="790"/>
    <x v="153"/>
    <x v="1"/>
    <x v="1"/>
    <d v="2012-06-30T00:00:00"/>
    <n v="4"/>
    <x v="1"/>
    <s v="Sue Ann Reed"/>
    <x v="0"/>
    <s v="United States"/>
    <s v="Richmond"/>
    <s v="Virginia"/>
    <s v="South"/>
    <x v="1"/>
    <x v="4"/>
    <s v="Decoflex Hanging Personal Folder File, Blue"/>
    <x v="735"/>
    <n v="1"/>
    <n v="0"/>
    <n v="4.1634000000000002"/>
  </r>
  <r>
    <n v="791"/>
    <x v="153"/>
    <x v="1"/>
    <x v="1"/>
    <d v="2012-06-30T00:00:00"/>
    <n v="4"/>
    <x v="1"/>
    <s v="Sue Ann Reed"/>
    <x v="0"/>
    <s v="United States"/>
    <s v="Richmond"/>
    <s v="Virginia"/>
    <s v="South"/>
    <x v="1"/>
    <x v="8"/>
    <s v="Acco PRESSTEX Data Binder with Storage Hooks, Dark Blue, 9 1/2&quot; X 11&quot;"/>
    <x v="736"/>
    <n v="8"/>
    <n v="0"/>
    <n v="21.089600000000001"/>
  </r>
  <r>
    <n v="792"/>
    <x v="153"/>
    <x v="1"/>
    <x v="1"/>
    <d v="2012-06-30T00:00:00"/>
    <n v="4"/>
    <x v="1"/>
    <s v="Sue Ann Reed"/>
    <x v="0"/>
    <s v="United States"/>
    <s v="Richmond"/>
    <s v="Virginia"/>
    <s v="South"/>
    <x v="0"/>
    <x v="1"/>
    <s v="Office Star - Contemporary Task Swivel Chair"/>
    <x v="737"/>
    <n v="3"/>
    <n v="0"/>
    <n v="79.905600000000007"/>
  </r>
  <r>
    <n v="793"/>
    <x v="244"/>
    <x v="0"/>
    <x v="5"/>
    <d v="2013-05-21T00:00:00"/>
    <n v="0"/>
    <x v="3"/>
    <s v="Joe Kamberova"/>
    <x v="0"/>
    <s v="United States"/>
    <s v="Asheville"/>
    <s v="North Carolina"/>
    <s v="South"/>
    <x v="2"/>
    <x v="7"/>
    <s v="Cisco Unified IP Phone 7945G VoIP phone"/>
    <x v="738"/>
    <n v="5"/>
    <n v="0.2"/>
    <n v="85.247500000000002"/>
  </r>
  <r>
    <n v="794"/>
    <x v="59"/>
    <x v="2"/>
    <x v="8"/>
    <d v="2011-09-26T00:00:00"/>
    <n v="6"/>
    <x v="1"/>
    <s v="Erica Smith"/>
    <x v="0"/>
    <s v="United States"/>
    <s v="San Francisco"/>
    <s v="California"/>
    <s v="West"/>
    <x v="1"/>
    <x v="2"/>
    <s v="Avery 499"/>
    <x v="739"/>
    <n v="2"/>
    <n v="0"/>
    <n v="4.5815999999999999"/>
  </r>
  <r>
    <n v="795"/>
    <x v="59"/>
    <x v="2"/>
    <x v="8"/>
    <d v="2011-09-26T00:00:00"/>
    <n v="6"/>
    <x v="1"/>
    <s v="Erica Smith"/>
    <x v="0"/>
    <s v="United States"/>
    <s v="San Francisco"/>
    <s v="California"/>
    <s v="West"/>
    <x v="1"/>
    <x v="10"/>
    <s v="Wirebound Message Book, 4 per Page"/>
    <x v="740"/>
    <n v="4"/>
    <n v="0"/>
    <n v="10.642799999999999"/>
  </r>
  <r>
    <n v="796"/>
    <x v="296"/>
    <x v="3"/>
    <x v="8"/>
    <d v="2014-09-27T00:00:00"/>
    <n v="5"/>
    <x v="1"/>
    <s v="Rick Hansen"/>
    <x v="0"/>
    <s v="United States"/>
    <s v="Rochester"/>
    <s v="Minnesota"/>
    <s v="Central"/>
    <x v="1"/>
    <x v="8"/>
    <s v="Avery Durable Binders"/>
    <x v="171"/>
    <n v="7"/>
    <n v="0"/>
    <n v="9.8783999999999992"/>
  </r>
  <r>
    <n v="797"/>
    <x v="100"/>
    <x v="1"/>
    <x v="4"/>
    <d v="2012-12-26T00:00:00"/>
    <n v="2"/>
    <x v="2"/>
    <s v="David Bremer"/>
    <x v="1"/>
    <s v="United States"/>
    <s v="Rochester"/>
    <s v="New York"/>
    <s v="East"/>
    <x v="1"/>
    <x v="10"/>
    <s v="Xerox 1887"/>
    <x v="741"/>
    <n v="7"/>
    <n v="0"/>
    <n v="63.739199999999997"/>
  </r>
  <r>
    <n v="798"/>
    <x v="100"/>
    <x v="1"/>
    <x v="4"/>
    <d v="2012-12-26T00:00:00"/>
    <n v="2"/>
    <x v="2"/>
    <s v="David Bremer"/>
    <x v="1"/>
    <s v="United States"/>
    <s v="Rochester"/>
    <s v="New York"/>
    <s v="East"/>
    <x v="1"/>
    <x v="10"/>
    <s v="Xerox 1967"/>
    <x v="91"/>
    <n v="2"/>
    <n v="0"/>
    <n v="6.2207999999999997"/>
  </r>
  <r>
    <n v="799"/>
    <x v="100"/>
    <x v="1"/>
    <x v="4"/>
    <d v="2012-12-26T00:00:00"/>
    <n v="2"/>
    <x v="2"/>
    <s v="David Bremer"/>
    <x v="1"/>
    <s v="United States"/>
    <s v="Rochester"/>
    <s v="New York"/>
    <s v="East"/>
    <x v="1"/>
    <x v="2"/>
    <s v="Smead Alpha-Z Color-Coded Second Alphabetical Labels and Starter Set"/>
    <x v="742"/>
    <n v="7"/>
    <n v="0"/>
    <n v="10.348800000000001"/>
  </r>
  <r>
    <n v="800"/>
    <x v="154"/>
    <x v="1"/>
    <x v="0"/>
    <d v="2012-12-03T00:00:00"/>
    <n v="6"/>
    <x v="1"/>
    <s v="Carlos Daly"/>
    <x v="0"/>
    <s v="United States"/>
    <s v="Lake Elsinore"/>
    <s v="California"/>
    <s v="West"/>
    <x v="0"/>
    <x v="1"/>
    <s v="Situations Contoured Folding Chairs, 4/Set"/>
    <x v="510"/>
    <n v="5"/>
    <n v="0.2"/>
    <n v="17.745000000000001"/>
  </r>
  <r>
    <n v="801"/>
    <x v="297"/>
    <x v="3"/>
    <x v="11"/>
    <d v="2014-02-24T00:00:00"/>
    <n v="3"/>
    <x v="2"/>
    <s v="Helen Wasserman"/>
    <x v="1"/>
    <s v="United States"/>
    <s v="San Diego"/>
    <s v="California"/>
    <s v="West"/>
    <x v="0"/>
    <x v="5"/>
    <s v="Executive Impressions 14&quot; Contract Wall Clock"/>
    <x v="743"/>
    <n v="1"/>
    <n v="0"/>
    <n v="7.3358999999999996"/>
  </r>
  <r>
    <n v="802"/>
    <x v="297"/>
    <x v="3"/>
    <x v="11"/>
    <d v="2014-02-24T00:00:00"/>
    <n v="3"/>
    <x v="2"/>
    <s v="Helen Wasserman"/>
    <x v="1"/>
    <s v="United States"/>
    <s v="San Diego"/>
    <s v="California"/>
    <s v="West"/>
    <x v="2"/>
    <x v="7"/>
    <s v="Logitech Mobile Speakerphone P710e - speaker phone"/>
    <x v="744"/>
    <n v="2"/>
    <n v="0.2"/>
    <n v="18.897200000000002"/>
  </r>
  <r>
    <n v="803"/>
    <x v="298"/>
    <x v="0"/>
    <x v="6"/>
    <d v="2013-08-24T00:00:00"/>
    <n v="5"/>
    <x v="0"/>
    <s v="Helen Wasserman"/>
    <x v="1"/>
    <s v="United States"/>
    <s v="New York City"/>
    <s v="New York"/>
    <s v="East"/>
    <x v="1"/>
    <x v="9"/>
    <s v="Belkin 7 Outlet SurgeMaster II"/>
    <x v="745"/>
    <n v="9"/>
    <n v="0"/>
    <n v="99.489599999999996"/>
  </r>
  <r>
    <n v="804"/>
    <x v="299"/>
    <x v="0"/>
    <x v="10"/>
    <d v="2013-03-18T00:00:00"/>
    <n v="5"/>
    <x v="1"/>
    <s v="Mike Caudle"/>
    <x v="1"/>
    <s v="United States"/>
    <s v="Monroe"/>
    <s v="Louisiana"/>
    <s v="South"/>
    <x v="1"/>
    <x v="10"/>
    <s v="Xerox 218"/>
    <x v="91"/>
    <n v="2"/>
    <n v="0"/>
    <n v="6.2207999999999997"/>
  </r>
  <r>
    <n v="805"/>
    <x v="300"/>
    <x v="3"/>
    <x v="3"/>
    <d v="2014-04-25T00:00:00"/>
    <n v="2"/>
    <x v="2"/>
    <s v="Gary McGarr"/>
    <x v="0"/>
    <s v="United States"/>
    <s v="San Francisco"/>
    <s v="California"/>
    <s v="West"/>
    <x v="0"/>
    <x v="5"/>
    <s v="Eldon Stackable Tray, Side-Load, Legal, Smoke"/>
    <x v="717"/>
    <n v="2"/>
    <n v="0"/>
    <n v="6.2152000000000003"/>
  </r>
  <r>
    <n v="806"/>
    <x v="301"/>
    <x v="2"/>
    <x v="0"/>
    <d v="2011-11-07T00:00:00"/>
    <n v="6"/>
    <x v="1"/>
    <s v="Russell Applegate"/>
    <x v="0"/>
    <s v="United States"/>
    <s v="Denver"/>
    <s v="Colorado"/>
    <s v="West"/>
    <x v="1"/>
    <x v="6"/>
    <s v="Model L Table or Wall-Mount Pencil Sharpener"/>
    <x v="746"/>
    <n v="3"/>
    <n v="0.2"/>
    <n v="4.3175999999999997"/>
  </r>
  <r>
    <n v="807"/>
    <x v="301"/>
    <x v="2"/>
    <x v="0"/>
    <d v="2011-11-07T00:00:00"/>
    <n v="6"/>
    <x v="1"/>
    <s v="Russell Applegate"/>
    <x v="0"/>
    <s v="United States"/>
    <s v="Denver"/>
    <s v="Colorado"/>
    <s v="West"/>
    <x v="2"/>
    <x v="7"/>
    <s v="ClearOne CHATAttach 160 - speaker phone"/>
    <x v="747"/>
    <n v="4"/>
    <n v="0.2"/>
    <n v="247.99600000000001"/>
  </r>
  <r>
    <n v="808"/>
    <x v="302"/>
    <x v="1"/>
    <x v="11"/>
    <d v="2012-02-05T00:00:00"/>
    <n v="2"/>
    <x v="2"/>
    <s v="Allen Armold"/>
    <x v="0"/>
    <s v="United States"/>
    <s v="Omaha"/>
    <s v="Nebraska"/>
    <s v="Central"/>
    <x v="0"/>
    <x v="5"/>
    <s v="Coloredge Poster Frame"/>
    <x v="158"/>
    <n v="2"/>
    <n v="0"/>
    <n v="11.076000000000001"/>
  </r>
  <r>
    <n v="809"/>
    <x v="302"/>
    <x v="1"/>
    <x v="11"/>
    <d v="2012-02-05T00:00:00"/>
    <n v="2"/>
    <x v="2"/>
    <s v="Allen Armold"/>
    <x v="0"/>
    <s v="United States"/>
    <s v="Omaha"/>
    <s v="Nebraska"/>
    <s v="Central"/>
    <x v="2"/>
    <x v="11"/>
    <s v="Kensington SlimBlade Notebook Wireless Mouse with Nano Receiver "/>
    <x v="145"/>
    <n v="3"/>
    <n v="0"/>
    <n v="50.989800000000002"/>
  </r>
  <r>
    <n v="810"/>
    <x v="303"/>
    <x v="2"/>
    <x v="2"/>
    <d v="2011-10-15T00:00:00"/>
    <n v="2"/>
    <x v="2"/>
    <s v="Zuschuss Carroll"/>
    <x v="0"/>
    <s v="United States"/>
    <s v="Edmonds"/>
    <s v="Washington"/>
    <s v="West"/>
    <x v="1"/>
    <x v="6"/>
    <s v="Newell 32"/>
    <x v="132"/>
    <n v="4"/>
    <n v="0"/>
    <n v="3.2256"/>
  </r>
  <r>
    <n v="811"/>
    <x v="303"/>
    <x v="2"/>
    <x v="2"/>
    <d v="2011-10-15T00:00:00"/>
    <n v="2"/>
    <x v="2"/>
    <s v="Zuschuss Carroll"/>
    <x v="0"/>
    <s v="United States"/>
    <s v="Edmonds"/>
    <s v="Washington"/>
    <s v="West"/>
    <x v="0"/>
    <x v="3"/>
    <s v="Bevis Round Bullnose 29&quot; High Table Top"/>
    <x v="748"/>
    <n v="5"/>
    <n v="0"/>
    <n v="311.65199999999999"/>
  </r>
  <r>
    <n v="812"/>
    <x v="303"/>
    <x v="2"/>
    <x v="2"/>
    <d v="2011-10-15T00:00:00"/>
    <n v="2"/>
    <x v="2"/>
    <s v="Zuschuss Carroll"/>
    <x v="0"/>
    <s v="United States"/>
    <s v="Edmonds"/>
    <s v="Washington"/>
    <s v="West"/>
    <x v="1"/>
    <x v="9"/>
    <s v="Belkin F9G930V10-GRY 9 Outlet Surge"/>
    <x v="749"/>
    <n v="4"/>
    <n v="0"/>
    <n v="62.036799999999999"/>
  </r>
  <r>
    <n v="813"/>
    <x v="303"/>
    <x v="2"/>
    <x v="2"/>
    <d v="2011-10-15T00:00:00"/>
    <n v="2"/>
    <x v="2"/>
    <s v="Zuschuss Carroll"/>
    <x v="0"/>
    <s v="United States"/>
    <s v="Edmonds"/>
    <s v="Washington"/>
    <s v="West"/>
    <x v="2"/>
    <x v="11"/>
    <s v="Sony 16GB Class 10 Micro SDHC R40 Memory Card"/>
    <x v="750"/>
    <n v="2"/>
    <n v="0"/>
    <n v="2.5779999999999998"/>
  </r>
  <r>
    <n v="814"/>
    <x v="304"/>
    <x v="3"/>
    <x v="5"/>
    <d v="2014-05-15T00:00:00"/>
    <n v="0"/>
    <x v="3"/>
    <s v="Pauline Johnson"/>
    <x v="0"/>
    <s v="United States"/>
    <s v="Santa Ana"/>
    <s v="California"/>
    <s v="West"/>
    <x v="0"/>
    <x v="5"/>
    <s v="Eldon Stackable Tray, Side-Load, Legal, Smoke"/>
    <x v="717"/>
    <n v="2"/>
    <n v="0"/>
    <n v="6.2152000000000003"/>
  </r>
  <r>
    <n v="815"/>
    <x v="304"/>
    <x v="3"/>
    <x v="5"/>
    <d v="2014-05-15T00:00:00"/>
    <n v="0"/>
    <x v="3"/>
    <s v="Pauline Johnson"/>
    <x v="0"/>
    <s v="United States"/>
    <s v="Santa Ana"/>
    <s v="California"/>
    <s v="West"/>
    <x v="2"/>
    <x v="11"/>
    <s v="Razer Tiamat Over Ear 7.1 Surround Sound PC Gaming Headset"/>
    <x v="751"/>
    <n v="7"/>
    <n v="0"/>
    <n v="601.96990000000005"/>
  </r>
  <r>
    <n v="816"/>
    <x v="305"/>
    <x v="1"/>
    <x v="10"/>
    <d v="2012-03-23T00:00:00"/>
    <n v="3"/>
    <x v="2"/>
    <s v="Bart Watters"/>
    <x v="1"/>
    <s v="United States"/>
    <s v="Milwaukee"/>
    <s v="Wisconsin"/>
    <s v="Central"/>
    <x v="1"/>
    <x v="10"/>
    <s v="Xerox 205"/>
    <x v="187"/>
    <n v="8"/>
    <n v="0"/>
    <n v="24.883199999999999"/>
  </r>
  <r>
    <n v="817"/>
    <x v="306"/>
    <x v="0"/>
    <x v="8"/>
    <d v="2013-09-20T00:00:00"/>
    <n v="4"/>
    <x v="1"/>
    <s v="Dean Braden"/>
    <x v="0"/>
    <s v="United States"/>
    <s v="Philadelphia"/>
    <s v="Pennsylvania"/>
    <s v="East"/>
    <x v="1"/>
    <x v="10"/>
    <s v="Xerox 1968"/>
    <x v="752"/>
    <n v="1"/>
    <n v="0.2"/>
    <n v="1.8704000000000001"/>
  </r>
  <r>
    <n v="818"/>
    <x v="307"/>
    <x v="2"/>
    <x v="1"/>
    <d v="2011-07-02T00:00:00"/>
    <n v="4"/>
    <x v="1"/>
    <s v="Cynthia Arntzen"/>
    <x v="0"/>
    <s v="United States"/>
    <s v="Philadelphia"/>
    <s v="Pennsylvania"/>
    <s v="East"/>
    <x v="1"/>
    <x v="10"/>
    <s v="Xerox 1995"/>
    <x v="753"/>
    <n v="8"/>
    <n v="0.2"/>
    <n v="14.5152"/>
  </r>
  <r>
    <n v="819"/>
    <x v="307"/>
    <x v="2"/>
    <x v="1"/>
    <d v="2011-07-02T00:00:00"/>
    <n v="4"/>
    <x v="1"/>
    <s v="Cynthia Arntzen"/>
    <x v="0"/>
    <s v="United States"/>
    <s v="Philadelphia"/>
    <s v="Pennsylvania"/>
    <s v="East"/>
    <x v="1"/>
    <x v="8"/>
    <s v="Self-Adhesive Ring Binder Labels"/>
    <x v="754"/>
    <n v="3"/>
    <n v="0.7"/>
    <n v="-2.4287999999999998"/>
  </r>
  <r>
    <n v="820"/>
    <x v="307"/>
    <x v="2"/>
    <x v="1"/>
    <d v="2011-07-02T00:00:00"/>
    <n v="4"/>
    <x v="1"/>
    <s v="Cynthia Arntzen"/>
    <x v="0"/>
    <s v="United States"/>
    <s v="Philadelphia"/>
    <s v="Pennsylvania"/>
    <s v="East"/>
    <x v="0"/>
    <x v="1"/>
    <s v="Global Leather Executive Chair"/>
    <x v="755"/>
    <n v="5"/>
    <n v="0.3"/>
    <n v="0"/>
  </r>
  <r>
    <n v="821"/>
    <x v="307"/>
    <x v="2"/>
    <x v="1"/>
    <d v="2011-07-02T00:00:00"/>
    <n v="4"/>
    <x v="1"/>
    <s v="Cynthia Arntzen"/>
    <x v="0"/>
    <s v="United States"/>
    <s v="Philadelphia"/>
    <s v="Pennsylvania"/>
    <s v="East"/>
    <x v="1"/>
    <x v="8"/>
    <s v="GBC Recycled Grain Textured Covers"/>
    <x v="756"/>
    <n v="3"/>
    <n v="0.7"/>
    <n v="-22.796399999999998"/>
  </r>
  <r>
    <n v="822"/>
    <x v="307"/>
    <x v="2"/>
    <x v="1"/>
    <d v="2011-07-02T00:00:00"/>
    <n v="4"/>
    <x v="1"/>
    <s v="Cynthia Arntzen"/>
    <x v="0"/>
    <s v="United States"/>
    <s v="Philadelphia"/>
    <s v="Pennsylvania"/>
    <s v="East"/>
    <x v="1"/>
    <x v="10"/>
    <s v="Xerox 1941"/>
    <x v="757"/>
    <n v="4"/>
    <n v="0.2"/>
    <n v="117.432"/>
  </r>
  <r>
    <n v="823"/>
    <x v="308"/>
    <x v="3"/>
    <x v="1"/>
    <d v="2014-06-28T00:00:00"/>
    <n v="7"/>
    <x v="1"/>
    <s v="Toby Ritter"/>
    <x v="0"/>
    <s v="United States"/>
    <s v="Belleville"/>
    <s v="New Jersey"/>
    <s v="East"/>
    <x v="2"/>
    <x v="11"/>
    <s v="Razer Kraken PRO Over Ear PC and Music Headset"/>
    <x v="758"/>
    <n v="3"/>
    <n v="0"/>
    <n v="71.991"/>
  </r>
  <r>
    <n v="824"/>
    <x v="308"/>
    <x v="3"/>
    <x v="1"/>
    <d v="2014-06-28T00:00:00"/>
    <n v="7"/>
    <x v="1"/>
    <s v="Toby Ritter"/>
    <x v="0"/>
    <s v="United States"/>
    <s v="Belleville"/>
    <s v="New Jersey"/>
    <s v="East"/>
    <x v="1"/>
    <x v="2"/>
    <s v="Avery 508"/>
    <x v="759"/>
    <n v="2"/>
    <n v="0"/>
    <n v="4.8117999999999999"/>
  </r>
  <r>
    <n v="825"/>
    <x v="309"/>
    <x v="2"/>
    <x v="5"/>
    <d v="2011-05-15T00:00:00"/>
    <n v="6"/>
    <x v="1"/>
    <s v="Patrick Gardner"/>
    <x v="0"/>
    <s v="United States"/>
    <s v="San Francisco"/>
    <s v="California"/>
    <s v="West"/>
    <x v="2"/>
    <x v="11"/>
    <s v="Kingston Digital DataTraveler 32GB USB 2.0"/>
    <x v="760"/>
    <n v="4"/>
    <n v="0"/>
    <n v="4.0679999999999996"/>
  </r>
  <r>
    <n v="826"/>
    <x v="309"/>
    <x v="2"/>
    <x v="5"/>
    <d v="2011-05-15T00:00:00"/>
    <n v="6"/>
    <x v="1"/>
    <s v="Patrick Gardner"/>
    <x v="0"/>
    <s v="United States"/>
    <s v="San Francisco"/>
    <s v="California"/>
    <s v="West"/>
    <x v="2"/>
    <x v="11"/>
    <s v="Sony Micro Vault Click 16 GB USB 2.0 Flash Drive"/>
    <x v="761"/>
    <n v="3"/>
    <n v="0"/>
    <n v="40.312800000000003"/>
  </r>
  <r>
    <n v="827"/>
    <x v="170"/>
    <x v="3"/>
    <x v="6"/>
    <d v="2014-08-29T00:00:00"/>
    <n v="7"/>
    <x v="1"/>
    <s v="Greg Tran"/>
    <x v="0"/>
    <s v="United States"/>
    <s v="Lakeville"/>
    <s v="Minnesota"/>
    <s v="Central"/>
    <x v="1"/>
    <x v="13"/>
    <s v="Advantus Plastic Paper Clips"/>
    <x v="762"/>
    <n v="7"/>
    <n v="0"/>
    <n v="16.8"/>
  </r>
  <r>
    <n v="828"/>
    <x v="170"/>
    <x v="3"/>
    <x v="6"/>
    <d v="2014-08-29T00:00:00"/>
    <n v="7"/>
    <x v="1"/>
    <s v="Greg Tran"/>
    <x v="0"/>
    <s v="United States"/>
    <s v="Lakeville"/>
    <s v="Minnesota"/>
    <s v="Central"/>
    <x v="1"/>
    <x v="14"/>
    <s v="Acme Forged Steel Scissors with Black Enamel Handles"/>
    <x v="763"/>
    <n v="4"/>
    <n v="0"/>
    <n v="10.7996"/>
  </r>
  <r>
    <n v="829"/>
    <x v="170"/>
    <x v="3"/>
    <x v="6"/>
    <d v="2014-08-29T00:00:00"/>
    <n v="7"/>
    <x v="1"/>
    <s v="Greg Tran"/>
    <x v="0"/>
    <s v="United States"/>
    <s v="Lakeville"/>
    <s v="Minnesota"/>
    <s v="Central"/>
    <x v="1"/>
    <x v="12"/>
    <s v="Security-Tint Envelopes"/>
    <x v="764"/>
    <n v="2"/>
    <n v="0"/>
    <n v="7.4871999999999996"/>
  </r>
  <r>
    <n v="830"/>
    <x v="114"/>
    <x v="3"/>
    <x v="1"/>
    <d v="2014-06-22T00:00:00"/>
    <n v="5"/>
    <x v="0"/>
    <s v="Joel Eaton"/>
    <x v="0"/>
    <s v="United States"/>
    <s v="Florence"/>
    <s v="Kentucky"/>
    <s v="South"/>
    <x v="0"/>
    <x v="1"/>
    <s v="Global Airflow Leather Mesh Back Chair, Black"/>
    <x v="85"/>
    <n v="2"/>
    <n v="0"/>
    <n v="90.587999999999994"/>
  </r>
  <r>
    <n v="831"/>
    <x v="114"/>
    <x v="3"/>
    <x v="1"/>
    <d v="2014-06-22T00:00:00"/>
    <n v="5"/>
    <x v="0"/>
    <s v="Joel Eaton"/>
    <x v="0"/>
    <s v="United States"/>
    <s v="Florence"/>
    <s v="Kentucky"/>
    <s v="South"/>
    <x v="1"/>
    <x v="9"/>
    <s v="Fellowes Smart Surge Ten-Outlet Protector, Platinum"/>
    <x v="765"/>
    <n v="3"/>
    <n v="0"/>
    <n v="50.584800000000001"/>
  </r>
  <r>
    <n v="832"/>
    <x v="114"/>
    <x v="3"/>
    <x v="1"/>
    <d v="2014-06-22T00:00:00"/>
    <n v="5"/>
    <x v="0"/>
    <s v="Joel Eaton"/>
    <x v="0"/>
    <s v="United States"/>
    <s v="Florence"/>
    <s v="Kentucky"/>
    <s v="South"/>
    <x v="2"/>
    <x v="7"/>
    <s v="Pyle PMP37LED"/>
    <x v="766"/>
    <n v="2"/>
    <n v="0"/>
    <n v="51.834600000000002"/>
  </r>
  <r>
    <n v="833"/>
    <x v="114"/>
    <x v="3"/>
    <x v="1"/>
    <d v="2014-06-22T00:00:00"/>
    <n v="5"/>
    <x v="0"/>
    <s v="Joel Eaton"/>
    <x v="0"/>
    <s v="United States"/>
    <s v="Florence"/>
    <s v="Kentucky"/>
    <s v="South"/>
    <x v="2"/>
    <x v="7"/>
    <s v="Clarity 53712"/>
    <x v="767"/>
    <n v="1"/>
    <n v="0"/>
    <n v="17.157399999999999"/>
  </r>
  <r>
    <n v="834"/>
    <x v="310"/>
    <x v="0"/>
    <x v="7"/>
    <d v="2013-07-28T00:00:00"/>
    <n v="4"/>
    <x v="1"/>
    <s v="Jennifer Braxton"/>
    <x v="1"/>
    <s v="United States"/>
    <s v="Tampa"/>
    <s v="Florida"/>
    <s v="South"/>
    <x v="1"/>
    <x v="6"/>
    <s v="Boston 16801 Nautilus Battery Pencil Sharpener"/>
    <x v="768"/>
    <n v="2"/>
    <n v="0.2"/>
    <n v="2.6412"/>
  </r>
  <r>
    <n v="835"/>
    <x v="310"/>
    <x v="0"/>
    <x v="7"/>
    <d v="2013-07-28T00:00:00"/>
    <n v="4"/>
    <x v="1"/>
    <s v="Jennifer Braxton"/>
    <x v="1"/>
    <s v="United States"/>
    <s v="Tampa"/>
    <s v="Florida"/>
    <s v="South"/>
    <x v="1"/>
    <x v="9"/>
    <s v="Holmes Replacement Filter for HEPA Air Cleaner, Large Room"/>
    <x v="769"/>
    <n v="2"/>
    <n v="0.2"/>
    <n v="6.5164"/>
  </r>
  <r>
    <n v="836"/>
    <x v="310"/>
    <x v="0"/>
    <x v="7"/>
    <d v="2013-07-28T00:00:00"/>
    <n v="4"/>
    <x v="1"/>
    <s v="Jennifer Braxton"/>
    <x v="1"/>
    <s v="United States"/>
    <s v="Tampa"/>
    <s v="Florida"/>
    <s v="South"/>
    <x v="2"/>
    <x v="15"/>
    <s v="Zebra GX420t Direct Thermal/Thermal Transfer Printer"/>
    <x v="770"/>
    <n v="1"/>
    <n v="0.5"/>
    <n v="-111.4995"/>
  </r>
  <r>
    <n v="837"/>
    <x v="78"/>
    <x v="2"/>
    <x v="8"/>
    <d v="2011-09-13T00:00:00"/>
    <n v="5"/>
    <x v="0"/>
    <s v="Lisa Hazard"/>
    <x v="0"/>
    <s v="United States"/>
    <s v="Tyler"/>
    <s v="Texas"/>
    <s v="Central"/>
    <x v="1"/>
    <x v="8"/>
    <s v="GBC ProClick Punch Binding System"/>
    <x v="771"/>
    <n v="4"/>
    <n v="0.8"/>
    <n v="-79.3352"/>
  </r>
  <r>
    <n v="838"/>
    <x v="259"/>
    <x v="3"/>
    <x v="0"/>
    <d v="2014-11-12T00:00:00"/>
    <n v="7"/>
    <x v="1"/>
    <s v="James Lanier"/>
    <x v="2"/>
    <s v="United States"/>
    <s v="Columbia"/>
    <s v="Tennessee"/>
    <s v="South"/>
    <x v="1"/>
    <x v="10"/>
    <s v="Adams Telephone Message Books, 5 1/4” x 11”"/>
    <x v="772"/>
    <n v="2"/>
    <n v="0.2"/>
    <n v="3.2616000000000001"/>
  </r>
  <r>
    <n v="839"/>
    <x v="311"/>
    <x v="0"/>
    <x v="10"/>
    <d v="2013-03-13T00:00:00"/>
    <n v="5"/>
    <x v="1"/>
    <s v="Ed Braxton"/>
    <x v="1"/>
    <s v="United States"/>
    <s v="Fort Worth"/>
    <s v="Texas"/>
    <s v="Central"/>
    <x v="2"/>
    <x v="7"/>
    <s v="Belkin Grip Candy Sheer Case / Cover for iPhone 5 and 5S"/>
    <x v="773"/>
    <n v="3"/>
    <n v="0.2"/>
    <n v="1.5804"/>
  </r>
  <r>
    <n v="840"/>
    <x v="312"/>
    <x v="1"/>
    <x v="0"/>
    <d v="2012-11-25T00:00:00"/>
    <n v="5"/>
    <x v="1"/>
    <s v="Brian Moss"/>
    <x v="1"/>
    <s v="United States"/>
    <s v="New York City"/>
    <s v="New York"/>
    <s v="East"/>
    <x v="1"/>
    <x v="6"/>
    <s v="Boston 19500 Mighty Mite Electric Pencil Sharpener"/>
    <x v="774"/>
    <n v="3"/>
    <n v="0"/>
    <n v="16.3215"/>
  </r>
  <r>
    <n v="841"/>
    <x v="312"/>
    <x v="1"/>
    <x v="0"/>
    <d v="2012-11-25T00:00:00"/>
    <n v="5"/>
    <x v="1"/>
    <s v="Brian Moss"/>
    <x v="1"/>
    <s v="United States"/>
    <s v="New York City"/>
    <s v="New York"/>
    <s v="East"/>
    <x v="1"/>
    <x v="6"/>
    <s v="Newell 335"/>
    <x v="132"/>
    <n v="4"/>
    <n v="0"/>
    <n v="3.3408000000000002"/>
  </r>
  <r>
    <n v="842"/>
    <x v="312"/>
    <x v="1"/>
    <x v="0"/>
    <d v="2012-11-25T00:00:00"/>
    <n v="5"/>
    <x v="1"/>
    <s v="Brian Moss"/>
    <x v="1"/>
    <s v="United States"/>
    <s v="New York City"/>
    <s v="New York"/>
    <s v="East"/>
    <x v="0"/>
    <x v="0"/>
    <s v="O'Sullivan 3-Shelf Heavy-Duty Bookcases"/>
    <x v="775"/>
    <n v="4"/>
    <n v="0.2"/>
    <n v="9.3024000000000004"/>
  </r>
  <r>
    <n v="843"/>
    <x v="77"/>
    <x v="0"/>
    <x v="0"/>
    <d v="2013-11-10T00:00:00"/>
    <n v="2"/>
    <x v="2"/>
    <s v="Eudokia Martin"/>
    <x v="1"/>
    <s v="United States"/>
    <s v="Los Angeles"/>
    <s v="California"/>
    <s v="West"/>
    <x v="1"/>
    <x v="8"/>
    <s v="Fellowes Binding Cases"/>
    <x v="776"/>
    <n v="4"/>
    <n v="0.2"/>
    <n v="11.7"/>
  </r>
  <r>
    <n v="844"/>
    <x v="77"/>
    <x v="0"/>
    <x v="0"/>
    <d v="2013-11-10T00:00:00"/>
    <n v="2"/>
    <x v="2"/>
    <s v="Eudokia Martin"/>
    <x v="1"/>
    <s v="United States"/>
    <s v="Los Angeles"/>
    <s v="California"/>
    <s v="West"/>
    <x v="1"/>
    <x v="8"/>
    <s v="Ibico Plastic and Wire Spiral Binding Combs"/>
    <x v="777"/>
    <n v="4"/>
    <n v="0.2"/>
    <n v="8.7672000000000008"/>
  </r>
  <r>
    <n v="845"/>
    <x v="77"/>
    <x v="0"/>
    <x v="0"/>
    <d v="2013-11-10T00:00:00"/>
    <n v="2"/>
    <x v="2"/>
    <s v="Eudokia Martin"/>
    <x v="1"/>
    <s v="United States"/>
    <s v="Los Angeles"/>
    <s v="California"/>
    <s v="West"/>
    <x v="1"/>
    <x v="14"/>
    <s v="Acme Preferred Stainless Steel Scissors"/>
    <x v="710"/>
    <n v="2"/>
    <n v="0"/>
    <n v="3.2944"/>
  </r>
  <r>
    <n v="846"/>
    <x v="77"/>
    <x v="0"/>
    <x v="0"/>
    <d v="2013-11-10T00:00:00"/>
    <n v="2"/>
    <x v="2"/>
    <s v="Eudokia Martin"/>
    <x v="1"/>
    <s v="United States"/>
    <s v="Los Angeles"/>
    <s v="California"/>
    <s v="West"/>
    <x v="1"/>
    <x v="2"/>
    <s v="Avery 486"/>
    <x v="2"/>
    <n v="2"/>
    <n v="0"/>
    <n v="6.8714000000000004"/>
  </r>
  <r>
    <n v="847"/>
    <x v="313"/>
    <x v="1"/>
    <x v="2"/>
    <d v="2012-10-17T00:00:00"/>
    <n v="4"/>
    <x v="1"/>
    <s v="Art Foster"/>
    <x v="0"/>
    <s v="United States"/>
    <s v="Louisville"/>
    <s v="Kentucky"/>
    <s v="South"/>
    <x v="2"/>
    <x v="7"/>
    <s v="I Need's 3d Hello Kitty Hybrid Silicone Case Cover for HTC One X 4g with 3d Hello Kitty Stylus Pen Green/pink"/>
    <x v="778"/>
    <n v="7"/>
    <n v="0"/>
    <n v="23.441600000000001"/>
  </r>
  <r>
    <n v="848"/>
    <x v="313"/>
    <x v="1"/>
    <x v="2"/>
    <d v="2012-10-17T00:00:00"/>
    <n v="4"/>
    <x v="1"/>
    <s v="Art Foster"/>
    <x v="0"/>
    <s v="United States"/>
    <s v="Louisville"/>
    <s v="Kentucky"/>
    <s v="South"/>
    <x v="0"/>
    <x v="1"/>
    <s v="Global Deluxe Office Fabric Chairs"/>
    <x v="779"/>
    <n v="3"/>
    <n v="0"/>
    <n v="77.743799999999993"/>
  </r>
  <r>
    <n v="849"/>
    <x v="314"/>
    <x v="3"/>
    <x v="9"/>
    <d v="2014-01-07T00:00:00"/>
    <n v="5"/>
    <x v="1"/>
    <s v="Guy Armstrong"/>
    <x v="0"/>
    <s v="United States"/>
    <s v="Lorain"/>
    <s v="Ohio"/>
    <s v="East"/>
    <x v="0"/>
    <x v="5"/>
    <s v="Linden 10&quot; Round Wall Clock, Black"/>
    <x v="780"/>
    <n v="4"/>
    <n v="0.2"/>
    <n v="8.5568000000000008"/>
  </r>
  <r>
    <n v="850"/>
    <x v="315"/>
    <x v="2"/>
    <x v="11"/>
    <d v="2011-02-13T00:00:00"/>
    <n v="5"/>
    <x v="1"/>
    <s v="Cyma Kinney"/>
    <x v="1"/>
    <s v="United States"/>
    <s v="Linden"/>
    <s v="New Jersey"/>
    <s v="East"/>
    <x v="2"/>
    <x v="11"/>
    <s v="Maxell DVD-RAM Discs"/>
    <x v="781"/>
    <n v="7"/>
    <n v="0"/>
    <n v="49.604799999999997"/>
  </r>
  <r>
    <n v="851"/>
    <x v="23"/>
    <x v="0"/>
    <x v="1"/>
    <d v="2013-06-26T00:00:00"/>
    <n v="5"/>
    <x v="0"/>
    <s v="Dave Poirier"/>
    <x v="1"/>
    <s v="United States"/>
    <s v="Salinas"/>
    <s v="California"/>
    <s v="West"/>
    <x v="1"/>
    <x v="6"/>
    <s v="DIXON Oriole Pencils"/>
    <x v="782"/>
    <n v="2"/>
    <n v="0"/>
    <n v="1.3415999999999999"/>
  </r>
  <r>
    <n v="852"/>
    <x v="23"/>
    <x v="0"/>
    <x v="1"/>
    <d v="2013-06-26T00:00:00"/>
    <n v="5"/>
    <x v="0"/>
    <s v="Dave Poirier"/>
    <x v="1"/>
    <s v="United States"/>
    <s v="Salinas"/>
    <s v="California"/>
    <s v="West"/>
    <x v="1"/>
    <x v="10"/>
    <s v="Xerox 202"/>
    <x v="783"/>
    <n v="6"/>
    <n v="0"/>
    <n v="18.662400000000002"/>
  </r>
  <r>
    <n v="853"/>
    <x v="316"/>
    <x v="0"/>
    <x v="5"/>
    <d v="2013-06-05T00:00:00"/>
    <n v="7"/>
    <x v="1"/>
    <s v="Valerie Dominguez"/>
    <x v="0"/>
    <s v="United States"/>
    <s v="Jackson"/>
    <s v="Mississippi"/>
    <s v="South"/>
    <x v="1"/>
    <x v="6"/>
    <s v="Boston School Pro Electric Pencil Sharpener, 1670"/>
    <x v="784"/>
    <n v="6"/>
    <n v="0"/>
    <n v="50.187600000000003"/>
  </r>
  <r>
    <n v="854"/>
    <x v="317"/>
    <x v="0"/>
    <x v="11"/>
    <d v="2013-02-24T00:00:00"/>
    <n v="5"/>
    <x v="1"/>
    <s v="Greg Tran"/>
    <x v="0"/>
    <s v="United States"/>
    <s v="New York City"/>
    <s v="New York"/>
    <s v="East"/>
    <x v="0"/>
    <x v="5"/>
    <s v="Executive Impressions 14&quot; Contract Wall Clock"/>
    <x v="785"/>
    <n v="2"/>
    <n v="0"/>
    <n v="14.671799999999999"/>
  </r>
  <r>
    <n v="855"/>
    <x v="317"/>
    <x v="0"/>
    <x v="11"/>
    <d v="2013-02-24T00:00:00"/>
    <n v="5"/>
    <x v="1"/>
    <s v="Greg Tran"/>
    <x v="0"/>
    <s v="United States"/>
    <s v="New York City"/>
    <s v="New York"/>
    <s v="East"/>
    <x v="1"/>
    <x v="4"/>
    <s v="Carina Double Wide Media Storage Towers in Natural &amp; Black"/>
    <x v="420"/>
    <n v="3"/>
    <n v="0"/>
    <n v="9.7175999999999991"/>
  </r>
  <r>
    <n v="856"/>
    <x v="93"/>
    <x v="2"/>
    <x v="6"/>
    <d v="2011-08-08T00:00:00"/>
    <n v="5"/>
    <x v="1"/>
    <s v="Berenike Kampe"/>
    <x v="0"/>
    <s v="United States"/>
    <s v="New York City"/>
    <s v="New York"/>
    <s v="East"/>
    <x v="1"/>
    <x v="10"/>
    <s v="Xerox 1884"/>
    <x v="786"/>
    <n v="2"/>
    <n v="0"/>
    <n v="18.781199999999998"/>
  </r>
  <r>
    <n v="857"/>
    <x v="93"/>
    <x v="2"/>
    <x v="6"/>
    <d v="2011-08-08T00:00:00"/>
    <n v="5"/>
    <x v="1"/>
    <s v="Berenike Kampe"/>
    <x v="0"/>
    <s v="United States"/>
    <s v="New York City"/>
    <s v="New York"/>
    <s v="East"/>
    <x v="1"/>
    <x v="14"/>
    <s v="Acme Box Cutter Scissors"/>
    <x v="787"/>
    <n v="10"/>
    <n v="0"/>
    <n v="26.597999999999999"/>
  </r>
  <r>
    <n v="858"/>
    <x v="93"/>
    <x v="2"/>
    <x v="6"/>
    <d v="2011-08-08T00:00:00"/>
    <n v="5"/>
    <x v="1"/>
    <s v="Berenike Kampe"/>
    <x v="0"/>
    <s v="United States"/>
    <s v="New York City"/>
    <s v="New York"/>
    <s v="East"/>
    <x v="1"/>
    <x v="4"/>
    <s v="Staples"/>
    <x v="788"/>
    <n v="2"/>
    <n v="0"/>
    <n v="5.7671999999999999"/>
  </r>
  <r>
    <n v="859"/>
    <x v="318"/>
    <x v="3"/>
    <x v="3"/>
    <d v="2014-04-16T00:00:00"/>
    <n v="5"/>
    <x v="1"/>
    <s v="Sanjit Jacobs"/>
    <x v="2"/>
    <s v="United States"/>
    <s v="New Brunswick"/>
    <s v="New Jersey"/>
    <s v="East"/>
    <x v="1"/>
    <x v="10"/>
    <s v="Wirebound Message Books, Two 4 1/4&quot; x 5&quot; Forms per Page"/>
    <x v="244"/>
    <n v="1"/>
    <n v="0"/>
    <n v="3.5767000000000002"/>
  </r>
  <r>
    <n v="860"/>
    <x v="318"/>
    <x v="3"/>
    <x v="3"/>
    <d v="2014-04-16T00:00:00"/>
    <n v="5"/>
    <x v="1"/>
    <s v="Sanjit Jacobs"/>
    <x v="2"/>
    <s v="United States"/>
    <s v="New Brunswick"/>
    <s v="New Jersey"/>
    <s v="East"/>
    <x v="1"/>
    <x v="13"/>
    <s v="OIC Binder Clips"/>
    <x v="181"/>
    <n v="2"/>
    <n v="0"/>
    <n v="3.58"/>
  </r>
  <r>
    <n v="861"/>
    <x v="3"/>
    <x v="2"/>
    <x v="1"/>
    <d v="2011-06-16T00:00:00"/>
    <n v="7"/>
    <x v="1"/>
    <s v="Chuck Magee"/>
    <x v="0"/>
    <s v="United States"/>
    <s v="San Francisco"/>
    <s v="California"/>
    <s v="West"/>
    <x v="1"/>
    <x v="14"/>
    <s v="Staples"/>
    <x v="348"/>
    <n v="2"/>
    <n v="0"/>
    <n v="0.1472"/>
  </r>
  <r>
    <n v="862"/>
    <x v="3"/>
    <x v="2"/>
    <x v="1"/>
    <d v="2011-06-16T00:00:00"/>
    <n v="7"/>
    <x v="1"/>
    <s v="Chuck Magee"/>
    <x v="0"/>
    <s v="United States"/>
    <s v="San Francisco"/>
    <s v="California"/>
    <s v="West"/>
    <x v="1"/>
    <x v="6"/>
    <s v="Deluxe Chalkboard Eraser Cleaner"/>
    <x v="789"/>
    <n v="2"/>
    <n v="0"/>
    <n v="10.625999999999999"/>
  </r>
  <r>
    <n v="863"/>
    <x v="319"/>
    <x v="0"/>
    <x v="9"/>
    <d v="2013-01-07T00:00:00"/>
    <n v="2"/>
    <x v="0"/>
    <s v="Anthony Johnson"/>
    <x v="1"/>
    <s v="United States"/>
    <s v="Jacksonville"/>
    <s v="Florida"/>
    <s v="South"/>
    <x v="2"/>
    <x v="11"/>
    <s v="Logitech MX Performance Wireless Mouse"/>
    <x v="790"/>
    <n v="6"/>
    <n v="0.2"/>
    <n v="40.687800000000003"/>
  </r>
  <r>
    <n v="864"/>
    <x v="319"/>
    <x v="0"/>
    <x v="9"/>
    <d v="2013-01-07T00:00:00"/>
    <n v="2"/>
    <x v="0"/>
    <s v="Anthony Johnson"/>
    <x v="1"/>
    <s v="United States"/>
    <s v="Jacksonville"/>
    <s v="Florida"/>
    <s v="South"/>
    <x v="1"/>
    <x v="6"/>
    <s v="Newell 337"/>
    <x v="791"/>
    <n v="2"/>
    <n v="0.2"/>
    <n v="0.59040000000000004"/>
  </r>
  <r>
    <n v="865"/>
    <x v="319"/>
    <x v="0"/>
    <x v="9"/>
    <d v="2013-01-07T00:00:00"/>
    <n v="2"/>
    <x v="0"/>
    <s v="Anthony Johnson"/>
    <x v="1"/>
    <s v="United States"/>
    <s v="Jacksonville"/>
    <s v="Florida"/>
    <s v="South"/>
    <x v="2"/>
    <x v="7"/>
    <s v="Logitech B530 USB Headset - headset - Full size, Binaural"/>
    <x v="792"/>
    <n v="2"/>
    <n v="0.2"/>
    <n v="5.1786000000000003"/>
  </r>
  <r>
    <n v="866"/>
    <x v="320"/>
    <x v="2"/>
    <x v="9"/>
    <d v="2011-01-16T00:00:00"/>
    <n v="5"/>
    <x v="1"/>
    <s v="Anthony Jacobs"/>
    <x v="1"/>
    <s v="United States"/>
    <s v="Springfield"/>
    <s v="Virginia"/>
    <s v="South"/>
    <x v="1"/>
    <x v="2"/>
    <s v="Avery 482"/>
    <x v="793"/>
    <n v="1"/>
    <n v="0"/>
    <n v="1.3583000000000001"/>
  </r>
  <r>
    <n v="867"/>
    <x v="320"/>
    <x v="2"/>
    <x v="9"/>
    <d v="2011-01-16T00:00:00"/>
    <n v="5"/>
    <x v="1"/>
    <s v="Anthony Jacobs"/>
    <x v="1"/>
    <s v="United States"/>
    <s v="Springfield"/>
    <s v="Virginia"/>
    <s v="South"/>
    <x v="0"/>
    <x v="5"/>
    <s v="Howard Miller 11-1/2&quot; Diameter Ridgewood Wall Clock"/>
    <x v="794"/>
    <n v="1"/>
    <n v="0"/>
    <n v="21.295400000000001"/>
  </r>
  <r>
    <n v="868"/>
    <x v="321"/>
    <x v="0"/>
    <x v="8"/>
    <d v="2013-10-03T00:00:00"/>
    <n v="3"/>
    <x v="2"/>
    <s v="Linda Southworth"/>
    <x v="1"/>
    <s v="United States"/>
    <s v="Philadelphia"/>
    <s v="Pennsylvania"/>
    <s v="East"/>
    <x v="1"/>
    <x v="2"/>
    <s v="Avery 483"/>
    <x v="795"/>
    <n v="4"/>
    <n v="0.2"/>
    <n v="5.1791999999999998"/>
  </r>
  <r>
    <n v="869"/>
    <x v="322"/>
    <x v="2"/>
    <x v="3"/>
    <d v="2011-04-10T00:00:00"/>
    <n v="4"/>
    <x v="1"/>
    <s v="Guy Phonely"/>
    <x v="1"/>
    <s v="United States"/>
    <s v="Lancaster"/>
    <s v="Pennsylvania"/>
    <s v="East"/>
    <x v="1"/>
    <x v="8"/>
    <s v="Large Capacity Hanging Post Binders"/>
    <x v="796"/>
    <n v="6"/>
    <n v="0.7"/>
    <n v="-35.927999999999997"/>
  </r>
  <r>
    <n v="870"/>
    <x v="323"/>
    <x v="0"/>
    <x v="8"/>
    <d v="2013-09-06T00:00:00"/>
    <n v="2"/>
    <x v="2"/>
    <s v="Paul Knutson"/>
    <x v="2"/>
    <s v="United States"/>
    <s v="Philadelphia"/>
    <s v="Pennsylvania"/>
    <s v="East"/>
    <x v="1"/>
    <x v="8"/>
    <s v="GBC Ibimaster 500 Manual ProClick Binding System"/>
    <x v="797"/>
    <n v="5"/>
    <n v="0.7"/>
    <n v="-760.98"/>
  </r>
  <r>
    <n v="871"/>
    <x v="323"/>
    <x v="0"/>
    <x v="8"/>
    <d v="2013-09-06T00:00:00"/>
    <n v="2"/>
    <x v="2"/>
    <s v="Paul Knutson"/>
    <x v="2"/>
    <s v="United States"/>
    <s v="Philadelphia"/>
    <s v="Pennsylvania"/>
    <s v="East"/>
    <x v="2"/>
    <x v="7"/>
    <s v="Cisco SPA301"/>
    <x v="798"/>
    <n v="3"/>
    <n v="0.4"/>
    <n v="-46.796999999999997"/>
  </r>
  <r>
    <n v="872"/>
    <x v="324"/>
    <x v="1"/>
    <x v="2"/>
    <d v="2012-10-20T00:00:00"/>
    <n v="1"/>
    <x v="2"/>
    <s v="Tracy Blumstein"/>
    <x v="0"/>
    <s v="United States"/>
    <s v="Concord"/>
    <s v="New Hampshire"/>
    <s v="East"/>
    <x v="1"/>
    <x v="10"/>
    <s v="Southworth 100% Cotton The Best Paper"/>
    <x v="799"/>
    <n v="3"/>
    <n v="0"/>
    <n v="17.22"/>
  </r>
  <r>
    <n v="873"/>
    <x v="325"/>
    <x v="2"/>
    <x v="4"/>
    <d v="2011-12-15T00:00:00"/>
    <n v="5"/>
    <x v="1"/>
    <s v="Sally Matthias"/>
    <x v="0"/>
    <s v="United States"/>
    <s v="New York City"/>
    <s v="New York"/>
    <s v="East"/>
    <x v="1"/>
    <x v="10"/>
    <s v="Adams Write n' Stick Phone Message Book, 11&quot; X 5 1/4&quot;, 200 Messages"/>
    <x v="710"/>
    <n v="2"/>
    <n v="0"/>
    <n v="5.2256"/>
  </r>
  <r>
    <n v="874"/>
    <x v="325"/>
    <x v="2"/>
    <x v="4"/>
    <d v="2011-12-15T00:00:00"/>
    <n v="5"/>
    <x v="1"/>
    <s v="Sally Matthias"/>
    <x v="0"/>
    <s v="United States"/>
    <s v="New York City"/>
    <s v="New York"/>
    <s v="East"/>
    <x v="1"/>
    <x v="8"/>
    <s v="Poly Designer Cover &amp; Back"/>
    <x v="800"/>
    <n v="7"/>
    <n v="0.2"/>
    <n v="37.220399999999998"/>
  </r>
  <r>
    <n v="875"/>
    <x v="326"/>
    <x v="3"/>
    <x v="6"/>
    <d v="2014-08-30T00:00:00"/>
    <n v="4"/>
    <x v="1"/>
    <s v="Guy Armstrong"/>
    <x v="0"/>
    <s v="United States"/>
    <s v="Charlotte"/>
    <s v="North Carolina"/>
    <s v="South"/>
    <x v="1"/>
    <x v="10"/>
    <s v="Xerox 1910"/>
    <x v="801"/>
    <n v="5"/>
    <n v="0.2"/>
    <n v="67.256"/>
  </r>
  <r>
    <n v="876"/>
    <x v="327"/>
    <x v="0"/>
    <x v="9"/>
    <d v="2013-01-21T00:00:00"/>
    <n v="4"/>
    <x v="1"/>
    <s v="Chuck Clark"/>
    <x v="2"/>
    <s v="United States"/>
    <s v="Concord"/>
    <s v="New Hampshire"/>
    <s v="East"/>
    <x v="0"/>
    <x v="5"/>
    <s v="Tenex Contemporary Contur Chairmats for Low and Medium Pile Carpet, Computer, 39&quot; x 49&quot;"/>
    <x v="802"/>
    <n v="3"/>
    <n v="0"/>
    <n v="64.518000000000001"/>
  </r>
  <r>
    <n v="877"/>
    <x v="327"/>
    <x v="0"/>
    <x v="9"/>
    <d v="2013-01-21T00:00:00"/>
    <n v="4"/>
    <x v="1"/>
    <s v="Chuck Clark"/>
    <x v="2"/>
    <s v="United States"/>
    <s v="Concord"/>
    <s v="New Hampshire"/>
    <s v="East"/>
    <x v="2"/>
    <x v="11"/>
    <s v="Logitech 910-002974 M325 Wireless Mouse for Web Scrolling"/>
    <x v="803"/>
    <n v="1"/>
    <n v="0"/>
    <n v="13.195600000000001"/>
  </r>
  <r>
    <n v="878"/>
    <x v="327"/>
    <x v="0"/>
    <x v="9"/>
    <d v="2013-01-21T00:00:00"/>
    <n v="4"/>
    <x v="1"/>
    <s v="Chuck Clark"/>
    <x v="2"/>
    <s v="United States"/>
    <s v="Concord"/>
    <s v="New Hampshire"/>
    <s v="East"/>
    <x v="2"/>
    <x v="11"/>
    <s v="Logitech G19 Programmable Gaming Keyboard"/>
    <x v="804"/>
    <n v="3"/>
    <n v="0"/>
    <n v="66.954599999999999"/>
  </r>
  <r>
    <n v="879"/>
    <x v="328"/>
    <x v="2"/>
    <x v="8"/>
    <d v="2011-09-21T00:00:00"/>
    <n v="4"/>
    <x v="1"/>
    <s v="Anthony Garverick"/>
    <x v="2"/>
    <s v="United States"/>
    <s v="Philadelphia"/>
    <s v="Pennsylvania"/>
    <s v="East"/>
    <x v="1"/>
    <x v="8"/>
    <s v="Acco Pressboard Covers with Storage Hooks, 14 7/8&quot; x 11&quot;, Light Blue"/>
    <x v="805"/>
    <n v="4"/>
    <n v="0.7"/>
    <n v="-4.1243999999999996"/>
  </r>
  <r>
    <n v="880"/>
    <x v="329"/>
    <x v="3"/>
    <x v="4"/>
    <d v="2014-12-03T00:00:00"/>
    <n v="2"/>
    <x v="0"/>
    <s v="Harold Pawlan"/>
    <x v="2"/>
    <s v="United States"/>
    <s v="New York City"/>
    <s v="New York"/>
    <s v="East"/>
    <x v="1"/>
    <x v="8"/>
    <s v="Lock-Up Easel 'Spel-Binder'"/>
    <x v="806"/>
    <n v="3"/>
    <n v="0.2"/>
    <n v="23.109300000000001"/>
  </r>
  <r>
    <n v="881"/>
    <x v="329"/>
    <x v="3"/>
    <x v="4"/>
    <d v="2014-12-03T00:00:00"/>
    <n v="2"/>
    <x v="0"/>
    <s v="Harold Pawlan"/>
    <x v="2"/>
    <s v="United States"/>
    <s v="New York City"/>
    <s v="New York"/>
    <s v="East"/>
    <x v="0"/>
    <x v="1"/>
    <s v="SAFCO Arco Folding Chair"/>
    <x v="807"/>
    <n v="5"/>
    <n v="0.1"/>
    <n v="262.39"/>
  </r>
  <r>
    <n v="882"/>
    <x v="330"/>
    <x v="1"/>
    <x v="2"/>
    <d v="2012-10-13T00:00:00"/>
    <n v="4"/>
    <x v="1"/>
    <s v="Dave Kipp"/>
    <x v="0"/>
    <s v="United States"/>
    <s v="Springfield"/>
    <s v="Virginia"/>
    <s v="South"/>
    <x v="1"/>
    <x v="4"/>
    <s v="Decoflex Hanging Personal Folder File, Blue"/>
    <x v="117"/>
    <n v="2"/>
    <n v="0"/>
    <n v="8.3268000000000004"/>
  </r>
  <r>
    <n v="883"/>
    <x v="331"/>
    <x v="3"/>
    <x v="4"/>
    <d v="2014-12-24T00:00:00"/>
    <n v="0"/>
    <x v="3"/>
    <s v="Gary Zandusky"/>
    <x v="0"/>
    <s v="United States"/>
    <s v="San Francisco"/>
    <s v="California"/>
    <s v="West"/>
    <x v="1"/>
    <x v="6"/>
    <s v="Binney &amp; Smith Crayola Metallic Crayons, 16-Color Pack"/>
    <x v="808"/>
    <n v="4"/>
    <n v="0"/>
    <n v="5.9311999999999996"/>
  </r>
  <r>
    <n v="884"/>
    <x v="332"/>
    <x v="0"/>
    <x v="2"/>
    <d v="2013-10-25T00:00:00"/>
    <n v="2"/>
    <x v="2"/>
    <s v="Peter McVee"/>
    <x v="2"/>
    <s v="United States"/>
    <s v="Detroit"/>
    <s v="Michigan"/>
    <s v="Central"/>
    <x v="0"/>
    <x v="5"/>
    <s v="Eldon 200 Class Desk Accessories"/>
    <x v="809"/>
    <n v="5"/>
    <n v="0"/>
    <n v="10.048"/>
  </r>
  <r>
    <n v="885"/>
    <x v="333"/>
    <x v="2"/>
    <x v="3"/>
    <d v="2011-05-04T00:00:00"/>
    <n v="5"/>
    <x v="1"/>
    <s v="Lauren Leatherbury"/>
    <x v="0"/>
    <s v="United States"/>
    <s v="Rochester"/>
    <s v="New York"/>
    <s v="East"/>
    <x v="0"/>
    <x v="5"/>
    <s v="Dax Clear Box Frame"/>
    <x v="45"/>
    <n v="2"/>
    <n v="0"/>
    <n v="5.9363999999999999"/>
  </r>
  <r>
    <n v="886"/>
    <x v="334"/>
    <x v="1"/>
    <x v="3"/>
    <d v="2012-04-28T00:00:00"/>
    <n v="3"/>
    <x v="0"/>
    <s v="Jill Stevenson"/>
    <x v="1"/>
    <s v="United States"/>
    <s v="Los Angeles"/>
    <s v="California"/>
    <s v="West"/>
    <x v="1"/>
    <x v="8"/>
    <s v="Fellowes Black Plastic Comb Bindings"/>
    <x v="810"/>
    <n v="3"/>
    <n v="0.2"/>
    <n v="4.5317999999999996"/>
  </r>
  <r>
    <n v="887"/>
    <x v="335"/>
    <x v="3"/>
    <x v="1"/>
    <d v="2014-07-03T00:00:00"/>
    <n v="6"/>
    <x v="1"/>
    <s v="Olvera Toch"/>
    <x v="0"/>
    <s v="United States"/>
    <s v="San Diego"/>
    <s v="California"/>
    <s v="West"/>
    <x v="1"/>
    <x v="4"/>
    <s v="Eldon Shelf Savers Cubes and Bins"/>
    <x v="811"/>
    <n v="12"/>
    <n v="0"/>
    <n v="1.6752"/>
  </r>
  <r>
    <n v="888"/>
    <x v="336"/>
    <x v="3"/>
    <x v="2"/>
    <d v="2014-10-20T00:00:00"/>
    <n v="5"/>
    <x v="1"/>
    <s v="Ed Ludwig"/>
    <x v="2"/>
    <s v="United States"/>
    <s v="Columbia"/>
    <s v="Maryland"/>
    <s v="East"/>
    <x v="1"/>
    <x v="8"/>
    <s v="Acco PRESSTEX Data Binder with Storage Hooks, Dark Blue, 14 7/8&quot; X 11&quot;"/>
    <x v="812"/>
    <n v="7"/>
    <n v="0"/>
    <n v="18.453399999999998"/>
  </r>
  <r>
    <n v="889"/>
    <x v="337"/>
    <x v="2"/>
    <x v="4"/>
    <d v="2011-12-16T00:00:00"/>
    <n v="7"/>
    <x v="1"/>
    <s v="Cyma Kinney"/>
    <x v="1"/>
    <s v="United States"/>
    <s v="San Francisco"/>
    <s v="California"/>
    <s v="West"/>
    <x v="1"/>
    <x v="10"/>
    <s v="Xerox 1987"/>
    <x v="813"/>
    <n v="6"/>
    <n v="0"/>
    <n v="16.993200000000002"/>
  </r>
  <r>
    <n v="890"/>
    <x v="308"/>
    <x v="3"/>
    <x v="1"/>
    <d v="2014-06-27T00:00:00"/>
    <n v="6"/>
    <x v="1"/>
    <s v="Jeremy Ellison"/>
    <x v="0"/>
    <s v="United States"/>
    <s v="New Rochelle"/>
    <s v="New York"/>
    <s v="East"/>
    <x v="2"/>
    <x v="11"/>
    <s v="Anker Ultrathin Bluetooth Wireless Keyboard Aluminum Cover with Stand "/>
    <x v="179"/>
    <n v="5"/>
    <n v="0"/>
    <n v="14.994999999999999"/>
  </r>
  <r>
    <n v="891"/>
    <x v="308"/>
    <x v="3"/>
    <x v="1"/>
    <d v="2014-06-27T00:00:00"/>
    <n v="6"/>
    <x v="1"/>
    <s v="Jeremy Ellison"/>
    <x v="0"/>
    <s v="United States"/>
    <s v="New Rochelle"/>
    <s v="New York"/>
    <s v="East"/>
    <x v="1"/>
    <x v="8"/>
    <s v="Acco D-Ring Binder w/DublLock"/>
    <x v="96"/>
    <n v="3"/>
    <n v="0.2"/>
    <n v="18.6006"/>
  </r>
  <r>
    <n v="892"/>
    <x v="335"/>
    <x v="3"/>
    <x v="1"/>
    <d v="2014-06-28T00:00:00"/>
    <n v="1"/>
    <x v="2"/>
    <s v="Tracy Hopkins"/>
    <x v="2"/>
    <s v="United States"/>
    <s v="Detroit"/>
    <s v="Michigan"/>
    <s v="Central"/>
    <x v="1"/>
    <x v="10"/>
    <s v="Ampad Poly Cover Wirebound Steno Book, 6&quot; x 9&quot; Assorted Colors, Gregg Ruled"/>
    <x v="814"/>
    <n v="1"/>
    <n v="0"/>
    <n v="2.0430000000000001"/>
  </r>
  <r>
    <n v="893"/>
    <x v="335"/>
    <x v="3"/>
    <x v="1"/>
    <d v="2014-06-28T00:00:00"/>
    <n v="1"/>
    <x v="2"/>
    <s v="Tracy Hopkins"/>
    <x v="2"/>
    <s v="United States"/>
    <s v="Detroit"/>
    <s v="Michigan"/>
    <s v="Central"/>
    <x v="1"/>
    <x v="6"/>
    <s v="Fluorescent Highlighters by Dixon"/>
    <x v="204"/>
    <n v="4"/>
    <n v="0"/>
    <n v="5.4127999999999998"/>
  </r>
  <r>
    <n v="894"/>
    <x v="335"/>
    <x v="3"/>
    <x v="1"/>
    <d v="2014-06-28T00:00:00"/>
    <n v="1"/>
    <x v="2"/>
    <s v="Tracy Hopkins"/>
    <x v="2"/>
    <s v="United States"/>
    <s v="Detroit"/>
    <s v="Michigan"/>
    <s v="Central"/>
    <x v="2"/>
    <x v="7"/>
    <s v="Nortel Networks T7316 E Nt8 B27"/>
    <x v="815"/>
    <n v="8"/>
    <n v="0"/>
    <n v="135.97999999999999"/>
  </r>
  <r>
    <n v="895"/>
    <x v="338"/>
    <x v="0"/>
    <x v="0"/>
    <d v="2013-11-13T00:00:00"/>
    <n v="2"/>
    <x v="2"/>
    <s v="Pamela Coakley"/>
    <x v="1"/>
    <s v="United States"/>
    <s v="San Francisco"/>
    <s v="California"/>
    <s v="West"/>
    <x v="1"/>
    <x v="4"/>
    <s v="File Shuttle I and Handi-File"/>
    <x v="816"/>
    <n v="7"/>
    <n v="0"/>
    <n v="42.071399999999997"/>
  </r>
  <r>
    <n v="896"/>
    <x v="338"/>
    <x v="0"/>
    <x v="0"/>
    <d v="2013-11-13T00:00:00"/>
    <n v="2"/>
    <x v="2"/>
    <s v="Pamela Coakley"/>
    <x v="1"/>
    <s v="United States"/>
    <s v="San Francisco"/>
    <s v="California"/>
    <s v="West"/>
    <x v="1"/>
    <x v="8"/>
    <s v="Binding Machine Supplies"/>
    <x v="817"/>
    <n v="3"/>
    <n v="0.2"/>
    <n v="24.502800000000001"/>
  </r>
  <r>
    <n v="897"/>
    <x v="339"/>
    <x v="0"/>
    <x v="2"/>
    <d v="2013-10-07T00:00:00"/>
    <n v="3"/>
    <x v="0"/>
    <s v="Hunter Lopez"/>
    <x v="0"/>
    <s v="United States"/>
    <s v="Houston"/>
    <s v="Texas"/>
    <s v="Central"/>
    <x v="1"/>
    <x v="12"/>
    <s v="Staples"/>
    <x v="818"/>
    <n v="2"/>
    <n v="0.2"/>
    <n v="5.0856000000000003"/>
  </r>
  <r>
    <n v="898"/>
    <x v="340"/>
    <x v="2"/>
    <x v="8"/>
    <d v="2011-09-15T00:00:00"/>
    <n v="6"/>
    <x v="1"/>
    <s v="Maribeth Schnelling"/>
    <x v="0"/>
    <s v="United States"/>
    <s v="Detroit"/>
    <s v="Michigan"/>
    <s v="Central"/>
    <x v="1"/>
    <x v="2"/>
    <s v="Alphabetical Labels for Top Tab Filing"/>
    <x v="819"/>
    <n v="7"/>
    <n v="0"/>
    <n v="51.8"/>
  </r>
  <r>
    <n v="899"/>
    <x v="341"/>
    <x v="3"/>
    <x v="2"/>
    <d v="2014-11-01T00:00:00"/>
    <n v="2"/>
    <x v="0"/>
    <s v="George Bell"/>
    <x v="1"/>
    <s v="United States"/>
    <s v="Auburn"/>
    <s v="New York"/>
    <s v="East"/>
    <x v="1"/>
    <x v="10"/>
    <s v="Things To Do Today Pad"/>
    <x v="820"/>
    <n v="8"/>
    <n v="0"/>
    <n v="22.540800000000001"/>
  </r>
  <r>
    <n v="900"/>
    <x v="342"/>
    <x v="0"/>
    <x v="3"/>
    <d v="2013-04-13T00:00:00"/>
    <n v="2"/>
    <x v="2"/>
    <s v="Justin Ritter"/>
    <x v="1"/>
    <s v="United States"/>
    <s v="Springfield"/>
    <s v="Ohio"/>
    <s v="East"/>
    <x v="1"/>
    <x v="8"/>
    <s v="Wilson Jones Hanging Recycled Pressboard Data Binders"/>
    <x v="821"/>
    <n v="2"/>
    <n v="0.7"/>
    <n v="-6.5296000000000003"/>
  </r>
  <r>
    <n v="901"/>
    <x v="343"/>
    <x v="3"/>
    <x v="0"/>
    <d v="2014-11-14T00:00:00"/>
    <n v="2"/>
    <x v="2"/>
    <s v="Tamara Dahlen"/>
    <x v="0"/>
    <s v="United States"/>
    <s v="Garland"/>
    <s v="Texas"/>
    <s v="Central"/>
    <x v="1"/>
    <x v="2"/>
    <s v="Permanent Self-Adhesive File Folder Labels for Typewriters by Universal"/>
    <x v="822"/>
    <n v="5"/>
    <n v="0.2"/>
    <n v="3.3929999999999998"/>
  </r>
  <r>
    <n v="902"/>
    <x v="343"/>
    <x v="3"/>
    <x v="0"/>
    <d v="2014-11-14T00:00:00"/>
    <n v="2"/>
    <x v="2"/>
    <s v="Tamara Dahlen"/>
    <x v="0"/>
    <s v="United States"/>
    <s v="Garland"/>
    <s v="Texas"/>
    <s v="Central"/>
    <x v="1"/>
    <x v="8"/>
    <s v="Deluxe Heavy-Duty Vinyl Round Ring Binder"/>
    <x v="823"/>
    <n v="4"/>
    <n v="0.8"/>
    <n v="-32.088000000000001"/>
  </r>
  <r>
    <n v="903"/>
    <x v="175"/>
    <x v="3"/>
    <x v="8"/>
    <d v="2014-09-18T00:00:00"/>
    <n v="2"/>
    <x v="2"/>
    <s v="Dave Brooks"/>
    <x v="0"/>
    <s v="United States"/>
    <s v="Chicago"/>
    <s v="Illinois"/>
    <s v="Central"/>
    <x v="2"/>
    <x v="7"/>
    <s v="Avaya 5420 Digital phone"/>
    <x v="824"/>
    <n v="3"/>
    <n v="0.2"/>
    <n v="20.2485"/>
  </r>
  <r>
    <n v="904"/>
    <x v="143"/>
    <x v="0"/>
    <x v="3"/>
    <d v="2013-04-13T00:00:00"/>
    <n v="4"/>
    <x v="1"/>
    <s v="Logan Currie"/>
    <x v="0"/>
    <s v="United States"/>
    <s v="Los Angeles"/>
    <s v="California"/>
    <s v="West"/>
    <x v="1"/>
    <x v="10"/>
    <s v="Xerox 1923"/>
    <x v="130"/>
    <n v="3"/>
    <n v="0"/>
    <n v="9.6191999999999993"/>
  </r>
  <r>
    <n v="905"/>
    <x v="143"/>
    <x v="0"/>
    <x v="3"/>
    <d v="2013-04-13T00:00:00"/>
    <n v="4"/>
    <x v="1"/>
    <s v="Logan Currie"/>
    <x v="0"/>
    <s v="United States"/>
    <s v="Los Angeles"/>
    <s v="California"/>
    <s v="West"/>
    <x v="1"/>
    <x v="4"/>
    <s v="Fellowes Neat Ideas Storage Cubes"/>
    <x v="643"/>
    <n v="2"/>
    <n v="0"/>
    <n v="2.5983999999999998"/>
  </r>
  <r>
    <n v="906"/>
    <x v="143"/>
    <x v="0"/>
    <x v="3"/>
    <d v="2013-04-13T00:00:00"/>
    <n v="4"/>
    <x v="1"/>
    <s v="Logan Currie"/>
    <x v="0"/>
    <s v="United States"/>
    <s v="Los Angeles"/>
    <s v="California"/>
    <s v="West"/>
    <x v="1"/>
    <x v="10"/>
    <s v="Xerox 1931"/>
    <x v="91"/>
    <n v="2"/>
    <n v="0"/>
    <n v="6.2207999999999997"/>
  </r>
  <r>
    <n v="907"/>
    <x v="247"/>
    <x v="3"/>
    <x v="4"/>
    <d v="2015-01-04T00:00:00"/>
    <n v="4"/>
    <x v="1"/>
    <s v="Patrick O'Donnell"/>
    <x v="0"/>
    <s v="United States"/>
    <s v="New York City"/>
    <s v="New York"/>
    <s v="East"/>
    <x v="0"/>
    <x v="0"/>
    <s v="Bush Westfield Collection Bookcases, Fully Assembled"/>
    <x v="825"/>
    <n v="4"/>
    <n v="0.2"/>
    <n v="12.117599999999999"/>
  </r>
  <r>
    <n v="908"/>
    <x v="247"/>
    <x v="3"/>
    <x v="4"/>
    <d v="2015-01-04T00:00:00"/>
    <n v="4"/>
    <x v="1"/>
    <s v="Patrick O'Donnell"/>
    <x v="0"/>
    <s v="United States"/>
    <s v="New York City"/>
    <s v="New York"/>
    <s v="East"/>
    <x v="2"/>
    <x v="7"/>
    <s v="Gear Head AU3700S Headset"/>
    <x v="826"/>
    <n v="7"/>
    <n v="0"/>
    <n v="2.7279"/>
  </r>
  <r>
    <n v="909"/>
    <x v="247"/>
    <x v="3"/>
    <x v="4"/>
    <d v="2015-01-04T00:00:00"/>
    <n v="4"/>
    <x v="1"/>
    <s v="Patrick O'Donnell"/>
    <x v="0"/>
    <s v="United States"/>
    <s v="New York City"/>
    <s v="New York"/>
    <s v="East"/>
    <x v="1"/>
    <x v="8"/>
    <s v="Wilson Jones Legal Size Ring Binders"/>
    <x v="827"/>
    <n v="3"/>
    <n v="0.2"/>
    <n v="19.791"/>
  </r>
  <r>
    <n v="910"/>
    <x v="264"/>
    <x v="3"/>
    <x v="8"/>
    <d v="2014-09-08T00:00:00"/>
    <n v="5"/>
    <x v="1"/>
    <s v="Bill Eplett"/>
    <x v="2"/>
    <s v="United States"/>
    <s v="Jackson"/>
    <s v="Michigan"/>
    <s v="Central"/>
    <x v="2"/>
    <x v="7"/>
    <s v="Polycom CX600 IP Phone VoIP phone"/>
    <x v="828"/>
    <n v="4"/>
    <n v="0"/>
    <n v="323.94600000000003"/>
  </r>
  <r>
    <n v="911"/>
    <x v="264"/>
    <x v="3"/>
    <x v="8"/>
    <d v="2014-09-08T00:00:00"/>
    <n v="5"/>
    <x v="1"/>
    <s v="Bill Eplett"/>
    <x v="2"/>
    <s v="United States"/>
    <s v="Jackson"/>
    <s v="Michigan"/>
    <s v="Central"/>
    <x v="2"/>
    <x v="11"/>
    <s v="Maxell iVDR EX 500GB Cartridge"/>
    <x v="829"/>
    <n v="7"/>
    <n v="0"/>
    <n v="829.37540000000001"/>
  </r>
  <r>
    <n v="912"/>
    <x v="264"/>
    <x v="3"/>
    <x v="8"/>
    <d v="2014-09-08T00:00:00"/>
    <n v="5"/>
    <x v="1"/>
    <s v="Bill Eplett"/>
    <x v="2"/>
    <s v="United States"/>
    <s v="Jackson"/>
    <s v="Michigan"/>
    <s v="Central"/>
    <x v="1"/>
    <x v="4"/>
    <s v="Fellowes High-Stak Drawer Files"/>
    <x v="830"/>
    <n v="2"/>
    <n v="0"/>
    <n v="81.047399999999996"/>
  </r>
  <r>
    <n v="913"/>
    <x v="70"/>
    <x v="1"/>
    <x v="5"/>
    <d v="2012-06-07T00:00:00"/>
    <n v="7"/>
    <x v="1"/>
    <s v="Sample Company A"/>
    <x v="2"/>
    <s v="United States"/>
    <s v="Norwich"/>
    <s v="Connecticut"/>
    <s v="East"/>
    <x v="0"/>
    <x v="5"/>
    <s v="3M Hangers With Command Adhesive"/>
    <x v="496"/>
    <n v="6"/>
    <n v="0"/>
    <n v="9.1020000000000003"/>
  </r>
  <r>
    <n v="914"/>
    <x v="344"/>
    <x v="3"/>
    <x v="0"/>
    <d v="2014-11-30T00:00:00"/>
    <n v="2"/>
    <x v="2"/>
    <s v="Brian Moss"/>
    <x v="1"/>
    <s v="United States"/>
    <s v="Milwaukee"/>
    <s v="Wisconsin"/>
    <s v="Central"/>
    <x v="0"/>
    <x v="5"/>
    <s v="Howard Miller 13&quot; Diameter Goldtone Round Wall Clock"/>
    <x v="831"/>
    <n v="1"/>
    <n v="0"/>
    <n v="19.2454"/>
  </r>
  <r>
    <n v="915"/>
    <x v="344"/>
    <x v="3"/>
    <x v="0"/>
    <d v="2014-11-30T00:00:00"/>
    <n v="2"/>
    <x v="2"/>
    <s v="Brian Moss"/>
    <x v="1"/>
    <s v="United States"/>
    <s v="Milwaukee"/>
    <s v="Wisconsin"/>
    <s v="Central"/>
    <x v="2"/>
    <x v="11"/>
    <s v="Memorex Mini Travel Drive 16 GB USB 2.0 Flash Drive"/>
    <x v="832"/>
    <n v="9"/>
    <n v="0"/>
    <n v="56.054699999999997"/>
  </r>
  <r>
    <n v="916"/>
    <x v="345"/>
    <x v="2"/>
    <x v="1"/>
    <d v="2011-06-21T00:00:00"/>
    <n v="6"/>
    <x v="1"/>
    <s v="Kelly Lampkin"/>
    <x v="1"/>
    <s v="United States"/>
    <s v="San Antonio"/>
    <s v="Texas"/>
    <s v="Central"/>
    <x v="0"/>
    <x v="3"/>
    <s v="Lesro Sheffield Collection Coffee Table, End Table, Center Table, Corner Table"/>
    <x v="833"/>
    <n v="2"/>
    <n v="0.3"/>
    <n v="-18.5562"/>
  </r>
  <r>
    <n v="917"/>
    <x v="345"/>
    <x v="2"/>
    <x v="1"/>
    <d v="2011-06-21T00:00:00"/>
    <n v="6"/>
    <x v="1"/>
    <s v="Kelly Lampkin"/>
    <x v="1"/>
    <s v="United States"/>
    <s v="San Antonio"/>
    <s v="Texas"/>
    <s v="Central"/>
    <x v="0"/>
    <x v="1"/>
    <s v="Global Commerce Series High-Back Swivel/Tilt Chairs"/>
    <x v="834"/>
    <n v="4"/>
    <n v="0.3"/>
    <n v="-56.996000000000002"/>
  </r>
  <r>
    <n v="918"/>
    <x v="345"/>
    <x v="2"/>
    <x v="1"/>
    <d v="2011-06-21T00:00:00"/>
    <n v="6"/>
    <x v="1"/>
    <s v="Kelly Lampkin"/>
    <x v="1"/>
    <s v="United States"/>
    <s v="San Antonio"/>
    <s v="Texas"/>
    <s v="Central"/>
    <x v="1"/>
    <x v="8"/>
    <s v="Avery Premier Heavy-Duty Binder with Round Locking Rings"/>
    <x v="835"/>
    <n v="3"/>
    <n v="0.8"/>
    <n v="-14.5656"/>
  </r>
  <r>
    <n v="919"/>
    <x v="346"/>
    <x v="0"/>
    <x v="10"/>
    <d v="2013-03-12T00:00:00"/>
    <n v="6"/>
    <x v="1"/>
    <s v="Rob Williams"/>
    <x v="1"/>
    <s v="United States"/>
    <s v="Dallas"/>
    <s v="Texas"/>
    <s v="Central"/>
    <x v="1"/>
    <x v="12"/>
    <s v="Cameo Buff Policy Envelopes"/>
    <x v="836"/>
    <n v="3"/>
    <n v="0.2"/>
    <n v="50.406300000000002"/>
  </r>
  <r>
    <n v="920"/>
    <x v="346"/>
    <x v="0"/>
    <x v="10"/>
    <d v="2013-03-12T00:00:00"/>
    <n v="6"/>
    <x v="1"/>
    <s v="Rob Williams"/>
    <x v="1"/>
    <s v="United States"/>
    <s v="Dallas"/>
    <s v="Texas"/>
    <s v="Central"/>
    <x v="1"/>
    <x v="4"/>
    <s v="Acco Perma 4000 Stacking Storage Drawers"/>
    <x v="837"/>
    <n v="1"/>
    <n v="0.2"/>
    <n v="-0.81200000000000006"/>
  </r>
  <r>
    <n v="921"/>
    <x v="29"/>
    <x v="2"/>
    <x v="4"/>
    <d v="2011-12-12T00:00:00"/>
    <n v="7"/>
    <x v="1"/>
    <s v="Roy Collins"/>
    <x v="0"/>
    <s v="United States"/>
    <s v="Alexandria"/>
    <s v="Virginia"/>
    <s v="South"/>
    <x v="1"/>
    <x v="4"/>
    <s v="Recycled Eldon Regeneration Jumbo File"/>
    <x v="332"/>
    <n v="2"/>
    <n v="0"/>
    <n v="6.8768000000000002"/>
  </r>
  <r>
    <n v="922"/>
    <x v="347"/>
    <x v="1"/>
    <x v="3"/>
    <d v="2012-04-15T00:00:00"/>
    <n v="4"/>
    <x v="1"/>
    <s v="Sanjit Engle"/>
    <x v="0"/>
    <s v="United States"/>
    <s v="New York City"/>
    <s v="New York"/>
    <s v="East"/>
    <x v="2"/>
    <x v="11"/>
    <s v="Maxell 4.7GB DVD-R"/>
    <x v="838"/>
    <n v="3"/>
    <n v="0"/>
    <n v="34.907400000000003"/>
  </r>
  <r>
    <n v="923"/>
    <x v="347"/>
    <x v="1"/>
    <x v="3"/>
    <d v="2012-04-15T00:00:00"/>
    <n v="4"/>
    <x v="1"/>
    <s v="Sanjit Engle"/>
    <x v="0"/>
    <s v="United States"/>
    <s v="New York City"/>
    <s v="New York"/>
    <s v="East"/>
    <x v="2"/>
    <x v="7"/>
    <s v="OtterBox Commuter Series Case - iPhone 5 &amp; 5s"/>
    <x v="839"/>
    <n v="1"/>
    <n v="0"/>
    <n v="10.555199999999999"/>
  </r>
  <r>
    <n v="924"/>
    <x v="347"/>
    <x v="1"/>
    <x v="3"/>
    <d v="2012-04-15T00:00:00"/>
    <n v="4"/>
    <x v="1"/>
    <s v="Sanjit Engle"/>
    <x v="0"/>
    <s v="United States"/>
    <s v="New York City"/>
    <s v="New York"/>
    <s v="East"/>
    <x v="1"/>
    <x v="9"/>
    <s v="Kensington 4 Outlet MasterPiece Compact Power Control Center"/>
    <x v="840"/>
    <n v="5"/>
    <n v="0"/>
    <n v="113.848"/>
  </r>
  <r>
    <n v="925"/>
    <x v="306"/>
    <x v="0"/>
    <x v="8"/>
    <d v="2013-09-21T00:00:00"/>
    <n v="5"/>
    <x v="1"/>
    <s v="Adam Hart"/>
    <x v="1"/>
    <s v="United States"/>
    <s v="New York City"/>
    <s v="New York"/>
    <s v="East"/>
    <x v="1"/>
    <x v="8"/>
    <s v="GBC DocuBind 300 Electric Binding Machine"/>
    <x v="841"/>
    <n v="2"/>
    <n v="0.2"/>
    <n v="294.54880000000003"/>
  </r>
  <r>
    <n v="926"/>
    <x v="103"/>
    <x v="2"/>
    <x v="8"/>
    <d v="2011-09-16T00:00:00"/>
    <n v="3"/>
    <x v="2"/>
    <s v="Jessica Myrick"/>
    <x v="0"/>
    <s v="United States"/>
    <s v="Philadelphia"/>
    <s v="Pennsylvania"/>
    <s v="East"/>
    <x v="1"/>
    <x v="10"/>
    <s v="Xerox 1985"/>
    <x v="12"/>
    <n v="3"/>
    <n v="0.2"/>
    <n v="5.4432"/>
  </r>
  <r>
    <n v="927"/>
    <x v="103"/>
    <x v="2"/>
    <x v="8"/>
    <d v="2011-09-16T00:00:00"/>
    <n v="3"/>
    <x v="2"/>
    <s v="Jessica Myrick"/>
    <x v="0"/>
    <s v="United States"/>
    <s v="Philadelphia"/>
    <s v="Pennsylvania"/>
    <s v="East"/>
    <x v="2"/>
    <x v="11"/>
    <s v="Hypercom P1300 Pinpad"/>
    <x v="842"/>
    <n v="5"/>
    <n v="0.2"/>
    <n v="53.55"/>
  </r>
  <r>
    <n v="928"/>
    <x v="348"/>
    <x v="1"/>
    <x v="2"/>
    <d v="2012-10-09T00:00:00"/>
    <n v="4"/>
    <x v="1"/>
    <s v="Joel Jenkins"/>
    <x v="2"/>
    <s v="United States"/>
    <s v="Springfield"/>
    <s v="Virginia"/>
    <s v="South"/>
    <x v="1"/>
    <x v="6"/>
    <s v="Newell 324"/>
    <x v="843"/>
    <n v="4"/>
    <n v="0"/>
    <n v="12.936"/>
  </r>
  <r>
    <n v="929"/>
    <x v="348"/>
    <x v="1"/>
    <x v="2"/>
    <d v="2012-10-09T00:00:00"/>
    <n v="4"/>
    <x v="1"/>
    <s v="Joel Jenkins"/>
    <x v="2"/>
    <s v="United States"/>
    <s v="Springfield"/>
    <s v="Virginia"/>
    <s v="South"/>
    <x v="1"/>
    <x v="9"/>
    <s v="Holmes Odor Grabber"/>
    <x v="844"/>
    <n v="2"/>
    <n v="0"/>
    <n v="9.5172000000000008"/>
  </r>
  <r>
    <n v="930"/>
    <x v="349"/>
    <x v="3"/>
    <x v="3"/>
    <d v="2014-04-18T00:00:00"/>
    <n v="3"/>
    <x v="2"/>
    <s v="Alan Barnes"/>
    <x v="0"/>
    <s v="United States"/>
    <s v="Toledo"/>
    <s v="Ohio"/>
    <s v="East"/>
    <x v="1"/>
    <x v="6"/>
    <s v="Zebra Zazzle Fluorescent Highlighters"/>
    <x v="845"/>
    <n v="3"/>
    <n v="0.2"/>
    <n v="2.5535999999999999"/>
  </r>
  <r>
    <n v="931"/>
    <x v="349"/>
    <x v="3"/>
    <x v="3"/>
    <d v="2014-04-18T00:00:00"/>
    <n v="3"/>
    <x v="2"/>
    <s v="Alan Barnes"/>
    <x v="0"/>
    <s v="United States"/>
    <s v="Toledo"/>
    <s v="Ohio"/>
    <s v="East"/>
    <x v="1"/>
    <x v="6"/>
    <s v="Sanford Prismacolor Professional Thick Lead Art Pencils, 36-Color Set"/>
    <x v="846"/>
    <n v="3"/>
    <n v="0.2"/>
    <n v="21.340800000000002"/>
  </r>
  <r>
    <n v="932"/>
    <x v="349"/>
    <x v="3"/>
    <x v="3"/>
    <d v="2014-04-18T00:00:00"/>
    <n v="3"/>
    <x v="2"/>
    <s v="Alan Barnes"/>
    <x v="0"/>
    <s v="United States"/>
    <s v="Toledo"/>
    <s v="Ohio"/>
    <s v="East"/>
    <x v="1"/>
    <x v="10"/>
    <s v="Xerox 196"/>
    <x v="847"/>
    <n v="3"/>
    <n v="0.2"/>
    <n v="5.0286"/>
  </r>
  <r>
    <n v="933"/>
    <x v="264"/>
    <x v="3"/>
    <x v="8"/>
    <d v="2014-09-07T00:00:00"/>
    <n v="4"/>
    <x v="1"/>
    <s v="Ralph Kennedy"/>
    <x v="0"/>
    <s v="United States"/>
    <s v="Philadelphia"/>
    <s v="Pennsylvania"/>
    <s v="East"/>
    <x v="1"/>
    <x v="10"/>
    <s v="RSVP Cards &amp; Envelopes, Blank White, 8-1/2&quot; X 11&quot;, 24 Cards/25 Envelopes/Set"/>
    <x v="848"/>
    <n v="3"/>
    <n v="0.2"/>
    <n v="4.1147999999999998"/>
  </r>
  <r>
    <n v="934"/>
    <x v="23"/>
    <x v="0"/>
    <x v="1"/>
    <d v="2013-06-25T00:00:00"/>
    <n v="4"/>
    <x v="1"/>
    <s v="Catherine Glotzbach"/>
    <x v="2"/>
    <s v="United States"/>
    <s v="Philadelphia"/>
    <s v="Pennsylvania"/>
    <s v="East"/>
    <x v="1"/>
    <x v="10"/>
    <s v="Wirebound Message Books, 2 7/8&quot; x 5&quot;, 3 Forms per Page"/>
    <x v="849"/>
    <n v="8"/>
    <n v="0.2"/>
    <n v="15.2064"/>
  </r>
  <r>
    <n v="935"/>
    <x v="23"/>
    <x v="0"/>
    <x v="1"/>
    <d v="2013-06-25T00:00:00"/>
    <n v="4"/>
    <x v="1"/>
    <s v="Catherine Glotzbach"/>
    <x v="2"/>
    <s v="United States"/>
    <s v="Philadelphia"/>
    <s v="Pennsylvania"/>
    <s v="East"/>
    <x v="1"/>
    <x v="8"/>
    <s v="JM Magazine Binder"/>
    <x v="850"/>
    <n v="6"/>
    <n v="0.7"/>
    <n v="-21.793199999999999"/>
  </r>
  <r>
    <n v="936"/>
    <x v="23"/>
    <x v="0"/>
    <x v="1"/>
    <d v="2013-06-25T00:00:00"/>
    <n v="4"/>
    <x v="1"/>
    <s v="Catherine Glotzbach"/>
    <x v="2"/>
    <s v="United States"/>
    <s v="Philadelphia"/>
    <s v="Pennsylvania"/>
    <s v="East"/>
    <x v="1"/>
    <x v="10"/>
    <s v="Xerox 202"/>
    <x v="12"/>
    <n v="3"/>
    <n v="0.2"/>
    <n v="5.4432"/>
  </r>
  <r>
    <n v="937"/>
    <x v="23"/>
    <x v="0"/>
    <x v="1"/>
    <d v="2013-06-25T00:00:00"/>
    <n v="4"/>
    <x v="1"/>
    <s v="Catherine Glotzbach"/>
    <x v="2"/>
    <s v="United States"/>
    <s v="Philadelphia"/>
    <s v="Pennsylvania"/>
    <s v="East"/>
    <x v="1"/>
    <x v="9"/>
    <s v="Sanyo 2.5 Cubic Foot Mid-Size Office Refrigerators"/>
    <x v="851"/>
    <n v="2"/>
    <n v="0.2"/>
    <n v="33.577199999999998"/>
  </r>
  <r>
    <n v="938"/>
    <x v="60"/>
    <x v="3"/>
    <x v="0"/>
    <d v="2014-11-07T00:00:00"/>
    <n v="1"/>
    <x v="2"/>
    <s v="Ruben Ausman"/>
    <x v="1"/>
    <s v="United States"/>
    <s v="Farmington"/>
    <s v="New Mexico"/>
    <s v="West"/>
    <x v="2"/>
    <x v="11"/>
    <s v="NETGEAR AC1750 Dual Band Gigabit Smart WiFi Router"/>
    <x v="852"/>
    <n v="1"/>
    <n v="0"/>
    <n v="54.396599999999999"/>
  </r>
  <r>
    <n v="939"/>
    <x v="350"/>
    <x v="1"/>
    <x v="4"/>
    <d v="2012-12-17T00:00:00"/>
    <n v="4"/>
    <x v="1"/>
    <s v="Rachel Payne"/>
    <x v="1"/>
    <s v="United States"/>
    <s v="Riverside"/>
    <s v="California"/>
    <s v="West"/>
    <x v="1"/>
    <x v="10"/>
    <s v="Xerox 213"/>
    <x v="91"/>
    <n v="2"/>
    <n v="0"/>
    <n v="6.2207999999999997"/>
  </r>
  <r>
    <n v="940"/>
    <x v="350"/>
    <x v="1"/>
    <x v="4"/>
    <d v="2012-12-17T00:00:00"/>
    <n v="4"/>
    <x v="1"/>
    <s v="Rachel Payne"/>
    <x v="1"/>
    <s v="United States"/>
    <s v="Riverside"/>
    <s v="California"/>
    <s v="West"/>
    <x v="1"/>
    <x v="9"/>
    <s v="Fellowes 8 Outlet Superior Workstation Surge Protector w/o Phone/Fax/Modem Protection"/>
    <x v="853"/>
    <n v="4"/>
    <n v="0"/>
    <n v="34.964799999999997"/>
  </r>
  <r>
    <n v="941"/>
    <x v="351"/>
    <x v="0"/>
    <x v="1"/>
    <d v="2013-06-21T00:00:00"/>
    <n v="1"/>
    <x v="2"/>
    <s v="Karen Carlisle"/>
    <x v="1"/>
    <s v="United States"/>
    <s v="San Francisco"/>
    <s v="California"/>
    <s v="West"/>
    <x v="1"/>
    <x v="10"/>
    <s v="Message Book, Standard Line &quot;While You Were Out&quot;, 5 1/2&quot; X 4&quot;, 200 Sets/Book"/>
    <x v="854"/>
    <n v="2"/>
    <n v="0"/>
    <n v="8.0464000000000002"/>
  </r>
  <r>
    <n v="942"/>
    <x v="180"/>
    <x v="0"/>
    <x v="4"/>
    <d v="2013-12-21T00:00:00"/>
    <n v="7"/>
    <x v="1"/>
    <s v="Rob Williams"/>
    <x v="1"/>
    <s v="United States"/>
    <s v="Torrance"/>
    <s v="California"/>
    <s v="West"/>
    <x v="1"/>
    <x v="8"/>
    <s v="Acco Pressboard Covers with Storage Hooks, 14 7/8&quot; x 11&quot;, Dark Blue"/>
    <x v="855"/>
    <n v="2"/>
    <n v="0.2"/>
    <n v="2.2098"/>
  </r>
  <r>
    <n v="943"/>
    <x v="180"/>
    <x v="0"/>
    <x v="4"/>
    <d v="2013-12-21T00:00:00"/>
    <n v="7"/>
    <x v="1"/>
    <s v="Rob Williams"/>
    <x v="1"/>
    <s v="United States"/>
    <s v="Torrance"/>
    <s v="California"/>
    <s v="West"/>
    <x v="0"/>
    <x v="3"/>
    <s v="Bretford CR4500 Series Slim Rectangular Table"/>
    <x v="856"/>
    <n v="4"/>
    <n v="0.2"/>
    <n v="41.785200000000003"/>
  </r>
  <r>
    <n v="944"/>
    <x v="352"/>
    <x v="1"/>
    <x v="5"/>
    <d v="2012-06-03T00:00:00"/>
    <n v="5"/>
    <x v="1"/>
    <s v="John Lucas"/>
    <x v="0"/>
    <s v="United States"/>
    <s v="Seattle"/>
    <s v="Washington"/>
    <s v="West"/>
    <x v="1"/>
    <x v="10"/>
    <s v="Xerox 1894"/>
    <x v="56"/>
    <n v="5"/>
    <n v="0"/>
    <n v="15.552"/>
  </r>
  <r>
    <n v="945"/>
    <x v="352"/>
    <x v="1"/>
    <x v="5"/>
    <d v="2012-06-03T00:00:00"/>
    <n v="5"/>
    <x v="1"/>
    <s v="John Lucas"/>
    <x v="0"/>
    <s v="United States"/>
    <s v="Seattle"/>
    <s v="Washington"/>
    <s v="West"/>
    <x v="1"/>
    <x v="4"/>
    <s v="Standard Rollaway File with Lock"/>
    <x v="857"/>
    <n v="3"/>
    <n v="0"/>
    <n v="140.54820000000001"/>
  </r>
  <r>
    <n v="946"/>
    <x v="352"/>
    <x v="1"/>
    <x v="5"/>
    <d v="2012-06-03T00:00:00"/>
    <n v="5"/>
    <x v="1"/>
    <s v="John Lucas"/>
    <x v="0"/>
    <s v="United States"/>
    <s v="Seattle"/>
    <s v="Washington"/>
    <s v="West"/>
    <x v="1"/>
    <x v="8"/>
    <s v="Avery Trapezoid Extra Heavy Duty 4&quot; Binders"/>
    <x v="858"/>
    <n v="5"/>
    <n v="0.2"/>
    <n v="62.91"/>
  </r>
  <r>
    <n v="947"/>
    <x v="353"/>
    <x v="1"/>
    <x v="7"/>
    <d v="2012-07-28T00:00:00"/>
    <n v="2"/>
    <x v="2"/>
    <s v="Cynthia Arntzen"/>
    <x v="0"/>
    <s v="United States"/>
    <s v="Mesa"/>
    <s v="Arizona"/>
    <s v="West"/>
    <x v="0"/>
    <x v="3"/>
    <s v="Bevis Boat-Shaped Conference Table"/>
    <x v="859"/>
    <n v="3"/>
    <n v="0.5"/>
    <n v="-204.44579999999999"/>
  </r>
  <r>
    <n v="948"/>
    <x v="354"/>
    <x v="3"/>
    <x v="0"/>
    <d v="2014-12-03T00:00:00"/>
    <n v="4"/>
    <x v="1"/>
    <s v="Ross Baird"/>
    <x v="2"/>
    <s v="United States"/>
    <s v="Philadelphia"/>
    <s v="Pennsylvania"/>
    <s v="East"/>
    <x v="0"/>
    <x v="5"/>
    <s v="Deflect-o RollaMat Studded, Beveled Mat for Medium Pile Carpeting"/>
    <x v="860"/>
    <n v="7"/>
    <n v="0.2"/>
    <n v="-12.9122"/>
  </r>
  <r>
    <n v="949"/>
    <x v="354"/>
    <x v="3"/>
    <x v="0"/>
    <d v="2014-12-03T00:00:00"/>
    <n v="4"/>
    <x v="1"/>
    <s v="Ross Baird"/>
    <x v="2"/>
    <s v="United States"/>
    <s v="Philadelphia"/>
    <s v="Pennsylvania"/>
    <s v="East"/>
    <x v="0"/>
    <x v="5"/>
    <s v="Luxo Professional Fluorescent Magnifier Lamp with Clamp-Mount Base"/>
    <x v="861"/>
    <n v="6"/>
    <n v="0.2"/>
    <n v="75.542400000000001"/>
  </r>
  <r>
    <n v="950"/>
    <x v="354"/>
    <x v="3"/>
    <x v="0"/>
    <d v="2014-12-03T00:00:00"/>
    <n v="4"/>
    <x v="1"/>
    <s v="Ross Baird"/>
    <x v="2"/>
    <s v="United States"/>
    <s v="Philadelphia"/>
    <s v="Pennsylvania"/>
    <s v="East"/>
    <x v="0"/>
    <x v="3"/>
    <s v="Riverside Furniture Oval Coffee Table, Oval End Table, End Table with Drawer"/>
    <x v="862"/>
    <n v="12"/>
    <n v="0.4"/>
    <n v="-619.596"/>
  </r>
  <r>
    <n v="951"/>
    <x v="354"/>
    <x v="3"/>
    <x v="0"/>
    <d v="2014-12-03T00:00:00"/>
    <n v="4"/>
    <x v="1"/>
    <s v="Ross Baird"/>
    <x v="2"/>
    <s v="United States"/>
    <s v="Philadelphia"/>
    <s v="Pennsylvania"/>
    <s v="East"/>
    <x v="1"/>
    <x v="10"/>
    <s v="Xerox 210"/>
    <x v="12"/>
    <n v="3"/>
    <n v="0.2"/>
    <n v="5.4432"/>
  </r>
  <r>
    <n v="952"/>
    <x v="354"/>
    <x v="3"/>
    <x v="0"/>
    <d v="2014-12-03T00:00:00"/>
    <n v="4"/>
    <x v="1"/>
    <s v="Ross Baird"/>
    <x v="2"/>
    <s v="United States"/>
    <s v="Philadelphia"/>
    <s v="Pennsylvania"/>
    <s v="East"/>
    <x v="1"/>
    <x v="10"/>
    <s v="Xerox 4200 Series MultiUse Premium Copy Paper (20Lb. and 84 Bright)"/>
    <x v="863"/>
    <n v="6"/>
    <n v="0.2"/>
    <n v="7.92"/>
  </r>
  <r>
    <n v="953"/>
    <x v="355"/>
    <x v="3"/>
    <x v="3"/>
    <d v="2014-04-08T00:00:00"/>
    <n v="4"/>
    <x v="1"/>
    <s v="Katherine Hughes"/>
    <x v="0"/>
    <s v="United States"/>
    <s v="Philadelphia"/>
    <s v="Pennsylvania"/>
    <s v="East"/>
    <x v="0"/>
    <x v="5"/>
    <s v="Staples"/>
    <x v="864"/>
    <n v="4"/>
    <n v="0.2"/>
    <n v="7.6416000000000004"/>
  </r>
  <r>
    <n v="954"/>
    <x v="116"/>
    <x v="3"/>
    <x v="4"/>
    <d v="2015-01-02T00:00:00"/>
    <n v="4"/>
    <x v="1"/>
    <s v="Greg Hansen"/>
    <x v="0"/>
    <s v="United States"/>
    <s v="Round Rock"/>
    <s v="Texas"/>
    <s v="Central"/>
    <x v="1"/>
    <x v="6"/>
    <s v="Stanley Bostitch Contemporary Electric Pencil Sharpeners"/>
    <x v="220"/>
    <n v="2"/>
    <n v="0.2"/>
    <n v="2.7168000000000001"/>
  </r>
  <r>
    <n v="955"/>
    <x v="116"/>
    <x v="3"/>
    <x v="4"/>
    <d v="2015-01-02T00:00:00"/>
    <n v="4"/>
    <x v="1"/>
    <s v="Greg Hansen"/>
    <x v="0"/>
    <s v="United States"/>
    <s v="Round Rock"/>
    <s v="Texas"/>
    <s v="Central"/>
    <x v="0"/>
    <x v="0"/>
    <s v="Bush Westfield Collection Bookcases, Medium Cherry Finish"/>
    <x v="865"/>
    <n v="2"/>
    <n v="0.32"/>
    <n v="-11.596"/>
  </r>
  <r>
    <n v="956"/>
    <x v="329"/>
    <x v="3"/>
    <x v="4"/>
    <d v="2014-12-05T00:00:00"/>
    <n v="4"/>
    <x v="1"/>
    <s v="Scott Williamson"/>
    <x v="0"/>
    <s v="United States"/>
    <s v="Jackson"/>
    <s v="Mississippi"/>
    <s v="South"/>
    <x v="1"/>
    <x v="4"/>
    <s v="Home/Office Personal File Carts"/>
    <x v="866"/>
    <n v="5"/>
    <n v="0"/>
    <n v="43.45"/>
  </r>
  <r>
    <n v="957"/>
    <x v="356"/>
    <x v="3"/>
    <x v="5"/>
    <d v="2014-05-19T00:00:00"/>
    <n v="3"/>
    <x v="0"/>
    <s v="Joseph Airdo"/>
    <x v="0"/>
    <s v="United States"/>
    <s v="Phoenix"/>
    <s v="Arizona"/>
    <s v="West"/>
    <x v="2"/>
    <x v="7"/>
    <s v="Logitech B530 USB Headset - headset - Full size, Binaural"/>
    <x v="867"/>
    <n v="1"/>
    <n v="0.2"/>
    <n v="2.5893000000000002"/>
  </r>
  <r>
    <n v="958"/>
    <x v="356"/>
    <x v="3"/>
    <x v="5"/>
    <d v="2014-05-19T00:00:00"/>
    <n v="3"/>
    <x v="0"/>
    <s v="Joseph Airdo"/>
    <x v="0"/>
    <s v="United States"/>
    <s v="Phoenix"/>
    <s v="Arizona"/>
    <s v="West"/>
    <x v="1"/>
    <x v="8"/>
    <s v="Avery Durable Slant Ring Binders"/>
    <x v="320"/>
    <n v="2"/>
    <n v="0.7"/>
    <n v="-3.1680000000000001"/>
  </r>
  <r>
    <n v="959"/>
    <x v="356"/>
    <x v="3"/>
    <x v="5"/>
    <d v="2014-05-19T00:00:00"/>
    <n v="3"/>
    <x v="0"/>
    <s v="Joseph Airdo"/>
    <x v="0"/>
    <s v="United States"/>
    <s v="Phoenix"/>
    <s v="Arizona"/>
    <s v="West"/>
    <x v="1"/>
    <x v="10"/>
    <s v="Universal Ultra Bright White Copier/Laser Paper, 8 1/2&quot; x 11&quot;, Ream"/>
    <x v="12"/>
    <n v="3"/>
    <n v="0.2"/>
    <n v="5.6375999999999999"/>
  </r>
  <r>
    <n v="960"/>
    <x v="357"/>
    <x v="1"/>
    <x v="8"/>
    <d v="2012-09-22T00:00:00"/>
    <n v="0"/>
    <x v="3"/>
    <s v="Daniel Lacy"/>
    <x v="0"/>
    <s v="United States"/>
    <s v="Oceanside"/>
    <s v="California"/>
    <s v="West"/>
    <x v="0"/>
    <x v="5"/>
    <s v="Luxo Professional Combination Clamp-On Lamps"/>
    <x v="868"/>
    <n v="2"/>
    <n v="0"/>
    <n v="53.195999999999998"/>
  </r>
  <r>
    <n v="961"/>
    <x v="237"/>
    <x v="3"/>
    <x v="0"/>
    <d v="2014-11-20T00:00:00"/>
    <n v="5"/>
    <x v="1"/>
    <s v="Lindsay Williams"/>
    <x v="1"/>
    <s v="United States"/>
    <s v="San Francisco"/>
    <s v="California"/>
    <s v="West"/>
    <x v="0"/>
    <x v="1"/>
    <s v="Global Leather Highback Executive Chair with Pneumatic Height Adjustment, Black"/>
    <x v="243"/>
    <n v="2"/>
    <n v="0.2"/>
    <n v="28.1372"/>
  </r>
  <r>
    <n v="962"/>
    <x v="154"/>
    <x v="1"/>
    <x v="0"/>
    <d v="2012-12-01T00:00:00"/>
    <n v="4"/>
    <x v="1"/>
    <s v="Thomas Brumley"/>
    <x v="2"/>
    <s v="United States"/>
    <s v="Fayetteville"/>
    <s v="Arkansas"/>
    <s v="South"/>
    <x v="1"/>
    <x v="8"/>
    <s v="Zipper Ring Binder Pockets"/>
    <x v="869"/>
    <n v="2"/>
    <n v="0"/>
    <n v="3.0575999999999999"/>
  </r>
  <r>
    <n v="963"/>
    <x v="142"/>
    <x v="0"/>
    <x v="8"/>
    <d v="2013-09-05T00:00:00"/>
    <n v="3"/>
    <x v="2"/>
    <s v="Cynthia Voltz"/>
    <x v="1"/>
    <s v="United States"/>
    <s v="San Francisco"/>
    <s v="California"/>
    <s v="West"/>
    <x v="1"/>
    <x v="12"/>
    <s v="White Business Envelopes with Contemporary Seam, Recycled White Business Envelopes"/>
    <x v="870"/>
    <n v="2"/>
    <n v="0"/>
    <n v="10.94"/>
  </r>
  <r>
    <n v="964"/>
    <x v="358"/>
    <x v="2"/>
    <x v="8"/>
    <d v="2011-09-24T00:00:00"/>
    <n v="2"/>
    <x v="0"/>
    <s v="Maribeth Schnelling"/>
    <x v="0"/>
    <s v="United States"/>
    <s v="Boca Raton"/>
    <s v="Florida"/>
    <s v="South"/>
    <x v="1"/>
    <x v="2"/>
    <s v="Avery File Folder Labels"/>
    <x v="871"/>
    <n v="2"/>
    <n v="0.2"/>
    <n v="1.6704000000000001"/>
  </r>
  <r>
    <n v="965"/>
    <x v="359"/>
    <x v="3"/>
    <x v="3"/>
    <d v="2014-04-12T00:00:00"/>
    <n v="2"/>
    <x v="2"/>
    <s v="Bryan Spruell"/>
    <x v="2"/>
    <s v="United States"/>
    <s v="New York City"/>
    <s v="New York"/>
    <s v="East"/>
    <x v="1"/>
    <x v="2"/>
    <s v="Color-Coded Legal Exhibit Labels"/>
    <x v="759"/>
    <n v="2"/>
    <n v="0"/>
    <n v="4.8117999999999999"/>
  </r>
  <r>
    <n v="966"/>
    <x v="359"/>
    <x v="3"/>
    <x v="3"/>
    <d v="2014-04-12T00:00:00"/>
    <n v="2"/>
    <x v="2"/>
    <s v="Bryan Spruell"/>
    <x v="2"/>
    <s v="United States"/>
    <s v="New York City"/>
    <s v="New York"/>
    <s v="East"/>
    <x v="1"/>
    <x v="6"/>
    <s v="Bulldog Vacuum Base Pencil Sharpener"/>
    <x v="872"/>
    <n v="3"/>
    <n v="0"/>
    <n v="9.7119"/>
  </r>
  <r>
    <n v="967"/>
    <x v="359"/>
    <x v="3"/>
    <x v="3"/>
    <d v="2014-04-12T00:00:00"/>
    <n v="2"/>
    <x v="2"/>
    <s v="Bryan Spruell"/>
    <x v="2"/>
    <s v="United States"/>
    <s v="New York City"/>
    <s v="New York"/>
    <s v="East"/>
    <x v="1"/>
    <x v="10"/>
    <s v="Xerox 212"/>
    <x v="91"/>
    <n v="2"/>
    <n v="0"/>
    <n v="6.2207999999999997"/>
  </r>
  <r>
    <n v="968"/>
    <x v="359"/>
    <x v="3"/>
    <x v="3"/>
    <d v="2014-04-12T00:00:00"/>
    <n v="2"/>
    <x v="2"/>
    <s v="Bryan Spruell"/>
    <x v="2"/>
    <s v="United States"/>
    <s v="New York City"/>
    <s v="New York"/>
    <s v="East"/>
    <x v="1"/>
    <x v="10"/>
    <s v="Computer Printout Paper with Letter-Trim Fine Perforations"/>
    <x v="873"/>
    <n v="4"/>
    <n v="0"/>
    <n v="91.968000000000004"/>
  </r>
  <r>
    <n v="969"/>
    <x v="359"/>
    <x v="3"/>
    <x v="3"/>
    <d v="2014-04-12T00:00:00"/>
    <n v="2"/>
    <x v="2"/>
    <s v="Bryan Spruell"/>
    <x v="2"/>
    <s v="United States"/>
    <s v="New York City"/>
    <s v="New York"/>
    <s v="East"/>
    <x v="1"/>
    <x v="2"/>
    <s v="Avery File Folder Labels"/>
    <x v="874"/>
    <n v="3"/>
    <n v="0"/>
    <n v="4.2336"/>
  </r>
  <r>
    <n v="970"/>
    <x v="359"/>
    <x v="3"/>
    <x v="3"/>
    <d v="2014-04-12T00:00:00"/>
    <n v="2"/>
    <x v="2"/>
    <s v="Bryan Spruell"/>
    <x v="2"/>
    <s v="United States"/>
    <s v="New York City"/>
    <s v="New York"/>
    <s v="East"/>
    <x v="1"/>
    <x v="4"/>
    <s v="Office Impressions Heavy Duty Welded Shelving &amp; Multimedia Storage Drawers"/>
    <x v="875"/>
    <n v="3"/>
    <n v="0"/>
    <n v="0"/>
  </r>
  <r>
    <n v="971"/>
    <x v="360"/>
    <x v="2"/>
    <x v="9"/>
    <d v="2011-01-19T00:00:00"/>
    <n v="2"/>
    <x v="0"/>
    <s v="Delfina Latchford"/>
    <x v="0"/>
    <s v="United States"/>
    <s v="Philadelphia"/>
    <s v="Pennsylvania"/>
    <s v="East"/>
    <x v="0"/>
    <x v="5"/>
    <s v="DAX Black Cherry Wood-Tone Poster Frame"/>
    <x v="876"/>
    <n v="6"/>
    <n v="0.2"/>
    <n v="28.598400000000002"/>
  </r>
  <r>
    <n v="972"/>
    <x v="360"/>
    <x v="2"/>
    <x v="9"/>
    <d v="2011-01-19T00:00:00"/>
    <n v="2"/>
    <x v="0"/>
    <s v="Delfina Latchford"/>
    <x v="0"/>
    <s v="United States"/>
    <s v="Philadelphia"/>
    <s v="Pennsylvania"/>
    <s v="East"/>
    <x v="2"/>
    <x v="7"/>
    <s v="AT&amp;T 841000 Phone"/>
    <x v="29"/>
    <n v="3"/>
    <n v="0.4"/>
    <n v="-31.05"/>
  </r>
  <r>
    <n v="973"/>
    <x v="360"/>
    <x v="2"/>
    <x v="9"/>
    <d v="2011-01-19T00:00:00"/>
    <n v="2"/>
    <x v="0"/>
    <s v="Delfina Latchford"/>
    <x v="0"/>
    <s v="United States"/>
    <s v="Philadelphia"/>
    <s v="Pennsylvania"/>
    <s v="East"/>
    <x v="1"/>
    <x v="8"/>
    <s v="GBC Linen Binding Covers"/>
    <x v="658"/>
    <n v="2"/>
    <n v="0.7"/>
    <n v="-13.6312"/>
  </r>
  <r>
    <n v="974"/>
    <x v="360"/>
    <x v="2"/>
    <x v="9"/>
    <d v="2011-01-19T00:00:00"/>
    <n v="2"/>
    <x v="0"/>
    <s v="Delfina Latchford"/>
    <x v="0"/>
    <s v="United States"/>
    <s v="Philadelphia"/>
    <s v="Pennsylvania"/>
    <s v="East"/>
    <x v="1"/>
    <x v="2"/>
    <s v="Round Specialty Laser Printer Labels"/>
    <x v="877"/>
    <n v="3"/>
    <n v="0.2"/>
    <n v="10.1493"/>
  </r>
  <r>
    <n v="975"/>
    <x v="361"/>
    <x v="3"/>
    <x v="2"/>
    <d v="2014-10-09T00:00:00"/>
    <n v="3"/>
    <x v="0"/>
    <s v="Phillina Ober"/>
    <x v="2"/>
    <s v="United States"/>
    <s v="New York City"/>
    <s v="New York"/>
    <s v="East"/>
    <x v="2"/>
    <x v="7"/>
    <s v="Motorola HK250 Universal Bluetooth Headset"/>
    <x v="878"/>
    <n v="7"/>
    <n v="0"/>
    <n v="3.2185999999999999"/>
  </r>
  <r>
    <n v="976"/>
    <x v="361"/>
    <x v="3"/>
    <x v="2"/>
    <d v="2014-10-09T00:00:00"/>
    <n v="3"/>
    <x v="0"/>
    <s v="Phillina Ober"/>
    <x v="2"/>
    <s v="United States"/>
    <s v="New York City"/>
    <s v="New York"/>
    <s v="East"/>
    <x v="1"/>
    <x v="8"/>
    <s v="Tuf-Vin Binders"/>
    <x v="373"/>
    <n v="3"/>
    <n v="0.2"/>
    <n v="25.579799999999999"/>
  </r>
  <r>
    <n v="977"/>
    <x v="362"/>
    <x v="3"/>
    <x v="7"/>
    <d v="2014-07-16T00:00:00"/>
    <n v="6"/>
    <x v="1"/>
    <s v="Tamara Dahlen"/>
    <x v="0"/>
    <s v="United States"/>
    <s v="Portland"/>
    <s v="Oregon"/>
    <s v="West"/>
    <x v="1"/>
    <x v="8"/>
    <s v="Wilson Jones Easy Flow II Sheet Lifters"/>
    <x v="879"/>
    <n v="2"/>
    <n v="0.7"/>
    <n v="-0.79200000000000004"/>
  </r>
  <r>
    <n v="978"/>
    <x v="363"/>
    <x v="3"/>
    <x v="9"/>
    <d v="2014-01-11T00:00:00"/>
    <n v="3"/>
    <x v="2"/>
    <s v="Bart Watters"/>
    <x v="1"/>
    <s v="United States"/>
    <s v="Detroit"/>
    <s v="Michigan"/>
    <s v="Central"/>
    <x v="2"/>
    <x v="15"/>
    <s v="Lexmark MX611dhe Monochrome Laser Printer"/>
    <x v="256"/>
    <n v="2"/>
    <n v="0.1"/>
    <n v="679.99599999999998"/>
  </r>
  <r>
    <n v="979"/>
    <x v="198"/>
    <x v="0"/>
    <x v="5"/>
    <d v="2013-06-01T00:00:00"/>
    <n v="1"/>
    <x v="2"/>
    <s v="Robert Waldorf"/>
    <x v="0"/>
    <s v="United States"/>
    <s v="Wilmington"/>
    <s v="North Carolina"/>
    <s v="South"/>
    <x v="1"/>
    <x v="8"/>
    <s v="Angle-D Ring Binders"/>
    <x v="573"/>
    <n v="2"/>
    <n v="0.7"/>
    <n v="-2.6255999999999999"/>
  </r>
  <r>
    <n v="980"/>
    <x v="364"/>
    <x v="1"/>
    <x v="4"/>
    <d v="2012-12-12T00:00:00"/>
    <n v="3"/>
    <x v="2"/>
    <s v="Ken Brennan"/>
    <x v="1"/>
    <s v="United States"/>
    <s v="Columbus"/>
    <s v="Indiana"/>
    <s v="Central"/>
    <x v="1"/>
    <x v="10"/>
    <s v="Xerox 188"/>
    <x v="880"/>
    <n v="3"/>
    <n v="0"/>
    <n v="16.669799999999999"/>
  </r>
  <r>
    <n v="981"/>
    <x v="339"/>
    <x v="0"/>
    <x v="2"/>
    <d v="2013-10-09T00:00:00"/>
    <n v="5"/>
    <x v="1"/>
    <s v="Emily Burns"/>
    <x v="0"/>
    <s v="United States"/>
    <s v="New York City"/>
    <s v="New York"/>
    <s v="East"/>
    <x v="0"/>
    <x v="1"/>
    <s v="Office Star - Contemporary Task Swivel Chair"/>
    <x v="881"/>
    <n v="6"/>
    <n v="0.1"/>
    <n v="93.223200000000006"/>
  </r>
  <r>
    <n v="982"/>
    <x v="7"/>
    <x v="2"/>
    <x v="0"/>
    <d v="2011-11-14T00:00:00"/>
    <n v="3"/>
    <x v="0"/>
    <s v="Tracy Zic"/>
    <x v="0"/>
    <s v="United States"/>
    <s v="Louisville"/>
    <s v="Colorado"/>
    <s v="West"/>
    <x v="1"/>
    <x v="6"/>
    <s v="BIC Brite Liner Grip Highlighters, Assorted, 5/Pack"/>
    <x v="882"/>
    <n v="1"/>
    <n v="0.2"/>
    <n v="0.80559999999999998"/>
  </r>
  <r>
    <n v="983"/>
    <x v="7"/>
    <x v="2"/>
    <x v="0"/>
    <d v="2011-11-14T00:00:00"/>
    <n v="3"/>
    <x v="0"/>
    <s v="Tracy Zic"/>
    <x v="0"/>
    <s v="United States"/>
    <s v="Louisville"/>
    <s v="Colorado"/>
    <s v="West"/>
    <x v="2"/>
    <x v="7"/>
    <s v="Samsung Galaxy S III - 16GB - pebble blue (T-Mobile)"/>
    <x v="883"/>
    <n v="2"/>
    <n v="0.2"/>
    <n v="55.998399999999997"/>
  </r>
  <r>
    <n v="984"/>
    <x v="7"/>
    <x v="2"/>
    <x v="0"/>
    <d v="2011-11-14T00:00:00"/>
    <n v="3"/>
    <x v="0"/>
    <s v="Tracy Zic"/>
    <x v="0"/>
    <s v="United States"/>
    <s v="Louisville"/>
    <s v="Colorado"/>
    <s v="West"/>
    <x v="0"/>
    <x v="1"/>
    <s v="Global Airflow Leather Mesh Back Chair, Black"/>
    <x v="884"/>
    <n v="5"/>
    <n v="0.2"/>
    <n v="75.489999999999995"/>
  </r>
  <r>
    <n v="985"/>
    <x v="365"/>
    <x v="3"/>
    <x v="8"/>
    <d v="2014-10-06T00:00:00"/>
    <n v="6"/>
    <x v="1"/>
    <s v="Ann Steele"/>
    <x v="2"/>
    <s v="United States"/>
    <s v="Pasadena"/>
    <s v="Texas"/>
    <s v="Central"/>
    <x v="1"/>
    <x v="2"/>
    <s v="Avery 499"/>
    <x v="885"/>
    <n v="2"/>
    <n v="0.2"/>
    <n v="2.5895999999999999"/>
  </r>
  <r>
    <n v="986"/>
    <x v="365"/>
    <x v="3"/>
    <x v="8"/>
    <d v="2014-10-06T00:00:00"/>
    <n v="6"/>
    <x v="1"/>
    <s v="Ann Steele"/>
    <x v="2"/>
    <s v="United States"/>
    <s v="Pasadena"/>
    <s v="Texas"/>
    <s v="Central"/>
    <x v="1"/>
    <x v="12"/>
    <s v="#10- 4 1/8&quot; x 9 1/2&quot; Recycled Envelopes"/>
    <x v="886"/>
    <n v="4"/>
    <n v="0.2"/>
    <n v="9.4391999999999996"/>
  </r>
  <r>
    <n v="987"/>
    <x v="365"/>
    <x v="3"/>
    <x v="8"/>
    <d v="2014-10-06T00:00:00"/>
    <n v="6"/>
    <x v="1"/>
    <s v="Ann Steele"/>
    <x v="2"/>
    <s v="United States"/>
    <s v="Pasadena"/>
    <s v="Texas"/>
    <s v="Central"/>
    <x v="2"/>
    <x v="15"/>
    <s v="Wasp CCD Handheld Bar Code Reader"/>
    <x v="887"/>
    <n v="3"/>
    <n v="0.4"/>
    <n v="44.868000000000002"/>
  </r>
  <r>
    <n v="988"/>
    <x v="366"/>
    <x v="1"/>
    <x v="10"/>
    <d v="2012-03-10T00:00:00"/>
    <n v="0"/>
    <x v="3"/>
    <s v="Toby Swindell"/>
    <x v="0"/>
    <s v="United States"/>
    <s v="Houston"/>
    <s v="Texas"/>
    <s v="Central"/>
    <x v="1"/>
    <x v="8"/>
    <s v="Acco Suede Grain Vinyl Round Ring Binder"/>
    <x v="888"/>
    <n v="2"/>
    <n v="0.8"/>
    <n v="-1.8904000000000001"/>
  </r>
  <r>
    <n v="989"/>
    <x v="367"/>
    <x v="3"/>
    <x v="5"/>
    <d v="2014-05-27T00:00:00"/>
    <n v="5"/>
    <x v="1"/>
    <s v="John Grady"/>
    <x v="1"/>
    <s v="United States"/>
    <s v="Auburn"/>
    <s v="New York"/>
    <s v="East"/>
    <x v="0"/>
    <x v="5"/>
    <s v="Luxo Professional Magnifying Clamp-On Fluorescent Lamps"/>
    <x v="889"/>
    <n v="5"/>
    <n v="0"/>
    <n v="72.807000000000002"/>
  </r>
  <r>
    <n v="990"/>
    <x v="367"/>
    <x v="3"/>
    <x v="5"/>
    <d v="2014-05-27T00:00:00"/>
    <n v="5"/>
    <x v="1"/>
    <s v="John Grady"/>
    <x v="1"/>
    <s v="United States"/>
    <s v="Auburn"/>
    <s v="New York"/>
    <s v="East"/>
    <x v="1"/>
    <x v="6"/>
    <s v="Bulldog Table or Wall-Mount Pencil Sharpener"/>
    <x v="890"/>
    <n v="3"/>
    <n v="0"/>
    <n v="5.2112999999999996"/>
  </r>
  <r>
    <n v="991"/>
    <x v="368"/>
    <x v="1"/>
    <x v="10"/>
    <d v="2012-03-31T00:00:00"/>
    <n v="2"/>
    <x v="0"/>
    <s v="Sara Luxemburg"/>
    <x v="2"/>
    <s v="United States"/>
    <s v="Jacksonville"/>
    <s v="Florida"/>
    <s v="South"/>
    <x v="0"/>
    <x v="1"/>
    <s v="Hon 4070 Series Pagoda Armless Upholstered Stacking Chairs"/>
    <x v="891"/>
    <n v="5"/>
    <n v="0.2"/>
    <n v="131.27850000000001"/>
  </r>
  <r>
    <n v="992"/>
    <x v="369"/>
    <x v="0"/>
    <x v="8"/>
    <d v="2013-09-12T00:00:00"/>
    <n v="2"/>
    <x v="2"/>
    <s v="Troy Staebel"/>
    <x v="0"/>
    <s v="United States"/>
    <s v="New York City"/>
    <s v="New York"/>
    <s v="East"/>
    <x v="1"/>
    <x v="8"/>
    <s v="Cardinal EasyOpen D-Ring Binders"/>
    <x v="892"/>
    <n v="2"/>
    <n v="0.2"/>
    <n v="5.484"/>
  </r>
  <r>
    <n v="993"/>
    <x v="370"/>
    <x v="0"/>
    <x v="6"/>
    <d v="2013-08-28T00:00:00"/>
    <n v="1"/>
    <x v="2"/>
    <s v="Roland Fjeld"/>
    <x v="0"/>
    <s v="United States"/>
    <s v="San Jose"/>
    <s v="California"/>
    <s v="West"/>
    <x v="1"/>
    <x v="13"/>
    <s v="Advantus SlideClip Paper Clips"/>
    <x v="893"/>
    <n v="3"/>
    <n v="0"/>
    <n v="4.9104000000000001"/>
  </r>
  <r>
    <n v="994"/>
    <x v="370"/>
    <x v="0"/>
    <x v="6"/>
    <d v="2013-08-28T00:00:00"/>
    <n v="1"/>
    <x v="2"/>
    <s v="Roland Fjeld"/>
    <x v="0"/>
    <s v="United States"/>
    <s v="San Jose"/>
    <s v="California"/>
    <s v="West"/>
    <x v="1"/>
    <x v="10"/>
    <s v="Xerox 1979"/>
    <x v="894"/>
    <n v="5"/>
    <n v="0"/>
    <n v="69.704999999999998"/>
  </r>
  <r>
    <n v="995"/>
    <x v="371"/>
    <x v="2"/>
    <x v="5"/>
    <d v="2011-05-25T00:00:00"/>
    <n v="4"/>
    <x v="1"/>
    <s v="Mitch Willingham"/>
    <x v="1"/>
    <s v="United States"/>
    <s v="Virginia Beach"/>
    <s v="Virginia"/>
    <s v="South"/>
    <x v="1"/>
    <x v="8"/>
    <s v="Fellowes PB300 Plastic Comb Binding Machine"/>
    <x v="895"/>
    <n v="7"/>
    <n v="0"/>
    <n v="1276.4871000000001"/>
  </r>
  <r>
    <n v="996"/>
    <x v="371"/>
    <x v="2"/>
    <x v="5"/>
    <d v="2011-05-25T00:00:00"/>
    <n v="4"/>
    <x v="1"/>
    <s v="Mitch Willingham"/>
    <x v="1"/>
    <s v="United States"/>
    <s v="Virginia Beach"/>
    <s v="Virginia"/>
    <s v="South"/>
    <x v="2"/>
    <x v="7"/>
    <s v="Plantronics Voyager Pro Legend"/>
    <x v="896"/>
    <n v="3"/>
    <n v="0"/>
    <n v="173.0316"/>
  </r>
  <r>
    <n v="997"/>
    <x v="372"/>
    <x v="1"/>
    <x v="2"/>
    <d v="2012-11-03T00:00:00"/>
    <n v="6"/>
    <x v="1"/>
    <s v="Rob Dowd"/>
    <x v="0"/>
    <s v="United States"/>
    <s v="Henderson"/>
    <s v="Kentucky"/>
    <s v="South"/>
    <x v="1"/>
    <x v="12"/>
    <s v="Laser &amp; Ink Jet Business Envelopes"/>
    <x v="897"/>
    <n v="1"/>
    <n v="0"/>
    <n v="4.9081999999999999"/>
  </r>
  <r>
    <n v="998"/>
    <x v="372"/>
    <x v="1"/>
    <x v="2"/>
    <d v="2012-11-03T00:00:00"/>
    <n v="6"/>
    <x v="1"/>
    <s v="Rob Dowd"/>
    <x v="0"/>
    <s v="United States"/>
    <s v="Henderson"/>
    <s v="Kentucky"/>
    <s v="South"/>
    <x v="1"/>
    <x v="4"/>
    <s v="Portable Personal File Box"/>
    <x v="898"/>
    <n v="3"/>
    <n v="0"/>
    <n v="9.8901000000000003"/>
  </r>
  <r>
    <n v="999"/>
    <x v="372"/>
    <x v="1"/>
    <x v="2"/>
    <d v="2012-11-03T00:00:00"/>
    <n v="6"/>
    <x v="1"/>
    <s v="Rob Dowd"/>
    <x v="0"/>
    <s v="United States"/>
    <s v="Henderson"/>
    <s v="Kentucky"/>
    <s v="South"/>
    <x v="0"/>
    <x v="5"/>
    <s v="Magna Visual Magnetic Picture Hangers"/>
    <x v="899"/>
    <n v="5"/>
    <n v="0"/>
    <n v="9.1579999999999995"/>
  </r>
  <r>
    <n v="1000"/>
    <x v="372"/>
    <x v="1"/>
    <x v="2"/>
    <d v="2012-11-03T00:00:00"/>
    <n v="6"/>
    <x v="1"/>
    <s v="Rob Dowd"/>
    <x v="0"/>
    <s v="United States"/>
    <s v="Henderson"/>
    <s v="Kentucky"/>
    <s v="South"/>
    <x v="0"/>
    <x v="5"/>
    <s v="C-Line Cubicle Keepers Polyproplyene Holder With Velcro Backings"/>
    <x v="900"/>
    <n v="7"/>
    <n v="0"/>
    <n v="12.9129"/>
  </r>
  <r>
    <n v="1001"/>
    <x v="373"/>
    <x v="0"/>
    <x v="0"/>
    <d v="2013-11-18T00:00:00"/>
    <n v="4"/>
    <x v="1"/>
    <s v="Frank Merwin"/>
    <x v="2"/>
    <s v="United States"/>
    <s v="Vancouver"/>
    <s v="Washington"/>
    <s v="West"/>
    <x v="1"/>
    <x v="6"/>
    <s v="Boston 16801 Nautilus Battery Pencil Sharpener"/>
    <x v="901"/>
    <n v="2"/>
    <n v="0"/>
    <n v="11.4452"/>
  </r>
  <r>
    <n v="1002"/>
    <x v="374"/>
    <x v="1"/>
    <x v="7"/>
    <d v="2012-07-31T00:00:00"/>
    <n v="0"/>
    <x v="3"/>
    <s v="Rick Hansen"/>
    <x v="0"/>
    <s v="United States"/>
    <s v="New York City"/>
    <s v="New York"/>
    <s v="East"/>
    <x v="2"/>
    <x v="11"/>
    <s v="Plantronics CS510 - Over-the-Head monaural Wireless Headset System"/>
    <x v="902"/>
    <n v="7"/>
    <n v="0"/>
    <n v="762.18449999999996"/>
  </r>
  <r>
    <n v="1003"/>
    <x v="374"/>
    <x v="1"/>
    <x v="7"/>
    <d v="2012-07-31T00:00:00"/>
    <n v="0"/>
    <x v="3"/>
    <s v="Rick Hansen"/>
    <x v="0"/>
    <s v="United States"/>
    <s v="New York City"/>
    <s v="New York"/>
    <s v="East"/>
    <x v="0"/>
    <x v="3"/>
    <s v="Bevis Round Bullnose 29&quot; High Table Top"/>
    <x v="903"/>
    <n v="7"/>
    <n v="0.4"/>
    <n v="-290.87520000000001"/>
  </r>
  <r>
    <n v="1004"/>
    <x v="374"/>
    <x v="1"/>
    <x v="7"/>
    <d v="2012-07-31T00:00:00"/>
    <n v="0"/>
    <x v="3"/>
    <s v="Rick Hansen"/>
    <x v="0"/>
    <s v="United States"/>
    <s v="New York City"/>
    <s v="New York"/>
    <s v="East"/>
    <x v="1"/>
    <x v="10"/>
    <s v="Xerox 212"/>
    <x v="537"/>
    <n v="3"/>
    <n v="0"/>
    <n v="9.3312000000000008"/>
  </r>
  <r>
    <n v="1005"/>
    <x v="375"/>
    <x v="1"/>
    <x v="6"/>
    <d v="2012-08-31T00:00:00"/>
    <n v="4"/>
    <x v="1"/>
    <s v="Ryan Akin"/>
    <x v="0"/>
    <s v="United States"/>
    <s v="Murrieta"/>
    <s v="California"/>
    <s v="West"/>
    <x v="1"/>
    <x v="4"/>
    <s v="Fellowes Super Stor/Drawer Files"/>
    <x v="904"/>
    <n v="3"/>
    <n v="0"/>
    <n v="92.083500000000001"/>
  </r>
  <r>
    <n v="1006"/>
    <x v="50"/>
    <x v="1"/>
    <x v="0"/>
    <d v="2012-11-17T00:00:00"/>
    <n v="4"/>
    <x v="1"/>
    <s v="Joe Kamberova"/>
    <x v="0"/>
    <s v="United States"/>
    <s v="Jacksonville"/>
    <s v="North Carolina"/>
    <s v="South"/>
    <x v="1"/>
    <x v="10"/>
    <s v="Xerox 1910"/>
    <x v="905"/>
    <n v="3"/>
    <n v="0.2"/>
    <n v="40.3536"/>
  </r>
  <r>
    <n v="1007"/>
    <x v="376"/>
    <x v="1"/>
    <x v="0"/>
    <d v="2012-11-09T00:00:00"/>
    <n v="3"/>
    <x v="2"/>
    <s v="Meg Tillman"/>
    <x v="0"/>
    <s v="United States"/>
    <s v="Scottsdale"/>
    <s v="Arizona"/>
    <s v="West"/>
    <x v="1"/>
    <x v="12"/>
    <s v="Redi-Strip #10 Envelopes, 4 1/8 x 9 1/2"/>
    <x v="906"/>
    <n v="3"/>
    <n v="0.2"/>
    <n v="2.4780000000000002"/>
  </r>
  <r>
    <n v="1008"/>
    <x v="376"/>
    <x v="1"/>
    <x v="0"/>
    <d v="2012-11-09T00:00:00"/>
    <n v="3"/>
    <x v="2"/>
    <s v="Meg Tillman"/>
    <x v="0"/>
    <s v="United States"/>
    <s v="Scottsdale"/>
    <s v="Arizona"/>
    <s v="West"/>
    <x v="1"/>
    <x v="8"/>
    <s v="UniKeep View Case Binders"/>
    <x v="907"/>
    <n v="3"/>
    <n v="0.7"/>
    <n v="-3.5207999999999999"/>
  </r>
  <r>
    <n v="1009"/>
    <x v="377"/>
    <x v="3"/>
    <x v="4"/>
    <d v="2015-01-02T00:00:00"/>
    <n v="6"/>
    <x v="1"/>
    <s v="Patrick O'Brill"/>
    <x v="0"/>
    <s v="United States"/>
    <s v="Burlington"/>
    <s v="Iowa"/>
    <s v="Central"/>
    <x v="1"/>
    <x v="10"/>
    <s v="Recycled Desk Saver Line &quot;While You Were Out&quot; Book, 5 1/2&quot; X 4&quot;"/>
    <x v="908"/>
    <n v="5"/>
    <n v="0"/>
    <n v="20.585000000000001"/>
  </r>
  <r>
    <n v="1010"/>
    <x v="378"/>
    <x v="3"/>
    <x v="6"/>
    <d v="2014-08-04T00:00:00"/>
    <n v="2"/>
    <x v="2"/>
    <s v="Annie Thurman"/>
    <x v="0"/>
    <s v="United States"/>
    <s v="Chicago"/>
    <s v="Illinois"/>
    <s v="Central"/>
    <x v="2"/>
    <x v="7"/>
    <s v="JBL Micro Wireless Portable Bluetooth Speaker"/>
    <x v="909"/>
    <n v="2"/>
    <n v="0.2"/>
    <n v="5.9989999999999997"/>
  </r>
  <r>
    <n v="1011"/>
    <x v="156"/>
    <x v="2"/>
    <x v="0"/>
    <d v="2011-11-26T00:00:00"/>
    <n v="2"/>
    <x v="2"/>
    <s v="Vivek Gonzalez"/>
    <x v="0"/>
    <s v="United States"/>
    <s v="San Diego"/>
    <s v="California"/>
    <s v="West"/>
    <x v="0"/>
    <x v="5"/>
    <s v="Eldon Delta Triangular Chair Mat, 52&quot; x 58&quot;, Clear"/>
    <x v="910"/>
    <n v="4"/>
    <n v="0"/>
    <n v="27.3096"/>
  </r>
  <r>
    <n v="1012"/>
    <x v="46"/>
    <x v="3"/>
    <x v="1"/>
    <d v="2014-06-22T00:00:00"/>
    <n v="4"/>
    <x v="0"/>
    <s v="Philip Fox"/>
    <x v="0"/>
    <s v="United States"/>
    <s v="Olympia"/>
    <s v="Washington"/>
    <s v="West"/>
    <x v="0"/>
    <x v="5"/>
    <s v="Howard Miller 13-3/4&quot; Diameter Brushed Chrome Round Wall Clock"/>
    <x v="911"/>
    <n v="3"/>
    <n v="0"/>
    <n v="46.575000000000003"/>
  </r>
  <r>
    <n v="1013"/>
    <x v="46"/>
    <x v="3"/>
    <x v="1"/>
    <d v="2014-06-22T00:00:00"/>
    <n v="4"/>
    <x v="0"/>
    <s v="Philip Fox"/>
    <x v="0"/>
    <s v="United States"/>
    <s v="Olympia"/>
    <s v="Washington"/>
    <s v="West"/>
    <x v="1"/>
    <x v="4"/>
    <s v="Project Tote Personal File"/>
    <x v="912"/>
    <n v="1"/>
    <n v="0"/>
    <n v="4.0686999999999998"/>
  </r>
  <r>
    <n v="1014"/>
    <x v="379"/>
    <x v="1"/>
    <x v="4"/>
    <d v="2012-12-24T00:00:00"/>
    <n v="3"/>
    <x v="0"/>
    <s v="John Stevenson"/>
    <x v="0"/>
    <s v="United States"/>
    <s v="Seattle"/>
    <s v="Washington"/>
    <s v="West"/>
    <x v="0"/>
    <x v="3"/>
    <s v="Bevis 36 x 72 Conference Tables"/>
    <x v="913"/>
    <n v="13"/>
    <n v="0"/>
    <n v="356.04140000000001"/>
  </r>
  <r>
    <n v="1015"/>
    <x v="379"/>
    <x v="1"/>
    <x v="4"/>
    <d v="2012-12-24T00:00:00"/>
    <n v="3"/>
    <x v="0"/>
    <s v="John Stevenson"/>
    <x v="0"/>
    <s v="United States"/>
    <s v="Seattle"/>
    <s v="Washington"/>
    <s v="West"/>
    <x v="2"/>
    <x v="11"/>
    <s v="Enermax Acrylux Wireless Keyboard"/>
    <x v="914"/>
    <n v="1"/>
    <n v="0"/>
    <n v="36.851999999999997"/>
  </r>
  <r>
    <n v="1016"/>
    <x v="14"/>
    <x v="1"/>
    <x v="8"/>
    <d v="2012-09-19T00:00:00"/>
    <n v="2"/>
    <x v="0"/>
    <s v="Meg O'Connel"/>
    <x v="2"/>
    <s v="United States"/>
    <s v="Los Angeles"/>
    <s v="California"/>
    <s v="West"/>
    <x v="1"/>
    <x v="10"/>
    <s v="Xerox 216"/>
    <x v="56"/>
    <n v="5"/>
    <n v="0"/>
    <n v="15.552"/>
  </r>
  <r>
    <n v="1017"/>
    <x v="380"/>
    <x v="1"/>
    <x v="7"/>
    <d v="2012-07-10T00:00:00"/>
    <n v="4"/>
    <x v="1"/>
    <s v="Kalyca Meade"/>
    <x v="1"/>
    <s v="United States"/>
    <s v="New York City"/>
    <s v="New York"/>
    <s v="East"/>
    <x v="0"/>
    <x v="5"/>
    <s v="G.E. Halogen Desk Lamp Bulbs"/>
    <x v="540"/>
    <n v="2"/>
    <n v="0"/>
    <n v="6.7008000000000001"/>
  </r>
  <r>
    <n v="1018"/>
    <x v="380"/>
    <x v="1"/>
    <x v="7"/>
    <d v="2012-07-10T00:00:00"/>
    <n v="4"/>
    <x v="1"/>
    <s v="Kalyca Meade"/>
    <x v="1"/>
    <s v="United States"/>
    <s v="New York City"/>
    <s v="New York"/>
    <s v="East"/>
    <x v="0"/>
    <x v="5"/>
    <s v="Howard Miller 11-1/2&quot; Diameter Ridgewood Wall Clock"/>
    <x v="816"/>
    <n v="3"/>
    <n v="0"/>
    <n v="63.886200000000002"/>
  </r>
  <r>
    <n v="1019"/>
    <x v="380"/>
    <x v="1"/>
    <x v="7"/>
    <d v="2012-07-10T00:00:00"/>
    <n v="4"/>
    <x v="1"/>
    <s v="Kalyca Meade"/>
    <x v="1"/>
    <s v="United States"/>
    <s v="New York City"/>
    <s v="New York"/>
    <s v="East"/>
    <x v="2"/>
    <x v="7"/>
    <s v="OtterBox Commuter Series Case - Samsung Galaxy S4"/>
    <x v="915"/>
    <n v="5"/>
    <n v="0"/>
    <n v="2.4990000000000001"/>
  </r>
  <r>
    <n v="1020"/>
    <x v="380"/>
    <x v="1"/>
    <x v="7"/>
    <d v="2012-07-10T00:00:00"/>
    <n v="4"/>
    <x v="1"/>
    <s v="Kalyca Meade"/>
    <x v="1"/>
    <s v="United States"/>
    <s v="New York City"/>
    <s v="New York"/>
    <s v="East"/>
    <x v="1"/>
    <x v="4"/>
    <s v="Iceberg Mobile Mega Data/Printer Cart "/>
    <x v="916"/>
    <n v="5"/>
    <n v="0"/>
    <n v="156.429"/>
  </r>
  <r>
    <n v="1021"/>
    <x v="381"/>
    <x v="1"/>
    <x v="3"/>
    <d v="2012-05-03T00:00:00"/>
    <n v="6"/>
    <x v="1"/>
    <s v="Greg Tran"/>
    <x v="0"/>
    <s v="United States"/>
    <s v="Washington"/>
    <s v="District of Columbia"/>
    <s v="East"/>
    <x v="1"/>
    <x v="6"/>
    <s v="Staples"/>
    <x v="917"/>
    <n v="3"/>
    <n v="0"/>
    <n v="8.8686000000000007"/>
  </r>
  <r>
    <n v="1022"/>
    <x v="381"/>
    <x v="1"/>
    <x v="3"/>
    <d v="2012-05-03T00:00:00"/>
    <n v="6"/>
    <x v="1"/>
    <s v="Greg Tran"/>
    <x v="0"/>
    <s v="United States"/>
    <s v="Washington"/>
    <s v="District of Columbia"/>
    <s v="East"/>
    <x v="0"/>
    <x v="1"/>
    <s v="Global Comet Stacking Arm Chair"/>
    <x v="918"/>
    <n v="3"/>
    <n v="0"/>
    <n v="316.88249999999999"/>
  </r>
  <r>
    <n v="1023"/>
    <x v="381"/>
    <x v="1"/>
    <x v="3"/>
    <d v="2012-05-03T00:00:00"/>
    <n v="6"/>
    <x v="1"/>
    <s v="Greg Tran"/>
    <x v="0"/>
    <s v="United States"/>
    <s v="Washington"/>
    <s v="District of Columbia"/>
    <s v="East"/>
    <x v="2"/>
    <x v="15"/>
    <s v="Cisco SPA525G2 5-Line IP Phone"/>
    <x v="919"/>
    <n v="8"/>
    <n v="0"/>
    <n v="648.56240000000003"/>
  </r>
  <r>
    <n v="1024"/>
    <x v="382"/>
    <x v="1"/>
    <x v="1"/>
    <d v="2012-06-20T00:00:00"/>
    <n v="4"/>
    <x v="1"/>
    <s v="Philip Brown"/>
    <x v="0"/>
    <s v="United States"/>
    <s v="Philadelphia"/>
    <s v="Pennsylvania"/>
    <s v="East"/>
    <x v="1"/>
    <x v="12"/>
    <s v="Peel &amp; Seel Envelopes"/>
    <x v="920"/>
    <n v="2"/>
    <n v="0.2"/>
    <n v="2.1728000000000001"/>
  </r>
  <r>
    <n v="1025"/>
    <x v="94"/>
    <x v="3"/>
    <x v="4"/>
    <d v="2014-12-21T00:00:00"/>
    <n v="3"/>
    <x v="2"/>
    <s v="Hallie Redmond"/>
    <x v="2"/>
    <s v="United States"/>
    <s v="Los Angeles"/>
    <s v="California"/>
    <s v="West"/>
    <x v="1"/>
    <x v="8"/>
    <s v="GBC Plastic Binding Combs"/>
    <x v="921"/>
    <n v="2"/>
    <n v="0.2"/>
    <n v="4.2804000000000002"/>
  </r>
  <r>
    <n v="1026"/>
    <x v="383"/>
    <x v="0"/>
    <x v="9"/>
    <d v="2013-01-13T00:00:00"/>
    <n v="2"/>
    <x v="0"/>
    <s v="Deanra Eno"/>
    <x v="2"/>
    <s v="United States"/>
    <s v="Springfield"/>
    <s v="Ohio"/>
    <s v="East"/>
    <x v="1"/>
    <x v="10"/>
    <s v="Xerox 2"/>
    <x v="12"/>
    <n v="3"/>
    <n v="0.2"/>
    <n v="5.4432"/>
  </r>
  <r>
    <n v="1027"/>
    <x v="383"/>
    <x v="0"/>
    <x v="9"/>
    <d v="2013-01-13T00:00:00"/>
    <n v="2"/>
    <x v="0"/>
    <s v="Deanra Eno"/>
    <x v="2"/>
    <s v="United States"/>
    <s v="Springfield"/>
    <s v="Ohio"/>
    <s v="East"/>
    <x v="1"/>
    <x v="10"/>
    <s v="Xerox 1935"/>
    <x v="922"/>
    <n v="3"/>
    <n v="0.2"/>
    <n v="20.5764"/>
  </r>
  <r>
    <n v="1028"/>
    <x v="383"/>
    <x v="0"/>
    <x v="9"/>
    <d v="2013-01-13T00:00:00"/>
    <n v="2"/>
    <x v="0"/>
    <s v="Deanra Eno"/>
    <x v="2"/>
    <s v="United States"/>
    <s v="Springfield"/>
    <s v="Ohio"/>
    <s v="East"/>
    <x v="2"/>
    <x v="7"/>
    <s v="Cyber Acoustics AC-202b Speech Recognition Stereo Headset"/>
    <x v="923"/>
    <n v="2"/>
    <n v="0.4"/>
    <n v="-9.8724000000000007"/>
  </r>
  <r>
    <n v="1029"/>
    <x v="384"/>
    <x v="2"/>
    <x v="7"/>
    <d v="2011-07-15T00:00:00"/>
    <n v="4"/>
    <x v="1"/>
    <s v="Laura Armstrong"/>
    <x v="1"/>
    <s v="United States"/>
    <s v="Hackensack"/>
    <s v="New Jersey"/>
    <s v="East"/>
    <x v="1"/>
    <x v="10"/>
    <s v="Staples"/>
    <x v="924"/>
    <n v="5"/>
    <n v="0"/>
    <n v="83.284000000000006"/>
  </r>
  <r>
    <n v="1030"/>
    <x v="384"/>
    <x v="2"/>
    <x v="7"/>
    <d v="2011-07-15T00:00:00"/>
    <n v="4"/>
    <x v="1"/>
    <s v="Laura Armstrong"/>
    <x v="1"/>
    <s v="United States"/>
    <s v="Hackensack"/>
    <s v="New Jersey"/>
    <s v="East"/>
    <x v="2"/>
    <x v="7"/>
    <s v="Cisco SPA508G"/>
    <x v="925"/>
    <n v="3"/>
    <n v="0"/>
    <n v="57.411299999999997"/>
  </r>
  <r>
    <n v="1031"/>
    <x v="384"/>
    <x v="2"/>
    <x v="7"/>
    <d v="2011-07-15T00:00:00"/>
    <n v="4"/>
    <x v="1"/>
    <s v="Laura Armstrong"/>
    <x v="1"/>
    <s v="United States"/>
    <s v="Hackensack"/>
    <s v="New Jersey"/>
    <s v="East"/>
    <x v="0"/>
    <x v="1"/>
    <s v="Global Commerce Series High-Back Swivel/Tilt Chairs"/>
    <x v="926"/>
    <n v="3"/>
    <n v="0"/>
    <n v="213.73500000000001"/>
  </r>
  <r>
    <n v="1032"/>
    <x v="384"/>
    <x v="2"/>
    <x v="7"/>
    <d v="2011-07-15T00:00:00"/>
    <n v="4"/>
    <x v="1"/>
    <s v="Laura Armstrong"/>
    <x v="1"/>
    <s v="United States"/>
    <s v="Hackensack"/>
    <s v="New Jersey"/>
    <s v="East"/>
    <x v="0"/>
    <x v="5"/>
    <s v="9-3/4 Diameter Round Wall Clock"/>
    <x v="927"/>
    <n v="9"/>
    <n v="0"/>
    <n v="52.126199999999997"/>
  </r>
  <r>
    <n v="1033"/>
    <x v="384"/>
    <x v="2"/>
    <x v="7"/>
    <d v="2011-07-15T00:00:00"/>
    <n v="4"/>
    <x v="1"/>
    <s v="Laura Armstrong"/>
    <x v="1"/>
    <s v="United States"/>
    <s v="Hackensack"/>
    <s v="New Jersey"/>
    <s v="East"/>
    <x v="1"/>
    <x v="2"/>
    <s v="Avery 514"/>
    <x v="928"/>
    <n v="5"/>
    <n v="0"/>
    <n v="7.056"/>
  </r>
  <r>
    <n v="1034"/>
    <x v="73"/>
    <x v="0"/>
    <x v="0"/>
    <d v="2013-11-23T00:00:00"/>
    <n v="2"/>
    <x v="2"/>
    <s v="Allen Goldenen"/>
    <x v="0"/>
    <s v="United States"/>
    <s v="Cincinnati"/>
    <s v="Ohio"/>
    <s v="East"/>
    <x v="1"/>
    <x v="10"/>
    <s v="Southworth 25% Cotton Granite Paper &amp; Envelopes"/>
    <x v="929"/>
    <n v="3"/>
    <n v="0.2"/>
    <n v="5.1012000000000004"/>
  </r>
  <r>
    <n v="1035"/>
    <x v="73"/>
    <x v="0"/>
    <x v="0"/>
    <d v="2013-11-23T00:00:00"/>
    <n v="2"/>
    <x v="2"/>
    <s v="Allen Goldenen"/>
    <x v="0"/>
    <s v="United States"/>
    <s v="Cincinnati"/>
    <s v="Ohio"/>
    <s v="East"/>
    <x v="1"/>
    <x v="8"/>
    <s v="Acco 3-Hole Punch"/>
    <x v="930"/>
    <n v="2"/>
    <n v="0.7"/>
    <n v="-1.9272"/>
  </r>
  <r>
    <n v="1036"/>
    <x v="73"/>
    <x v="0"/>
    <x v="0"/>
    <d v="2013-11-23T00:00:00"/>
    <n v="2"/>
    <x v="2"/>
    <s v="Allen Goldenen"/>
    <x v="0"/>
    <s v="United States"/>
    <s v="Cincinnati"/>
    <s v="Ohio"/>
    <s v="East"/>
    <x v="1"/>
    <x v="8"/>
    <s v="Avery Recycled Flexi-View Covers for Binding Systems"/>
    <x v="931"/>
    <n v="3"/>
    <n v="0.7"/>
    <n v="-10.579800000000001"/>
  </r>
  <r>
    <n v="1037"/>
    <x v="183"/>
    <x v="0"/>
    <x v="3"/>
    <d v="2013-04-27T00:00:00"/>
    <n v="4"/>
    <x v="1"/>
    <s v="Ed Ludwig"/>
    <x v="2"/>
    <s v="United States"/>
    <s v="Jefferson City"/>
    <s v="Missouri"/>
    <s v="Central"/>
    <x v="0"/>
    <x v="5"/>
    <s v="Eldon Advantage Chair Mats for Low to Medium Pile Carpets"/>
    <x v="932"/>
    <n v="2"/>
    <n v="0"/>
    <n v="8.6620000000000008"/>
  </r>
  <r>
    <n v="1038"/>
    <x v="385"/>
    <x v="1"/>
    <x v="1"/>
    <d v="2012-06-14T00:00:00"/>
    <n v="1"/>
    <x v="2"/>
    <s v="Jennifer Jackson"/>
    <x v="0"/>
    <s v="United States"/>
    <s v="Los Angeles"/>
    <s v="California"/>
    <s v="West"/>
    <x v="1"/>
    <x v="8"/>
    <s v="Aluminum Screw Posts"/>
    <x v="933"/>
    <n v="3"/>
    <n v="0.2"/>
    <n v="13.734"/>
  </r>
  <r>
    <n v="1039"/>
    <x v="225"/>
    <x v="3"/>
    <x v="0"/>
    <d v="2014-11-22T00:00:00"/>
    <n v="1"/>
    <x v="2"/>
    <s v="Jennifer Halladay"/>
    <x v="0"/>
    <s v="United States"/>
    <s v="Burlington"/>
    <s v="North Carolina"/>
    <s v="South"/>
    <x v="1"/>
    <x v="6"/>
    <s v="Newell 336"/>
    <x v="934"/>
    <n v="7"/>
    <n v="0.2"/>
    <n v="2.6964000000000001"/>
  </r>
  <r>
    <n v="1040"/>
    <x v="225"/>
    <x v="3"/>
    <x v="0"/>
    <d v="2014-11-22T00:00:00"/>
    <n v="1"/>
    <x v="2"/>
    <s v="Jennifer Halladay"/>
    <x v="0"/>
    <s v="United States"/>
    <s v="Burlington"/>
    <s v="North Carolina"/>
    <s v="South"/>
    <x v="1"/>
    <x v="6"/>
    <s v="Staples"/>
    <x v="935"/>
    <n v="3"/>
    <n v="0.2"/>
    <n v="1.7955000000000001"/>
  </r>
  <r>
    <n v="1041"/>
    <x v="231"/>
    <x v="0"/>
    <x v="10"/>
    <d v="2013-03-25T00:00:00"/>
    <n v="4"/>
    <x v="1"/>
    <s v="Robert Dilbeck"/>
    <x v="2"/>
    <s v="United States"/>
    <s v="Saint Peters"/>
    <s v="Missouri"/>
    <s v="Central"/>
    <x v="0"/>
    <x v="3"/>
    <s v="Chromcraft Round Conference Tables"/>
    <x v="936"/>
    <n v="4"/>
    <n v="0"/>
    <n v="146.40360000000001"/>
  </r>
  <r>
    <n v="1042"/>
    <x v="47"/>
    <x v="0"/>
    <x v="8"/>
    <d v="2013-09-10T00:00:00"/>
    <n v="3"/>
    <x v="0"/>
    <s v="Mary O'Rourke"/>
    <x v="0"/>
    <s v="United States"/>
    <s v="New York City"/>
    <s v="New York"/>
    <s v="East"/>
    <x v="2"/>
    <x v="11"/>
    <s v="Maxell 4.7GB DVD+RW 3/Pack"/>
    <x v="937"/>
    <n v="2"/>
    <n v="0"/>
    <n v="11.151"/>
  </r>
  <r>
    <n v="1043"/>
    <x v="47"/>
    <x v="0"/>
    <x v="8"/>
    <d v="2013-09-10T00:00:00"/>
    <n v="3"/>
    <x v="0"/>
    <s v="Mary O'Rourke"/>
    <x v="0"/>
    <s v="United States"/>
    <s v="New York City"/>
    <s v="New York"/>
    <s v="East"/>
    <x v="0"/>
    <x v="0"/>
    <s v="Atlantic Metals Mobile 5-Shelf Bookcases, Custom Colors"/>
    <x v="938"/>
    <n v="3"/>
    <n v="0.2"/>
    <n v="90.293999999999997"/>
  </r>
  <r>
    <n v="1044"/>
    <x v="362"/>
    <x v="3"/>
    <x v="7"/>
    <d v="2014-07-13T00:00:00"/>
    <n v="3"/>
    <x v="2"/>
    <s v="Noel Staavos"/>
    <x v="1"/>
    <s v="United States"/>
    <s v="Chicago"/>
    <s v="Illinois"/>
    <s v="Central"/>
    <x v="1"/>
    <x v="6"/>
    <s v="Quartet Alpha White Chalk, 12/Pack"/>
    <x v="939"/>
    <n v="5"/>
    <n v="0.2"/>
    <n v="2.9834999999999998"/>
  </r>
  <r>
    <n v="1045"/>
    <x v="362"/>
    <x v="3"/>
    <x v="7"/>
    <d v="2014-07-13T00:00:00"/>
    <n v="3"/>
    <x v="2"/>
    <s v="Noel Staavos"/>
    <x v="1"/>
    <s v="United States"/>
    <s v="Chicago"/>
    <s v="Illinois"/>
    <s v="Central"/>
    <x v="1"/>
    <x v="9"/>
    <s v="Belkin F9S820V06 8 Outlet Surge"/>
    <x v="940"/>
    <n v="9"/>
    <n v="0.8"/>
    <n v="-146.16"/>
  </r>
  <r>
    <n v="1046"/>
    <x v="386"/>
    <x v="3"/>
    <x v="2"/>
    <d v="2014-10-17T00:00:00"/>
    <n v="4"/>
    <x v="1"/>
    <s v="Steve Nguyen"/>
    <x v="2"/>
    <s v="United States"/>
    <s v="Rockford"/>
    <s v="Illinois"/>
    <s v="Central"/>
    <x v="0"/>
    <x v="1"/>
    <s v="Global Stack Chair without Arms, Black"/>
    <x v="941"/>
    <n v="14"/>
    <n v="0.3"/>
    <n v="-18.186"/>
  </r>
  <r>
    <n v="1047"/>
    <x v="387"/>
    <x v="0"/>
    <x v="10"/>
    <d v="2013-03-14T00:00:00"/>
    <n v="5"/>
    <x v="1"/>
    <s v="Zuschuss Carroll"/>
    <x v="0"/>
    <s v="United States"/>
    <s v="Miami"/>
    <s v="Florida"/>
    <s v="South"/>
    <x v="2"/>
    <x v="7"/>
    <s v="Cisco Unified IP Phone 7945G VoIP phone"/>
    <x v="738"/>
    <n v="5"/>
    <n v="0.2"/>
    <n v="85.247500000000002"/>
  </r>
  <r>
    <n v="1048"/>
    <x v="387"/>
    <x v="0"/>
    <x v="10"/>
    <d v="2013-03-14T00:00:00"/>
    <n v="5"/>
    <x v="1"/>
    <s v="Zuschuss Carroll"/>
    <x v="0"/>
    <s v="United States"/>
    <s v="Miami"/>
    <s v="Florida"/>
    <s v="South"/>
    <x v="0"/>
    <x v="5"/>
    <s v="Deflect-o DuraMat Lighweight, Studded, Beveled Mat for Low Pile Carpeting"/>
    <x v="102"/>
    <n v="3"/>
    <n v="0.2"/>
    <n v="-3.8384999999999998"/>
  </r>
  <r>
    <n v="1049"/>
    <x v="279"/>
    <x v="2"/>
    <x v="5"/>
    <d v="2011-06-01T00:00:00"/>
    <n v="5"/>
    <x v="0"/>
    <s v="Lena Creighton"/>
    <x v="0"/>
    <s v="United States"/>
    <s v="San Francisco"/>
    <s v="California"/>
    <s v="West"/>
    <x v="2"/>
    <x v="7"/>
    <s v="Plantronics HL10 Handset Lifter"/>
    <x v="942"/>
    <n v="12"/>
    <n v="0.2"/>
    <n v="125.2692"/>
  </r>
  <r>
    <n v="1050"/>
    <x v="279"/>
    <x v="2"/>
    <x v="5"/>
    <d v="2011-06-01T00:00:00"/>
    <n v="5"/>
    <x v="0"/>
    <s v="Lena Creighton"/>
    <x v="0"/>
    <s v="United States"/>
    <s v="San Francisco"/>
    <s v="California"/>
    <s v="West"/>
    <x v="2"/>
    <x v="11"/>
    <s v="Logitech Wireless Performance Mouse MX for PC and Mac"/>
    <x v="311"/>
    <n v="1"/>
    <n v="0"/>
    <n v="37.996200000000002"/>
  </r>
  <r>
    <n v="1051"/>
    <x v="230"/>
    <x v="1"/>
    <x v="7"/>
    <d v="2012-07-05T00:00:00"/>
    <n v="2"/>
    <x v="2"/>
    <s v="Deirdre Greer"/>
    <x v="1"/>
    <s v="United States"/>
    <s v="Philadelphia"/>
    <s v="Pennsylvania"/>
    <s v="East"/>
    <x v="0"/>
    <x v="5"/>
    <s v="Eldon Antistatic Chair Mats for Low to Medium Pile Carpets"/>
    <x v="943"/>
    <n v="2"/>
    <n v="0.2"/>
    <n v="-29.481200000000001"/>
  </r>
  <r>
    <n v="1052"/>
    <x v="230"/>
    <x v="1"/>
    <x v="7"/>
    <d v="2012-07-05T00:00:00"/>
    <n v="2"/>
    <x v="2"/>
    <s v="Deirdre Greer"/>
    <x v="1"/>
    <s v="United States"/>
    <s v="Philadelphia"/>
    <s v="Pennsylvania"/>
    <s v="East"/>
    <x v="1"/>
    <x v="10"/>
    <s v="Important Message Pads, 50 4-1/4 x 5-1/2 Forms per Pad"/>
    <x v="944"/>
    <n v="2"/>
    <n v="0.2"/>
    <n v="2.4359999999999999"/>
  </r>
  <r>
    <n v="1053"/>
    <x v="230"/>
    <x v="1"/>
    <x v="7"/>
    <d v="2012-07-05T00:00:00"/>
    <n v="2"/>
    <x v="2"/>
    <s v="Deirdre Greer"/>
    <x v="1"/>
    <s v="United States"/>
    <s v="Philadelphia"/>
    <s v="Pennsylvania"/>
    <s v="East"/>
    <x v="0"/>
    <x v="5"/>
    <s v="Howard Miller 12&quot; Round Wall Clock"/>
    <x v="945"/>
    <n v="9"/>
    <n v="0.2"/>
    <n v="56.577599999999997"/>
  </r>
  <r>
    <n v="1054"/>
    <x v="388"/>
    <x v="1"/>
    <x v="3"/>
    <d v="2012-04-08T00:00:00"/>
    <n v="4"/>
    <x v="1"/>
    <s v="Nicole Fjeld"/>
    <x v="2"/>
    <s v="United States"/>
    <s v="New York City"/>
    <s v="New York"/>
    <s v="East"/>
    <x v="1"/>
    <x v="6"/>
    <s v="DIXON Ticonderoga Erasable Checking Pencils"/>
    <x v="946"/>
    <n v="2"/>
    <n v="0"/>
    <n v="4.3524000000000003"/>
  </r>
  <r>
    <n v="1055"/>
    <x v="388"/>
    <x v="1"/>
    <x v="3"/>
    <d v="2012-04-08T00:00:00"/>
    <n v="4"/>
    <x v="1"/>
    <s v="Nicole Fjeld"/>
    <x v="2"/>
    <s v="United States"/>
    <s v="New York City"/>
    <s v="New York"/>
    <s v="East"/>
    <x v="0"/>
    <x v="5"/>
    <s v="Eldon Advantage Foldable Chair Mats for Low Pile Carpets"/>
    <x v="947"/>
    <n v="2"/>
    <n v="0"/>
    <n v="22.763999999999999"/>
  </r>
  <r>
    <n v="1056"/>
    <x v="388"/>
    <x v="1"/>
    <x v="3"/>
    <d v="2012-04-08T00:00:00"/>
    <n v="4"/>
    <x v="1"/>
    <s v="Nicole Fjeld"/>
    <x v="2"/>
    <s v="United States"/>
    <s v="New York City"/>
    <s v="New York"/>
    <s v="East"/>
    <x v="1"/>
    <x v="8"/>
    <s v="GBC Prestige Therm-A-Bind Covers"/>
    <x v="948"/>
    <n v="3"/>
    <n v="0.2"/>
    <n v="27.7911"/>
  </r>
  <r>
    <n v="1057"/>
    <x v="388"/>
    <x v="1"/>
    <x v="3"/>
    <d v="2012-04-08T00:00:00"/>
    <n v="4"/>
    <x v="1"/>
    <s v="Nicole Fjeld"/>
    <x v="2"/>
    <s v="United States"/>
    <s v="New York City"/>
    <s v="New York"/>
    <s v="East"/>
    <x v="1"/>
    <x v="8"/>
    <s v="Avery Round Ring Poly Binders"/>
    <x v="949"/>
    <n v="4"/>
    <n v="0.2"/>
    <n v="3.2944"/>
  </r>
  <r>
    <n v="1058"/>
    <x v="389"/>
    <x v="3"/>
    <x v="4"/>
    <d v="2014-12-18T00:00:00"/>
    <n v="7"/>
    <x v="1"/>
    <s v="Ben Peterman"/>
    <x v="1"/>
    <s v="United States"/>
    <s v="San Diego"/>
    <s v="California"/>
    <s v="West"/>
    <x v="1"/>
    <x v="8"/>
    <s v="Avery Hole Reinforcements"/>
    <x v="950"/>
    <n v="4"/>
    <n v="0.2"/>
    <n v="7.2267999999999999"/>
  </r>
  <r>
    <n v="1059"/>
    <x v="389"/>
    <x v="3"/>
    <x v="4"/>
    <d v="2014-12-18T00:00:00"/>
    <n v="7"/>
    <x v="1"/>
    <s v="Ben Peterman"/>
    <x v="1"/>
    <s v="United States"/>
    <s v="San Diego"/>
    <s v="California"/>
    <s v="West"/>
    <x v="1"/>
    <x v="8"/>
    <s v="Wilson Jones Ledger-Size, Piano-Hinge Binder, 2&quot;, Blue"/>
    <x v="951"/>
    <n v="2"/>
    <n v="0.2"/>
    <n v="22.948799999999999"/>
  </r>
  <r>
    <n v="1060"/>
    <x v="390"/>
    <x v="0"/>
    <x v="0"/>
    <d v="2013-12-02T00:00:00"/>
    <n v="7"/>
    <x v="1"/>
    <s v="Matthew Grinstein"/>
    <x v="2"/>
    <s v="United States"/>
    <s v="Philadelphia"/>
    <s v="Pennsylvania"/>
    <s v="East"/>
    <x v="1"/>
    <x v="13"/>
    <s v="Stockwell Gold Paper Clips"/>
    <x v="952"/>
    <n v="3"/>
    <n v="0.2"/>
    <n v="1.6008"/>
  </r>
  <r>
    <n v="1061"/>
    <x v="391"/>
    <x v="1"/>
    <x v="10"/>
    <d v="2012-03-29T00:00:00"/>
    <n v="6"/>
    <x v="1"/>
    <s v="Julia Dunbar"/>
    <x v="0"/>
    <s v="United States"/>
    <s v="Houston"/>
    <s v="Texas"/>
    <s v="Central"/>
    <x v="0"/>
    <x v="1"/>
    <s v="Global Deluxe Steno Chair"/>
    <x v="953"/>
    <n v="2"/>
    <n v="0.3"/>
    <n v="-29.252400000000002"/>
  </r>
  <r>
    <n v="1062"/>
    <x v="392"/>
    <x v="1"/>
    <x v="3"/>
    <d v="2012-04-21T00:00:00"/>
    <n v="5"/>
    <x v="1"/>
    <s v="Theresa Swint"/>
    <x v="1"/>
    <s v="United States"/>
    <s v="Toledo"/>
    <s v="Ohio"/>
    <s v="East"/>
    <x v="1"/>
    <x v="9"/>
    <s v="Belkin F9H710-06 7 Outlet SurgeMaster Surge Protector"/>
    <x v="954"/>
    <n v="3"/>
    <n v="0.2"/>
    <n v="4.5216000000000003"/>
  </r>
  <r>
    <n v="1063"/>
    <x v="392"/>
    <x v="1"/>
    <x v="3"/>
    <d v="2012-04-21T00:00:00"/>
    <n v="5"/>
    <x v="1"/>
    <s v="Theresa Swint"/>
    <x v="1"/>
    <s v="United States"/>
    <s v="Toledo"/>
    <s v="Ohio"/>
    <s v="East"/>
    <x v="1"/>
    <x v="13"/>
    <s v="Super Bands, 12/Pack"/>
    <x v="955"/>
    <n v="7"/>
    <n v="0.2"/>
    <n v="-2.2134"/>
  </r>
  <r>
    <n v="1064"/>
    <x v="392"/>
    <x v="1"/>
    <x v="3"/>
    <d v="2012-04-21T00:00:00"/>
    <n v="5"/>
    <x v="1"/>
    <s v="Theresa Swint"/>
    <x v="1"/>
    <s v="United States"/>
    <s v="Toledo"/>
    <s v="Ohio"/>
    <s v="East"/>
    <x v="1"/>
    <x v="6"/>
    <s v="Crayola Colored Pencils"/>
    <x v="956"/>
    <n v="3"/>
    <n v="0.2"/>
    <n v="1.2791999999999999"/>
  </r>
  <r>
    <n v="1065"/>
    <x v="392"/>
    <x v="1"/>
    <x v="3"/>
    <d v="2012-04-21T00:00:00"/>
    <n v="5"/>
    <x v="1"/>
    <s v="Theresa Swint"/>
    <x v="1"/>
    <s v="United States"/>
    <s v="Toledo"/>
    <s v="Ohio"/>
    <s v="East"/>
    <x v="2"/>
    <x v="7"/>
    <s v="Plantronics 81402"/>
    <x v="957"/>
    <n v="3"/>
    <n v="0.4"/>
    <n v="-27.715800000000002"/>
  </r>
  <r>
    <n v="1066"/>
    <x v="392"/>
    <x v="1"/>
    <x v="3"/>
    <d v="2012-04-21T00:00:00"/>
    <n v="5"/>
    <x v="1"/>
    <s v="Theresa Swint"/>
    <x v="1"/>
    <s v="United States"/>
    <s v="Toledo"/>
    <s v="Ohio"/>
    <s v="East"/>
    <x v="1"/>
    <x v="13"/>
    <s v="Assorted Color Push Pins"/>
    <x v="958"/>
    <n v="1"/>
    <n v="0.2"/>
    <n v="0.23530000000000001"/>
  </r>
  <r>
    <n v="1067"/>
    <x v="392"/>
    <x v="1"/>
    <x v="3"/>
    <d v="2012-04-21T00:00:00"/>
    <n v="5"/>
    <x v="1"/>
    <s v="Theresa Swint"/>
    <x v="1"/>
    <s v="United States"/>
    <s v="Toledo"/>
    <s v="Ohio"/>
    <s v="East"/>
    <x v="1"/>
    <x v="8"/>
    <s v="GBC Velobind Prepunched Cover Sets, Regency Series"/>
    <x v="959"/>
    <n v="5"/>
    <n v="0.7"/>
    <n v="-46.225000000000001"/>
  </r>
  <r>
    <n v="1068"/>
    <x v="393"/>
    <x v="0"/>
    <x v="2"/>
    <d v="2013-10-03T00:00:00"/>
    <n v="1"/>
    <x v="2"/>
    <s v="Brian DeCherney"/>
    <x v="0"/>
    <s v="United States"/>
    <s v="San Francisco"/>
    <s v="California"/>
    <s v="West"/>
    <x v="0"/>
    <x v="1"/>
    <s v="Global Value Mid-Back Manager's Chair, Gray"/>
    <x v="960"/>
    <n v="4"/>
    <n v="0.2"/>
    <n v="12.178000000000001"/>
  </r>
  <r>
    <n v="1069"/>
    <x v="394"/>
    <x v="3"/>
    <x v="8"/>
    <d v="2014-10-01T00:00:00"/>
    <n v="2"/>
    <x v="0"/>
    <s v="Charles McCrossin"/>
    <x v="0"/>
    <s v="United States"/>
    <s v="Brownsville"/>
    <s v="Texas"/>
    <s v="Central"/>
    <x v="1"/>
    <x v="14"/>
    <s v="Staples"/>
    <x v="961"/>
    <n v="1"/>
    <n v="0.2"/>
    <n v="-0.3488"/>
  </r>
  <r>
    <n v="1070"/>
    <x v="395"/>
    <x v="1"/>
    <x v="7"/>
    <d v="2012-07-29T00:00:00"/>
    <n v="4"/>
    <x v="1"/>
    <s v="Ross Baird"/>
    <x v="2"/>
    <s v="United States"/>
    <s v="Philadelphia"/>
    <s v="Pennsylvania"/>
    <s v="East"/>
    <x v="1"/>
    <x v="8"/>
    <s v="GBC Premium Transparent Covers with Diagonal Lined Pattern"/>
    <x v="962"/>
    <n v="4"/>
    <n v="0.7"/>
    <n v="-18.462399999999999"/>
  </r>
  <r>
    <n v="1071"/>
    <x v="312"/>
    <x v="1"/>
    <x v="0"/>
    <d v="2012-11-26T00:00:00"/>
    <n v="6"/>
    <x v="1"/>
    <s v="Skye Norling"/>
    <x v="2"/>
    <s v="United States"/>
    <s v="Los Angeles"/>
    <s v="California"/>
    <s v="West"/>
    <x v="1"/>
    <x v="6"/>
    <s v="Newell 333"/>
    <x v="21"/>
    <n v="7"/>
    <n v="0"/>
    <n v="5.0595999999999997"/>
  </r>
  <r>
    <n v="1072"/>
    <x v="236"/>
    <x v="0"/>
    <x v="3"/>
    <d v="2013-05-03T00:00:00"/>
    <n v="4"/>
    <x v="1"/>
    <s v="Erica Hernandez"/>
    <x v="2"/>
    <s v="United States"/>
    <s v="Denver"/>
    <s v="Colorado"/>
    <s v="West"/>
    <x v="1"/>
    <x v="10"/>
    <s v="Xerox 1881"/>
    <x v="34"/>
    <n v="3"/>
    <n v="0.2"/>
    <n v="9.9467999999999996"/>
  </r>
  <r>
    <n v="1073"/>
    <x v="237"/>
    <x v="3"/>
    <x v="0"/>
    <d v="2014-11-20T00:00:00"/>
    <n v="5"/>
    <x v="1"/>
    <s v="Frank Olsen"/>
    <x v="0"/>
    <s v="United States"/>
    <s v="New York City"/>
    <s v="New York"/>
    <s v="East"/>
    <x v="1"/>
    <x v="8"/>
    <s v="3M Organizer Strips"/>
    <x v="874"/>
    <n v="2"/>
    <n v="0.2"/>
    <n v="3.024"/>
  </r>
  <r>
    <n v="1074"/>
    <x v="396"/>
    <x v="0"/>
    <x v="0"/>
    <d v="2013-11-20T00:00:00"/>
    <n v="7"/>
    <x v="1"/>
    <s v="Maurice Satty"/>
    <x v="0"/>
    <s v="United States"/>
    <s v="Mesa"/>
    <s v="Arizona"/>
    <s v="West"/>
    <x v="1"/>
    <x v="8"/>
    <s v="Avery Durable Slant Ring Binders With Label Holder"/>
    <x v="963"/>
    <n v="5"/>
    <n v="0.7"/>
    <n v="-4.5979999999999999"/>
  </r>
  <r>
    <n v="1075"/>
    <x v="396"/>
    <x v="0"/>
    <x v="0"/>
    <d v="2013-11-20T00:00:00"/>
    <n v="7"/>
    <x v="1"/>
    <s v="Maurice Satty"/>
    <x v="0"/>
    <s v="United States"/>
    <s v="Mesa"/>
    <s v="Arizona"/>
    <s v="West"/>
    <x v="1"/>
    <x v="8"/>
    <s v="Round Ring Binders"/>
    <x v="964"/>
    <n v="7"/>
    <n v="0.7"/>
    <n v="-3.3488000000000002"/>
  </r>
  <r>
    <n v="1076"/>
    <x v="396"/>
    <x v="0"/>
    <x v="0"/>
    <d v="2013-11-20T00:00:00"/>
    <n v="7"/>
    <x v="1"/>
    <s v="Maurice Satty"/>
    <x v="0"/>
    <s v="United States"/>
    <s v="Mesa"/>
    <s v="Arizona"/>
    <s v="West"/>
    <x v="2"/>
    <x v="11"/>
    <s v="Micropad Numeric Keypads"/>
    <x v="236"/>
    <n v="2"/>
    <n v="0.2"/>
    <n v="1.9990000000000001"/>
  </r>
  <r>
    <n v="1077"/>
    <x v="321"/>
    <x v="0"/>
    <x v="8"/>
    <d v="2013-10-01T00:00:00"/>
    <n v="1"/>
    <x v="2"/>
    <s v="Chad Cunningham"/>
    <x v="2"/>
    <s v="United States"/>
    <s v="Columbus"/>
    <s v="Indiana"/>
    <s v="Central"/>
    <x v="1"/>
    <x v="6"/>
    <s v="Newell 328"/>
    <x v="965"/>
    <n v="7"/>
    <n v="0"/>
    <n v="10.6288"/>
  </r>
  <r>
    <n v="1078"/>
    <x v="397"/>
    <x v="3"/>
    <x v="8"/>
    <d v="2014-09-26T00:00:00"/>
    <n v="2"/>
    <x v="0"/>
    <s v="Don Weiss"/>
    <x v="0"/>
    <s v="United States"/>
    <s v="Seattle"/>
    <s v="Washington"/>
    <s v="West"/>
    <x v="1"/>
    <x v="9"/>
    <s v="Belkin 8 Outlet SurgeMaster II Gold Surge Protector"/>
    <x v="664"/>
    <n v="2"/>
    <n v="0"/>
    <n v="33.588799999999999"/>
  </r>
  <r>
    <n v="1079"/>
    <x v="397"/>
    <x v="3"/>
    <x v="8"/>
    <d v="2014-09-26T00:00:00"/>
    <n v="2"/>
    <x v="0"/>
    <s v="Don Weiss"/>
    <x v="0"/>
    <s v="United States"/>
    <s v="Seattle"/>
    <s v="Washington"/>
    <s v="West"/>
    <x v="1"/>
    <x v="4"/>
    <s v="Sterilite Officeware Hinged File Box"/>
    <x v="966"/>
    <n v="3"/>
    <n v="0"/>
    <n v="8.4887999999999995"/>
  </r>
  <r>
    <n v="1080"/>
    <x v="397"/>
    <x v="3"/>
    <x v="8"/>
    <d v="2014-09-26T00:00:00"/>
    <n v="2"/>
    <x v="0"/>
    <s v="Don Weiss"/>
    <x v="0"/>
    <s v="United States"/>
    <s v="Seattle"/>
    <s v="Washington"/>
    <s v="West"/>
    <x v="1"/>
    <x v="8"/>
    <s v="Avery Printable Repositionable Plastic Tabs"/>
    <x v="967"/>
    <n v="1"/>
    <n v="0.2"/>
    <n v="2.3220000000000001"/>
  </r>
  <r>
    <n v="1081"/>
    <x v="239"/>
    <x v="1"/>
    <x v="0"/>
    <d v="2012-12-04T00:00:00"/>
    <n v="5"/>
    <x v="1"/>
    <s v="Bill Tyler"/>
    <x v="1"/>
    <s v="United States"/>
    <s v="Detroit"/>
    <s v="Michigan"/>
    <s v="Central"/>
    <x v="1"/>
    <x v="10"/>
    <s v="Staples"/>
    <x v="544"/>
    <n v="4"/>
    <n v="0"/>
    <n v="9.3623999999999992"/>
  </r>
  <r>
    <n v="1082"/>
    <x v="239"/>
    <x v="1"/>
    <x v="0"/>
    <d v="2012-12-04T00:00:00"/>
    <n v="5"/>
    <x v="1"/>
    <s v="Bill Tyler"/>
    <x v="1"/>
    <s v="United States"/>
    <s v="Detroit"/>
    <s v="Michigan"/>
    <s v="Central"/>
    <x v="0"/>
    <x v="1"/>
    <s v="Global High-Back Leather Tilter, Burgundy"/>
    <x v="968"/>
    <n v="9"/>
    <n v="0"/>
    <n v="121.76009999999999"/>
  </r>
  <r>
    <n v="1083"/>
    <x v="398"/>
    <x v="0"/>
    <x v="10"/>
    <d v="2013-03-06T00:00:00"/>
    <n v="4"/>
    <x v="1"/>
    <s v="Karen Daniels"/>
    <x v="0"/>
    <s v="United States"/>
    <s v="Yonkers"/>
    <s v="New York"/>
    <s v="East"/>
    <x v="0"/>
    <x v="3"/>
    <s v="Chromcraft Round Conference Tables"/>
    <x v="969"/>
    <n v="8"/>
    <n v="0.4"/>
    <n v="-264.92079999999999"/>
  </r>
  <r>
    <n v="1084"/>
    <x v="398"/>
    <x v="0"/>
    <x v="10"/>
    <d v="2013-03-06T00:00:00"/>
    <n v="4"/>
    <x v="1"/>
    <s v="Karen Daniels"/>
    <x v="0"/>
    <s v="United States"/>
    <s v="Yonkers"/>
    <s v="New York"/>
    <s v="East"/>
    <x v="1"/>
    <x v="10"/>
    <s v="Staples"/>
    <x v="970"/>
    <n v="1"/>
    <n v="0"/>
    <n v="12.1348"/>
  </r>
  <r>
    <n v="1085"/>
    <x v="398"/>
    <x v="0"/>
    <x v="10"/>
    <d v="2013-03-06T00:00:00"/>
    <n v="4"/>
    <x v="1"/>
    <s v="Karen Daniels"/>
    <x v="0"/>
    <s v="United States"/>
    <s v="Yonkers"/>
    <s v="New York"/>
    <s v="East"/>
    <x v="1"/>
    <x v="4"/>
    <s v="Adjustable Depth Letter/Legal Cart"/>
    <x v="971"/>
    <n v="2"/>
    <n v="0"/>
    <n v="105.24679999999999"/>
  </r>
  <r>
    <n v="1086"/>
    <x v="398"/>
    <x v="0"/>
    <x v="10"/>
    <d v="2013-03-06T00:00:00"/>
    <n v="4"/>
    <x v="1"/>
    <s v="Karen Daniels"/>
    <x v="0"/>
    <s v="United States"/>
    <s v="Yonkers"/>
    <s v="New York"/>
    <s v="East"/>
    <x v="2"/>
    <x v="15"/>
    <s v="Ativa V4110MDD Micro-Cut Shredder"/>
    <x v="972"/>
    <n v="7"/>
    <n v="0"/>
    <n v="2400.9657000000002"/>
  </r>
  <r>
    <n v="1087"/>
    <x v="399"/>
    <x v="0"/>
    <x v="6"/>
    <d v="2013-08-13T00:00:00"/>
    <n v="0"/>
    <x v="3"/>
    <s v="Lena Cacioppo"/>
    <x v="0"/>
    <s v="United States"/>
    <s v="Des Moines"/>
    <s v="Iowa"/>
    <s v="Central"/>
    <x v="1"/>
    <x v="10"/>
    <s v="Xerox 224"/>
    <x v="90"/>
    <n v="1"/>
    <n v="0"/>
    <n v="3.1103999999999998"/>
  </r>
  <r>
    <n v="1088"/>
    <x v="243"/>
    <x v="0"/>
    <x v="6"/>
    <d v="2013-08-21T00:00:00"/>
    <n v="5"/>
    <x v="0"/>
    <s v="Craig Yedwab"/>
    <x v="1"/>
    <s v="United States"/>
    <s v="Oakland"/>
    <s v="California"/>
    <s v="West"/>
    <x v="2"/>
    <x v="7"/>
    <s v="Nokia Lumia 521 (T-Mobile)"/>
    <x v="973"/>
    <n v="3"/>
    <n v="0.2"/>
    <n v="7.1976000000000004"/>
  </r>
  <r>
    <n v="1089"/>
    <x v="243"/>
    <x v="0"/>
    <x v="6"/>
    <d v="2013-08-21T00:00:00"/>
    <n v="5"/>
    <x v="0"/>
    <s v="Craig Yedwab"/>
    <x v="1"/>
    <s v="United States"/>
    <s v="Oakland"/>
    <s v="California"/>
    <s v="West"/>
    <x v="1"/>
    <x v="2"/>
    <s v="Avery 488"/>
    <x v="974"/>
    <n v="1"/>
    <n v="0"/>
    <n v="1.512"/>
  </r>
  <r>
    <n v="1090"/>
    <x v="400"/>
    <x v="3"/>
    <x v="1"/>
    <d v="2014-06-11T00:00:00"/>
    <n v="6"/>
    <x v="1"/>
    <s v="Lindsay Williams"/>
    <x v="1"/>
    <s v="United States"/>
    <s v="Monroe"/>
    <s v="North Carolina"/>
    <s v="South"/>
    <x v="0"/>
    <x v="5"/>
    <s v="Telescoping Adjustable Floor Lamp"/>
    <x v="236"/>
    <n v="2"/>
    <n v="0.2"/>
    <n v="1.9990000000000001"/>
  </r>
  <r>
    <n v="1091"/>
    <x v="400"/>
    <x v="3"/>
    <x v="1"/>
    <d v="2014-06-11T00:00:00"/>
    <n v="6"/>
    <x v="1"/>
    <s v="Lindsay Williams"/>
    <x v="1"/>
    <s v="United States"/>
    <s v="Monroe"/>
    <s v="North Carolina"/>
    <s v="South"/>
    <x v="2"/>
    <x v="7"/>
    <s v="Innergie mMini Combo Duo USB Travel Charging Kit"/>
    <x v="975"/>
    <n v="2"/>
    <n v="0.2"/>
    <n v="25.194400000000002"/>
  </r>
  <r>
    <n v="1092"/>
    <x v="401"/>
    <x v="1"/>
    <x v="4"/>
    <d v="2012-12-13T00:00:00"/>
    <n v="7"/>
    <x v="1"/>
    <s v="Naresj Patel"/>
    <x v="0"/>
    <s v="United States"/>
    <s v="San Diego"/>
    <s v="California"/>
    <s v="West"/>
    <x v="1"/>
    <x v="6"/>
    <s v="Stanley Contemporary Battery Pencil Sharpeners"/>
    <x v="976"/>
    <n v="9"/>
    <n v="0"/>
    <n v="33.642000000000003"/>
  </r>
  <r>
    <n v="1093"/>
    <x v="401"/>
    <x v="1"/>
    <x v="4"/>
    <d v="2012-12-13T00:00:00"/>
    <n v="7"/>
    <x v="1"/>
    <s v="Naresj Patel"/>
    <x v="0"/>
    <s v="United States"/>
    <s v="San Diego"/>
    <s v="California"/>
    <s v="West"/>
    <x v="2"/>
    <x v="7"/>
    <s v="AT&amp;T 1080 Corded phone"/>
    <x v="977"/>
    <n v="2"/>
    <n v="0.2"/>
    <n v="19.178599999999999"/>
  </r>
  <r>
    <n v="1094"/>
    <x v="17"/>
    <x v="1"/>
    <x v="4"/>
    <d v="2012-12-31T00:00:00"/>
    <n v="4"/>
    <x v="1"/>
    <s v="Brad Thomas"/>
    <x v="2"/>
    <s v="United States"/>
    <s v="Clinton"/>
    <s v="Maryland"/>
    <s v="East"/>
    <x v="1"/>
    <x v="10"/>
    <s v="Xerox 1950"/>
    <x v="978"/>
    <n v="5"/>
    <n v="0"/>
    <n v="14.161"/>
  </r>
  <r>
    <n v="1095"/>
    <x v="17"/>
    <x v="1"/>
    <x v="4"/>
    <d v="2012-12-31T00:00:00"/>
    <n v="4"/>
    <x v="1"/>
    <s v="Brad Thomas"/>
    <x v="2"/>
    <s v="United States"/>
    <s v="Clinton"/>
    <s v="Maryland"/>
    <s v="East"/>
    <x v="1"/>
    <x v="9"/>
    <s v="Kensington 7 Outlet MasterPiece Power Center"/>
    <x v="979"/>
    <n v="2"/>
    <n v="0"/>
    <n v="103.22839999999999"/>
  </r>
  <r>
    <n v="1096"/>
    <x v="276"/>
    <x v="3"/>
    <x v="9"/>
    <d v="2014-01-27T00:00:00"/>
    <n v="5"/>
    <x v="1"/>
    <s v="Penelope Sewall"/>
    <x v="2"/>
    <s v="United States"/>
    <s v="Charlotte"/>
    <s v="North Carolina"/>
    <s v="South"/>
    <x v="1"/>
    <x v="4"/>
    <s v="Fellowes Mobile File Cart, Black"/>
    <x v="980"/>
    <n v="7"/>
    <n v="0.2"/>
    <n v="30.4682"/>
  </r>
  <r>
    <n v="1097"/>
    <x v="276"/>
    <x v="3"/>
    <x v="9"/>
    <d v="2014-01-27T00:00:00"/>
    <n v="5"/>
    <x v="1"/>
    <s v="Penelope Sewall"/>
    <x v="2"/>
    <s v="United States"/>
    <s v="Charlotte"/>
    <s v="North Carolina"/>
    <s v="South"/>
    <x v="1"/>
    <x v="8"/>
    <s v="GBC Recycled VeloBinder Covers"/>
    <x v="981"/>
    <n v="7"/>
    <n v="0.7"/>
    <n v="-28.627199999999998"/>
  </r>
  <r>
    <n v="1098"/>
    <x v="402"/>
    <x v="2"/>
    <x v="1"/>
    <d v="2011-06-28T00:00:00"/>
    <n v="3"/>
    <x v="2"/>
    <s v="Noel Staavos"/>
    <x v="1"/>
    <s v="United States"/>
    <s v="Los Angeles"/>
    <s v="California"/>
    <s v="West"/>
    <x v="0"/>
    <x v="3"/>
    <s v="Hon 4060 Series Tables"/>
    <x v="982"/>
    <n v="5"/>
    <n v="0.2"/>
    <n v="11.196"/>
  </r>
  <r>
    <n v="1099"/>
    <x v="403"/>
    <x v="0"/>
    <x v="1"/>
    <d v="2013-06-18T00:00:00"/>
    <n v="3"/>
    <x v="2"/>
    <s v="Paul Van Hugh"/>
    <x v="2"/>
    <s v="United States"/>
    <s v="San Francisco"/>
    <s v="California"/>
    <s v="West"/>
    <x v="1"/>
    <x v="6"/>
    <s v="Newell 326"/>
    <x v="983"/>
    <n v="4"/>
    <n v="0"/>
    <n v="2.0415999999999999"/>
  </r>
  <r>
    <n v="1100"/>
    <x v="403"/>
    <x v="0"/>
    <x v="1"/>
    <d v="2013-06-18T00:00:00"/>
    <n v="3"/>
    <x v="2"/>
    <s v="Paul Van Hugh"/>
    <x v="2"/>
    <s v="United States"/>
    <s v="San Francisco"/>
    <s v="California"/>
    <s v="West"/>
    <x v="0"/>
    <x v="5"/>
    <s v="GE General Purpose, Extra Long Life, Showcase &amp; Floodlight Incandescent Bulbs"/>
    <x v="984"/>
    <n v="3"/>
    <n v="0"/>
    <n v="4.1031000000000004"/>
  </r>
  <r>
    <n v="1101"/>
    <x v="403"/>
    <x v="0"/>
    <x v="1"/>
    <d v="2013-06-18T00:00:00"/>
    <n v="3"/>
    <x v="2"/>
    <s v="Paul Van Hugh"/>
    <x v="2"/>
    <s v="United States"/>
    <s v="San Francisco"/>
    <s v="California"/>
    <s v="West"/>
    <x v="2"/>
    <x v="11"/>
    <s v="Logitech ClearChat Comfort/USB Headset H390"/>
    <x v="985"/>
    <n v="1"/>
    <n v="0"/>
    <n v="9.6656999999999993"/>
  </r>
  <r>
    <n v="1102"/>
    <x v="403"/>
    <x v="0"/>
    <x v="1"/>
    <d v="2013-06-18T00:00:00"/>
    <n v="3"/>
    <x v="2"/>
    <s v="Paul Van Hugh"/>
    <x v="2"/>
    <s v="United States"/>
    <s v="San Francisco"/>
    <s v="California"/>
    <s v="West"/>
    <x v="1"/>
    <x v="6"/>
    <s v="Newell 346"/>
    <x v="874"/>
    <n v="3"/>
    <n v="0"/>
    <n v="2.5055999999999998"/>
  </r>
  <r>
    <n v="1103"/>
    <x v="81"/>
    <x v="3"/>
    <x v="3"/>
    <d v="2014-04-28T00:00:00"/>
    <n v="6"/>
    <x v="1"/>
    <s v="Resi Pölking"/>
    <x v="0"/>
    <s v="United States"/>
    <s v="Houston"/>
    <s v="Texas"/>
    <s v="Central"/>
    <x v="1"/>
    <x v="8"/>
    <s v="Avery Non-Stick Binders"/>
    <x v="986"/>
    <n v="3"/>
    <n v="0.8"/>
    <n v="-4.7145000000000001"/>
  </r>
  <r>
    <n v="1104"/>
    <x v="81"/>
    <x v="3"/>
    <x v="3"/>
    <d v="2014-04-28T00:00:00"/>
    <n v="6"/>
    <x v="1"/>
    <s v="Resi Pölking"/>
    <x v="0"/>
    <s v="United States"/>
    <s v="Houston"/>
    <s v="Texas"/>
    <s v="Central"/>
    <x v="1"/>
    <x v="8"/>
    <s v="UniKeep View Case Binders"/>
    <x v="987"/>
    <n v="3"/>
    <n v="0.8"/>
    <n v="-4.9878"/>
  </r>
  <r>
    <n v="1105"/>
    <x v="147"/>
    <x v="0"/>
    <x v="2"/>
    <d v="2013-10-28T00:00:00"/>
    <n v="6"/>
    <x v="1"/>
    <s v="Neoma Murray"/>
    <x v="0"/>
    <s v="United States"/>
    <s v="Riverside"/>
    <s v="California"/>
    <s v="West"/>
    <x v="1"/>
    <x v="10"/>
    <s v="Rediform Wirebound &quot;Phone Memo&quot; Message Book, 11 x 5-3/4"/>
    <x v="988"/>
    <n v="3"/>
    <n v="0"/>
    <n v="11.2308"/>
  </r>
  <r>
    <n v="1106"/>
    <x v="258"/>
    <x v="0"/>
    <x v="0"/>
    <d v="2013-11-25T00:00:00"/>
    <n v="5"/>
    <x v="1"/>
    <s v="Eric Hoffmann"/>
    <x v="0"/>
    <s v="United States"/>
    <s v="Houston"/>
    <s v="Texas"/>
    <s v="Central"/>
    <x v="1"/>
    <x v="4"/>
    <s v="Tennsco Lockers, Gray"/>
    <x v="989"/>
    <n v="6"/>
    <n v="0.2"/>
    <n v="-16.3644"/>
  </r>
  <r>
    <n v="1107"/>
    <x v="258"/>
    <x v="0"/>
    <x v="0"/>
    <d v="2013-11-25T00:00:00"/>
    <n v="5"/>
    <x v="1"/>
    <s v="Eric Hoffmann"/>
    <x v="0"/>
    <s v="United States"/>
    <s v="Houston"/>
    <s v="Texas"/>
    <s v="Central"/>
    <x v="0"/>
    <x v="5"/>
    <s v="GE General Purpose, Extra Long Life, Showcase &amp; Floodlight Incandescent Bulbs"/>
    <x v="990"/>
    <n v="2"/>
    <n v="0.6"/>
    <n v="-0.75660000000000005"/>
  </r>
  <r>
    <n v="1108"/>
    <x v="258"/>
    <x v="0"/>
    <x v="0"/>
    <d v="2013-11-25T00:00:00"/>
    <n v="5"/>
    <x v="1"/>
    <s v="Eric Hoffmann"/>
    <x v="0"/>
    <s v="United States"/>
    <s v="Houston"/>
    <s v="Texas"/>
    <s v="Central"/>
    <x v="1"/>
    <x v="8"/>
    <s v="GBC Standard Recycled Report Covers, Clear Plastic Sheets"/>
    <x v="991"/>
    <n v="5"/>
    <n v="0.8"/>
    <n v="-17.248000000000001"/>
  </r>
  <r>
    <n v="1109"/>
    <x v="258"/>
    <x v="0"/>
    <x v="0"/>
    <d v="2013-11-25T00:00:00"/>
    <n v="5"/>
    <x v="1"/>
    <s v="Eric Hoffmann"/>
    <x v="0"/>
    <s v="United States"/>
    <s v="Houston"/>
    <s v="Texas"/>
    <s v="Central"/>
    <x v="1"/>
    <x v="13"/>
    <s v="Staples"/>
    <x v="992"/>
    <n v="12"/>
    <n v="0.2"/>
    <n v="21.888000000000002"/>
  </r>
  <r>
    <n v="1110"/>
    <x v="258"/>
    <x v="0"/>
    <x v="0"/>
    <d v="2013-11-25T00:00:00"/>
    <n v="5"/>
    <x v="1"/>
    <s v="Eric Hoffmann"/>
    <x v="0"/>
    <s v="United States"/>
    <s v="Houston"/>
    <s v="Texas"/>
    <s v="Central"/>
    <x v="1"/>
    <x v="12"/>
    <s v="Recycled Interoffice Envelopes with Re-Use-A-Seal Closure, 10 x 13"/>
    <x v="993"/>
    <n v="3"/>
    <n v="0.2"/>
    <n v="13.826700000000001"/>
  </r>
  <r>
    <n v="1111"/>
    <x v="258"/>
    <x v="0"/>
    <x v="0"/>
    <d v="2013-11-25T00:00:00"/>
    <n v="5"/>
    <x v="1"/>
    <s v="Eric Hoffmann"/>
    <x v="0"/>
    <s v="United States"/>
    <s v="Houston"/>
    <s v="Texas"/>
    <s v="Central"/>
    <x v="2"/>
    <x v="7"/>
    <s v="invisibleSHIELD by ZAGG Smudge-Free Screen Protector"/>
    <x v="994"/>
    <n v="5"/>
    <n v="0.2"/>
    <n v="25.186"/>
  </r>
  <r>
    <n v="1112"/>
    <x v="258"/>
    <x v="0"/>
    <x v="0"/>
    <d v="2013-11-25T00:00:00"/>
    <n v="5"/>
    <x v="1"/>
    <s v="Eric Hoffmann"/>
    <x v="0"/>
    <s v="United States"/>
    <s v="Houston"/>
    <s v="Texas"/>
    <s v="Central"/>
    <x v="1"/>
    <x v="10"/>
    <s v="Xerox 1905"/>
    <x v="559"/>
    <n v="2"/>
    <n v="0.2"/>
    <n v="3.6288"/>
  </r>
  <r>
    <n v="1113"/>
    <x v="258"/>
    <x v="0"/>
    <x v="0"/>
    <d v="2013-11-25T00:00:00"/>
    <n v="5"/>
    <x v="1"/>
    <s v="Eric Hoffmann"/>
    <x v="0"/>
    <s v="United States"/>
    <s v="Houston"/>
    <s v="Texas"/>
    <s v="Central"/>
    <x v="1"/>
    <x v="8"/>
    <s v="Avery Hidden Tab Dividers for Binding Systems"/>
    <x v="995"/>
    <n v="2"/>
    <n v="0.8"/>
    <n v="-2.0264000000000002"/>
  </r>
  <r>
    <n v="1114"/>
    <x v="404"/>
    <x v="3"/>
    <x v="4"/>
    <d v="2014-12-24T00:00:00"/>
    <n v="5"/>
    <x v="0"/>
    <s v="Russell Applegate"/>
    <x v="0"/>
    <s v="United States"/>
    <s v="Encinitas"/>
    <s v="California"/>
    <s v="West"/>
    <x v="1"/>
    <x v="8"/>
    <s v="Binding Machine Supplies"/>
    <x v="996"/>
    <n v="2"/>
    <n v="0.2"/>
    <n v="16.3352"/>
  </r>
  <r>
    <n v="1115"/>
    <x v="404"/>
    <x v="3"/>
    <x v="4"/>
    <d v="2014-12-24T00:00:00"/>
    <n v="5"/>
    <x v="0"/>
    <s v="Russell Applegate"/>
    <x v="0"/>
    <s v="United States"/>
    <s v="Encinitas"/>
    <s v="California"/>
    <s v="West"/>
    <x v="0"/>
    <x v="0"/>
    <s v="Bush Saratoga Collection 5-Shelf Bookcase, Hanover Cherry, *Special Order"/>
    <x v="997"/>
    <n v="1"/>
    <n v="0.15"/>
    <n v="-12.6882"/>
  </r>
  <r>
    <n v="1116"/>
    <x v="404"/>
    <x v="3"/>
    <x v="4"/>
    <d v="2014-12-24T00:00:00"/>
    <n v="5"/>
    <x v="0"/>
    <s v="Russell Applegate"/>
    <x v="0"/>
    <s v="United States"/>
    <s v="Encinitas"/>
    <s v="California"/>
    <s v="West"/>
    <x v="2"/>
    <x v="11"/>
    <s v="Logitech Illuminated - Keyboard"/>
    <x v="998"/>
    <n v="2"/>
    <n v="0"/>
    <n v="57.590400000000002"/>
  </r>
  <r>
    <n v="1117"/>
    <x v="405"/>
    <x v="0"/>
    <x v="7"/>
    <d v="2013-07-25T00:00:00"/>
    <n v="2"/>
    <x v="0"/>
    <s v="Dionis Lloyd"/>
    <x v="1"/>
    <s v="United States"/>
    <s v="San Francisco"/>
    <s v="California"/>
    <s v="West"/>
    <x v="1"/>
    <x v="2"/>
    <s v="Self-Adhesive Removable Labels"/>
    <x v="685"/>
    <n v="2"/>
    <n v="0"/>
    <n v="3.024"/>
  </r>
  <r>
    <n v="1118"/>
    <x v="406"/>
    <x v="1"/>
    <x v="8"/>
    <d v="2012-09-08T00:00:00"/>
    <n v="4"/>
    <x v="1"/>
    <s v="Christine Sundaresam"/>
    <x v="0"/>
    <s v="United States"/>
    <s v="Roswell"/>
    <s v="Georgia"/>
    <s v="South"/>
    <x v="1"/>
    <x v="10"/>
    <s v="Xerox 1908"/>
    <x v="999"/>
    <n v="5"/>
    <n v="0"/>
    <n v="137.15100000000001"/>
  </r>
  <r>
    <n v="1119"/>
    <x v="406"/>
    <x v="1"/>
    <x v="8"/>
    <d v="2012-09-08T00:00:00"/>
    <n v="4"/>
    <x v="1"/>
    <s v="Christine Sundaresam"/>
    <x v="0"/>
    <s v="United States"/>
    <s v="Roswell"/>
    <s v="Georgia"/>
    <s v="South"/>
    <x v="2"/>
    <x v="11"/>
    <s v="Logitech G19 Programmable Gaming Keyboard"/>
    <x v="1000"/>
    <n v="5"/>
    <n v="0"/>
    <n v="111.59099999999999"/>
  </r>
  <r>
    <n v="1120"/>
    <x v="406"/>
    <x v="1"/>
    <x v="8"/>
    <d v="2012-09-08T00:00:00"/>
    <n v="4"/>
    <x v="1"/>
    <s v="Christine Sundaresam"/>
    <x v="0"/>
    <s v="United States"/>
    <s v="Roswell"/>
    <s v="Georgia"/>
    <s v="South"/>
    <x v="1"/>
    <x v="10"/>
    <s v="Ampad Evidence Wirebond Steno Books, 6&quot; x 9&quot;"/>
    <x v="1001"/>
    <n v="2"/>
    <n v="0"/>
    <n v="2.0491999999999999"/>
  </r>
  <r>
    <n v="1121"/>
    <x v="406"/>
    <x v="1"/>
    <x v="8"/>
    <d v="2012-09-08T00:00:00"/>
    <n v="4"/>
    <x v="1"/>
    <s v="Christine Sundaresam"/>
    <x v="0"/>
    <s v="United States"/>
    <s v="Roswell"/>
    <s v="Georgia"/>
    <s v="South"/>
    <x v="1"/>
    <x v="12"/>
    <s v="Security-Tint Envelopes"/>
    <x v="764"/>
    <n v="2"/>
    <n v="0"/>
    <n v="7.4871999999999996"/>
  </r>
  <r>
    <n v="1122"/>
    <x v="407"/>
    <x v="2"/>
    <x v="9"/>
    <d v="2011-01-27T00:00:00"/>
    <n v="6"/>
    <x v="1"/>
    <s v="Hunter Lopez"/>
    <x v="0"/>
    <s v="United States"/>
    <s v="Jonesboro"/>
    <s v="Arkansas"/>
    <s v="South"/>
    <x v="2"/>
    <x v="7"/>
    <s v="Apple iPhone 5C"/>
    <x v="1002"/>
    <n v="7"/>
    <n v="0"/>
    <n v="181.98179999999999"/>
  </r>
  <r>
    <n v="1123"/>
    <x v="407"/>
    <x v="2"/>
    <x v="9"/>
    <d v="2011-01-27T00:00:00"/>
    <n v="6"/>
    <x v="1"/>
    <s v="Hunter Lopez"/>
    <x v="0"/>
    <s v="United States"/>
    <s v="Jonesboro"/>
    <s v="Arkansas"/>
    <s v="South"/>
    <x v="1"/>
    <x v="6"/>
    <s v="Newell 351"/>
    <x v="1003"/>
    <n v="7"/>
    <n v="0"/>
    <n v="6.6584000000000003"/>
  </r>
  <r>
    <n v="1124"/>
    <x v="407"/>
    <x v="2"/>
    <x v="9"/>
    <d v="2011-01-27T00:00:00"/>
    <n v="6"/>
    <x v="1"/>
    <s v="Hunter Lopez"/>
    <x v="0"/>
    <s v="United States"/>
    <s v="Jonesboro"/>
    <s v="Arkansas"/>
    <s v="South"/>
    <x v="0"/>
    <x v="5"/>
    <s v="Eldon Expressions Desk Accessory, Wood Pencil Holder, Oak"/>
    <x v="1004"/>
    <n v="4"/>
    <n v="0"/>
    <n v="11.58"/>
  </r>
  <r>
    <n v="1125"/>
    <x v="407"/>
    <x v="2"/>
    <x v="9"/>
    <d v="2011-01-27T00:00:00"/>
    <n v="6"/>
    <x v="1"/>
    <s v="Hunter Lopez"/>
    <x v="0"/>
    <s v="United States"/>
    <s v="Jonesboro"/>
    <s v="Arkansas"/>
    <s v="South"/>
    <x v="1"/>
    <x v="6"/>
    <s v="Newell 327"/>
    <x v="153"/>
    <n v="3"/>
    <n v="0"/>
    <n v="1.7901"/>
  </r>
  <r>
    <n v="1126"/>
    <x v="407"/>
    <x v="2"/>
    <x v="9"/>
    <d v="2011-01-27T00:00:00"/>
    <n v="6"/>
    <x v="1"/>
    <s v="Hunter Lopez"/>
    <x v="0"/>
    <s v="United States"/>
    <s v="Jonesboro"/>
    <s v="Arkansas"/>
    <s v="South"/>
    <x v="1"/>
    <x v="12"/>
    <s v="Staples"/>
    <x v="1005"/>
    <n v="3"/>
    <n v="0"/>
    <n v="10.969799999999999"/>
  </r>
  <r>
    <n v="1127"/>
    <x v="407"/>
    <x v="2"/>
    <x v="9"/>
    <d v="2011-01-27T00:00:00"/>
    <n v="6"/>
    <x v="1"/>
    <s v="Hunter Lopez"/>
    <x v="0"/>
    <s v="United States"/>
    <s v="Jonesboro"/>
    <s v="Arkansas"/>
    <s v="South"/>
    <x v="0"/>
    <x v="1"/>
    <s v="Hon 4700 Series Mobuis Mid-Back Task Chairs with Adjustable Arms"/>
    <x v="1006"/>
    <n v="3"/>
    <n v="0"/>
    <n v="224.26740000000001"/>
  </r>
  <r>
    <n v="1128"/>
    <x v="56"/>
    <x v="1"/>
    <x v="10"/>
    <d v="2012-03-07T00:00:00"/>
    <n v="5"/>
    <x v="1"/>
    <s v="Pete Armstrong"/>
    <x v="2"/>
    <s v="United States"/>
    <s v="Richmond"/>
    <s v="Indiana"/>
    <s v="Central"/>
    <x v="1"/>
    <x v="6"/>
    <s v="50 Colored Long Pencils"/>
    <x v="1007"/>
    <n v="1"/>
    <n v="0"/>
    <n v="2.6415999999999999"/>
  </r>
  <r>
    <n v="1129"/>
    <x v="56"/>
    <x v="1"/>
    <x v="10"/>
    <d v="2012-03-07T00:00:00"/>
    <n v="5"/>
    <x v="1"/>
    <s v="Pete Armstrong"/>
    <x v="2"/>
    <s v="United States"/>
    <s v="Richmond"/>
    <s v="Indiana"/>
    <s v="Central"/>
    <x v="1"/>
    <x v="12"/>
    <s v="Brown Kraft Recycled Envelopes"/>
    <x v="1008"/>
    <n v="6"/>
    <n v="0"/>
    <n v="50.94"/>
  </r>
  <r>
    <n v="1130"/>
    <x v="408"/>
    <x v="0"/>
    <x v="3"/>
    <d v="2013-04-17T00:00:00"/>
    <n v="4"/>
    <x v="1"/>
    <s v="Brian Dahlen"/>
    <x v="0"/>
    <s v="United States"/>
    <s v="Springfield"/>
    <s v="Virginia"/>
    <s v="South"/>
    <x v="0"/>
    <x v="3"/>
    <s v="KI Adjustable-Height Table"/>
    <x v="1009"/>
    <n v="4"/>
    <n v="0"/>
    <n v="75.662400000000005"/>
  </r>
  <r>
    <n v="1131"/>
    <x v="408"/>
    <x v="0"/>
    <x v="3"/>
    <d v="2013-04-17T00:00:00"/>
    <n v="4"/>
    <x v="1"/>
    <s v="Brian Dahlen"/>
    <x v="0"/>
    <s v="United States"/>
    <s v="Springfield"/>
    <s v="Virginia"/>
    <s v="South"/>
    <x v="1"/>
    <x v="10"/>
    <s v="Xerox 1945"/>
    <x v="1010"/>
    <n v="1"/>
    <n v="0"/>
    <n v="20.085100000000001"/>
  </r>
  <r>
    <n v="1132"/>
    <x v="408"/>
    <x v="0"/>
    <x v="3"/>
    <d v="2013-04-17T00:00:00"/>
    <n v="4"/>
    <x v="1"/>
    <s v="Brian Dahlen"/>
    <x v="0"/>
    <s v="United States"/>
    <s v="Springfield"/>
    <s v="Virginia"/>
    <s v="South"/>
    <x v="1"/>
    <x v="12"/>
    <s v="Globe Weis Peel &amp; Seel First Class Envelopes"/>
    <x v="1011"/>
    <n v="5"/>
    <n v="0"/>
    <n v="28.754999999999999"/>
  </r>
  <r>
    <n v="1133"/>
    <x v="409"/>
    <x v="0"/>
    <x v="4"/>
    <d v="2013-12-08T00:00:00"/>
    <n v="1"/>
    <x v="2"/>
    <s v="Greg Guthrie"/>
    <x v="1"/>
    <s v="United States"/>
    <s v="Antioch"/>
    <s v="California"/>
    <s v="West"/>
    <x v="1"/>
    <x v="10"/>
    <s v="Xerox 216"/>
    <x v="537"/>
    <n v="3"/>
    <n v="0"/>
    <n v="9.3312000000000008"/>
  </r>
  <r>
    <n v="1134"/>
    <x v="410"/>
    <x v="0"/>
    <x v="1"/>
    <d v="2013-06-10T00:00:00"/>
    <n v="4"/>
    <x v="1"/>
    <s v="Joni Sundaresam"/>
    <x v="2"/>
    <s v="United States"/>
    <s v="Philadelphia"/>
    <s v="Pennsylvania"/>
    <s v="East"/>
    <x v="1"/>
    <x v="4"/>
    <s v="Eldon Base for stackable storage shelf, platinum"/>
    <x v="1012"/>
    <n v="4"/>
    <n v="0.2"/>
    <n v="-23.364000000000001"/>
  </r>
  <r>
    <n v="1135"/>
    <x v="410"/>
    <x v="0"/>
    <x v="1"/>
    <d v="2013-06-10T00:00:00"/>
    <n v="4"/>
    <x v="1"/>
    <s v="Joni Sundaresam"/>
    <x v="2"/>
    <s v="United States"/>
    <s v="Philadelphia"/>
    <s v="Pennsylvania"/>
    <s v="East"/>
    <x v="1"/>
    <x v="2"/>
    <s v="Avery 502"/>
    <x v="261"/>
    <n v="3"/>
    <n v="0.2"/>
    <n v="2.6459999999999999"/>
  </r>
  <r>
    <n v="1136"/>
    <x v="25"/>
    <x v="0"/>
    <x v="4"/>
    <d v="2013-12-12T00:00:00"/>
    <n v="0"/>
    <x v="3"/>
    <s v="Lena Radford"/>
    <x v="0"/>
    <s v="United States"/>
    <s v="Homestead"/>
    <s v="Florida"/>
    <s v="South"/>
    <x v="1"/>
    <x v="4"/>
    <s v="Steel Personal Filing/Posting Tote"/>
    <x v="1013"/>
    <n v="3"/>
    <n v="0.2"/>
    <n v="7.4570999999999996"/>
  </r>
  <r>
    <n v="1137"/>
    <x v="396"/>
    <x v="0"/>
    <x v="0"/>
    <d v="2013-11-16T00:00:00"/>
    <n v="3"/>
    <x v="0"/>
    <s v="Frank Hawley"/>
    <x v="1"/>
    <s v="United States"/>
    <s v="La Porte"/>
    <s v="Indiana"/>
    <s v="Central"/>
    <x v="1"/>
    <x v="12"/>
    <s v="Tyvek  Top-Opening Peel &amp; Seel  Envelopes, Gray"/>
    <x v="1014"/>
    <n v="8"/>
    <n v="0"/>
    <n v="129.38399999999999"/>
  </r>
  <r>
    <n v="1138"/>
    <x v="396"/>
    <x v="0"/>
    <x v="0"/>
    <d v="2013-11-16T00:00:00"/>
    <n v="3"/>
    <x v="0"/>
    <s v="Frank Hawley"/>
    <x v="1"/>
    <s v="United States"/>
    <s v="La Porte"/>
    <s v="Indiana"/>
    <s v="Central"/>
    <x v="1"/>
    <x v="9"/>
    <s v="Belkin F9H710-06 7 Outlet SurgeMaster Surge Protector"/>
    <x v="1015"/>
    <n v="2"/>
    <n v="0"/>
    <n v="10.5504"/>
  </r>
  <r>
    <n v="1139"/>
    <x v="396"/>
    <x v="0"/>
    <x v="0"/>
    <d v="2013-11-16T00:00:00"/>
    <n v="3"/>
    <x v="0"/>
    <s v="Frank Hawley"/>
    <x v="1"/>
    <s v="United States"/>
    <s v="La Porte"/>
    <s v="Indiana"/>
    <s v="Central"/>
    <x v="1"/>
    <x v="10"/>
    <s v="Xerox 1896"/>
    <x v="1016"/>
    <n v="2"/>
    <n v="0"/>
    <n v="8.9909999999999997"/>
  </r>
  <r>
    <n v="1140"/>
    <x v="396"/>
    <x v="0"/>
    <x v="0"/>
    <d v="2013-11-16T00:00:00"/>
    <n v="3"/>
    <x v="0"/>
    <s v="Frank Hawley"/>
    <x v="1"/>
    <s v="United States"/>
    <s v="La Porte"/>
    <s v="Indiana"/>
    <s v="Central"/>
    <x v="1"/>
    <x v="6"/>
    <s v="Newell 332"/>
    <x v="1017"/>
    <n v="7"/>
    <n v="0"/>
    <n v="5.5566000000000004"/>
  </r>
  <r>
    <n v="1141"/>
    <x v="396"/>
    <x v="0"/>
    <x v="0"/>
    <d v="2013-11-16T00:00:00"/>
    <n v="3"/>
    <x v="0"/>
    <s v="Frank Hawley"/>
    <x v="1"/>
    <s v="United States"/>
    <s v="La Porte"/>
    <s v="Indiana"/>
    <s v="Central"/>
    <x v="1"/>
    <x v="8"/>
    <s v="Cardinal Slant-D Ring Binders"/>
    <x v="1018"/>
    <n v="2"/>
    <n v="0"/>
    <n v="8.69"/>
  </r>
  <r>
    <n v="1142"/>
    <x v="411"/>
    <x v="2"/>
    <x v="8"/>
    <d v="2011-10-03T00:00:00"/>
    <n v="4"/>
    <x v="1"/>
    <s v="Arthur Prichep"/>
    <x v="0"/>
    <s v="United States"/>
    <s v="Los Angeles"/>
    <s v="California"/>
    <s v="West"/>
    <x v="0"/>
    <x v="5"/>
    <s v="Luxo Professional Combination Clamp-On Lamps"/>
    <x v="868"/>
    <n v="2"/>
    <n v="0"/>
    <n v="53.195999999999998"/>
  </r>
  <r>
    <n v="1143"/>
    <x v="411"/>
    <x v="2"/>
    <x v="8"/>
    <d v="2011-10-03T00:00:00"/>
    <n v="4"/>
    <x v="1"/>
    <s v="Arthur Prichep"/>
    <x v="0"/>
    <s v="United States"/>
    <s v="Los Angeles"/>
    <s v="California"/>
    <s v="West"/>
    <x v="1"/>
    <x v="13"/>
    <s v="Stockwell Push Pins"/>
    <x v="521"/>
    <n v="4"/>
    <n v="0"/>
    <n v="2.8776000000000002"/>
  </r>
  <r>
    <n v="1144"/>
    <x v="411"/>
    <x v="2"/>
    <x v="8"/>
    <d v="2011-10-03T00:00:00"/>
    <n v="4"/>
    <x v="1"/>
    <s v="Arthur Prichep"/>
    <x v="0"/>
    <s v="United States"/>
    <s v="Los Angeles"/>
    <s v="California"/>
    <s v="West"/>
    <x v="1"/>
    <x v="10"/>
    <s v="Xerox 223"/>
    <x v="90"/>
    <n v="1"/>
    <n v="0"/>
    <n v="3.1103999999999998"/>
  </r>
  <r>
    <n v="1145"/>
    <x v="411"/>
    <x v="2"/>
    <x v="8"/>
    <d v="2011-10-03T00:00:00"/>
    <n v="4"/>
    <x v="1"/>
    <s v="Arthur Prichep"/>
    <x v="0"/>
    <s v="United States"/>
    <s v="Los Angeles"/>
    <s v="California"/>
    <s v="West"/>
    <x v="2"/>
    <x v="15"/>
    <s v="Star Micronics TSP800 TSP847IIU Receipt Printer"/>
    <x v="1019"/>
    <n v="2"/>
    <n v="0.2"/>
    <n v="223.054"/>
  </r>
  <r>
    <n v="1146"/>
    <x v="411"/>
    <x v="2"/>
    <x v="8"/>
    <d v="2011-10-03T00:00:00"/>
    <n v="4"/>
    <x v="1"/>
    <s v="Arthur Prichep"/>
    <x v="0"/>
    <s v="United States"/>
    <s v="Los Angeles"/>
    <s v="California"/>
    <s v="West"/>
    <x v="1"/>
    <x v="4"/>
    <s v="Fellowes Mobile File Cart, Black"/>
    <x v="1020"/>
    <n v="1"/>
    <n v="0"/>
    <n v="16.788599999999999"/>
  </r>
  <r>
    <n v="1147"/>
    <x v="388"/>
    <x v="1"/>
    <x v="3"/>
    <d v="2012-04-04T00:00:00"/>
    <n v="0"/>
    <x v="3"/>
    <s v="Nat Carroll"/>
    <x v="0"/>
    <s v="United States"/>
    <s v="Lansing"/>
    <s v="Michigan"/>
    <s v="Central"/>
    <x v="1"/>
    <x v="9"/>
    <s v="Hoover Shoulder Vac Commercial Portable Vacuum"/>
    <x v="1021"/>
    <n v="2"/>
    <n v="0.1"/>
    <n v="107.346"/>
  </r>
  <r>
    <n v="1148"/>
    <x v="388"/>
    <x v="1"/>
    <x v="3"/>
    <d v="2012-04-04T00:00:00"/>
    <n v="0"/>
    <x v="3"/>
    <s v="Nat Carroll"/>
    <x v="0"/>
    <s v="United States"/>
    <s v="Lansing"/>
    <s v="Michigan"/>
    <s v="Central"/>
    <x v="1"/>
    <x v="13"/>
    <s v="Staples"/>
    <x v="568"/>
    <n v="2"/>
    <n v="0"/>
    <n v="2.6280000000000001"/>
  </r>
  <r>
    <n v="1149"/>
    <x v="388"/>
    <x v="1"/>
    <x v="3"/>
    <d v="2012-04-04T00:00:00"/>
    <n v="0"/>
    <x v="3"/>
    <s v="Nat Carroll"/>
    <x v="0"/>
    <s v="United States"/>
    <s v="Lansing"/>
    <s v="Michigan"/>
    <s v="Central"/>
    <x v="1"/>
    <x v="8"/>
    <s v="Acco Expandable Hanging Binders"/>
    <x v="1022"/>
    <n v="2"/>
    <n v="0"/>
    <n v="5.8696000000000002"/>
  </r>
  <r>
    <n v="1150"/>
    <x v="388"/>
    <x v="1"/>
    <x v="3"/>
    <d v="2012-04-04T00:00:00"/>
    <n v="0"/>
    <x v="3"/>
    <s v="Nat Carroll"/>
    <x v="0"/>
    <s v="United States"/>
    <s v="Lansing"/>
    <s v="Michigan"/>
    <s v="Central"/>
    <x v="2"/>
    <x v="7"/>
    <s v="Shocksock Galaxy S4 Armband"/>
    <x v="1023"/>
    <n v="1"/>
    <n v="0"/>
    <n v="0.438"/>
  </r>
  <r>
    <n v="1151"/>
    <x v="388"/>
    <x v="1"/>
    <x v="3"/>
    <d v="2012-04-04T00:00:00"/>
    <n v="0"/>
    <x v="3"/>
    <s v="Nat Carroll"/>
    <x v="0"/>
    <s v="United States"/>
    <s v="Lansing"/>
    <s v="Michigan"/>
    <s v="Central"/>
    <x v="2"/>
    <x v="16"/>
    <s v="Brother DCP1000 Digital 3 in 1 Multifunction Machine"/>
    <x v="1024"/>
    <n v="2"/>
    <n v="0"/>
    <n v="209.99299999999999"/>
  </r>
  <r>
    <n v="1152"/>
    <x v="412"/>
    <x v="1"/>
    <x v="5"/>
    <d v="2012-05-14T00:00:00"/>
    <n v="6"/>
    <x v="1"/>
    <s v="Claudia Bergmann"/>
    <x v="1"/>
    <s v="United States"/>
    <s v="Cuyahoga Falls"/>
    <s v="Ohio"/>
    <s v="East"/>
    <x v="0"/>
    <x v="5"/>
    <s v="Eldon Regeneration Recycled Desk Accessories, Smoke"/>
    <x v="1025"/>
    <n v="6"/>
    <n v="0.2"/>
    <n v="1.2527999999999999"/>
  </r>
  <r>
    <n v="1153"/>
    <x v="413"/>
    <x v="3"/>
    <x v="9"/>
    <d v="2014-01-07T00:00:00"/>
    <n v="6"/>
    <x v="1"/>
    <s v="Kelly Lampkin"/>
    <x v="1"/>
    <s v="United States"/>
    <s v="Reno"/>
    <s v="Nevada"/>
    <s v="West"/>
    <x v="1"/>
    <x v="6"/>
    <s v="Crayola Anti Dust Chalk, 12/Pack"/>
    <x v="1026"/>
    <n v="2"/>
    <n v="0"/>
    <n v="1.6379999999999999"/>
  </r>
  <r>
    <n v="1154"/>
    <x v="413"/>
    <x v="3"/>
    <x v="9"/>
    <d v="2014-01-07T00:00:00"/>
    <n v="6"/>
    <x v="1"/>
    <s v="Kelly Lampkin"/>
    <x v="1"/>
    <s v="United States"/>
    <s v="Reno"/>
    <s v="Nevada"/>
    <s v="West"/>
    <x v="1"/>
    <x v="8"/>
    <s v="Lock-Up Easel 'Spel-Binder'"/>
    <x v="1027"/>
    <n v="7"/>
    <n v="0.2"/>
    <n v="53.921700000000001"/>
  </r>
  <r>
    <n v="1155"/>
    <x v="414"/>
    <x v="2"/>
    <x v="4"/>
    <d v="2011-12-21T00:00:00"/>
    <n v="1"/>
    <x v="2"/>
    <s v="Penelope Sewall"/>
    <x v="2"/>
    <s v="United States"/>
    <s v="Harrisonburg"/>
    <s v="Virginia"/>
    <s v="South"/>
    <x v="1"/>
    <x v="4"/>
    <s v="SAFCO Commercial Wire Shelving, 72h"/>
    <x v="1028"/>
    <n v="2"/>
    <n v="0"/>
    <n v="0"/>
  </r>
  <r>
    <n v="1156"/>
    <x v="414"/>
    <x v="2"/>
    <x v="4"/>
    <d v="2011-12-21T00:00:00"/>
    <n v="1"/>
    <x v="2"/>
    <s v="Penelope Sewall"/>
    <x v="2"/>
    <s v="United States"/>
    <s v="Harrisonburg"/>
    <s v="Virginia"/>
    <s v="South"/>
    <x v="0"/>
    <x v="3"/>
    <s v="Chromcraft 48&quot; x 96&quot; Racetrack Double Pedestal Table"/>
    <x v="1029"/>
    <n v="7"/>
    <n v="0"/>
    <n v="493.78559999999999"/>
  </r>
  <r>
    <n v="1157"/>
    <x v="414"/>
    <x v="2"/>
    <x v="4"/>
    <d v="2011-12-21T00:00:00"/>
    <n v="1"/>
    <x v="2"/>
    <s v="Penelope Sewall"/>
    <x v="2"/>
    <s v="United States"/>
    <s v="Harrisonburg"/>
    <s v="Virginia"/>
    <s v="South"/>
    <x v="1"/>
    <x v="8"/>
    <s v="Wilson Jones Century Plastic Molded Ring Binders"/>
    <x v="1030"/>
    <n v="3"/>
    <n v="0"/>
    <n v="29.285699999999999"/>
  </r>
  <r>
    <n v="1158"/>
    <x v="414"/>
    <x v="2"/>
    <x v="4"/>
    <d v="2011-12-21T00:00:00"/>
    <n v="1"/>
    <x v="2"/>
    <s v="Penelope Sewall"/>
    <x v="2"/>
    <s v="United States"/>
    <s v="Harrisonburg"/>
    <s v="Virginia"/>
    <s v="South"/>
    <x v="0"/>
    <x v="3"/>
    <s v="Hon Practical Foundations 30 x 60 Training Table, Light Gray/Charcoal"/>
    <x v="1031"/>
    <n v="2"/>
    <n v="0"/>
    <n v="100.122"/>
  </r>
  <r>
    <n v="1159"/>
    <x v="415"/>
    <x v="0"/>
    <x v="7"/>
    <d v="2013-07-08T00:00:00"/>
    <n v="5"/>
    <x v="0"/>
    <s v="George Bell"/>
    <x v="1"/>
    <s v="United States"/>
    <s v="Los Angeles"/>
    <s v="California"/>
    <s v="West"/>
    <x v="0"/>
    <x v="1"/>
    <s v="Hon Deluxe Fabric Upholstered Stacking Chairs"/>
    <x v="1032"/>
    <n v="1"/>
    <n v="0.2"/>
    <n v="19.5184"/>
  </r>
  <r>
    <n v="1160"/>
    <x v="222"/>
    <x v="3"/>
    <x v="1"/>
    <d v="2014-07-05T00:00:00"/>
    <n v="5"/>
    <x v="1"/>
    <s v="Alex Avila"/>
    <x v="0"/>
    <s v="United States"/>
    <s v="Minneapolis"/>
    <s v="Minnesota"/>
    <s v="Central"/>
    <x v="1"/>
    <x v="9"/>
    <s v="Belkin 325VA UPS Surge Protector, 6'"/>
    <x v="1033"/>
    <n v="3"/>
    <n v="0"/>
    <n v="90.734999999999999"/>
  </r>
  <r>
    <n v="1161"/>
    <x v="222"/>
    <x v="3"/>
    <x v="1"/>
    <d v="2014-07-05T00:00:00"/>
    <n v="5"/>
    <x v="1"/>
    <s v="Alex Avila"/>
    <x v="0"/>
    <s v="United States"/>
    <s v="Minneapolis"/>
    <s v="Minnesota"/>
    <s v="Central"/>
    <x v="1"/>
    <x v="8"/>
    <s v="Avery Binding System Hidden Tab Executive Style Index Sets"/>
    <x v="1034"/>
    <n v="2"/>
    <n v="0"/>
    <n v="5.77"/>
  </r>
  <r>
    <n v="1162"/>
    <x v="416"/>
    <x v="2"/>
    <x v="8"/>
    <d v="2011-09-05T00:00:00"/>
    <n v="4"/>
    <x v="0"/>
    <s v="Larry Tron"/>
    <x v="0"/>
    <s v="United States"/>
    <s v="Escondido"/>
    <s v="California"/>
    <s v="West"/>
    <x v="1"/>
    <x v="6"/>
    <s v="BOSTON Model 1800 Electric Pencil Sharpeners, Putty/Woodgrain"/>
    <x v="1035"/>
    <n v="3"/>
    <n v="0"/>
    <n v="15.6426"/>
  </r>
  <r>
    <n v="1163"/>
    <x v="223"/>
    <x v="2"/>
    <x v="10"/>
    <d v="2011-03-08T00:00:00"/>
    <n v="5"/>
    <x v="1"/>
    <s v="Anne Pryor"/>
    <x v="2"/>
    <s v="United States"/>
    <s v="New York City"/>
    <s v="New York"/>
    <s v="East"/>
    <x v="2"/>
    <x v="7"/>
    <s v="PowerGen Dual USB Car Charger"/>
    <x v="1036"/>
    <n v="1"/>
    <n v="0"/>
    <n v="4.5953999999999997"/>
  </r>
  <r>
    <n v="1164"/>
    <x v="223"/>
    <x v="2"/>
    <x v="10"/>
    <d v="2011-03-08T00:00:00"/>
    <n v="5"/>
    <x v="1"/>
    <s v="Anne Pryor"/>
    <x v="2"/>
    <s v="United States"/>
    <s v="New York City"/>
    <s v="New York"/>
    <s v="East"/>
    <x v="1"/>
    <x v="8"/>
    <s v="Ibico Laser Imprintable Binding System Covers"/>
    <x v="1037"/>
    <n v="3"/>
    <n v="0.2"/>
    <n v="40.872"/>
  </r>
  <r>
    <n v="1165"/>
    <x v="223"/>
    <x v="2"/>
    <x v="10"/>
    <d v="2011-03-08T00:00:00"/>
    <n v="5"/>
    <x v="1"/>
    <s v="Anne Pryor"/>
    <x v="2"/>
    <s v="United States"/>
    <s v="New York City"/>
    <s v="New York"/>
    <s v="East"/>
    <x v="1"/>
    <x v="8"/>
    <s v="Cardinal HOLDit! Binder Insert Strips,Extra Strips"/>
    <x v="1038"/>
    <n v="5"/>
    <n v="0.2"/>
    <n v="9.1784999999999997"/>
  </r>
  <r>
    <n v="1166"/>
    <x v="417"/>
    <x v="2"/>
    <x v="5"/>
    <d v="2011-05-08T00:00:00"/>
    <n v="4"/>
    <x v="1"/>
    <s v="Paul MacIntyre"/>
    <x v="0"/>
    <s v="United States"/>
    <s v="Jackson"/>
    <s v="Michigan"/>
    <s v="Central"/>
    <x v="1"/>
    <x v="8"/>
    <s v="Fellowes Binding Cases"/>
    <x v="1039"/>
    <n v="4"/>
    <n v="0"/>
    <n v="21.06"/>
  </r>
  <r>
    <n v="1167"/>
    <x v="121"/>
    <x v="1"/>
    <x v="0"/>
    <d v="2012-11-02T00:00:00"/>
    <n v="0"/>
    <x v="3"/>
    <s v="Kelly Collister"/>
    <x v="0"/>
    <s v="United States"/>
    <s v="Seattle"/>
    <s v="Washington"/>
    <s v="West"/>
    <x v="2"/>
    <x v="11"/>
    <s v="Logitech K350 2.4Ghz Wireless Keyboard"/>
    <x v="1040"/>
    <n v="9"/>
    <n v="0"/>
    <n v="49.272300000000001"/>
  </r>
  <r>
    <n v="1168"/>
    <x v="166"/>
    <x v="3"/>
    <x v="4"/>
    <d v="2014-12-11T00:00:00"/>
    <n v="2"/>
    <x v="0"/>
    <s v="Delfina Latchford"/>
    <x v="0"/>
    <s v="United States"/>
    <s v="New York City"/>
    <s v="New York"/>
    <s v="East"/>
    <x v="0"/>
    <x v="5"/>
    <s v="C-Line Cubicle Keepers Polyproplyene Holder w/Velcro Back, 8-1/2x11, 25/Bx"/>
    <x v="1041"/>
    <n v="2"/>
    <n v="0"/>
    <n v="33.938800000000001"/>
  </r>
  <r>
    <n v="1169"/>
    <x v="166"/>
    <x v="3"/>
    <x v="4"/>
    <d v="2014-12-11T00:00:00"/>
    <n v="2"/>
    <x v="0"/>
    <s v="Delfina Latchford"/>
    <x v="0"/>
    <s v="United States"/>
    <s v="New York City"/>
    <s v="New York"/>
    <s v="East"/>
    <x v="1"/>
    <x v="4"/>
    <s v="Safco Industrial Wire Shelving System"/>
    <x v="1042"/>
    <n v="3"/>
    <n v="0"/>
    <n v="0"/>
  </r>
  <r>
    <n v="1170"/>
    <x v="166"/>
    <x v="3"/>
    <x v="4"/>
    <d v="2014-12-11T00:00:00"/>
    <n v="2"/>
    <x v="0"/>
    <s v="Delfina Latchford"/>
    <x v="0"/>
    <s v="United States"/>
    <s v="New York City"/>
    <s v="New York"/>
    <s v="East"/>
    <x v="1"/>
    <x v="10"/>
    <s v="Xerox 1996"/>
    <x v="537"/>
    <n v="3"/>
    <n v="0"/>
    <n v="9.3312000000000008"/>
  </r>
  <r>
    <n v="1171"/>
    <x v="166"/>
    <x v="3"/>
    <x v="4"/>
    <d v="2014-12-11T00:00:00"/>
    <n v="2"/>
    <x v="0"/>
    <s v="Delfina Latchford"/>
    <x v="0"/>
    <s v="United States"/>
    <s v="New York City"/>
    <s v="New York"/>
    <s v="East"/>
    <x v="1"/>
    <x v="4"/>
    <s v="Iris Project Case"/>
    <x v="1043"/>
    <n v="4"/>
    <n v="0"/>
    <n v="8.2992000000000008"/>
  </r>
  <r>
    <n v="1172"/>
    <x v="418"/>
    <x v="2"/>
    <x v="10"/>
    <d v="2011-03-14T00:00:00"/>
    <n v="4"/>
    <x v="1"/>
    <s v="Scott Williamson"/>
    <x v="0"/>
    <s v="United States"/>
    <s v="Royal Oak"/>
    <s v="Michigan"/>
    <s v="Central"/>
    <x v="1"/>
    <x v="10"/>
    <s v="Geographics Note Cards, Blank, White, 8 1/2&quot; x 11&quot;"/>
    <x v="1044"/>
    <n v="2"/>
    <n v="0"/>
    <n v="10.7424"/>
  </r>
  <r>
    <n v="1173"/>
    <x v="419"/>
    <x v="2"/>
    <x v="3"/>
    <d v="2011-04-25T00:00:00"/>
    <n v="4"/>
    <x v="1"/>
    <s v="Allen Armold"/>
    <x v="0"/>
    <s v="United States"/>
    <s v="Los Angeles"/>
    <s v="California"/>
    <s v="West"/>
    <x v="1"/>
    <x v="8"/>
    <s v="ACCOHIDE Binder by Acco"/>
    <x v="1045"/>
    <n v="5"/>
    <n v="0.2"/>
    <n v="5.5754999999999999"/>
  </r>
  <r>
    <n v="1174"/>
    <x v="420"/>
    <x v="1"/>
    <x v="2"/>
    <d v="2012-10-26T00:00:00"/>
    <n v="4"/>
    <x v="1"/>
    <s v="Liz Thompson"/>
    <x v="0"/>
    <s v="United States"/>
    <s v="Bloomington"/>
    <s v="Illinois"/>
    <s v="Central"/>
    <x v="1"/>
    <x v="8"/>
    <s v="GBC Instant Report Kit"/>
    <x v="1046"/>
    <n v="4"/>
    <n v="0.8"/>
    <n v="-7.7640000000000002"/>
  </r>
  <r>
    <n v="1175"/>
    <x v="421"/>
    <x v="1"/>
    <x v="6"/>
    <d v="2012-08-25T00:00:00"/>
    <n v="3"/>
    <x v="2"/>
    <s v="Dave Poirier"/>
    <x v="1"/>
    <s v="United States"/>
    <s v="New York City"/>
    <s v="New York"/>
    <s v="East"/>
    <x v="1"/>
    <x v="8"/>
    <s v="Avery 3 1/2&quot; Diskette Storage Pages, 10/Pack"/>
    <x v="1047"/>
    <n v="6"/>
    <n v="0.2"/>
    <n v="16.2864"/>
  </r>
  <r>
    <n v="1176"/>
    <x v="48"/>
    <x v="0"/>
    <x v="6"/>
    <d v="2013-09-04T00:00:00"/>
    <n v="5"/>
    <x v="1"/>
    <s v="Adam Bellavance"/>
    <x v="2"/>
    <s v="United States"/>
    <s v="Concord"/>
    <s v="New Hampshire"/>
    <s v="East"/>
    <x v="1"/>
    <x v="14"/>
    <s v="Acme Forged Steel Scissors with Black Enamel Handles"/>
    <x v="1048"/>
    <n v="3"/>
    <n v="0"/>
    <n v="8.0997000000000003"/>
  </r>
  <r>
    <n v="1177"/>
    <x v="422"/>
    <x v="2"/>
    <x v="4"/>
    <d v="2011-12-30T00:00:00"/>
    <n v="3"/>
    <x v="0"/>
    <s v="Alyssa Tate"/>
    <x v="2"/>
    <s v="United States"/>
    <s v="Los Angeles"/>
    <s v="California"/>
    <s v="West"/>
    <x v="1"/>
    <x v="2"/>
    <s v="Staples"/>
    <x v="1049"/>
    <n v="4"/>
    <n v="0"/>
    <n v="5.4332000000000003"/>
  </r>
  <r>
    <n v="1178"/>
    <x v="49"/>
    <x v="0"/>
    <x v="4"/>
    <d v="2013-12-06T00:00:00"/>
    <n v="4"/>
    <x v="1"/>
    <s v="Joel Eaton"/>
    <x v="0"/>
    <s v="United States"/>
    <s v="Rockville"/>
    <s v="Maryland"/>
    <s v="East"/>
    <x v="0"/>
    <x v="1"/>
    <s v="Harbour Creations Steel Folding Chair"/>
    <x v="1050"/>
    <n v="2"/>
    <n v="0"/>
    <n v="51.75"/>
  </r>
  <r>
    <n v="1179"/>
    <x v="49"/>
    <x v="0"/>
    <x v="4"/>
    <d v="2013-12-06T00:00:00"/>
    <n v="4"/>
    <x v="1"/>
    <s v="Joel Eaton"/>
    <x v="0"/>
    <s v="United States"/>
    <s v="Rockville"/>
    <s v="Maryland"/>
    <s v="East"/>
    <x v="2"/>
    <x v="7"/>
    <s v="JBL Micro Wireless Portable Bluetooth Speaker"/>
    <x v="686"/>
    <n v="3"/>
    <n v="0"/>
    <n v="44.9925"/>
  </r>
  <r>
    <n v="1180"/>
    <x v="423"/>
    <x v="0"/>
    <x v="3"/>
    <d v="2013-04-28T00:00:00"/>
    <n v="3"/>
    <x v="0"/>
    <s v="Cathy Armstrong"/>
    <x v="2"/>
    <s v="United States"/>
    <s v="Houston"/>
    <s v="Texas"/>
    <s v="Central"/>
    <x v="2"/>
    <x v="11"/>
    <s v="Plantronics S12 Corded Telephone Headset System"/>
    <x v="1051"/>
    <n v="3"/>
    <n v="0.2"/>
    <n v="64.674000000000007"/>
  </r>
  <r>
    <n v="1181"/>
    <x v="261"/>
    <x v="2"/>
    <x v="1"/>
    <d v="2011-06-25T00:00:00"/>
    <n v="4"/>
    <x v="1"/>
    <s v="Dave Brooks"/>
    <x v="0"/>
    <s v="United States"/>
    <s v="Lakewood"/>
    <s v="New Jersey"/>
    <s v="East"/>
    <x v="2"/>
    <x v="7"/>
    <s v="Wireless Extenders zBoost YX545 SOHO Signal Booster"/>
    <x v="1052"/>
    <n v="7"/>
    <n v="0"/>
    <n v="357.19110000000001"/>
  </r>
  <r>
    <n v="1182"/>
    <x v="261"/>
    <x v="2"/>
    <x v="1"/>
    <d v="2011-06-25T00:00:00"/>
    <n v="4"/>
    <x v="1"/>
    <s v="Dave Brooks"/>
    <x v="0"/>
    <s v="United States"/>
    <s v="Lakewood"/>
    <s v="New Jersey"/>
    <s v="East"/>
    <x v="1"/>
    <x v="6"/>
    <s v="OIC #2 Pencils, Medium Soft"/>
    <x v="1053"/>
    <n v="2"/>
    <n v="0"/>
    <n v="1.0904"/>
  </r>
  <r>
    <n v="1183"/>
    <x v="424"/>
    <x v="3"/>
    <x v="9"/>
    <d v="2014-01-16T00:00:00"/>
    <n v="1"/>
    <x v="2"/>
    <s v="Rob Beeghly"/>
    <x v="0"/>
    <s v="United States"/>
    <s v="Jacksonville"/>
    <s v="North Carolina"/>
    <s v="South"/>
    <x v="1"/>
    <x v="12"/>
    <s v="Tyvek  Top-Opening Peel &amp; Seel Envelopes, Plain White"/>
    <x v="196"/>
    <n v="1"/>
    <n v="0.2"/>
    <n v="7.3385999999999996"/>
  </r>
  <r>
    <n v="1184"/>
    <x v="424"/>
    <x v="3"/>
    <x v="9"/>
    <d v="2014-01-16T00:00:00"/>
    <n v="1"/>
    <x v="2"/>
    <s v="Rob Beeghly"/>
    <x v="0"/>
    <s v="United States"/>
    <s v="Jacksonville"/>
    <s v="North Carolina"/>
    <s v="South"/>
    <x v="2"/>
    <x v="7"/>
    <s v="Sannysis Cute Owl Design Soft Skin Case Cover for Samsung Galaxy S4"/>
    <x v="1054"/>
    <n v="5"/>
    <n v="0.2"/>
    <n v="0.69299999999999995"/>
  </r>
  <r>
    <n v="1185"/>
    <x v="156"/>
    <x v="2"/>
    <x v="0"/>
    <d v="2011-11-30T00:00:00"/>
    <n v="6"/>
    <x v="1"/>
    <s v="Harold Ryan"/>
    <x v="1"/>
    <s v="United States"/>
    <s v="Seattle"/>
    <s v="Washington"/>
    <s v="West"/>
    <x v="1"/>
    <x v="8"/>
    <s v="Peel &amp; Stick Add-On Corner Pockets"/>
    <x v="1055"/>
    <n v="7"/>
    <n v="0.2"/>
    <n v="4.2336"/>
  </r>
  <r>
    <n v="1186"/>
    <x v="156"/>
    <x v="2"/>
    <x v="0"/>
    <d v="2011-11-30T00:00:00"/>
    <n v="6"/>
    <x v="1"/>
    <s v="Harold Ryan"/>
    <x v="1"/>
    <s v="United States"/>
    <s v="Seattle"/>
    <s v="Washington"/>
    <s v="West"/>
    <x v="1"/>
    <x v="4"/>
    <s v="Carina 42&quot;Hx23 3/4&quot;W Media Storage Unit"/>
    <x v="1056"/>
    <n v="6"/>
    <n v="0"/>
    <n v="9.7175999999999991"/>
  </r>
  <r>
    <n v="1187"/>
    <x v="156"/>
    <x v="2"/>
    <x v="0"/>
    <d v="2011-11-30T00:00:00"/>
    <n v="6"/>
    <x v="1"/>
    <s v="Harold Ryan"/>
    <x v="1"/>
    <s v="United States"/>
    <s v="Seattle"/>
    <s v="Washington"/>
    <s v="West"/>
    <x v="1"/>
    <x v="10"/>
    <s v="Xerox 220"/>
    <x v="233"/>
    <n v="4"/>
    <n v="0"/>
    <n v="12.441599999999999"/>
  </r>
  <r>
    <n v="1188"/>
    <x v="156"/>
    <x v="2"/>
    <x v="0"/>
    <d v="2011-11-30T00:00:00"/>
    <n v="6"/>
    <x v="1"/>
    <s v="Harold Ryan"/>
    <x v="1"/>
    <s v="United States"/>
    <s v="Seattle"/>
    <s v="Washington"/>
    <s v="West"/>
    <x v="1"/>
    <x v="4"/>
    <s v="Recycled Data-Pak for Archival Bound Computer Printouts, 12-1/2 x 12-1/2 x 16"/>
    <x v="1057"/>
    <n v="2"/>
    <n v="0"/>
    <n v="53.346600000000002"/>
  </r>
  <r>
    <n v="1189"/>
    <x v="425"/>
    <x v="3"/>
    <x v="11"/>
    <d v="2014-03-01T00:00:00"/>
    <n v="2"/>
    <x v="0"/>
    <s v="Bradley Talbott"/>
    <x v="2"/>
    <s v="United States"/>
    <s v="Los Angeles"/>
    <s v="California"/>
    <s v="West"/>
    <x v="1"/>
    <x v="9"/>
    <s v="Kensington 6 Outlet Guardian Standard Surge Protector"/>
    <x v="1058"/>
    <n v="4"/>
    <n v="0"/>
    <n v="22.118400000000001"/>
  </r>
  <r>
    <n v="1190"/>
    <x v="425"/>
    <x v="3"/>
    <x v="11"/>
    <d v="2014-03-01T00:00:00"/>
    <n v="2"/>
    <x v="0"/>
    <s v="Bradley Talbott"/>
    <x v="2"/>
    <s v="United States"/>
    <s v="Los Angeles"/>
    <s v="California"/>
    <s v="West"/>
    <x v="2"/>
    <x v="7"/>
    <s v="Toshiba IPT2010-SD IP Telephone"/>
    <x v="1059"/>
    <n v="8"/>
    <n v="0.2"/>
    <n v="66.715199999999996"/>
  </r>
  <r>
    <n v="1191"/>
    <x v="425"/>
    <x v="3"/>
    <x v="11"/>
    <d v="2014-03-01T00:00:00"/>
    <n v="2"/>
    <x v="0"/>
    <s v="Bradley Talbott"/>
    <x v="2"/>
    <s v="United States"/>
    <s v="Los Angeles"/>
    <s v="California"/>
    <s v="West"/>
    <x v="0"/>
    <x v="1"/>
    <s v="GuestStacker Chair with Chrome Finish Legs"/>
    <x v="1060"/>
    <n v="3"/>
    <n v="0.2"/>
    <n v="89.222399999999993"/>
  </r>
  <r>
    <n v="1192"/>
    <x v="425"/>
    <x v="3"/>
    <x v="11"/>
    <d v="2014-03-01T00:00:00"/>
    <n v="2"/>
    <x v="0"/>
    <s v="Bradley Talbott"/>
    <x v="2"/>
    <s v="United States"/>
    <s v="Los Angeles"/>
    <s v="California"/>
    <s v="West"/>
    <x v="1"/>
    <x v="10"/>
    <s v="Xerox 1908"/>
    <x v="1061"/>
    <n v="4"/>
    <n v="0"/>
    <n v="109.7208"/>
  </r>
  <r>
    <n v="1193"/>
    <x v="425"/>
    <x v="3"/>
    <x v="11"/>
    <d v="2014-03-01T00:00:00"/>
    <n v="2"/>
    <x v="0"/>
    <s v="Bradley Talbott"/>
    <x v="2"/>
    <s v="United States"/>
    <s v="Los Angeles"/>
    <s v="California"/>
    <s v="West"/>
    <x v="1"/>
    <x v="10"/>
    <s v="Xerox 1924"/>
    <x v="1062"/>
    <n v="4"/>
    <n v="0"/>
    <n v="11.328799999999999"/>
  </r>
  <r>
    <n v="1194"/>
    <x v="426"/>
    <x v="1"/>
    <x v="8"/>
    <d v="2012-09-15T00:00:00"/>
    <n v="0"/>
    <x v="3"/>
    <s v="Nat Gilpin"/>
    <x v="1"/>
    <s v="United States"/>
    <s v="Coral Springs"/>
    <s v="Florida"/>
    <s v="South"/>
    <x v="1"/>
    <x v="10"/>
    <s v="Xerox 21"/>
    <x v="12"/>
    <n v="3"/>
    <n v="0.2"/>
    <n v="5.4432"/>
  </r>
  <r>
    <n v="1195"/>
    <x v="426"/>
    <x v="1"/>
    <x v="8"/>
    <d v="2012-09-15T00:00:00"/>
    <n v="0"/>
    <x v="3"/>
    <s v="Nat Gilpin"/>
    <x v="1"/>
    <s v="United States"/>
    <s v="Coral Springs"/>
    <s v="Florida"/>
    <s v="South"/>
    <x v="0"/>
    <x v="5"/>
    <s v="Ultra Door Push Plate"/>
    <x v="577"/>
    <n v="4"/>
    <n v="0.2"/>
    <n v="2.5531999999999999"/>
  </r>
  <r>
    <n v="1196"/>
    <x v="426"/>
    <x v="1"/>
    <x v="8"/>
    <d v="2012-09-15T00:00:00"/>
    <n v="0"/>
    <x v="3"/>
    <s v="Nat Gilpin"/>
    <x v="1"/>
    <s v="United States"/>
    <s v="Coral Springs"/>
    <s v="Florida"/>
    <s v="South"/>
    <x v="1"/>
    <x v="4"/>
    <s v="Decoflex Hanging Personal Folder File, Blue"/>
    <x v="1063"/>
    <n v="2"/>
    <n v="0.2"/>
    <n v="2.1587999999999998"/>
  </r>
  <r>
    <n v="1197"/>
    <x v="426"/>
    <x v="1"/>
    <x v="8"/>
    <d v="2012-09-15T00:00:00"/>
    <n v="0"/>
    <x v="3"/>
    <s v="Nat Gilpin"/>
    <x v="1"/>
    <s v="United States"/>
    <s v="Coral Springs"/>
    <s v="Florida"/>
    <s v="South"/>
    <x v="0"/>
    <x v="5"/>
    <s v="Tenex &quot;The Solids&quot; Textured Chair Mats"/>
    <x v="1064"/>
    <n v="1"/>
    <n v="0.2"/>
    <n v="-2.0988000000000002"/>
  </r>
  <r>
    <n v="1198"/>
    <x v="143"/>
    <x v="0"/>
    <x v="3"/>
    <d v="2013-04-13T00:00:00"/>
    <n v="4"/>
    <x v="1"/>
    <s v="Zuschuss Carroll"/>
    <x v="0"/>
    <s v="United States"/>
    <s v="Houston"/>
    <s v="Texas"/>
    <s v="Central"/>
    <x v="2"/>
    <x v="11"/>
    <s v="Kensington Orbit Wireless Mobile Trackball for PC and Mac"/>
    <x v="1065"/>
    <n v="9"/>
    <n v="0.2"/>
    <n v="64.789199999999994"/>
  </r>
  <r>
    <n v="1199"/>
    <x v="143"/>
    <x v="0"/>
    <x v="3"/>
    <d v="2013-04-13T00:00:00"/>
    <n v="4"/>
    <x v="1"/>
    <s v="Zuschuss Carroll"/>
    <x v="0"/>
    <s v="United States"/>
    <s v="Houston"/>
    <s v="Texas"/>
    <s v="Central"/>
    <x v="0"/>
    <x v="1"/>
    <s v="Global Chrome Stack Chair"/>
    <x v="909"/>
    <n v="4"/>
    <n v="0.3"/>
    <n v="-4.1135999999999999"/>
  </r>
  <r>
    <n v="1200"/>
    <x v="143"/>
    <x v="0"/>
    <x v="3"/>
    <d v="2013-04-13T00:00:00"/>
    <n v="4"/>
    <x v="1"/>
    <s v="Zuschuss Carroll"/>
    <x v="0"/>
    <s v="United States"/>
    <s v="Houston"/>
    <s v="Texas"/>
    <s v="Central"/>
    <x v="1"/>
    <x v="8"/>
    <s v="GBC DocuBind P400 Electric Binding System"/>
    <x v="1066"/>
    <n v="4"/>
    <n v="0.8"/>
    <n v="-1850.9464"/>
  </r>
  <r>
    <n v="1201"/>
    <x v="427"/>
    <x v="0"/>
    <x v="7"/>
    <d v="2013-07-25T00:00:00"/>
    <n v="6"/>
    <x v="1"/>
    <s v="Linda Southworth"/>
    <x v="1"/>
    <s v="United States"/>
    <s v="Denver"/>
    <s v="Colorado"/>
    <s v="West"/>
    <x v="0"/>
    <x v="1"/>
    <s v="Hon GuestStacker Chair"/>
    <x v="724"/>
    <n v="3"/>
    <n v="0.2"/>
    <n v="40.800600000000003"/>
  </r>
  <r>
    <n v="1202"/>
    <x v="427"/>
    <x v="0"/>
    <x v="7"/>
    <d v="2013-07-25T00:00:00"/>
    <n v="6"/>
    <x v="1"/>
    <s v="Linda Southworth"/>
    <x v="1"/>
    <s v="United States"/>
    <s v="Denver"/>
    <s v="Colorado"/>
    <s v="West"/>
    <x v="1"/>
    <x v="8"/>
    <s v="Round Ring Binders"/>
    <x v="1067"/>
    <n v="3"/>
    <n v="0.7"/>
    <n v="-1.4352"/>
  </r>
  <r>
    <n v="1203"/>
    <x v="427"/>
    <x v="0"/>
    <x v="7"/>
    <d v="2013-07-25T00:00:00"/>
    <n v="6"/>
    <x v="1"/>
    <s v="Linda Southworth"/>
    <x v="1"/>
    <s v="United States"/>
    <s v="Denver"/>
    <s v="Colorado"/>
    <s v="West"/>
    <x v="0"/>
    <x v="1"/>
    <s v="Hon 4700 Series Mobuis Mid-Back Task Chairs with Adjustable Arms"/>
    <x v="1068"/>
    <n v="3"/>
    <n v="0.2"/>
    <n v="10.679399999999999"/>
  </r>
  <r>
    <n v="1204"/>
    <x v="427"/>
    <x v="0"/>
    <x v="7"/>
    <d v="2013-07-25T00:00:00"/>
    <n v="6"/>
    <x v="1"/>
    <s v="Linda Southworth"/>
    <x v="1"/>
    <s v="United States"/>
    <s v="Denver"/>
    <s v="Colorado"/>
    <s v="West"/>
    <x v="1"/>
    <x v="4"/>
    <s v="Sauder Facets Collection Locker/File Cabinet, Sky Alder Finish"/>
    <x v="1069"/>
    <n v="2"/>
    <n v="0.2"/>
    <n v="0"/>
  </r>
  <r>
    <n v="1205"/>
    <x v="427"/>
    <x v="0"/>
    <x v="7"/>
    <d v="2013-07-25T00:00:00"/>
    <n v="6"/>
    <x v="1"/>
    <s v="Linda Southworth"/>
    <x v="1"/>
    <s v="United States"/>
    <s v="Denver"/>
    <s v="Colorado"/>
    <s v="West"/>
    <x v="1"/>
    <x v="4"/>
    <s v="Fellowes Strictly Business Drawer File, Letter/Legal Size"/>
    <x v="1070"/>
    <n v="3"/>
    <n v="0.2"/>
    <n v="-33.804000000000002"/>
  </r>
  <r>
    <n v="1206"/>
    <x v="378"/>
    <x v="3"/>
    <x v="6"/>
    <d v="2014-08-05T00:00:00"/>
    <n v="3"/>
    <x v="2"/>
    <s v="Larry Hughes"/>
    <x v="0"/>
    <s v="United States"/>
    <s v="Charlotte"/>
    <s v="North Carolina"/>
    <s v="South"/>
    <x v="2"/>
    <x v="7"/>
    <s v="Nortel Networks T7316 E Nt8 B27"/>
    <x v="1071"/>
    <n v="5"/>
    <n v="0.2"/>
    <n v="16.997499999999999"/>
  </r>
  <r>
    <n v="1207"/>
    <x v="216"/>
    <x v="0"/>
    <x v="7"/>
    <d v="2013-07-19T00:00:00"/>
    <n v="4"/>
    <x v="0"/>
    <s v="Steven Ward"/>
    <x v="1"/>
    <s v="United States"/>
    <s v="New York City"/>
    <s v="New York"/>
    <s v="East"/>
    <x v="1"/>
    <x v="4"/>
    <s v="Personal Folder Holder, Ebony"/>
    <x v="1072"/>
    <n v="1"/>
    <n v="0"/>
    <n v="3.363"/>
  </r>
  <r>
    <n v="1208"/>
    <x v="216"/>
    <x v="0"/>
    <x v="7"/>
    <d v="2013-07-19T00:00:00"/>
    <n v="4"/>
    <x v="0"/>
    <s v="Steven Ward"/>
    <x v="1"/>
    <s v="United States"/>
    <s v="New York City"/>
    <s v="New York"/>
    <s v="East"/>
    <x v="1"/>
    <x v="8"/>
    <s v="Acco Hanging Data Binders"/>
    <x v="1073"/>
    <n v="3"/>
    <n v="0.2"/>
    <n v="3.2004000000000001"/>
  </r>
  <r>
    <n v="1209"/>
    <x v="216"/>
    <x v="0"/>
    <x v="7"/>
    <d v="2013-07-19T00:00:00"/>
    <n v="4"/>
    <x v="0"/>
    <s v="Steven Ward"/>
    <x v="1"/>
    <s v="United States"/>
    <s v="New York City"/>
    <s v="New York"/>
    <s v="East"/>
    <x v="1"/>
    <x v="13"/>
    <s v="Ideal Clamps"/>
    <x v="1074"/>
    <n v="7"/>
    <n v="0"/>
    <n v="6.8943000000000003"/>
  </r>
  <r>
    <n v="1210"/>
    <x v="216"/>
    <x v="0"/>
    <x v="7"/>
    <d v="2013-07-19T00:00:00"/>
    <n v="4"/>
    <x v="0"/>
    <s v="Steven Ward"/>
    <x v="1"/>
    <s v="United States"/>
    <s v="New York City"/>
    <s v="New York"/>
    <s v="East"/>
    <x v="1"/>
    <x v="6"/>
    <s v="Newell 315"/>
    <x v="1075"/>
    <n v="7"/>
    <n v="0"/>
    <n v="10.465"/>
  </r>
  <r>
    <n v="1211"/>
    <x v="216"/>
    <x v="0"/>
    <x v="7"/>
    <d v="2013-07-19T00:00:00"/>
    <n v="4"/>
    <x v="0"/>
    <s v="Steven Ward"/>
    <x v="1"/>
    <s v="United States"/>
    <s v="New York City"/>
    <s v="New York"/>
    <s v="East"/>
    <x v="1"/>
    <x v="8"/>
    <s v="Pressboard Data Binders by Wilson Jones"/>
    <x v="1076"/>
    <n v="2"/>
    <n v="0.2"/>
    <n v="2.8835999999999999"/>
  </r>
  <r>
    <n v="1212"/>
    <x v="216"/>
    <x v="0"/>
    <x v="7"/>
    <d v="2013-07-19T00:00:00"/>
    <n v="4"/>
    <x v="0"/>
    <s v="Steven Ward"/>
    <x v="1"/>
    <s v="United States"/>
    <s v="New York City"/>
    <s v="New York"/>
    <s v="East"/>
    <x v="0"/>
    <x v="0"/>
    <s v="O'Sullivan 2-Door Barrister Bookcase in Odessa Pine"/>
    <x v="1077"/>
    <n v="4"/>
    <n v="0.2"/>
    <n v="21.717600000000001"/>
  </r>
  <r>
    <n v="1213"/>
    <x v="428"/>
    <x v="3"/>
    <x v="8"/>
    <d v="2014-09-14T00:00:00"/>
    <n v="4"/>
    <x v="1"/>
    <s v="Stefania Perrino"/>
    <x v="1"/>
    <s v="United States"/>
    <s v="Philadelphia"/>
    <s v="Pennsylvania"/>
    <s v="East"/>
    <x v="0"/>
    <x v="1"/>
    <s v="Global Low Back Tilter Chair"/>
    <x v="1078"/>
    <n v="2"/>
    <n v="0.3"/>
    <n v="-48.470399999999998"/>
  </r>
  <r>
    <n v="1214"/>
    <x v="428"/>
    <x v="3"/>
    <x v="8"/>
    <d v="2014-09-14T00:00:00"/>
    <n v="4"/>
    <x v="1"/>
    <s v="Stefania Perrino"/>
    <x v="1"/>
    <s v="United States"/>
    <s v="Philadelphia"/>
    <s v="Pennsylvania"/>
    <s v="East"/>
    <x v="1"/>
    <x v="8"/>
    <s v="Wilson Jones Standard D-Ring Binders"/>
    <x v="1079"/>
    <n v="2"/>
    <n v="0.7"/>
    <n v="-2.3275999999999999"/>
  </r>
  <r>
    <n v="1215"/>
    <x v="428"/>
    <x v="3"/>
    <x v="8"/>
    <d v="2014-09-14T00:00:00"/>
    <n v="4"/>
    <x v="1"/>
    <s v="Stefania Perrino"/>
    <x v="1"/>
    <s v="United States"/>
    <s v="Philadelphia"/>
    <s v="Pennsylvania"/>
    <s v="East"/>
    <x v="1"/>
    <x v="8"/>
    <s v="GBC Prepunched Paper, 19-Hole, for Binding Systems, 24-lb"/>
    <x v="1080"/>
    <n v="1"/>
    <n v="0.7"/>
    <n v="-3.6023999999999998"/>
  </r>
  <r>
    <n v="1216"/>
    <x v="428"/>
    <x v="3"/>
    <x v="8"/>
    <d v="2014-09-14T00:00:00"/>
    <n v="4"/>
    <x v="1"/>
    <s v="Stefania Perrino"/>
    <x v="1"/>
    <s v="United States"/>
    <s v="Philadelphia"/>
    <s v="Pennsylvania"/>
    <s v="East"/>
    <x v="1"/>
    <x v="6"/>
    <s v="Quartet Omega Colored Chalk, 12/Pack"/>
    <x v="1081"/>
    <n v="1"/>
    <n v="0.2"/>
    <n v="1.5768"/>
  </r>
  <r>
    <n v="1217"/>
    <x v="428"/>
    <x v="3"/>
    <x v="8"/>
    <d v="2014-09-14T00:00:00"/>
    <n v="4"/>
    <x v="1"/>
    <s v="Stefania Perrino"/>
    <x v="1"/>
    <s v="United States"/>
    <s v="Philadelphia"/>
    <s v="Pennsylvania"/>
    <s v="East"/>
    <x v="2"/>
    <x v="11"/>
    <s v="Microsoft Sculpt Comfort Mouse"/>
    <x v="1082"/>
    <n v="3"/>
    <n v="0.2"/>
    <n v="28.763999999999999"/>
  </r>
  <r>
    <n v="1218"/>
    <x v="428"/>
    <x v="3"/>
    <x v="8"/>
    <d v="2014-09-14T00:00:00"/>
    <n v="4"/>
    <x v="1"/>
    <s v="Stefania Perrino"/>
    <x v="1"/>
    <s v="United States"/>
    <s v="Philadelphia"/>
    <s v="Pennsylvania"/>
    <s v="East"/>
    <x v="0"/>
    <x v="5"/>
    <s v="Eldon Expressions Punched Metal &amp; Wood Desk Accessories, Pewter &amp; Cherry"/>
    <x v="1083"/>
    <n v="2"/>
    <n v="0.2"/>
    <n v="1.7023999999999999"/>
  </r>
  <r>
    <n v="1219"/>
    <x v="428"/>
    <x v="3"/>
    <x v="8"/>
    <d v="2014-09-14T00:00:00"/>
    <n v="4"/>
    <x v="1"/>
    <s v="Stefania Perrino"/>
    <x v="1"/>
    <s v="United States"/>
    <s v="Philadelphia"/>
    <s v="Pennsylvania"/>
    <s v="East"/>
    <x v="2"/>
    <x v="11"/>
    <s v="Plantronics S12 Corded Telephone Headset System"/>
    <x v="1051"/>
    <n v="3"/>
    <n v="0.2"/>
    <n v="64.674000000000007"/>
  </r>
  <r>
    <n v="1220"/>
    <x v="428"/>
    <x v="3"/>
    <x v="8"/>
    <d v="2014-09-14T00:00:00"/>
    <n v="4"/>
    <x v="1"/>
    <s v="Stefania Perrino"/>
    <x v="1"/>
    <s v="United States"/>
    <s v="Philadelphia"/>
    <s v="Pennsylvania"/>
    <s v="East"/>
    <x v="2"/>
    <x v="7"/>
    <s v="Samsung Galaxy Note 2"/>
    <x v="1084"/>
    <n v="7"/>
    <n v="0.4"/>
    <n v="-386.39159999999998"/>
  </r>
  <r>
    <n v="1221"/>
    <x v="136"/>
    <x v="2"/>
    <x v="7"/>
    <d v="2011-07-16T00:00:00"/>
    <n v="4"/>
    <x v="1"/>
    <s v="Ben Ferrer"/>
    <x v="2"/>
    <s v="United States"/>
    <s v="Los Angeles"/>
    <s v="California"/>
    <s v="West"/>
    <x v="1"/>
    <x v="4"/>
    <s v="Fellowes Super Stor/Drawer"/>
    <x v="1085"/>
    <n v="9"/>
    <n v="0"/>
    <n v="44.954999999999998"/>
  </r>
  <r>
    <n v="1222"/>
    <x v="136"/>
    <x v="2"/>
    <x v="7"/>
    <d v="2011-07-16T00:00:00"/>
    <n v="4"/>
    <x v="1"/>
    <s v="Ben Ferrer"/>
    <x v="2"/>
    <s v="United States"/>
    <s v="Los Angeles"/>
    <s v="California"/>
    <s v="West"/>
    <x v="2"/>
    <x v="7"/>
    <s v="GE DSL Phone Line Filter"/>
    <x v="1086"/>
    <n v="8"/>
    <n v="0.2"/>
    <n v="28.7928"/>
  </r>
  <r>
    <n v="1223"/>
    <x v="429"/>
    <x v="0"/>
    <x v="4"/>
    <d v="2013-12-06T00:00:00"/>
    <n v="1"/>
    <x v="2"/>
    <s v="Becky Martin"/>
    <x v="0"/>
    <s v="United States"/>
    <s v="New York City"/>
    <s v="New York"/>
    <s v="East"/>
    <x v="0"/>
    <x v="5"/>
    <s v="Eldon Delta Triangular Chair Mat, 52&quot; x 58&quot;, Clear"/>
    <x v="1087"/>
    <n v="3"/>
    <n v="0"/>
    <n v="20.482199999999999"/>
  </r>
  <r>
    <n v="1224"/>
    <x v="429"/>
    <x v="0"/>
    <x v="4"/>
    <d v="2013-12-06T00:00:00"/>
    <n v="1"/>
    <x v="2"/>
    <s v="Becky Martin"/>
    <x v="0"/>
    <s v="United States"/>
    <s v="New York City"/>
    <s v="New York"/>
    <s v="East"/>
    <x v="2"/>
    <x v="11"/>
    <s v="Enermax Aurora Lite Keyboard"/>
    <x v="1088"/>
    <n v="1"/>
    <n v="0"/>
    <n v="34.386000000000003"/>
  </r>
  <r>
    <n v="1225"/>
    <x v="429"/>
    <x v="0"/>
    <x v="4"/>
    <d v="2013-12-06T00:00:00"/>
    <n v="1"/>
    <x v="2"/>
    <s v="Becky Martin"/>
    <x v="0"/>
    <s v="United States"/>
    <s v="New York City"/>
    <s v="New York"/>
    <s v="East"/>
    <x v="1"/>
    <x v="8"/>
    <s v="Peel &amp; Stick Add-On Corner Pockets"/>
    <x v="1089"/>
    <n v="1"/>
    <n v="0.2"/>
    <n v="0.6048"/>
  </r>
  <r>
    <n v="1226"/>
    <x v="429"/>
    <x v="0"/>
    <x v="4"/>
    <d v="2013-12-06T00:00:00"/>
    <n v="1"/>
    <x v="2"/>
    <s v="Becky Martin"/>
    <x v="0"/>
    <s v="United States"/>
    <s v="New York City"/>
    <s v="New York"/>
    <s v="East"/>
    <x v="1"/>
    <x v="10"/>
    <s v="Staples"/>
    <x v="1090"/>
    <n v="4"/>
    <n v="0"/>
    <n v="19.874400000000001"/>
  </r>
  <r>
    <n v="1227"/>
    <x v="429"/>
    <x v="0"/>
    <x v="4"/>
    <d v="2013-12-06T00:00:00"/>
    <n v="1"/>
    <x v="2"/>
    <s v="Becky Martin"/>
    <x v="0"/>
    <s v="United States"/>
    <s v="New York City"/>
    <s v="New York"/>
    <s v="East"/>
    <x v="1"/>
    <x v="4"/>
    <s v="Carina Media Storage Towers in Natural &amp; Black"/>
    <x v="1091"/>
    <n v="3"/>
    <n v="0"/>
    <n v="3.6587999999999998"/>
  </r>
  <r>
    <n v="1228"/>
    <x v="429"/>
    <x v="0"/>
    <x v="4"/>
    <d v="2013-12-06T00:00:00"/>
    <n v="1"/>
    <x v="2"/>
    <s v="Becky Martin"/>
    <x v="0"/>
    <s v="United States"/>
    <s v="New York City"/>
    <s v="New York"/>
    <s v="East"/>
    <x v="1"/>
    <x v="4"/>
    <s v="Fellowes Econo/Stor Drawers"/>
    <x v="1092"/>
    <n v="2"/>
    <n v="0"/>
    <n v="11.631600000000001"/>
  </r>
  <r>
    <n v="1229"/>
    <x v="44"/>
    <x v="3"/>
    <x v="0"/>
    <d v="2014-11-12T00:00:00"/>
    <n v="5"/>
    <x v="1"/>
    <s v="Zuschuss Carroll"/>
    <x v="0"/>
    <s v="United States"/>
    <s v="Los Angeles"/>
    <s v="California"/>
    <s v="West"/>
    <x v="1"/>
    <x v="12"/>
    <s v="#10- 4 1/8&quot; x 9 1/2&quot; Security-Tint Envelopes"/>
    <x v="764"/>
    <n v="2"/>
    <n v="0"/>
    <n v="7.4871999999999996"/>
  </r>
  <r>
    <n v="1230"/>
    <x v="44"/>
    <x v="3"/>
    <x v="0"/>
    <d v="2014-11-12T00:00:00"/>
    <n v="5"/>
    <x v="1"/>
    <s v="Zuschuss Carroll"/>
    <x v="0"/>
    <s v="United States"/>
    <s v="Los Angeles"/>
    <s v="California"/>
    <s v="West"/>
    <x v="0"/>
    <x v="5"/>
    <s v="Dax Clear Box Frame"/>
    <x v="984"/>
    <n v="1"/>
    <n v="0"/>
    <n v="2.9681999999999999"/>
  </r>
  <r>
    <n v="1231"/>
    <x v="44"/>
    <x v="3"/>
    <x v="0"/>
    <d v="2014-11-12T00:00:00"/>
    <n v="5"/>
    <x v="1"/>
    <s v="Zuschuss Carroll"/>
    <x v="0"/>
    <s v="United States"/>
    <s v="Los Angeles"/>
    <s v="California"/>
    <s v="West"/>
    <x v="1"/>
    <x v="6"/>
    <s v="SANFORD Liquid Accent Tank-Style Highlighters"/>
    <x v="1093"/>
    <n v="2"/>
    <n v="0"/>
    <n v="1.7607999999999999"/>
  </r>
  <r>
    <n v="1232"/>
    <x v="89"/>
    <x v="1"/>
    <x v="2"/>
    <d v="2012-11-02T00:00:00"/>
    <n v="2"/>
    <x v="0"/>
    <s v="Kean Thornton"/>
    <x v="0"/>
    <s v="United States"/>
    <s v="Buffalo"/>
    <s v="New York"/>
    <s v="East"/>
    <x v="1"/>
    <x v="6"/>
    <s v="Design Ebony Sketching Pencil"/>
    <x v="1094"/>
    <n v="2"/>
    <n v="0"/>
    <n v="0.7228"/>
  </r>
  <r>
    <n v="1233"/>
    <x v="89"/>
    <x v="1"/>
    <x v="2"/>
    <d v="2012-11-02T00:00:00"/>
    <n v="2"/>
    <x v="0"/>
    <s v="Kean Thornton"/>
    <x v="0"/>
    <s v="United States"/>
    <s v="Buffalo"/>
    <s v="New York"/>
    <s v="East"/>
    <x v="1"/>
    <x v="12"/>
    <s v="Blue String-Tie &amp; Button Interoffice Envelopes, 10 x 13"/>
    <x v="1095"/>
    <n v="2"/>
    <n v="0"/>
    <n v="35.981999999999999"/>
  </r>
  <r>
    <n v="1234"/>
    <x v="198"/>
    <x v="0"/>
    <x v="5"/>
    <d v="2013-06-02T00:00:00"/>
    <n v="2"/>
    <x v="2"/>
    <s v="Brooke Gillingham"/>
    <x v="1"/>
    <s v="United States"/>
    <s v="Cincinnati"/>
    <s v="Ohio"/>
    <s v="East"/>
    <x v="2"/>
    <x v="16"/>
    <s v="Canon Imageclass D680 Copier / Fax"/>
    <x v="1096"/>
    <n v="2"/>
    <n v="0.4"/>
    <n v="69.998999999999995"/>
  </r>
  <r>
    <n v="1235"/>
    <x v="99"/>
    <x v="0"/>
    <x v="2"/>
    <d v="2013-10-29T00:00:00"/>
    <n v="0"/>
    <x v="3"/>
    <s v="Patrick Gardner"/>
    <x v="0"/>
    <s v="United States"/>
    <s v="Boynton Beach"/>
    <s v="Florida"/>
    <s v="South"/>
    <x v="0"/>
    <x v="5"/>
    <s v="24-Hour Round Wall Clock"/>
    <x v="1097"/>
    <n v="3"/>
    <n v="0.2"/>
    <n v="13.786199999999999"/>
  </r>
  <r>
    <n v="1236"/>
    <x v="99"/>
    <x v="0"/>
    <x v="2"/>
    <d v="2013-10-29T00:00:00"/>
    <n v="0"/>
    <x v="3"/>
    <s v="Patrick Gardner"/>
    <x v="0"/>
    <s v="United States"/>
    <s v="Boynton Beach"/>
    <s v="Florida"/>
    <s v="South"/>
    <x v="1"/>
    <x v="8"/>
    <s v="Large Capacity Hanging Post Binders"/>
    <x v="1098"/>
    <n v="5"/>
    <n v="0.7"/>
    <n v="-29.94"/>
  </r>
  <r>
    <n v="1237"/>
    <x v="99"/>
    <x v="0"/>
    <x v="2"/>
    <d v="2013-10-29T00:00:00"/>
    <n v="0"/>
    <x v="3"/>
    <s v="Patrick Gardner"/>
    <x v="0"/>
    <s v="United States"/>
    <s v="Boynton Beach"/>
    <s v="Florida"/>
    <s v="South"/>
    <x v="0"/>
    <x v="5"/>
    <s v="Eldon Radial Chair Mat for Low to Medium Pile Carpets"/>
    <x v="1099"/>
    <n v="2"/>
    <n v="0.2"/>
    <n v="0"/>
  </r>
  <r>
    <n v="1238"/>
    <x v="99"/>
    <x v="0"/>
    <x v="2"/>
    <d v="2013-10-29T00:00:00"/>
    <n v="0"/>
    <x v="3"/>
    <s v="Patrick Gardner"/>
    <x v="0"/>
    <s v="United States"/>
    <s v="Boynton Beach"/>
    <s v="Florida"/>
    <s v="South"/>
    <x v="0"/>
    <x v="5"/>
    <s v="Howard Miller 13-1/2&quot; Diameter Rosebrook Wall Clock"/>
    <x v="1100"/>
    <n v="3"/>
    <n v="0.2"/>
    <n v="41.262"/>
  </r>
  <r>
    <n v="1239"/>
    <x v="430"/>
    <x v="2"/>
    <x v="6"/>
    <d v="2011-08-15T00:00:00"/>
    <n v="4"/>
    <x v="1"/>
    <s v="Greg Matthias"/>
    <x v="0"/>
    <s v="United States"/>
    <s v="Seattle"/>
    <s v="Washington"/>
    <s v="West"/>
    <x v="0"/>
    <x v="5"/>
    <s v="Eldon Image Series Desk Accessories, Ebony"/>
    <x v="1101"/>
    <n v="1"/>
    <n v="0"/>
    <n v="5.4340000000000002"/>
  </r>
  <r>
    <n v="1240"/>
    <x v="430"/>
    <x v="2"/>
    <x v="6"/>
    <d v="2011-08-15T00:00:00"/>
    <n v="4"/>
    <x v="1"/>
    <s v="Greg Matthias"/>
    <x v="0"/>
    <s v="United States"/>
    <s v="Seattle"/>
    <s v="Washington"/>
    <s v="West"/>
    <x v="1"/>
    <x v="6"/>
    <s v="Sanford 52201 APSCO Electric Pencil Sharpener"/>
    <x v="1102"/>
    <n v="1"/>
    <n v="0"/>
    <n v="10.652200000000001"/>
  </r>
  <r>
    <n v="1241"/>
    <x v="430"/>
    <x v="2"/>
    <x v="6"/>
    <d v="2011-08-15T00:00:00"/>
    <n v="4"/>
    <x v="1"/>
    <s v="Greg Matthias"/>
    <x v="0"/>
    <s v="United States"/>
    <s v="Seattle"/>
    <s v="Washington"/>
    <s v="West"/>
    <x v="1"/>
    <x v="13"/>
    <s v="Vinyl Coated Wire Paper Clips in Organizer Box, 800/Box"/>
    <x v="1003"/>
    <n v="2"/>
    <n v="0"/>
    <n v="10.7912"/>
  </r>
  <r>
    <n v="1242"/>
    <x v="48"/>
    <x v="0"/>
    <x v="6"/>
    <d v="2013-09-05T00:00:00"/>
    <n v="6"/>
    <x v="1"/>
    <s v="Meg O'Connel"/>
    <x v="2"/>
    <s v="United States"/>
    <s v="New York City"/>
    <s v="New York"/>
    <s v="East"/>
    <x v="2"/>
    <x v="7"/>
    <s v="Samsung Replacement EH64AVFWE Premium Headset"/>
    <x v="1103"/>
    <n v="4"/>
    <n v="0"/>
    <n v="5.5"/>
  </r>
  <r>
    <n v="1243"/>
    <x v="431"/>
    <x v="0"/>
    <x v="11"/>
    <d v="2013-02-22T00:00:00"/>
    <n v="7"/>
    <x v="1"/>
    <s v="Patrick Gardner"/>
    <x v="0"/>
    <s v="United States"/>
    <s v="New York City"/>
    <s v="New York"/>
    <s v="East"/>
    <x v="1"/>
    <x v="8"/>
    <s v="GBC DocuBind P100 Manual Binding Machine"/>
    <x v="1104"/>
    <n v="3"/>
    <n v="0.2"/>
    <n v="124.485"/>
  </r>
  <r>
    <n v="1244"/>
    <x v="431"/>
    <x v="0"/>
    <x v="11"/>
    <d v="2013-02-22T00:00:00"/>
    <n v="7"/>
    <x v="1"/>
    <s v="Patrick Gardner"/>
    <x v="0"/>
    <s v="United States"/>
    <s v="New York City"/>
    <s v="New York"/>
    <s v="East"/>
    <x v="1"/>
    <x v="13"/>
    <s v="Advantus Push Pins"/>
    <x v="521"/>
    <n v="4"/>
    <n v="0"/>
    <n v="3.5752000000000002"/>
  </r>
  <r>
    <n v="1245"/>
    <x v="304"/>
    <x v="3"/>
    <x v="5"/>
    <d v="2014-05-22T00:00:00"/>
    <n v="7"/>
    <x v="1"/>
    <s v="Eva Jacobs"/>
    <x v="0"/>
    <s v="United States"/>
    <s v="Gulfport"/>
    <s v="Mississippi"/>
    <s v="South"/>
    <x v="1"/>
    <x v="12"/>
    <s v="Fashion Color Clasp Envelopes"/>
    <x v="1105"/>
    <n v="9"/>
    <n v="0"/>
    <n v="23.8581"/>
  </r>
  <r>
    <n v="1246"/>
    <x v="432"/>
    <x v="2"/>
    <x v="4"/>
    <d v="2011-12-14T00:00:00"/>
    <n v="2"/>
    <x v="0"/>
    <s v="Nora Preis"/>
    <x v="0"/>
    <s v="United States"/>
    <s v="Fresno"/>
    <s v="California"/>
    <s v="West"/>
    <x v="0"/>
    <x v="3"/>
    <s v="Hon Non-Folding Utility Tables"/>
    <x v="1106"/>
    <n v="6"/>
    <n v="0.2"/>
    <n v="95.585999999999999"/>
  </r>
  <r>
    <n v="1247"/>
    <x v="432"/>
    <x v="2"/>
    <x v="4"/>
    <d v="2011-12-14T00:00:00"/>
    <n v="2"/>
    <x v="0"/>
    <s v="Nora Preis"/>
    <x v="0"/>
    <s v="United States"/>
    <s v="Fresno"/>
    <s v="California"/>
    <s v="West"/>
    <x v="0"/>
    <x v="3"/>
    <s v="Bretford Rectangular Conference Table Tops"/>
    <x v="1107"/>
    <n v="12"/>
    <n v="0.2"/>
    <n v="135.4068"/>
  </r>
  <r>
    <n v="1248"/>
    <x v="432"/>
    <x v="2"/>
    <x v="4"/>
    <d v="2011-12-14T00:00:00"/>
    <n v="2"/>
    <x v="0"/>
    <s v="Nora Preis"/>
    <x v="0"/>
    <s v="United States"/>
    <s v="Fresno"/>
    <s v="California"/>
    <s v="West"/>
    <x v="0"/>
    <x v="0"/>
    <s v="Bestar Classic Bookcase"/>
    <x v="1108"/>
    <n v="3"/>
    <n v="0.15"/>
    <n v="11.998799999999999"/>
  </r>
  <r>
    <n v="1249"/>
    <x v="404"/>
    <x v="3"/>
    <x v="4"/>
    <d v="2014-12-25T00:00:00"/>
    <n v="6"/>
    <x v="1"/>
    <s v="Doug Jacobs"/>
    <x v="0"/>
    <s v="United States"/>
    <s v="New York City"/>
    <s v="New York"/>
    <s v="East"/>
    <x v="1"/>
    <x v="6"/>
    <s v="Staples"/>
    <x v="1109"/>
    <n v="6"/>
    <n v="0"/>
    <n v="17.469000000000001"/>
  </r>
  <r>
    <n v="1250"/>
    <x v="404"/>
    <x v="3"/>
    <x v="4"/>
    <d v="2014-12-25T00:00:00"/>
    <n v="6"/>
    <x v="1"/>
    <s v="Doug Jacobs"/>
    <x v="0"/>
    <s v="United States"/>
    <s v="New York City"/>
    <s v="New York"/>
    <s v="East"/>
    <x v="0"/>
    <x v="1"/>
    <s v="Office Star - Contemporary Swivel Chair with Padded Adjustable Arms and Flex Back"/>
    <x v="1110"/>
    <n v="9"/>
    <n v="0.1"/>
    <n v="139.5702"/>
  </r>
  <r>
    <n v="1251"/>
    <x v="404"/>
    <x v="3"/>
    <x v="4"/>
    <d v="2014-12-25T00:00:00"/>
    <n v="6"/>
    <x v="1"/>
    <s v="Doug Jacobs"/>
    <x v="0"/>
    <s v="United States"/>
    <s v="New York City"/>
    <s v="New York"/>
    <s v="East"/>
    <x v="1"/>
    <x v="9"/>
    <s v="Kensington 7 Outlet MasterPiece HOMEOFFICE Power Control Center"/>
    <x v="1111"/>
    <n v="13"/>
    <n v="0"/>
    <n v="511.36799999999999"/>
  </r>
  <r>
    <n v="1252"/>
    <x v="404"/>
    <x v="3"/>
    <x v="4"/>
    <d v="2014-12-25T00:00:00"/>
    <n v="6"/>
    <x v="1"/>
    <s v="Doug Jacobs"/>
    <x v="0"/>
    <s v="United States"/>
    <s v="New York City"/>
    <s v="New York"/>
    <s v="East"/>
    <x v="1"/>
    <x v="6"/>
    <s v="Sanford Pocket Accent Highlighters"/>
    <x v="1112"/>
    <n v="2"/>
    <n v="0"/>
    <n v="1.3759999999999999"/>
  </r>
  <r>
    <n v="1253"/>
    <x v="433"/>
    <x v="1"/>
    <x v="7"/>
    <d v="2012-07-09T00:00:00"/>
    <n v="5"/>
    <x v="1"/>
    <s v="Irene Maddox"/>
    <x v="0"/>
    <s v="United States"/>
    <s v="Milwaukee"/>
    <s v="Wisconsin"/>
    <s v="Central"/>
    <x v="2"/>
    <x v="7"/>
    <s v="Mitel MiVoice 5330e IP Phone"/>
    <x v="1113"/>
    <n v="4"/>
    <n v="0"/>
    <n v="285.9896"/>
  </r>
  <r>
    <n v="1254"/>
    <x v="434"/>
    <x v="3"/>
    <x v="10"/>
    <d v="2014-03-15T00:00:00"/>
    <n v="4"/>
    <x v="1"/>
    <s v="Mick Hernandez"/>
    <x v="2"/>
    <s v="United States"/>
    <s v="Chester"/>
    <s v="Pennsylvania"/>
    <s v="East"/>
    <x v="1"/>
    <x v="6"/>
    <s v="Newell 337"/>
    <x v="791"/>
    <n v="2"/>
    <n v="0.2"/>
    <n v="0.59040000000000004"/>
  </r>
  <r>
    <n v="1255"/>
    <x v="434"/>
    <x v="3"/>
    <x v="10"/>
    <d v="2014-03-15T00:00:00"/>
    <n v="4"/>
    <x v="1"/>
    <s v="Mick Hernandez"/>
    <x v="2"/>
    <s v="United States"/>
    <s v="Chester"/>
    <s v="Pennsylvania"/>
    <s v="East"/>
    <x v="2"/>
    <x v="7"/>
    <s v="Cisco SPA525G2 IP Phone - Wireless"/>
    <x v="382"/>
    <n v="3"/>
    <n v="0.4"/>
    <n v="-8.3789999999999996"/>
  </r>
  <r>
    <n v="1256"/>
    <x v="434"/>
    <x v="3"/>
    <x v="10"/>
    <d v="2014-03-15T00:00:00"/>
    <n v="4"/>
    <x v="1"/>
    <s v="Mick Hernandez"/>
    <x v="2"/>
    <s v="United States"/>
    <s v="Chester"/>
    <s v="Pennsylvania"/>
    <s v="East"/>
    <x v="0"/>
    <x v="5"/>
    <s v="Westinghouse Clip-On Gooseneck Lamps"/>
    <x v="1114"/>
    <n v="1"/>
    <n v="0.2"/>
    <n v="0.50219999999999998"/>
  </r>
  <r>
    <n v="1257"/>
    <x v="434"/>
    <x v="3"/>
    <x v="10"/>
    <d v="2014-03-15T00:00:00"/>
    <n v="4"/>
    <x v="1"/>
    <s v="Mick Hernandez"/>
    <x v="2"/>
    <s v="United States"/>
    <s v="Chester"/>
    <s v="Pennsylvania"/>
    <s v="East"/>
    <x v="0"/>
    <x v="5"/>
    <s v="Howard Miller Distant Time Traveler Alarm Clock"/>
    <x v="1115"/>
    <n v="2"/>
    <n v="0.2"/>
    <n v="11.516400000000001"/>
  </r>
  <r>
    <n v="1258"/>
    <x v="435"/>
    <x v="0"/>
    <x v="4"/>
    <d v="2013-12-29T00:00:00"/>
    <n v="4"/>
    <x v="0"/>
    <s v="Ross Baird"/>
    <x v="2"/>
    <s v="United States"/>
    <s v="Charlotte"/>
    <s v="North Carolina"/>
    <s v="South"/>
    <x v="1"/>
    <x v="8"/>
    <s v="GBC Linen Binding Covers"/>
    <x v="1116"/>
    <n v="3"/>
    <n v="0.7"/>
    <n v="-20.4468"/>
  </r>
  <r>
    <n v="1259"/>
    <x v="435"/>
    <x v="0"/>
    <x v="4"/>
    <d v="2013-12-29T00:00:00"/>
    <n v="4"/>
    <x v="0"/>
    <s v="Ross Baird"/>
    <x v="2"/>
    <s v="United States"/>
    <s v="Charlotte"/>
    <s v="North Carolina"/>
    <s v="South"/>
    <x v="1"/>
    <x v="4"/>
    <s v="Tennsco Double-Tier Lockers"/>
    <x v="1117"/>
    <n v="3"/>
    <n v="0.2"/>
    <n v="-47.254199999999997"/>
  </r>
  <r>
    <n v="1260"/>
    <x v="435"/>
    <x v="0"/>
    <x v="4"/>
    <d v="2013-12-29T00:00:00"/>
    <n v="4"/>
    <x v="0"/>
    <s v="Ross Baird"/>
    <x v="2"/>
    <s v="United States"/>
    <s v="Charlotte"/>
    <s v="North Carolina"/>
    <s v="South"/>
    <x v="2"/>
    <x v="11"/>
    <s v="Microsoft Sculpt Comfort Mouse"/>
    <x v="1118"/>
    <n v="8"/>
    <n v="0.2"/>
    <n v="76.703999999999994"/>
  </r>
  <r>
    <n v="1261"/>
    <x v="436"/>
    <x v="3"/>
    <x v="2"/>
    <d v="2014-10-28T00:00:00"/>
    <n v="4"/>
    <x v="1"/>
    <s v="Jocasta Rupert"/>
    <x v="0"/>
    <s v="United States"/>
    <s v="Jacksonville"/>
    <s v="Florida"/>
    <s v="South"/>
    <x v="2"/>
    <x v="7"/>
    <s v="Wilson SignalBoost 841262 DB PRO Amplifier Kit"/>
    <x v="1119"/>
    <n v="3"/>
    <n v="0.2"/>
    <n v="107.985"/>
  </r>
  <r>
    <n v="1262"/>
    <x v="99"/>
    <x v="0"/>
    <x v="2"/>
    <d v="2013-11-05T00:00:00"/>
    <n v="7"/>
    <x v="1"/>
    <s v="Suzanne McNair"/>
    <x v="1"/>
    <s v="United States"/>
    <s v="Greenville"/>
    <s v="North Carolina"/>
    <s v="South"/>
    <x v="1"/>
    <x v="8"/>
    <s v="XtraLife ClearVue Slant-D Ring Binder, White, 3&quot;"/>
    <x v="1120"/>
    <n v="4"/>
    <n v="0.7"/>
    <n v="-14.0928"/>
  </r>
  <r>
    <n v="1263"/>
    <x v="437"/>
    <x v="3"/>
    <x v="7"/>
    <d v="2014-07-10T00:00:00"/>
    <n v="2"/>
    <x v="0"/>
    <s v="Christine Sundaresam"/>
    <x v="0"/>
    <s v="United States"/>
    <s v="Long Beach"/>
    <s v="New York"/>
    <s v="East"/>
    <x v="1"/>
    <x v="8"/>
    <s v="Wilson Jones Active Use Binders"/>
    <x v="1121"/>
    <n v="3"/>
    <n v="0.2"/>
    <n v="6.3335999999999997"/>
  </r>
  <r>
    <n v="1264"/>
    <x v="393"/>
    <x v="0"/>
    <x v="2"/>
    <d v="2013-10-03T00:00:00"/>
    <n v="1"/>
    <x v="2"/>
    <s v="Chris Cortes"/>
    <x v="0"/>
    <s v="United States"/>
    <s v="La Porte"/>
    <s v="Indiana"/>
    <s v="Central"/>
    <x v="2"/>
    <x v="7"/>
    <s v="Plantronics Cordless Phone Headset with In-line Volume - M214C"/>
    <x v="1122"/>
    <n v="2"/>
    <n v="0"/>
    <n v="18.873000000000001"/>
  </r>
  <r>
    <n v="1265"/>
    <x v="393"/>
    <x v="0"/>
    <x v="2"/>
    <d v="2013-10-03T00:00:00"/>
    <n v="1"/>
    <x v="2"/>
    <s v="Chris Cortes"/>
    <x v="0"/>
    <s v="United States"/>
    <s v="La Porte"/>
    <s v="Indiana"/>
    <s v="Central"/>
    <x v="0"/>
    <x v="5"/>
    <s v="Westinghouse Clip-On Gooseneck Lamps"/>
    <x v="1123"/>
    <n v="5"/>
    <n v="0"/>
    <n v="10.881"/>
  </r>
  <r>
    <n v="1266"/>
    <x v="264"/>
    <x v="3"/>
    <x v="8"/>
    <d v="2014-09-08T00:00:00"/>
    <n v="5"/>
    <x v="1"/>
    <s v="Phillip Flathmann"/>
    <x v="0"/>
    <s v="United States"/>
    <s v="San Francisco"/>
    <s v="California"/>
    <s v="West"/>
    <x v="1"/>
    <x v="6"/>
    <s v="Pencil and Crayon Sharpener"/>
    <x v="1124"/>
    <n v="3"/>
    <n v="0"/>
    <n v="1.7739"/>
  </r>
  <r>
    <n v="1267"/>
    <x v="163"/>
    <x v="2"/>
    <x v="4"/>
    <d v="2011-12-29T00:00:00"/>
    <n v="5"/>
    <x v="1"/>
    <s v="Julie Creighton"/>
    <x v="1"/>
    <s v="United States"/>
    <s v="Los Angeles"/>
    <s v="California"/>
    <s v="West"/>
    <x v="1"/>
    <x v="4"/>
    <s v="Letter Size Cart"/>
    <x v="1125"/>
    <n v="1"/>
    <n v="0"/>
    <n v="41.429400000000001"/>
  </r>
  <r>
    <n v="1268"/>
    <x v="163"/>
    <x v="2"/>
    <x v="4"/>
    <d v="2011-12-29T00:00:00"/>
    <n v="5"/>
    <x v="1"/>
    <s v="Julie Creighton"/>
    <x v="1"/>
    <s v="United States"/>
    <s v="Los Angeles"/>
    <s v="California"/>
    <s v="West"/>
    <x v="0"/>
    <x v="1"/>
    <s v="Global Value Mid-Back Manager's Chair, Gray"/>
    <x v="1126"/>
    <n v="6"/>
    <n v="0.2"/>
    <n v="18.266999999999999"/>
  </r>
  <r>
    <n v="1269"/>
    <x v="397"/>
    <x v="3"/>
    <x v="8"/>
    <d v="2014-09-28T00:00:00"/>
    <n v="4"/>
    <x v="1"/>
    <s v="Brooke Gillingham"/>
    <x v="1"/>
    <s v="United States"/>
    <s v="Louisville"/>
    <s v="Colorado"/>
    <s v="West"/>
    <x v="0"/>
    <x v="5"/>
    <s v="Aluminum Document Frame"/>
    <x v="1127"/>
    <n v="3"/>
    <n v="0.2"/>
    <n v="3.6659999999999999"/>
  </r>
  <r>
    <n v="1270"/>
    <x v="400"/>
    <x v="3"/>
    <x v="1"/>
    <d v="2014-06-09T00:00:00"/>
    <n v="4"/>
    <x v="1"/>
    <s v="Dan Campbell"/>
    <x v="0"/>
    <s v="United States"/>
    <s v="Florence"/>
    <s v="Alabama"/>
    <s v="South"/>
    <x v="1"/>
    <x v="10"/>
    <s v="Ampad Phone Message Book, Recycled, 400 Message Capacity, 5 ¾” x 11”"/>
    <x v="1128"/>
    <n v="2"/>
    <n v="0"/>
    <n v="5.6159999999999997"/>
  </r>
  <r>
    <n v="1271"/>
    <x v="438"/>
    <x v="0"/>
    <x v="3"/>
    <d v="2013-04-27T00:00:00"/>
    <n v="5"/>
    <x v="1"/>
    <s v="Sibella Parks"/>
    <x v="1"/>
    <s v="United States"/>
    <s v="Chicago"/>
    <s v="Illinois"/>
    <s v="Central"/>
    <x v="1"/>
    <x v="4"/>
    <s v="Fellowes Bankers Box Stor/Drawer Steel Plus"/>
    <x v="1129"/>
    <n v="4"/>
    <n v="0.2"/>
    <n v="-12.792"/>
  </r>
  <r>
    <n v="1272"/>
    <x v="438"/>
    <x v="0"/>
    <x v="3"/>
    <d v="2013-04-27T00:00:00"/>
    <n v="5"/>
    <x v="1"/>
    <s v="Sibella Parks"/>
    <x v="1"/>
    <s v="United States"/>
    <s v="Chicago"/>
    <s v="Illinois"/>
    <s v="Central"/>
    <x v="1"/>
    <x v="9"/>
    <s v="Kensington 4 Outlet MasterPiece Compact Power Control Center"/>
    <x v="1130"/>
    <n v="3"/>
    <n v="0.8"/>
    <n v="-126.8592"/>
  </r>
  <r>
    <n v="1273"/>
    <x v="438"/>
    <x v="0"/>
    <x v="3"/>
    <d v="2013-04-27T00:00:00"/>
    <n v="5"/>
    <x v="1"/>
    <s v="Sibella Parks"/>
    <x v="1"/>
    <s v="United States"/>
    <s v="Chicago"/>
    <s v="Illinois"/>
    <s v="Central"/>
    <x v="1"/>
    <x v="8"/>
    <s v="Performers Binder/Pad Holder, Black"/>
    <x v="1131"/>
    <n v="8"/>
    <n v="0.8"/>
    <n v="-67.272000000000006"/>
  </r>
  <r>
    <n v="1274"/>
    <x v="439"/>
    <x v="0"/>
    <x v="5"/>
    <d v="2013-05-27T00:00:00"/>
    <n v="0"/>
    <x v="3"/>
    <s v="Maurice Satty"/>
    <x v="0"/>
    <s v="United States"/>
    <s v="Fort Worth"/>
    <s v="Texas"/>
    <s v="Central"/>
    <x v="1"/>
    <x v="10"/>
    <s v="Xerox 212"/>
    <x v="559"/>
    <n v="2"/>
    <n v="0.2"/>
    <n v="3.6288"/>
  </r>
  <r>
    <n v="1275"/>
    <x v="439"/>
    <x v="0"/>
    <x v="5"/>
    <d v="2013-05-27T00:00:00"/>
    <n v="0"/>
    <x v="3"/>
    <s v="Maurice Satty"/>
    <x v="0"/>
    <s v="United States"/>
    <s v="Fort Worth"/>
    <s v="Texas"/>
    <s v="Central"/>
    <x v="0"/>
    <x v="1"/>
    <s v="Office Star Flex Back Scooter Chair with White Frame"/>
    <x v="1132"/>
    <n v="5"/>
    <n v="0.3"/>
    <n v="-88.784000000000006"/>
  </r>
  <r>
    <n v="1276"/>
    <x v="439"/>
    <x v="0"/>
    <x v="5"/>
    <d v="2013-05-27T00:00:00"/>
    <n v="0"/>
    <x v="3"/>
    <s v="Maurice Satty"/>
    <x v="0"/>
    <s v="United States"/>
    <s v="Fort Worth"/>
    <s v="Texas"/>
    <s v="Central"/>
    <x v="1"/>
    <x v="10"/>
    <s v="Universal Premium White Copier/Laser Paper (20Lb. and 87 Bright)"/>
    <x v="642"/>
    <n v="3"/>
    <n v="0.2"/>
    <n v="5.2026000000000003"/>
  </r>
  <r>
    <n v="1277"/>
    <x v="439"/>
    <x v="0"/>
    <x v="5"/>
    <d v="2013-05-27T00:00:00"/>
    <n v="0"/>
    <x v="3"/>
    <s v="Maurice Satty"/>
    <x v="0"/>
    <s v="United States"/>
    <s v="Fort Worth"/>
    <s v="Texas"/>
    <s v="Central"/>
    <x v="2"/>
    <x v="11"/>
    <s v="Logitech G13 Programmable Gameboard with LCD Display"/>
    <x v="1133"/>
    <n v="1"/>
    <n v="0.2"/>
    <n v="-7.1990999999999996"/>
  </r>
  <r>
    <n v="1278"/>
    <x v="440"/>
    <x v="0"/>
    <x v="5"/>
    <d v="2013-05-08T00:00:00"/>
    <n v="5"/>
    <x v="1"/>
    <s v="Bryan Davis"/>
    <x v="0"/>
    <s v="United States"/>
    <s v="Houston"/>
    <s v="Texas"/>
    <s v="Central"/>
    <x v="1"/>
    <x v="6"/>
    <s v="Panasonic KP-380BK Classic Electric Pencil Sharpener"/>
    <x v="1134"/>
    <n v="3"/>
    <n v="0.2"/>
    <n v="5.3970000000000002"/>
  </r>
  <r>
    <n v="1279"/>
    <x v="78"/>
    <x v="2"/>
    <x v="8"/>
    <d v="2011-09-11T00:00:00"/>
    <n v="3"/>
    <x v="2"/>
    <s v="Karen Carlisle"/>
    <x v="1"/>
    <s v="United States"/>
    <s v="Macon"/>
    <s v="Georgia"/>
    <s v="South"/>
    <x v="2"/>
    <x v="11"/>
    <s v="Memorex Froggy Flash Drive 4 GB"/>
    <x v="1135"/>
    <n v="3"/>
    <n v="0"/>
    <n v="12.8583"/>
  </r>
  <r>
    <n v="1280"/>
    <x v="78"/>
    <x v="2"/>
    <x v="8"/>
    <d v="2011-09-11T00:00:00"/>
    <n v="3"/>
    <x v="2"/>
    <s v="Karen Carlisle"/>
    <x v="1"/>
    <s v="United States"/>
    <s v="Macon"/>
    <s v="Georgia"/>
    <s v="South"/>
    <x v="2"/>
    <x v="11"/>
    <s v="Maxell 74 Minute CD-R Spindle, 50/Pack"/>
    <x v="1136"/>
    <n v="4"/>
    <n v="0"/>
    <n v="30.1968"/>
  </r>
  <r>
    <n v="1281"/>
    <x v="64"/>
    <x v="0"/>
    <x v="8"/>
    <d v="2013-09-07T00:00:00"/>
    <n v="1"/>
    <x v="2"/>
    <s v="Toby Ritter"/>
    <x v="0"/>
    <s v="United States"/>
    <s v="Cedar Rapids"/>
    <s v="Iowa"/>
    <s v="Central"/>
    <x v="2"/>
    <x v="7"/>
    <s v="Geemarc AmpliPOWER60"/>
    <x v="1137"/>
    <n v="3"/>
    <n v="0"/>
    <n v="80.736000000000004"/>
  </r>
  <r>
    <n v="1282"/>
    <x v="359"/>
    <x v="3"/>
    <x v="3"/>
    <d v="2014-04-12T00:00:00"/>
    <n v="2"/>
    <x v="2"/>
    <s v="Sue Ann Reed"/>
    <x v="0"/>
    <s v="United States"/>
    <s v="Jacksonville"/>
    <s v="Florida"/>
    <s v="South"/>
    <x v="1"/>
    <x v="2"/>
    <s v="Avery 48"/>
    <x v="1138"/>
    <n v="3"/>
    <n v="0.2"/>
    <n v="4.9139999999999997"/>
  </r>
  <r>
    <n v="1283"/>
    <x v="359"/>
    <x v="3"/>
    <x v="3"/>
    <d v="2014-04-12T00:00:00"/>
    <n v="2"/>
    <x v="2"/>
    <s v="Sue Ann Reed"/>
    <x v="0"/>
    <s v="United States"/>
    <s v="Jacksonville"/>
    <s v="Florida"/>
    <s v="South"/>
    <x v="1"/>
    <x v="8"/>
    <s v="Avery Arch Ring Binders"/>
    <x v="1139"/>
    <n v="1"/>
    <n v="0.7"/>
    <n v="-13.363"/>
  </r>
  <r>
    <n v="1284"/>
    <x v="359"/>
    <x v="3"/>
    <x v="3"/>
    <d v="2014-04-12T00:00:00"/>
    <n v="2"/>
    <x v="2"/>
    <s v="Sue Ann Reed"/>
    <x v="0"/>
    <s v="United States"/>
    <s v="Jacksonville"/>
    <s v="Florida"/>
    <s v="South"/>
    <x v="1"/>
    <x v="10"/>
    <s v="Xerox 1915"/>
    <x v="1140"/>
    <n v="3"/>
    <n v="0.2"/>
    <n v="88.073999999999998"/>
  </r>
  <r>
    <n v="1285"/>
    <x v="401"/>
    <x v="1"/>
    <x v="4"/>
    <d v="2012-12-12T00:00:00"/>
    <n v="6"/>
    <x v="1"/>
    <s v="Katrina Willman"/>
    <x v="0"/>
    <s v="United States"/>
    <s v="Austin"/>
    <s v="Texas"/>
    <s v="Central"/>
    <x v="1"/>
    <x v="8"/>
    <s v="Avery Reinforcements for Hole-Punch Pages"/>
    <x v="1141"/>
    <n v="7"/>
    <n v="0.8"/>
    <n v="-4.851"/>
  </r>
  <r>
    <n v="1286"/>
    <x v="190"/>
    <x v="0"/>
    <x v="1"/>
    <d v="2013-07-04T00:00:00"/>
    <n v="7"/>
    <x v="1"/>
    <s v="Gene McClure"/>
    <x v="0"/>
    <s v="United States"/>
    <s v="Providence"/>
    <s v="Rhode Island"/>
    <s v="East"/>
    <x v="1"/>
    <x v="4"/>
    <s v="Woodgrain Magazine Files by Perma"/>
    <x v="81"/>
    <n v="5"/>
    <n v="0"/>
    <n v="1.0429999999999999"/>
  </r>
  <r>
    <n v="1287"/>
    <x v="433"/>
    <x v="1"/>
    <x v="7"/>
    <d v="2012-07-08T00:00:00"/>
    <n v="4"/>
    <x v="1"/>
    <s v="Alan Dominguez"/>
    <x v="2"/>
    <s v="United States"/>
    <s v="New York City"/>
    <s v="New York"/>
    <s v="East"/>
    <x v="1"/>
    <x v="6"/>
    <s v="Colorific Watercolor Pencils"/>
    <x v="1142"/>
    <n v="3"/>
    <n v="0"/>
    <n v="4.4892000000000003"/>
  </r>
  <r>
    <n v="1288"/>
    <x v="441"/>
    <x v="0"/>
    <x v="0"/>
    <d v="2013-11-27T00:00:00"/>
    <n v="4"/>
    <x v="1"/>
    <s v="Todd Boyes"/>
    <x v="1"/>
    <s v="United States"/>
    <s v="New York City"/>
    <s v="New York"/>
    <s v="East"/>
    <x v="0"/>
    <x v="5"/>
    <s v="Luxo Economy Swing Arm Lamp"/>
    <x v="1143"/>
    <n v="2"/>
    <n v="0"/>
    <n v="11.166399999999999"/>
  </r>
  <r>
    <n v="1289"/>
    <x v="441"/>
    <x v="0"/>
    <x v="0"/>
    <d v="2013-11-27T00:00:00"/>
    <n v="4"/>
    <x v="1"/>
    <s v="Todd Boyes"/>
    <x v="1"/>
    <s v="United States"/>
    <s v="New York City"/>
    <s v="New York"/>
    <s v="East"/>
    <x v="1"/>
    <x v="8"/>
    <s v="Acco Pressboard Covers with Storage Hooks, 9 1/2&quot; x 11&quot;, Executive Red"/>
    <x v="848"/>
    <n v="4"/>
    <n v="0.2"/>
    <n v="4.1147999999999998"/>
  </r>
  <r>
    <n v="1290"/>
    <x v="441"/>
    <x v="0"/>
    <x v="0"/>
    <d v="2013-11-27T00:00:00"/>
    <n v="4"/>
    <x v="1"/>
    <s v="Todd Boyes"/>
    <x v="1"/>
    <s v="United States"/>
    <s v="New York City"/>
    <s v="New York"/>
    <s v="East"/>
    <x v="1"/>
    <x v="6"/>
    <s v="BIC Liqua Brite Liner"/>
    <x v="1144"/>
    <n v="3"/>
    <n v="0"/>
    <n v="7.4951999999999996"/>
  </r>
  <r>
    <n v="1291"/>
    <x v="338"/>
    <x v="0"/>
    <x v="0"/>
    <d v="2013-11-13T00:00:00"/>
    <n v="2"/>
    <x v="2"/>
    <s v="Chuck Clark"/>
    <x v="2"/>
    <s v="United States"/>
    <s v="San Francisco"/>
    <s v="California"/>
    <s v="West"/>
    <x v="1"/>
    <x v="8"/>
    <s v="ACCOHIDE 3-Ring Binder, Blue, 1&quot;"/>
    <x v="1145"/>
    <n v="4"/>
    <n v="0.2"/>
    <n v="4.4603999999999999"/>
  </r>
  <r>
    <n v="1292"/>
    <x v="338"/>
    <x v="0"/>
    <x v="0"/>
    <d v="2013-11-13T00:00:00"/>
    <n v="2"/>
    <x v="2"/>
    <s v="Chuck Clark"/>
    <x v="2"/>
    <s v="United States"/>
    <s v="San Francisco"/>
    <s v="California"/>
    <s v="West"/>
    <x v="1"/>
    <x v="10"/>
    <s v="Xerox 1996"/>
    <x v="56"/>
    <n v="5"/>
    <n v="0"/>
    <n v="15.552"/>
  </r>
  <r>
    <n v="1293"/>
    <x v="375"/>
    <x v="1"/>
    <x v="6"/>
    <d v="2012-09-01T00:00:00"/>
    <n v="5"/>
    <x v="1"/>
    <s v="Philip Fox"/>
    <x v="0"/>
    <s v="United States"/>
    <s v="San Diego"/>
    <s v="California"/>
    <s v="West"/>
    <x v="1"/>
    <x v="14"/>
    <s v="Fiskars Softgrip Scissors"/>
    <x v="1146"/>
    <n v="3"/>
    <n v="0"/>
    <n v="9.2232000000000003"/>
  </r>
  <r>
    <n v="1294"/>
    <x v="375"/>
    <x v="1"/>
    <x v="6"/>
    <d v="2012-09-01T00:00:00"/>
    <n v="5"/>
    <x v="1"/>
    <s v="Philip Fox"/>
    <x v="0"/>
    <s v="United States"/>
    <s v="San Diego"/>
    <s v="California"/>
    <s v="West"/>
    <x v="1"/>
    <x v="10"/>
    <s v="Xerox 1973"/>
    <x v="1147"/>
    <n v="5"/>
    <n v="0"/>
    <n v="52.531999999999996"/>
  </r>
  <r>
    <n v="1295"/>
    <x v="375"/>
    <x v="1"/>
    <x v="6"/>
    <d v="2012-09-01T00:00:00"/>
    <n v="5"/>
    <x v="1"/>
    <s v="Philip Fox"/>
    <x v="0"/>
    <s v="United States"/>
    <s v="San Diego"/>
    <s v="California"/>
    <s v="West"/>
    <x v="1"/>
    <x v="2"/>
    <s v="Avery 511"/>
    <x v="1148"/>
    <n v="1"/>
    <n v="0"/>
    <n v="1.4783999999999999"/>
  </r>
  <r>
    <n v="1296"/>
    <x v="442"/>
    <x v="1"/>
    <x v="5"/>
    <d v="2012-05-29T00:00:00"/>
    <n v="4"/>
    <x v="1"/>
    <s v="Justin Hirsh"/>
    <x v="0"/>
    <s v="United States"/>
    <s v="Pueblo"/>
    <s v="Colorado"/>
    <s v="West"/>
    <x v="1"/>
    <x v="9"/>
    <s v="Kensington 4 Outlet MasterPiece Compact Power Control Center"/>
    <x v="1149"/>
    <n v="13"/>
    <n v="0.2"/>
    <n v="84.572800000000001"/>
  </r>
  <r>
    <n v="1297"/>
    <x v="247"/>
    <x v="3"/>
    <x v="4"/>
    <d v="2015-01-04T00:00:00"/>
    <n v="4"/>
    <x v="1"/>
    <s v="Erica Bern"/>
    <x v="1"/>
    <s v="United States"/>
    <s v="Fairfield"/>
    <s v="California"/>
    <s v="West"/>
    <x v="1"/>
    <x v="8"/>
    <s v="Cardinal Slant-D Ring Binder, Heavy Gauge Vinyl"/>
    <x v="1150"/>
    <n v="2"/>
    <n v="0.2"/>
    <n v="4.5187999999999997"/>
  </r>
  <r>
    <n v="1298"/>
    <x v="247"/>
    <x v="3"/>
    <x v="4"/>
    <d v="2015-01-04T00:00:00"/>
    <n v="4"/>
    <x v="1"/>
    <s v="Erica Bern"/>
    <x v="1"/>
    <s v="United States"/>
    <s v="Fairfield"/>
    <s v="California"/>
    <s v="West"/>
    <x v="1"/>
    <x v="8"/>
    <s v="GBC Binding covers"/>
    <x v="1151"/>
    <n v="2"/>
    <n v="0.2"/>
    <n v="6.4749999999999996"/>
  </r>
  <r>
    <n v="1299"/>
    <x v="16"/>
    <x v="0"/>
    <x v="4"/>
    <d v="2013-12-13T00:00:00"/>
    <n v="4"/>
    <x v="0"/>
    <s v="Quincy Jones"/>
    <x v="1"/>
    <s v="United States"/>
    <s v="Saint Paul"/>
    <s v="Minnesota"/>
    <s v="Central"/>
    <x v="2"/>
    <x v="7"/>
    <s v="Motorola HK250 Universal Bluetooth Headset"/>
    <x v="1152"/>
    <n v="5"/>
    <n v="0"/>
    <n v="2.2989999999999999"/>
  </r>
  <r>
    <n v="1300"/>
    <x v="242"/>
    <x v="1"/>
    <x v="2"/>
    <d v="2012-10-07T00:00:00"/>
    <n v="3"/>
    <x v="2"/>
    <s v="Alex Avila"/>
    <x v="0"/>
    <s v="United States"/>
    <s v="San Francisco"/>
    <s v="California"/>
    <s v="West"/>
    <x v="1"/>
    <x v="4"/>
    <s v="Tenex Personal Project File with Scoop Front Design, Black"/>
    <x v="1153"/>
    <n v="2"/>
    <n v="0"/>
    <n v="7.0095999999999998"/>
  </r>
  <r>
    <n v="1301"/>
    <x v="443"/>
    <x v="0"/>
    <x v="4"/>
    <d v="2013-12-26T00:00:00"/>
    <n v="2"/>
    <x v="0"/>
    <s v="Logan Currie"/>
    <x v="0"/>
    <s v="United States"/>
    <s v="Springfield"/>
    <s v="Virginia"/>
    <s v="South"/>
    <x v="0"/>
    <x v="5"/>
    <s v="Electrix Architect's Clamp-On Swing Arm Lamp, Black"/>
    <x v="1154"/>
    <n v="6"/>
    <n v="0"/>
    <n v="166.10040000000001"/>
  </r>
  <r>
    <n v="1302"/>
    <x v="443"/>
    <x v="0"/>
    <x v="4"/>
    <d v="2013-12-26T00:00:00"/>
    <n v="2"/>
    <x v="0"/>
    <s v="Logan Currie"/>
    <x v="0"/>
    <s v="United States"/>
    <s v="Springfield"/>
    <s v="Virginia"/>
    <s v="South"/>
    <x v="0"/>
    <x v="5"/>
    <s v="Electrix Architect's Clamp-On Swing Arm Lamp, Black"/>
    <x v="1155"/>
    <n v="3"/>
    <n v="0"/>
    <n v="83.050200000000004"/>
  </r>
  <r>
    <n v="1303"/>
    <x v="444"/>
    <x v="1"/>
    <x v="8"/>
    <d v="2012-09-24T00:00:00"/>
    <n v="5"/>
    <x v="0"/>
    <s v="Tracy Collins"/>
    <x v="2"/>
    <s v="United States"/>
    <s v="Arlington"/>
    <s v="Virginia"/>
    <s v="South"/>
    <x v="0"/>
    <x v="0"/>
    <s v="Sauder Cornerstone Collection Library"/>
    <x v="1156"/>
    <n v="2"/>
    <n v="0"/>
    <n v="4.3372000000000002"/>
  </r>
  <r>
    <n v="1304"/>
    <x v="445"/>
    <x v="3"/>
    <x v="7"/>
    <d v="2014-07-08T00:00:00"/>
    <n v="4"/>
    <x v="1"/>
    <s v="Chuck Sachs"/>
    <x v="0"/>
    <s v="United States"/>
    <s v="Columbus"/>
    <s v="Georgia"/>
    <s v="South"/>
    <x v="0"/>
    <x v="5"/>
    <s v="Westinghouse Floor Lamp with Metal Mesh Shade, Black"/>
    <x v="1157"/>
    <n v="1"/>
    <n v="0"/>
    <n v="5.5176999999999996"/>
  </r>
  <r>
    <n v="1305"/>
    <x v="445"/>
    <x v="3"/>
    <x v="7"/>
    <d v="2014-07-08T00:00:00"/>
    <n v="4"/>
    <x v="1"/>
    <s v="Chuck Sachs"/>
    <x v="0"/>
    <s v="United States"/>
    <s v="Columbus"/>
    <s v="Georgia"/>
    <s v="South"/>
    <x v="2"/>
    <x v="7"/>
    <s v="Pyle PMP37LED"/>
    <x v="1158"/>
    <n v="3"/>
    <n v="0"/>
    <n v="77.751900000000006"/>
  </r>
  <r>
    <n v="1306"/>
    <x v="216"/>
    <x v="0"/>
    <x v="7"/>
    <d v="2013-07-17T00:00:00"/>
    <n v="2"/>
    <x v="0"/>
    <s v="Bryan Mills"/>
    <x v="0"/>
    <s v="United States"/>
    <s v="Houston"/>
    <s v="Texas"/>
    <s v="Central"/>
    <x v="2"/>
    <x v="7"/>
    <s v="Blue Parrot B250XT Professional Grade Wireless Bluetooth Headset with"/>
    <x v="1159"/>
    <n v="7"/>
    <n v="0.2"/>
    <n v="52.493000000000002"/>
  </r>
  <r>
    <n v="1307"/>
    <x v="23"/>
    <x v="0"/>
    <x v="1"/>
    <d v="2013-06-22T00:00:00"/>
    <n v="1"/>
    <x v="2"/>
    <s v="Roy Collins"/>
    <x v="0"/>
    <s v="United States"/>
    <s v="Pasadena"/>
    <s v="California"/>
    <s v="West"/>
    <x v="1"/>
    <x v="10"/>
    <s v="Xerox 1898"/>
    <x v="1160"/>
    <n v="7"/>
    <n v="0"/>
    <n v="22.444800000000001"/>
  </r>
  <r>
    <n v="1308"/>
    <x v="23"/>
    <x v="0"/>
    <x v="1"/>
    <d v="2013-06-22T00:00:00"/>
    <n v="1"/>
    <x v="2"/>
    <s v="Roy Collins"/>
    <x v="0"/>
    <s v="United States"/>
    <s v="Pasadena"/>
    <s v="California"/>
    <s v="West"/>
    <x v="1"/>
    <x v="8"/>
    <s v="GBC Plastic Binding Combs"/>
    <x v="1161"/>
    <n v="3"/>
    <n v="0.2"/>
    <n v="6.4206000000000003"/>
  </r>
  <r>
    <n v="1309"/>
    <x v="23"/>
    <x v="0"/>
    <x v="1"/>
    <d v="2013-06-22T00:00:00"/>
    <n v="1"/>
    <x v="2"/>
    <s v="Roy Collins"/>
    <x v="0"/>
    <s v="United States"/>
    <s v="Pasadena"/>
    <s v="California"/>
    <s v="West"/>
    <x v="1"/>
    <x v="9"/>
    <s v="Belkin 6 Outlet Metallic Surge Strip"/>
    <x v="1162"/>
    <n v="2"/>
    <n v="0"/>
    <n v="5.6627999999999998"/>
  </r>
  <r>
    <n v="1310"/>
    <x v="23"/>
    <x v="0"/>
    <x v="1"/>
    <d v="2013-06-22T00:00:00"/>
    <n v="1"/>
    <x v="2"/>
    <s v="Roy Collins"/>
    <x v="0"/>
    <s v="United States"/>
    <s v="Pasadena"/>
    <s v="California"/>
    <s v="West"/>
    <x v="1"/>
    <x v="4"/>
    <s v="Fellowes Bankers Box Recycled Super Stor/Drawer"/>
    <x v="424"/>
    <n v="3"/>
    <n v="0"/>
    <n v="9.7164000000000001"/>
  </r>
  <r>
    <n v="1311"/>
    <x v="23"/>
    <x v="0"/>
    <x v="1"/>
    <d v="2013-06-22T00:00:00"/>
    <n v="1"/>
    <x v="2"/>
    <s v="Roy Collins"/>
    <x v="0"/>
    <s v="United States"/>
    <s v="Pasadena"/>
    <s v="California"/>
    <s v="West"/>
    <x v="0"/>
    <x v="1"/>
    <s v="Hon Valutask Swivel Chairs"/>
    <x v="224"/>
    <n v="2"/>
    <n v="0.2"/>
    <n v="-8.0784000000000002"/>
  </r>
  <r>
    <n v="1312"/>
    <x v="10"/>
    <x v="0"/>
    <x v="4"/>
    <d v="2013-12-14T00:00:00"/>
    <n v="4"/>
    <x v="1"/>
    <s v="Fred McMath"/>
    <x v="0"/>
    <s v="United States"/>
    <s v="Lawrence"/>
    <s v="Massachusetts"/>
    <s v="East"/>
    <x v="1"/>
    <x v="2"/>
    <s v="Avery 517"/>
    <x v="1163"/>
    <n v="1"/>
    <n v="0"/>
    <n v="1.7343"/>
  </r>
  <r>
    <n v="1313"/>
    <x v="10"/>
    <x v="0"/>
    <x v="4"/>
    <d v="2013-12-14T00:00:00"/>
    <n v="4"/>
    <x v="1"/>
    <s v="Fred McMath"/>
    <x v="0"/>
    <s v="United States"/>
    <s v="Lawrence"/>
    <s v="Massachusetts"/>
    <s v="East"/>
    <x v="1"/>
    <x v="2"/>
    <s v="Avery 477"/>
    <x v="1164"/>
    <n v="4"/>
    <n v="0"/>
    <n v="56.175199999999997"/>
  </r>
  <r>
    <n v="1314"/>
    <x v="446"/>
    <x v="0"/>
    <x v="8"/>
    <d v="2013-10-02T00:00:00"/>
    <n v="7"/>
    <x v="1"/>
    <s v="Pete Kriz"/>
    <x v="0"/>
    <s v="United States"/>
    <s v="Columbus"/>
    <s v="Ohio"/>
    <s v="East"/>
    <x v="0"/>
    <x v="1"/>
    <s v="Office Star - Contemporary Task Swivel Chair"/>
    <x v="1165"/>
    <n v="2"/>
    <n v="0.3"/>
    <n v="-13.317600000000001"/>
  </r>
  <r>
    <n v="1315"/>
    <x v="122"/>
    <x v="0"/>
    <x v="4"/>
    <d v="2013-12-24T00:00:00"/>
    <n v="5"/>
    <x v="1"/>
    <s v="Henry Goldwyn"/>
    <x v="1"/>
    <s v="United States"/>
    <s v="Los Angeles"/>
    <s v="California"/>
    <s v="West"/>
    <x v="1"/>
    <x v="10"/>
    <s v="Eureka Recycled Copy Paper 8 1/2&quot; x 11&quot;, Ream"/>
    <x v="783"/>
    <n v="6"/>
    <n v="0"/>
    <n v="18.662400000000002"/>
  </r>
  <r>
    <n v="1316"/>
    <x v="122"/>
    <x v="0"/>
    <x v="4"/>
    <d v="2013-12-24T00:00:00"/>
    <n v="5"/>
    <x v="1"/>
    <s v="Henry Goldwyn"/>
    <x v="1"/>
    <s v="United States"/>
    <s v="Los Angeles"/>
    <s v="California"/>
    <s v="West"/>
    <x v="0"/>
    <x v="5"/>
    <s v="Seth Thomas 12&quot; Clock w/ Goldtone Case"/>
    <x v="1166"/>
    <n v="8"/>
    <n v="0"/>
    <n v="62.505600000000001"/>
  </r>
  <r>
    <n v="1317"/>
    <x v="122"/>
    <x v="0"/>
    <x v="4"/>
    <d v="2013-12-24T00:00:00"/>
    <n v="5"/>
    <x v="1"/>
    <s v="Henry Goldwyn"/>
    <x v="1"/>
    <s v="United States"/>
    <s v="Los Angeles"/>
    <s v="California"/>
    <s v="West"/>
    <x v="1"/>
    <x v="14"/>
    <s v="Premier Electric Letter Opener"/>
    <x v="1167"/>
    <n v="5"/>
    <n v="0"/>
    <n v="28.965"/>
  </r>
  <r>
    <n v="1318"/>
    <x v="389"/>
    <x v="3"/>
    <x v="4"/>
    <d v="2014-12-15T00:00:00"/>
    <n v="4"/>
    <x v="1"/>
    <s v="Helen Andreada"/>
    <x v="0"/>
    <s v="United States"/>
    <s v="Philadelphia"/>
    <s v="Pennsylvania"/>
    <s v="East"/>
    <x v="2"/>
    <x v="11"/>
    <s v="Memorex Froggy Flash Drive 8 GB"/>
    <x v="1168"/>
    <n v="1"/>
    <n v="0.2"/>
    <n v="3.3725000000000001"/>
  </r>
  <r>
    <n v="1319"/>
    <x v="268"/>
    <x v="2"/>
    <x v="7"/>
    <d v="2011-07-05T00:00:00"/>
    <n v="4"/>
    <x v="1"/>
    <s v="Laurel Workman"/>
    <x v="1"/>
    <s v="United States"/>
    <s v="Deltona"/>
    <s v="Florida"/>
    <s v="South"/>
    <x v="2"/>
    <x v="7"/>
    <s v="Wilson SignalBoost 841262 DB PRO Amplifier Kit"/>
    <x v="1169"/>
    <n v="2"/>
    <n v="0.2"/>
    <n v="71.989999999999995"/>
  </r>
  <r>
    <n v="1320"/>
    <x v="268"/>
    <x v="2"/>
    <x v="7"/>
    <d v="2011-07-05T00:00:00"/>
    <n v="4"/>
    <x v="1"/>
    <s v="Laurel Workman"/>
    <x v="1"/>
    <s v="United States"/>
    <s v="Deltona"/>
    <s v="Florida"/>
    <s v="South"/>
    <x v="1"/>
    <x v="8"/>
    <s v="Avery Durable Binders"/>
    <x v="1170"/>
    <n v="6"/>
    <n v="0.7"/>
    <n v="-3.6288"/>
  </r>
  <r>
    <n v="1321"/>
    <x v="447"/>
    <x v="3"/>
    <x v="11"/>
    <d v="2014-02-09T00:00:00"/>
    <n v="5"/>
    <x v="1"/>
    <s v="Matt Collins"/>
    <x v="0"/>
    <s v="United States"/>
    <s v="Cincinnati"/>
    <s v="Ohio"/>
    <s v="East"/>
    <x v="1"/>
    <x v="8"/>
    <s v="Fellowes Black Plastic Comb Bindings"/>
    <x v="1171"/>
    <n v="3"/>
    <n v="0.7"/>
    <n v="-4.1832000000000003"/>
  </r>
  <r>
    <n v="1322"/>
    <x v="447"/>
    <x v="3"/>
    <x v="11"/>
    <d v="2014-02-09T00:00:00"/>
    <n v="5"/>
    <x v="1"/>
    <s v="Matt Collins"/>
    <x v="0"/>
    <s v="United States"/>
    <s v="Cincinnati"/>
    <s v="Ohio"/>
    <s v="East"/>
    <x v="1"/>
    <x v="4"/>
    <s v="Hot File 7-Pocket, Floor Stand"/>
    <x v="1172"/>
    <n v="2"/>
    <n v="0.2"/>
    <n v="35.694000000000003"/>
  </r>
  <r>
    <n v="1323"/>
    <x v="448"/>
    <x v="3"/>
    <x v="10"/>
    <d v="2014-03-09T00:00:00"/>
    <n v="5"/>
    <x v="1"/>
    <s v="Liz Preis"/>
    <x v="0"/>
    <s v="United States"/>
    <s v="Murray"/>
    <s v="Kentucky"/>
    <s v="South"/>
    <x v="1"/>
    <x v="9"/>
    <s v="Acco 6 Outlet Guardian Premium Surge Suppressor"/>
    <x v="1173"/>
    <n v="5"/>
    <n v="0"/>
    <n v="19.655999999999999"/>
  </r>
  <r>
    <n v="1324"/>
    <x v="449"/>
    <x v="3"/>
    <x v="2"/>
    <d v="2014-10-11T00:00:00"/>
    <n v="1"/>
    <x v="2"/>
    <s v="Evan Bailliet"/>
    <x v="0"/>
    <s v="United States"/>
    <s v="Wilmington"/>
    <s v="North Carolina"/>
    <s v="South"/>
    <x v="1"/>
    <x v="10"/>
    <s v="Avoid Verbal Orders Carbonless Minifold Book"/>
    <x v="1174"/>
    <n v="4"/>
    <n v="0.2"/>
    <n v="3.5152000000000001"/>
  </r>
  <r>
    <n v="1325"/>
    <x v="450"/>
    <x v="2"/>
    <x v="8"/>
    <d v="2011-10-03T00:00:00"/>
    <n v="5"/>
    <x v="1"/>
    <s v="George Zrebassa"/>
    <x v="1"/>
    <s v="United States"/>
    <s v="Lawrence"/>
    <s v="Massachusetts"/>
    <s v="East"/>
    <x v="1"/>
    <x v="4"/>
    <s v="Decoflex Hanging Personal Folder File, Blue"/>
    <x v="193"/>
    <n v="3"/>
    <n v="0"/>
    <n v="12.4902"/>
  </r>
  <r>
    <n v="1326"/>
    <x v="279"/>
    <x v="2"/>
    <x v="5"/>
    <d v="2011-05-30T00:00:00"/>
    <n v="3"/>
    <x v="2"/>
    <s v="Laurel Elliston"/>
    <x v="0"/>
    <s v="United States"/>
    <s v="Chicago"/>
    <s v="Illinois"/>
    <s v="Central"/>
    <x v="1"/>
    <x v="8"/>
    <s v="Fellowes Presentation Covers for Comb Binding Machines"/>
    <x v="45"/>
    <n v="6"/>
    <n v="0.8"/>
    <n v="-30.555"/>
  </r>
  <r>
    <n v="1327"/>
    <x v="451"/>
    <x v="1"/>
    <x v="1"/>
    <d v="2012-06-18T00:00:00"/>
    <n v="4"/>
    <x v="1"/>
    <s v="Alan Dominguez"/>
    <x v="2"/>
    <s v="United States"/>
    <s v="Philadelphia"/>
    <s v="Pennsylvania"/>
    <s v="East"/>
    <x v="0"/>
    <x v="5"/>
    <s v="Eldon Expressions Punched Metal &amp; Wood Desk Accessories, Pewter &amp; Cherry"/>
    <x v="1175"/>
    <n v="6"/>
    <n v="0.2"/>
    <n v="5.1071999999999997"/>
  </r>
  <r>
    <n v="1328"/>
    <x v="452"/>
    <x v="0"/>
    <x v="10"/>
    <d v="2013-04-02T00:00:00"/>
    <n v="2"/>
    <x v="2"/>
    <s v="Cathy Prescott"/>
    <x v="1"/>
    <s v="United States"/>
    <s v="Norwich"/>
    <s v="Connecticut"/>
    <s v="East"/>
    <x v="1"/>
    <x v="10"/>
    <s v="Xerox 188"/>
    <x v="1176"/>
    <n v="1"/>
    <n v="0"/>
    <n v="5.5566000000000004"/>
  </r>
  <r>
    <n v="1329"/>
    <x v="453"/>
    <x v="3"/>
    <x v="2"/>
    <d v="2014-10-19T00:00:00"/>
    <n v="3"/>
    <x v="0"/>
    <s v="Frank Gastineau"/>
    <x v="2"/>
    <s v="United States"/>
    <s v="San Francisco"/>
    <s v="California"/>
    <s v="West"/>
    <x v="1"/>
    <x v="6"/>
    <s v="Panasonic KP-310 Heavy-Duty Electric Pencil Sharpener"/>
    <x v="1177"/>
    <n v="4"/>
    <n v="0"/>
    <n v="26.376000000000001"/>
  </r>
  <r>
    <n v="1330"/>
    <x v="454"/>
    <x v="0"/>
    <x v="5"/>
    <d v="2013-05-28T00:00:00"/>
    <n v="4"/>
    <x v="1"/>
    <s v="Lisa DeCherney"/>
    <x v="0"/>
    <s v="United States"/>
    <s v="San Francisco"/>
    <s v="California"/>
    <s v="West"/>
    <x v="0"/>
    <x v="5"/>
    <s v="Eldon Image Series Desk Accessories, Ebony"/>
    <x v="1178"/>
    <n v="3"/>
    <n v="0"/>
    <n v="16.302"/>
  </r>
  <r>
    <n v="1331"/>
    <x v="455"/>
    <x v="3"/>
    <x v="1"/>
    <d v="2014-06-07T00:00:00"/>
    <n v="4"/>
    <x v="1"/>
    <s v="Alejandro Ballentine"/>
    <x v="2"/>
    <s v="United States"/>
    <s v="Lorain"/>
    <s v="Ohio"/>
    <s v="East"/>
    <x v="2"/>
    <x v="7"/>
    <s v="Cush Cases Heavy Duty Rugged Cover Case for Samsung Galaxy S5 - Purple"/>
    <x v="1179"/>
    <n v="1"/>
    <n v="0.4"/>
    <n v="-0.64349999999999996"/>
  </r>
  <r>
    <n v="1332"/>
    <x v="455"/>
    <x v="3"/>
    <x v="1"/>
    <d v="2014-06-07T00:00:00"/>
    <n v="4"/>
    <x v="1"/>
    <s v="Alejandro Ballentine"/>
    <x v="2"/>
    <s v="United States"/>
    <s v="Lorain"/>
    <s v="Ohio"/>
    <s v="East"/>
    <x v="1"/>
    <x v="4"/>
    <s v="Advantus Rolling Storage Box"/>
    <x v="1180"/>
    <n v="2"/>
    <n v="0.2"/>
    <n v="2.4009999999999998"/>
  </r>
  <r>
    <n v="1333"/>
    <x v="456"/>
    <x v="2"/>
    <x v="11"/>
    <d v="2011-02-22T00:00:00"/>
    <n v="5"/>
    <x v="1"/>
    <s v="Michael Nguyen"/>
    <x v="0"/>
    <s v="United States"/>
    <s v="Dallas"/>
    <s v="Texas"/>
    <s v="Central"/>
    <x v="1"/>
    <x v="8"/>
    <s v="Wilson Jones Easy Flow II Sheet Lifters"/>
    <x v="879"/>
    <n v="3"/>
    <n v="0.8"/>
    <n v="-1.728"/>
  </r>
  <r>
    <n v="1334"/>
    <x v="456"/>
    <x v="2"/>
    <x v="11"/>
    <d v="2011-02-22T00:00:00"/>
    <n v="5"/>
    <x v="1"/>
    <s v="Michael Nguyen"/>
    <x v="0"/>
    <s v="United States"/>
    <s v="Dallas"/>
    <s v="Texas"/>
    <s v="Central"/>
    <x v="1"/>
    <x v="9"/>
    <s v="Holmes Cool Mist Humidifier for the Whole House with 8-Gallon Output per Day, Extended Life Filter"/>
    <x v="1181"/>
    <n v="2"/>
    <n v="0.8"/>
    <n v="-13.93"/>
  </r>
  <r>
    <n v="1335"/>
    <x v="457"/>
    <x v="2"/>
    <x v="5"/>
    <d v="2011-05-10T00:00:00"/>
    <n v="4"/>
    <x v="1"/>
    <s v="Harold Pawlan"/>
    <x v="2"/>
    <s v="United States"/>
    <s v="Los Angeles"/>
    <s v="California"/>
    <s v="West"/>
    <x v="1"/>
    <x v="8"/>
    <s v="Wilson Jones Legal Size Ring Binders"/>
    <x v="1182"/>
    <n v="8"/>
    <n v="0.2"/>
    <n v="52.776000000000003"/>
  </r>
  <r>
    <n v="1336"/>
    <x v="458"/>
    <x v="0"/>
    <x v="5"/>
    <d v="2013-05-24T00:00:00"/>
    <n v="7"/>
    <x v="1"/>
    <s v="Jim Radford"/>
    <x v="0"/>
    <s v="United States"/>
    <s v="Middletown"/>
    <s v="Connecticut"/>
    <s v="East"/>
    <x v="1"/>
    <x v="4"/>
    <s v="SAFCO Commercial Wire Shelving, Black"/>
    <x v="1183"/>
    <n v="4"/>
    <n v="0"/>
    <n v="0"/>
  </r>
  <r>
    <n v="1337"/>
    <x v="459"/>
    <x v="3"/>
    <x v="3"/>
    <d v="2014-04-08T00:00:00"/>
    <n v="5"/>
    <x v="1"/>
    <s v="Jamie Frazer"/>
    <x v="0"/>
    <s v="United States"/>
    <s v="Los Angeles"/>
    <s v="California"/>
    <s v="West"/>
    <x v="0"/>
    <x v="5"/>
    <s v="Westinghouse Clip-On Gooseneck Lamps"/>
    <x v="1184"/>
    <n v="3"/>
    <n v="0"/>
    <n v="6.5286"/>
  </r>
  <r>
    <n v="1338"/>
    <x v="185"/>
    <x v="3"/>
    <x v="3"/>
    <d v="2014-04-03T00:00:00"/>
    <n v="2"/>
    <x v="0"/>
    <s v="Chad McGuire"/>
    <x v="0"/>
    <s v="United States"/>
    <s v="New York City"/>
    <s v="New York"/>
    <s v="East"/>
    <x v="0"/>
    <x v="5"/>
    <s v="Tensor Computer Mounted Lamp"/>
    <x v="1185"/>
    <n v="2"/>
    <n v="0"/>
    <n v="8.0405999999999995"/>
  </r>
  <r>
    <n v="1339"/>
    <x v="185"/>
    <x v="3"/>
    <x v="3"/>
    <d v="2014-04-03T00:00:00"/>
    <n v="2"/>
    <x v="0"/>
    <s v="Chad McGuire"/>
    <x v="0"/>
    <s v="United States"/>
    <s v="New York City"/>
    <s v="New York"/>
    <s v="East"/>
    <x v="2"/>
    <x v="7"/>
    <s v="Polycom SoundPoint IP 450 VoIP phone"/>
    <x v="1186"/>
    <n v="3"/>
    <n v="0"/>
    <n v="176.17080000000001"/>
  </r>
  <r>
    <n v="1340"/>
    <x v="185"/>
    <x v="3"/>
    <x v="3"/>
    <d v="2014-04-03T00:00:00"/>
    <n v="2"/>
    <x v="0"/>
    <s v="Chad McGuire"/>
    <x v="0"/>
    <s v="United States"/>
    <s v="New York City"/>
    <s v="New York"/>
    <s v="East"/>
    <x v="1"/>
    <x v="10"/>
    <s v="Rediform S.O.S. 1-Up Phone Message Bk, 4-1/4x3-1/16 Bk, 1 Form/Pg, 40 Messages/Bk, 3/Pk"/>
    <x v="1187"/>
    <n v="8"/>
    <n v="0"/>
    <n v="36.019199999999998"/>
  </r>
  <r>
    <n v="1341"/>
    <x v="460"/>
    <x v="3"/>
    <x v="9"/>
    <d v="2014-01-05T00:00:00"/>
    <n v="2"/>
    <x v="2"/>
    <s v="Aaron Smayling"/>
    <x v="1"/>
    <s v="United States"/>
    <s v="Jacksonville"/>
    <s v="North Carolina"/>
    <s v="South"/>
    <x v="2"/>
    <x v="15"/>
    <s v="Cisco CP-7937G Unified IP Conference Station Phone"/>
    <x v="1188"/>
    <n v="2"/>
    <n v="0.5"/>
    <n v="-27.827999999999999"/>
  </r>
  <r>
    <n v="1342"/>
    <x v="460"/>
    <x v="3"/>
    <x v="9"/>
    <d v="2014-01-05T00:00:00"/>
    <n v="2"/>
    <x v="2"/>
    <s v="Aaron Smayling"/>
    <x v="1"/>
    <s v="United States"/>
    <s v="Jacksonville"/>
    <s v="North Carolina"/>
    <s v="South"/>
    <x v="1"/>
    <x v="8"/>
    <s v="Avery 3 1/2&quot; Diskette Storage Pages, 10/Pack"/>
    <x v="1189"/>
    <n v="5"/>
    <n v="0.7"/>
    <n v="-12.528"/>
  </r>
  <r>
    <n v="1343"/>
    <x v="460"/>
    <x v="3"/>
    <x v="9"/>
    <d v="2014-01-05T00:00:00"/>
    <n v="2"/>
    <x v="2"/>
    <s v="Aaron Smayling"/>
    <x v="1"/>
    <s v="United States"/>
    <s v="Jacksonville"/>
    <s v="North Carolina"/>
    <s v="South"/>
    <x v="1"/>
    <x v="8"/>
    <s v="Avery Recycled Flexi-View Covers for Binding Systems"/>
    <x v="1190"/>
    <n v="6"/>
    <n v="0.7"/>
    <n v="-21.159600000000001"/>
  </r>
  <r>
    <n v="1344"/>
    <x v="71"/>
    <x v="1"/>
    <x v="5"/>
    <d v="2012-06-01T00:00:00"/>
    <n v="4"/>
    <x v="1"/>
    <s v="Karl Braun"/>
    <x v="0"/>
    <s v="United States"/>
    <s v="Freeport"/>
    <s v="New York"/>
    <s v="East"/>
    <x v="1"/>
    <x v="6"/>
    <s v="Boston 16701 Slimline Battery Pencil Sharpener"/>
    <x v="1191"/>
    <n v="3"/>
    <n v="0"/>
    <n v="14.346"/>
  </r>
  <r>
    <n v="1345"/>
    <x v="71"/>
    <x v="1"/>
    <x v="5"/>
    <d v="2012-06-01T00:00:00"/>
    <n v="4"/>
    <x v="1"/>
    <s v="Karl Braun"/>
    <x v="0"/>
    <s v="United States"/>
    <s v="Freeport"/>
    <s v="New York"/>
    <s v="East"/>
    <x v="1"/>
    <x v="2"/>
    <s v="Avery 494"/>
    <x v="1192"/>
    <n v="5"/>
    <n v="0"/>
    <n v="6.0030000000000001"/>
  </r>
  <r>
    <n v="1346"/>
    <x v="461"/>
    <x v="2"/>
    <x v="10"/>
    <d v="2011-03-24T00:00:00"/>
    <n v="7"/>
    <x v="1"/>
    <s v="Bradley Nguyen"/>
    <x v="0"/>
    <s v="United States"/>
    <s v="Lakeville"/>
    <s v="Minnesota"/>
    <s v="Central"/>
    <x v="1"/>
    <x v="9"/>
    <s v="Bionaire Personal Warm Mist Humidifier/Vaporizer"/>
    <x v="1193"/>
    <n v="2"/>
    <n v="0"/>
    <n v="36.574199999999998"/>
  </r>
  <r>
    <n v="1347"/>
    <x v="461"/>
    <x v="2"/>
    <x v="10"/>
    <d v="2011-03-24T00:00:00"/>
    <n v="7"/>
    <x v="1"/>
    <s v="Bradley Nguyen"/>
    <x v="0"/>
    <s v="United States"/>
    <s v="Lakeville"/>
    <s v="Minnesota"/>
    <s v="Central"/>
    <x v="1"/>
    <x v="10"/>
    <s v="Memo Book, 100 Message Capacity, 5 3/8” x 11”"/>
    <x v="1194"/>
    <n v="7"/>
    <n v="0"/>
    <n v="23.59"/>
  </r>
  <r>
    <n v="1348"/>
    <x v="461"/>
    <x v="2"/>
    <x v="10"/>
    <d v="2011-03-24T00:00:00"/>
    <n v="7"/>
    <x v="1"/>
    <s v="Bradley Nguyen"/>
    <x v="0"/>
    <s v="United States"/>
    <s v="Lakeville"/>
    <s v="Minnesota"/>
    <s v="Central"/>
    <x v="1"/>
    <x v="6"/>
    <s v="Newell 35"/>
    <x v="1195"/>
    <n v="6"/>
    <n v="0"/>
    <n v="5.7072000000000003"/>
  </r>
  <r>
    <n v="1349"/>
    <x v="461"/>
    <x v="2"/>
    <x v="10"/>
    <d v="2011-03-24T00:00:00"/>
    <n v="7"/>
    <x v="1"/>
    <s v="Bradley Nguyen"/>
    <x v="0"/>
    <s v="United States"/>
    <s v="Lakeville"/>
    <s v="Minnesota"/>
    <s v="Central"/>
    <x v="1"/>
    <x v="8"/>
    <s v="Wilson Jones 14 Line Acrylic Coated Pressboard Data Binders"/>
    <x v="1196"/>
    <n v="10"/>
    <n v="0"/>
    <n v="25.097999999999999"/>
  </r>
  <r>
    <n v="1350"/>
    <x v="461"/>
    <x v="2"/>
    <x v="10"/>
    <d v="2011-03-24T00:00:00"/>
    <n v="7"/>
    <x v="1"/>
    <s v="Bradley Nguyen"/>
    <x v="0"/>
    <s v="United States"/>
    <s v="Lakeville"/>
    <s v="Minnesota"/>
    <s v="Central"/>
    <x v="1"/>
    <x v="8"/>
    <s v="Avery Non-Stick Heavy Duty View Round Locking Ring Binders"/>
    <x v="1197"/>
    <n v="6"/>
    <n v="0"/>
    <n v="17.2224"/>
  </r>
  <r>
    <n v="1351"/>
    <x v="462"/>
    <x v="2"/>
    <x v="2"/>
    <d v="2011-10-08T00:00:00"/>
    <n v="5"/>
    <x v="0"/>
    <s v="Beth Paige"/>
    <x v="0"/>
    <s v="United States"/>
    <s v="Evanston"/>
    <s v="Illinois"/>
    <s v="Central"/>
    <x v="0"/>
    <x v="1"/>
    <s v="Global High-Back Leather Tilter, Burgundy"/>
    <x v="1198"/>
    <n v="3"/>
    <n v="0.3"/>
    <n v="-70.104299999999995"/>
  </r>
  <r>
    <n v="1352"/>
    <x v="463"/>
    <x v="0"/>
    <x v="10"/>
    <d v="2013-04-01T00:00:00"/>
    <n v="3"/>
    <x v="2"/>
    <s v="Aaron Smayling"/>
    <x v="1"/>
    <s v="United States"/>
    <s v="Arlington"/>
    <s v="Virginia"/>
    <s v="South"/>
    <x v="1"/>
    <x v="4"/>
    <s v="Hanging Personal Folder File"/>
    <x v="809"/>
    <n v="2"/>
    <n v="0"/>
    <n v="7.85"/>
  </r>
  <r>
    <n v="1353"/>
    <x v="464"/>
    <x v="3"/>
    <x v="5"/>
    <d v="2014-05-10T00:00:00"/>
    <n v="5"/>
    <x v="1"/>
    <s v="Lindsay Williams"/>
    <x v="1"/>
    <s v="United States"/>
    <s v="San Francisco"/>
    <s v="California"/>
    <s v="West"/>
    <x v="2"/>
    <x v="7"/>
    <s v="Motorola L804"/>
    <x v="1199"/>
    <n v="5"/>
    <n v="0.2"/>
    <n v="20.695499999999999"/>
  </r>
  <r>
    <n v="1354"/>
    <x v="464"/>
    <x v="3"/>
    <x v="5"/>
    <d v="2014-05-10T00:00:00"/>
    <n v="5"/>
    <x v="1"/>
    <s v="Lindsay Williams"/>
    <x v="1"/>
    <s v="United States"/>
    <s v="San Francisco"/>
    <s v="California"/>
    <s v="West"/>
    <x v="1"/>
    <x v="10"/>
    <s v="Things To Do Today Pad"/>
    <x v="1200"/>
    <n v="3"/>
    <n v="0"/>
    <n v="8.4527999999999999"/>
  </r>
  <r>
    <n v="1355"/>
    <x v="464"/>
    <x v="3"/>
    <x v="5"/>
    <d v="2014-05-10T00:00:00"/>
    <n v="5"/>
    <x v="1"/>
    <s v="Lindsay Williams"/>
    <x v="1"/>
    <s v="United States"/>
    <s v="San Francisco"/>
    <s v="California"/>
    <s v="West"/>
    <x v="0"/>
    <x v="3"/>
    <s v="Bretford Rectangular Conference Table Tops"/>
    <x v="1201"/>
    <n v="1"/>
    <n v="0.2"/>
    <n v="11.283899999999999"/>
  </r>
  <r>
    <n v="1356"/>
    <x v="260"/>
    <x v="2"/>
    <x v="7"/>
    <d v="2011-07-05T00:00:00"/>
    <n v="0"/>
    <x v="3"/>
    <s v="Dan Campbell"/>
    <x v="0"/>
    <s v="United States"/>
    <s v="Houston"/>
    <s v="Texas"/>
    <s v="Central"/>
    <x v="1"/>
    <x v="4"/>
    <s v="Gould Plastics 18-Pocket Panel Bin, 34w x 5-1/4d x 20-1/2h"/>
    <x v="1202"/>
    <n v="3"/>
    <n v="0.2"/>
    <n v="-44.155200000000001"/>
  </r>
  <r>
    <n v="1357"/>
    <x v="260"/>
    <x v="2"/>
    <x v="7"/>
    <d v="2011-07-05T00:00:00"/>
    <n v="0"/>
    <x v="3"/>
    <s v="Dan Campbell"/>
    <x v="0"/>
    <s v="United States"/>
    <s v="Houston"/>
    <s v="Texas"/>
    <s v="Central"/>
    <x v="1"/>
    <x v="4"/>
    <s v="Fellowes Bankers Box Stor/Drawer Steel Plus"/>
    <x v="1203"/>
    <n v="11"/>
    <n v="0.2"/>
    <n v="-35.177999999999997"/>
  </r>
  <r>
    <n v="1358"/>
    <x v="465"/>
    <x v="0"/>
    <x v="5"/>
    <d v="2013-05-08T00:00:00"/>
    <n v="2"/>
    <x v="2"/>
    <s v="Natalie DeCherney"/>
    <x v="0"/>
    <s v="United States"/>
    <s v="Louisville"/>
    <s v="Kentucky"/>
    <s v="South"/>
    <x v="1"/>
    <x v="10"/>
    <s v="Xerox 1909"/>
    <x v="1204"/>
    <n v="3"/>
    <n v="0"/>
    <n v="36.404400000000003"/>
  </r>
  <r>
    <n v="1359"/>
    <x v="466"/>
    <x v="3"/>
    <x v="3"/>
    <d v="2014-04-28T00:00:00"/>
    <n v="1"/>
    <x v="2"/>
    <s v="Larry Blacks"/>
    <x v="0"/>
    <s v="United States"/>
    <s v="Fort Worth"/>
    <s v="Texas"/>
    <s v="Central"/>
    <x v="0"/>
    <x v="5"/>
    <s v="DAX Value U-Channel Document Frames, Easel Back"/>
    <x v="1205"/>
    <n v="1"/>
    <n v="0.6"/>
    <n v="-1.4413"/>
  </r>
  <r>
    <n v="1360"/>
    <x v="467"/>
    <x v="2"/>
    <x v="8"/>
    <d v="2011-10-01T00:00:00"/>
    <n v="5"/>
    <x v="0"/>
    <s v="Kean Takahito"/>
    <x v="0"/>
    <s v="United States"/>
    <s v="Los Angeles"/>
    <s v="California"/>
    <s v="West"/>
    <x v="0"/>
    <x v="1"/>
    <s v="Leather Task Chair, Black"/>
    <x v="1206"/>
    <n v="2"/>
    <n v="0.2"/>
    <n v="0"/>
  </r>
  <r>
    <n v="1361"/>
    <x v="15"/>
    <x v="3"/>
    <x v="2"/>
    <d v="2014-10-26T00:00:00"/>
    <n v="6"/>
    <x v="1"/>
    <s v="Harry Marie"/>
    <x v="1"/>
    <s v="United States"/>
    <s v="Philadelphia"/>
    <s v="Pennsylvania"/>
    <s v="East"/>
    <x v="1"/>
    <x v="6"/>
    <s v="Boston 16801 Nautilus Battery Pencil Sharpener"/>
    <x v="1207"/>
    <n v="7"/>
    <n v="0.2"/>
    <n v="9.2441999999999993"/>
  </r>
  <r>
    <n v="1362"/>
    <x v="15"/>
    <x v="3"/>
    <x v="2"/>
    <d v="2014-10-26T00:00:00"/>
    <n v="6"/>
    <x v="1"/>
    <s v="Harry Marie"/>
    <x v="1"/>
    <s v="United States"/>
    <s v="Philadelphia"/>
    <s v="Pennsylvania"/>
    <s v="East"/>
    <x v="1"/>
    <x v="10"/>
    <s v="It's Hot Message Books with Stickers, 2 3/4&quot; x 5&quot;"/>
    <x v="208"/>
    <n v="4"/>
    <n v="0.2"/>
    <n v="7.4"/>
  </r>
  <r>
    <n v="1363"/>
    <x v="15"/>
    <x v="3"/>
    <x v="2"/>
    <d v="2014-10-26T00:00:00"/>
    <n v="6"/>
    <x v="1"/>
    <s v="Harry Marie"/>
    <x v="1"/>
    <s v="United States"/>
    <s v="Philadelphia"/>
    <s v="Pennsylvania"/>
    <s v="East"/>
    <x v="2"/>
    <x v="7"/>
    <s v="Digium D40 VoIP phone"/>
    <x v="1208"/>
    <n v="4"/>
    <n v="0.4"/>
    <n v="-56.755600000000001"/>
  </r>
  <r>
    <n v="1364"/>
    <x v="468"/>
    <x v="3"/>
    <x v="0"/>
    <d v="2014-11-12T00:00:00"/>
    <n v="1"/>
    <x v="2"/>
    <s v="Ann Blume"/>
    <x v="1"/>
    <s v="United States"/>
    <s v="Tucson"/>
    <s v="Arizona"/>
    <s v="West"/>
    <x v="1"/>
    <x v="8"/>
    <s v="Cardinal EasyOpen D-Ring Binders"/>
    <x v="1209"/>
    <n v="14"/>
    <n v="0.7"/>
    <n v="-25.591999999999999"/>
  </r>
  <r>
    <n v="1365"/>
    <x v="468"/>
    <x v="3"/>
    <x v="0"/>
    <d v="2014-11-12T00:00:00"/>
    <n v="1"/>
    <x v="2"/>
    <s v="Ann Blume"/>
    <x v="1"/>
    <s v="United States"/>
    <s v="Tucson"/>
    <s v="Arizona"/>
    <s v="West"/>
    <x v="2"/>
    <x v="15"/>
    <s v="DYMO CardScan Personal V9 Business Card Scanner"/>
    <x v="1210"/>
    <n v="2"/>
    <n v="0.7"/>
    <n v="-63.996000000000002"/>
  </r>
  <r>
    <n v="1366"/>
    <x v="468"/>
    <x v="3"/>
    <x v="0"/>
    <d v="2014-11-12T00:00:00"/>
    <n v="1"/>
    <x v="2"/>
    <s v="Ann Blume"/>
    <x v="1"/>
    <s v="United States"/>
    <s v="Tucson"/>
    <s v="Arizona"/>
    <s v="West"/>
    <x v="2"/>
    <x v="11"/>
    <s v="Case Logic 2.4GHz Wireless Keyboard"/>
    <x v="1211"/>
    <n v="6"/>
    <n v="0.2"/>
    <n v="-35.992800000000003"/>
  </r>
  <r>
    <n v="1367"/>
    <x v="468"/>
    <x v="3"/>
    <x v="0"/>
    <d v="2014-11-12T00:00:00"/>
    <n v="1"/>
    <x v="2"/>
    <s v="Ann Blume"/>
    <x v="1"/>
    <s v="United States"/>
    <s v="Tucson"/>
    <s v="Arizona"/>
    <s v="West"/>
    <x v="2"/>
    <x v="7"/>
    <s v="Adtran 1202752G1"/>
    <x v="1212"/>
    <n v="2"/>
    <n v="0.2"/>
    <n v="15.1188"/>
  </r>
  <r>
    <n v="1368"/>
    <x v="468"/>
    <x v="3"/>
    <x v="0"/>
    <d v="2014-11-12T00:00:00"/>
    <n v="1"/>
    <x v="2"/>
    <s v="Ann Blume"/>
    <x v="1"/>
    <s v="United States"/>
    <s v="Tucson"/>
    <s v="Arizona"/>
    <s v="West"/>
    <x v="0"/>
    <x v="1"/>
    <s v="Hon 2090 “Pillow Soft” Series Mid Back Swivel/Tilt Chairs"/>
    <x v="185"/>
    <n v="4"/>
    <n v="0.2"/>
    <n v="-146.1096"/>
  </r>
  <r>
    <n v="1369"/>
    <x v="141"/>
    <x v="3"/>
    <x v="7"/>
    <d v="2014-07-12T00:00:00"/>
    <n v="3"/>
    <x v="2"/>
    <s v="Sam Zeldin"/>
    <x v="2"/>
    <s v="United States"/>
    <s v="Pico Rivera"/>
    <s v="California"/>
    <s v="West"/>
    <x v="0"/>
    <x v="5"/>
    <s v="Deflect-o SuperTray Unbreakable Stackable Tray, Letter, Black"/>
    <x v="1213"/>
    <n v="5"/>
    <n v="0"/>
    <n v="62.737000000000002"/>
  </r>
  <r>
    <n v="1370"/>
    <x v="100"/>
    <x v="1"/>
    <x v="4"/>
    <d v="2012-12-28T00:00:00"/>
    <n v="4"/>
    <x v="1"/>
    <s v="Jim Radford"/>
    <x v="0"/>
    <s v="United States"/>
    <s v="Colorado Springs"/>
    <s v="Colorado"/>
    <s v="West"/>
    <x v="0"/>
    <x v="0"/>
    <s v="Atlantic Metals Mobile 4-Shelf Bookcases, Custom Colors"/>
    <x v="1214"/>
    <n v="7"/>
    <n v="0.7"/>
    <n v="-786.74400000000003"/>
  </r>
  <r>
    <n v="1371"/>
    <x v="100"/>
    <x v="1"/>
    <x v="4"/>
    <d v="2012-12-28T00:00:00"/>
    <n v="4"/>
    <x v="1"/>
    <s v="Jim Radford"/>
    <x v="0"/>
    <s v="United States"/>
    <s v="Colorado Springs"/>
    <s v="Colorado"/>
    <s v="West"/>
    <x v="1"/>
    <x v="6"/>
    <s v="Dixon My First Ticonderoga Pencil, #2"/>
    <x v="1215"/>
    <n v="3"/>
    <n v="0.2"/>
    <n v="1.5794999999999999"/>
  </r>
  <r>
    <n v="1372"/>
    <x v="469"/>
    <x v="3"/>
    <x v="10"/>
    <d v="2014-03-13T00:00:00"/>
    <n v="5"/>
    <x v="1"/>
    <s v="Michael Granlund"/>
    <x v="2"/>
    <s v="United States"/>
    <s v="Clinton"/>
    <s v="Maryland"/>
    <s v="East"/>
    <x v="2"/>
    <x v="11"/>
    <s v="Logitech Desktop MK120 Mouse and keyboard Combo"/>
    <x v="1216"/>
    <n v="3"/>
    <n v="0"/>
    <n v="4.9080000000000004"/>
  </r>
  <r>
    <n v="1373"/>
    <x v="470"/>
    <x v="2"/>
    <x v="3"/>
    <d v="2011-04-06T00:00:00"/>
    <n v="5"/>
    <x v="0"/>
    <s v="Kunst Miller"/>
    <x v="0"/>
    <s v="United States"/>
    <s v="Vallejo"/>
    <s v="California"/>
    <s v="West"/>
    <x v="1"/>
    <x v="2"/>
    <s v="Avery 490"/>
    <x v="458"/>
    <n v="2"/>
    <n v="0"/>
    <n v="14.8"/>
  </r>
  <r>
    <n v="1374"/>
    <x v="470"/>
    <x v="2"/>
    <x v="3"/>
    <d v="2011-04-06T00:00:00"/>
    <n v="5"/>
    <x v="0"/>
    <s v="Kunst Miller"/>
    <x v="0"/>
    <s v="United States"/>
    <s v="Vallejo"/>
    <s v="California"/>
    <s v="West"/>
    <x v="1"/>
    <x v="8"/>
    <s v="Pressboard Data Binder, Crimson, 12&quot; X 8 1/2&quot;"/>
    <x v="1217"/>
    <n v="4"/>
    <n v="0.2"/>
    <n v="5.5536000000000003"/>
  </r>
  <r>
    <n v="1375"/>
    <x v="471"/>
    <x v="1"/>
    <x v="8"/>
    <d v="2012-09-19T00:00:00"/>
    <n v="5"/>
    <x v="1"/>
    <s v="Christina Anderson"/>
    <x v="0"/>
    <s v="United States"/>
    <s v="Provo"/>
    <s v="Utah"/>
    <s v="West"/>
    <x v="0"/>
    <x v="3"/>
    <s v="Lesro Round Back Collection Coffee Table, End Table"/>
    <x v="1218"/>
    <n v="5"/>
    <n v="0"/>
    <n v="118.6575"/>
  </r>
  <r>
    <n v="1376"/>
    <x v="472"/>
    <x v="2"/>
    <x v="6"/>
    <d v="2011-08-09T00:00:00"/>
    <n v="5"/>
    <x v="0"/>
    <s v="Valerie Dominguez"/>
    <x v="0"/>
    <s v="United States"/>
    <s v="Pleasant Grove"/>
    <s v="Utah"/>
    <s v="West"/>
    <x v="1"/>
    <x v="9"/>
    <s v="Hoover WindTunnel Plus Canister Vacuum"/>
    <x v="1219"/>
    <n v="3"/>
    <n v="0"/>
    <n v="305.13"/>
  </r>
  <r>
    <n v="1377"/>
    <x v="472"/>
    <x v="2"/>
    <x v="6"/>
    <d v="2011-08-09T00:00:00"/>
    <n v="5"/>
    <x v="0"/>
    <s v="Valerie Dominguez"/>
    <x v="0"/>
    <s v="United States"/>
    <s v="Pleasant Grove"/>
    <s v="Utah"/>
    <s v="West"/>
    <x v="1"/>
    <x v="10"/>
    <s v="Xerox 1934"/>
    <x v="982"/>
    <n v="8"/>
    <n v="0"/>
    <n v="219.44159999999999"/>
  </r>
  <r>
    <n v="1378"/>
    <x v="472"/>
    <x v="2"/>
    <x v="6"/>
    <d v="2011-08-09T00:00:00"/>
    <n v="5"/>
    <x v="0"/>
    <s v="Valerie Dominguez"/>
    <x v="0"/>
    <s v="United States"/>
    <s v="Pleasant Grove"/>
    <s v="Utah"/>
    <s v="West"/>
    <x v="1"/>
    <x v="6"/>
    <s v="Newell 329"/>
    <x v="1220"/>
    <n v="5"/>
    <n v="0"/>
    <n v="4.2640000000000002"/>
  </r>
  <r>
    <n v="1379"/>
    <x v="472"/>
    <x v="2"/>
    <x v="6"/>
    <d v="2011-08-09T00:00:00"/>
    <n v="5"/>
    <x v="0"/>
    <s v="Valerie Dominguez"/>
    <x v="0"/>
    <s v="United States"/>
    <s v="Pleasant Grove"/>
    <s v="Utah"/>
    <s v="West"/>
    <x v="2"/>
    <x v="7"/>
    <s v="Panasonic KX T7731-B Digital phone"/>
    <x v="1221"/>
    <n v="5"/>
    <n v="0.2"/>
    <n v="34.996499999999997"/>
  </r>
  <r>
    <n v="1380"/>
    <x v="472"/>
    <x v="2"/>
    <x v="6"/>
    <d v="2011-08-09T00:00:00"/>
    <n v="5"/>
    <x v="0"/>
    <s v="Valerie Dominguez"/>
    <x v="0"/>
    <s v="United States"/>
    <s v="Pleasant Grove"/>
    <s v="Utah"/>
    <s v="West"/>
    <x v="1"/>
    <x v="4"/>
    <s v="Safco Wire Cube Shelving System, For Use as 4 or 5 14&quot; Cubes, Black"/>
    <x v="1222"/>
    <n v="5"/>
    <n v="0"/>
    <n v="7.9450000000000003"/>
  </r>
  <r>
    <n v="1381"/>
    <x v="472"/>
    <x v="2"/>
    <x v="6"/>
    <d v="2011-08-09T00:00:00"/>
    <n v="5"/>
    <x v="0"/>
    <s v="Valerie Dominguez"/>
    <x v="0"/>
    <s v="United States"/>
    <s v="Pleasant Grove"/>
    <s v="Utah"/>
    <s v="West"/>
    <x v="1"/>
    <x v="8"/>
    <s v="Ibico Standard Transparent Covers"/>
    <x v="1223"/>
    <n v="1"/>
    <n v="0.2"/>
    <n v="4.7792000000000003"/>
  </r>
  <r>
    <n v="1382"/>
    <x v="323"/>
    <x v="0"/>
    <x v="8"/>
    <d v="2013-09-10T00:00:00"/>
    <n v="6"/>
    <x v="1"/>
    <s v="Julie Kriz"/>
    <x v="2"/>
    <s v="United States"/>
    <s v="Aurora"/>
    <s v="Illinois"/>
    <s v="Central"/>
    <x v="0"/>
    <x v="5"/>
    <s v="Tenex &quot;The Solids&quot; Textured Chair Mats"/>
    <x v="1224"/>
    <n v="3"/>
    <n v="0.6"/>
    <n v="-90.248400000000004"/>
  </r>
  <r>
    <n v="1383"/>
    <x v="473"/>
    <x v="0"/>
    <x v="11"/>
    <d v="2013-02-05T00:00:00"/>
    <n v="0"/>
    <x v="3"/>
    <s v="Paul Prost"/>
    <x v="2"/>
    <s v="United States"/>
    <s v="Smyrna"/>
    <s v="Georgia"/>
    <s v="South"/>
    <x v="1"/>
    <x v="4"/>
    <s v="Carina 42&quot;Hx23 3/4&quot;W Media Storage Unit"/>
    <x v="1225"/>
    <n v="1"/>
    <n v="0"/>
    <n v="1.6195999999999999"/>
  </r>
  <r>
    <n v="1384"/>
    <x v="473"/>
    <x v="0"/>
    <x v="11"/>
    <d v="2013-02-05T00:00:00"/>
    <n v="0"/>
    <x v="3"/>
    <s v="Paul Prost"/>
    <x v="2"/>
    <s v="United States"/>
    <s v="Smyrna"/>
    <s v="Georgia"/>
    <s v="South"/>
    <x v="1"/>
    <x v="10"/>
    <s v="White Computer Printout Paper by Universal"/>
    <x v="1226"/>
    <n v="9"/>
    <n v="0"/>
    <n v="170.9316"/>
  </r>
  <r>
    <n v="1385"/>
    <x v="473"/>
    <x v="0"/>
    <x v="11"/>
    <d v="2013-02-05T00:00:00"/>
    <n v="0"/>
    <x v="3"/>
    <s v="Paul Prost"/>
    <x v="2"/>
    <s v="United States"/>
    <s v="Smyrna"/>
    <s v="Georgia"/>
    <s v="South"/>
    <x v="1"/>
    <x v="13"/>
    <s v="Revere Boxed Rubber Bands by Revere"/>
    <x v="1227"/>
    <n v="5"/>
    <n v="0"/>
    <n v="0.189"/>
  </r>
  <r>
    <n v="1386"/>
    <x v="473"/>
    <x v="0"/>
    <x v="11"/>
    <d v="2013-02-05T00:00:00"/>
    <n v="0"/>
    <x v="3"/>
    <s v="Paul Prost"/>
    <x v="2"/>
    <s v="United States"/>
    <s v="Smyrna"/>
    <s v="Georgia"/>
    <s v="South"/>
    <x v="0"/>
    <x v="5"/>
    <s v="Eldon 200 Class Desk Accessories, Black"/>
    <x v="605"/>
    <n v="3"/>
    <n v="0"/>
    <n v="7.1592000000000002"/>
  </r>
  <r>
    <n v="1387"/>
    <x v="473"/>
    <x v="0"/>
    <x v="11"/>
    <d v="2013-02-05T00:00:00"/>
    <n v="0"/>
    <x v="3"/>
    <s v="Paul Prost"/>
    <x v="2"/>
    <s v="United States"/>
    <s v="Smyrna"/>
    <s v="Georgia"/>
    <s v="South"/>
    <x v="0"/>
    <x v="0"/>
    <s v="Bush Andora Bookcase, Maple/Graphite Gray Finish"/>
    <x v="1228"/>
    <n v="2"/>
    <n v="0"/>
    <n v="52.7956"/>
  </r>
  <r>
    <n v="1388"/>
    <x v="473"/>
    <x v="0"/>
    <x v="11"/>
    <d v="2013-02-05T00:00:00"/>
    <n v="0"/>
    <x v="3"/>
    <s v="Paul Prost"/>
    <x v="2"/>
    <s v="United States"/>
    <s v="Smyrna"/>
    <s v="Georgia"/>
    <s v="South"/>
    <x v="1"/>
    <x v="12"/>
    <s v="Ames Color-File Green Diamond Border X-ray Mailers"/>
    <x v="1229"/>
    <n v="2"/>
    <n v="0"/>
    <n v="78.941199999999995"/>
  </r>
  <r>
    <n v="1389"/>
    <x v="473"/>
    <x v="0"/>
    <x v="11"/>
    <d v="2013-02-05T00:00:00"/>
    <n v="0"/>
    <x v="3"/>
    <s v="Paul Prost"/>
    <x v="2"/>
    <s v="United States"/>
    <s v="Smyrna"/>
    <s v="Georgia"/>
    <s v="South"/>
    <x v="2"/>
    <x v="7"/>
    <s v="Plantronics Cordless Phone Headset with In-line Volume - M214C"/>
    <x v="1230"/>
    <n v="3"/>
    <n v="0"/>
    <n v="28.3095"/>
  </r>
  <r>
    <n v="1390"/>
    <x v="473"/>
    <x v="0"/>
    <x v="11"/>
    <d v="2013-02-05T00:00:00"/>
    <n v="0"/>
    <x v="3"/>
    <s v="Paul Prost"/>
    <x v="2"/>
    <s v="United States"/>
    <s v="Smyrna"/>
    <s v="Georgia"/>
    <s v="South"/>
    <x v="2"/>
    <x v="7"/>
    <s v="Aastra 57i VoIP phone"/>
    <x v="1231"/>
    <n v="3"/>
    <n v="0"/>
    <n v="126.0558"/>
  </r>
  <r>
    <n v="1391"/>
    <x v="473"/>
    <x v="0"/>
    <x v="11"/>
    <d v="2013-02-05T00:00:00"/>
    <n v="0"/>
    <x v="3"/>
    <s v="Paul Prost"/>
    <x v="2"/>
    <s v="United States"/>
    <s v="Smyrna"/>
    <s v="Georgia"/>
    <s v="South"/>
    <x v="1"/>
    <x v="10"/>
    <s v="White Dual Perf Computer Printout Paper, 2700 Sheets, 1 Part, Heavyweight, 20 lbs., 14 7/8 x 11"/>
    <x v="1232"/>
    <n v="3"/>
    <n v="0"/>
    <n v="60.255299999999998"/>
  </r>
  <r>
    <n v="1392"/>
    <x v="473"/>
    <x v="0"/>
    <x v="11"/>
    <d v="2013-02-05T00:00:00"/>
    <n v="0"/>
    <x v="3"/>
    <s v="Paul Prost"/>
    <x v="2"/>
    <s v="United States"/>
    <s v="Smyrna"/>
    <s v="Georgia"/>
    <s v="South"/>
    <x v="1"/>
    <x v="4"/>
    <s v="Belkin 19&quot; Vented Equipment Shelf, Black"/>
    <x v="1233"/>
    <n v="3"/>
    <n v="0"/>
    <n v="1.5444"/>
  </r>
  <r>
    <n v="1393"/>
    <x v="473"/>
    <x v="0"/>
    <x v="11"/>
    <d v="2013-02-05T00:00:00"/>
    <n v="0"/>
    <x v="3"/>
    <s v="Paul Prost"/>
    <x v="2"/>
    <s v="United States"/>
    <s v="Smyrna"/>
    <s v="Georgia"/>
    <s v="South"/>
    <x v="1"/>
    <x v="10"/>
    <s v="Xerox 1943"/>
    <x v="1234"/>
    <n v="7"/>
    <n v="0"/>
    <n v="160.91390000000001"/>
  </r>
  <r>
    <n v="1394"/>
    <x v="445"/>
    <x v="3"/>
    <x v="7"/>
    <d v="2014-07-05T00:00:00"/>
    <n v="1"/>
    <x v="2"/>
    <s v="Yana Sorensen"/>
    <x v="1"/>
    <s v="United States"/>
    <s v="Burlington"/>
    <s v="North Carolina"/>
    <s v="South"/>
    <x v="1"/>
    <x v="6"/>
    <s v="4009 Highlighters by Sanford"/>
    <x v="1235"/>
    <n v="3"/>
    <n v="0.2"/>
    <n v="1.5522"/>
  </r>
  <r>
    <n v="1395"/>
    <x v="449"/>
    <x v="3"/>
    <x v="2"/>
    <d v="2014-10-15T00:00:00"/>
    <n v="5"/>
    <x v="1"/>
    <s v="Cyma Kinney"/>
    <x v="1"/>
    <s v="United States"/>
    <s v="Aurora"/>
    <s v="Illinois"/>
    <s v="Central"/>
    <x v="0"/>
    <x v="3"/>
    <s v="Bevis Oval Conference Table, Walnut"/>
    <x v="1236"/>
    <n v="5"/>
    <n v="0.5"/>
    <n v="-430.61700000000002"/>
  </r>
  <r>
    <n v="1396"/>
    <x v="449"/>
    <x v="3"/>
    <x v="2"/>
    <d v="2014-10-15T00:00:00"/>
    <n v="5"/>
    <x v="1"/>
    <s v="Cyma Kinney"/>
    <x v="1"/>
    <s v="United States"/>
    <s v="Aurora"/>
    <s v="Illinois"/>
    <s v="Central"/>
    <x v="0"/>
    <x v="3"/>
    <s v="Hon 61000 Series Interactive Training Tables"/>
    <x v="1237"/>
    <n v="3"/>
    <n v="0.5"/>
    <n v="-42.652799999999999"/>
  </r>
  <r>
    <n v="1397"/>
    <x v="390"/>
    <x v="0"/>
    <x v="0"/>
    <d v="2013-11-27T00:00:00"/>
    <n v="2"/>
    <x v="2"/>
    <s v="Nat Carroll"/>
    <x v="0"/>
    <s v="United States"/>
    <s v="New York City"/>
    <s v="New York"/>
    <s v="East"/>
    <x v="1"/>
    <x v="8"/>
    <s v="Acco PRESSTEX Data Binder with Storage Hooks, Light Blue, 9 1/2&quot; X 11&quot;"/>
    <x v="1238"/>
    <n v="4"/>
    <n v="0.2"/>
    <n v="6.0255999999999998"/>
  </r>
  <r>
    <n v="1398"/>
    <x v="390"/>
    <x v="0"/>
    <x v="0"/>
    <d v="2013-11-27T00:00:00"/>
    <n v="2"/>
    <x v="2"/>
    <s v="Nat Carroll"/>
    <x v="0"/>
    <s v="United States"/>
    <s v="New York City"/>
    <s v="New York"/>
    <s v="East"/>
    <x v="1"/>
    <x v="10"/>
    <s v="Xerox 196"/>
    <x v="1049"/>
    <n v="2"/>
    <n v="0"/>
    <n v="5.6643999999999997"/>
  </r>
  <r>
    <n v="1399"/>
    <x v="390"/>
    <x v="0"/>
    <x v="0"/>
    <d v="2013-11-27T00:00:00"/>
    <n v="2"/>
    <x v="2"/>
    <s v="Nat Carroll"/>
    <x v="0"/>
    <s v="United States"/>
    <s v="New York City"/>
    <s v="New York"/>
    <s v="East"/>
    <x v="2"/>
    <x v="11"/>
    <s v="SanDisk Ultra 32 GB MicroSDHC Class 10 Memory Card"/>
    <x v="1239"/>
    <n v="4"/>
    <n v="0"/>
    <n v="11.492000000000001"/>
  </r>
  <r>
    <n v="1400"/>
    <x v="390"/>
    <x v="0"/>
    <x v="0"/>
    <d v="2013-11-27T00:00:00"/>
    <n v="2"/>
    <x v="2"/>
    <s v="Nat Carroll"/>
    <x v="0"/>
    <s v="United States"/>
    <s v="New York City"/>
    <s v="New York"/>
    <s v="East"/>
    <x v="1"/>
    <x v="10"/>
    <s v="Xerox 217"/>
    <x v="90"/>
    <n v="1"/>
    <n v="0"/>
    <n v="3.1103999999999998"/>
  </r>
  <r>
    <n v="1401"/>
    <x v="474"/>
    <x v="0"/>
    <x v="0"/>
    <d v="2013-11-06T00:00:00"/>
    <n v="4"/>
    <x v="1"/>
    <s v="Katherine Murray"/>
    <x v="2"/>
    <s v="United States"/>
    <s v="Salem"/>
    <s v="Virginia"/>
    <s v="South"/>
    <x v="2"/>
    <x v="7"/>
    <s v="LF Elite 3D Dazzle Designer Hard Case Cover, Lf Stylus Pen and Wiper For Apple Iphone 5c Mini Lite"/>
    <x v="48"/>
    <n v="2"/>
    <n v="0"/>
    <n v="6.1040000000000001"/>
  </r>
  <r>
    <n v="1402"/>
    <x v="474"/>
    <x v="0"/>
    <x v="0"/>
    <d v="2013-11-06T00:00:00"/>
    <n v="4"/>
    <x v="1"/>
    <s v="Katherine Murray"/>
    <x v="2"/>
    <s v="United States"/>
    <s v="Salem"/>
    <s v="Virginia"/>
    <s v="South"/>
    <x v="1"/>
    <x v="12"/>
    <s v="Airmail Envelopes"/>
    <x v="1240"/>
    <n v="3"/>
    <n v="0"/>
    <n v="118.3413"/>
  </r>
  <r>
    <n v="1403"/>
    <x v="475"/>
    <x v="0"/>
    <x v="3"/>
    <d v="2013-04-26T00:00:00"/>
    <n v="6"/>
    <x v="1"/>
    <s v="Gary Mitchum"/>
    <x v="2"/>
    <s v="United States"/>
    <s v="Columbus"/>
    <s v="Ohio"/>
    <s v="East"/>
    <x v="0"/>
    <x v="3"/>
    <s v="Bush Andora Conference Table, Maple/Graphite Gray Finish"/>
    <x v="1241"/>
    <n v="2"/>
    <n v="0.4"/>
    <n v="-58.133200000000002"/>
  </r>
  <r>
    <n v="1404"/>
    <x v="475"/>
    <x v="0"/>
    <x v="3"/>
    <d v="2013-04-26T00:00:00"/>
    <n v="6"/>
    <x v="1"/>
    <s v="Gary Mitchum"/>
    <x v="2"/>
    <s v="United States"/>
    <s v="Columbus"/>
    <s v="Ohio"/>
    <s v="East"/>
    <x v="1"/>
    <x v="10"/>
    <s v="Xerox 189"/>
    <x v="1242"/>
    <n v="5"/>
    <n v="0.2"/>
    <n v="146.79"/>
  </r>
  <r>
    <n v="1405"/>
    <x v="322"/>
    <x v="2"/>
    <x v="3"/>
    <d v="2011-04-08T00:00:00"/>
    <n v="2"/>
    <x v="2"/>
    <s v="Shirley Daniels"/>
    <x v="2"/>
    <s v="United States"/>
    <s v="Philadelphia"/>
    <s v="Pennsylvania"/>
    <s v="East"/>
    <x v="1"/>
    <x v="14"/>
    <s v="Martin-Yale Premier Letter Opener"/>
    <x v="1243"/>
    <n v="1"/>
    <n v="0.2"/>
    <n v="-2.1896"/>
  </r>
  <r>
    <n v="1406"/>
    <x v="322"/>
    <x v="2"/>
    <x v="3"/>
    <d v="2011-04-08T00:00:00"/>
    <n v="2"/>
    <x v="2"/>
    <s v="Shirley Daniels"/>
    <x v="2"/>
    <s v="United States"/>
    <s v="Philadelphia"/>
    <s v="Pennsylvania"/>
    <s v="East"/>
    <x v="0"/>
    <x v="3"/>
    <s v="KI Adjustable-Height Table"/>
    <x v="1244"/>
    <n v="3"/>
    <n v="0.4"/>
    <n v="-36.111600000000003"/>
  </r>
  <r>
    <n v="1407"/>
    <x v="322"/>
    <x v="2"/>
    <x v="3"/>
    <d v="2011-04-08T00:00:00"/>
    <n v="2"/>
    <x v="2"/>
    <s v="Shirley Daniels"/>
    <x v="2"/>
    <s v="United States"/>
    <s v="Philadelphia"/>
    <s v="Pennsylvania"/>
    <s v="East"/>
    <x v="2"/>
    <x v="11"/>
    <s v="Imation Secure+ Hardware Encrypted USB 2.0 Flash Drive; 16GB"/>
    <x v="1245"/>
    <n v="2"/>
    <n v="0.2"/>
    <n v="21.896999999999998"/>
  </r>
  <r>
    <n v="1408"/>
    <x v="476"/>
    <x v="0"/>
    <x v="8"/>
    <d v="2013-09-07T00:00:00"/>
    <n v="4"/>
    <x v="1"/>
    <s v="Karen Daniels"/>
    <x v="0"/>
    <s v="United States"/>
    <s v="New York City"/>
    <s v="New York"/>
    <s v="East"/>
    <x v="1"/>
    <x v="6"/>
    <s v="Panasonic KP-150 Electric Pencil Sharpener"/>
    <x v="1246"/>
    <n v="2"/>
    <n v="0"/>
    <n v="19.6248"/>
  </r>
  <r>
    <n v="1409"/>
    <x v="476"/>
    <x v="0"/>
    <x v="8"/>
    <d v="2013-09-07T00:00:00"/>
    <n v="4"/>
    <x v="1"/>
    <s v="Karen Daniels"/>
    <x v="0"/>
    <s v="United States"/>
    <s v="New York City"/>
    <s v="New York"/>
    <s v="East"/>
    <x v="0"/>
    <x v="5"/>
    <s v="Telescoping Adjustable Floor Lamp"/>
    <x v="369"/>
    <n v="2"/>
    <n v="0"/>
    <n v="9.9949999999999992"/>
  </r>
  <r>
    <n v="1410"/>
    <x v="477"/>
    <x v="0"/>
    <x v="8"/>
    <d v="2013-10-01T00:00:00"/>
    <n v="5"/>
    <x v="1"/>
    <s v="Adrian Barton"/>
    <x v="0"/>
    <s v="United States"/>
    <s v="Phoenix"/>
    <s v="Arizona"/>
    <s v="West"/>
    <x v="0"/>
    <x v="3"/>
    <s v="Bevis Boat-Shaped Conference Table"/>
    <x v="859"/>
    <n v="3"/>
    <n v="0.5"/>
    <n v="-204.44579999999999"/>
  </r>
  <r>
    <n v="1411"/>
    <x v="259"/>
    <x v="3"/>
    <x v="0"/>
    <d v="2014-11-12T00:00:00"/>
    <n v="7"/>
    <x v="1"/>
    <s v="Sam Zeldin"/>
    <x v="2"/>
    <s v="United States"/>
    <s v="Grand Prairie"/>
    <s v="Texas"/>
    <s v="Central"/>
    <x v="1"/>
    <x v="2"/>
    <s v="Alphabetical Labels for Top Tab Filing"/>
    <x v="208"/>
    <n v="2"/>
    <n v="0.2"/>
    <n v="8.8800000000000008"/>
  </r>
  <r>
    <n v="1412"/>
    <x v="478"/>
    <x v="0"/>
    <x v="7"/>
    <d v="2013-07-14T00:00:00"/>
    <n v="4"/>
    <x v="1"/>
    <s v="Jonathan Doherty"/>
    <x v="1"/>
    <s v="United States"/>
    <s v="New York City"/>
    <s v="New York"/>
    <s v="East"/>
    <x v="0"/>
    <x v="1"/>
    <s v="Hon GuestStacker Chair"/>
    <x v="1247"/>
    <n v="2"/>
    <n v="0.1"/>
    <n v="72.534400000000005"/>
  </r>
  <r>
    <n v="1413"/>
    <x v="478"/>
    <x v="0"/>
    <x v="7"/>
    <d v="2013-07-14T00:00:00"/>
    <n v="4"/>
    <x v="1"/>
    <s v="Jonathan Doherty"/>
    <x v="1"/>
    <s v="United States"/>
    <s v="New York City"/>
    <s v="New York"/>
    <s v="East"/>
    <x v="0"/>
    <x v="5"/>
    <s v="Deflect-o EconoMat Studded, No Bevel Mat for Low Pile Carpeting"/>
    <x v="1248"/>
    <n v="4"/>
    <n v="0"/>
    <n v="14.8752"/>
  </r>
  <r>
    <n v="1414"/>
    <x v="479"/>
    <x v="2"/>
    <x v="1"/>
    <d v="2011-07-05T00:00:00"/>
    <n v="5"/>
    <x v="1"/>
    <s v="Helen Abelman"/>
    <x v="0"/>
    <s v="United States"/>
    <s v="New York City"/>
    <s v="New York"/>
    <s v="East"/>
    <x v="1"/>
    <x v="8"/>
    <s v="GBC Recycled Regency Composition Covers"/>
    <x v="1249"/>
    <n v="7"/>
    <n v="0.2"/>
    <n v="108.7996"/>
  </r>
  <r>
    <n v="1415"/>
    <x v="480"/>
    <x v="3"/>
    <x v="9"/>
    <d v="2014-02-01T00:00:00"/>
    <n v="3"/>
    <x v="0"/>
    <s v="Beth Thompson"/>
    <x v="2"/>
    <s v="United States"/>
    <s v="Costa Mesa"/>
    <s v="California"/>
    <s v="West"/>
    <x v="2"/>
    <x v="11"/>
    <s v="Logitech G13 Programmable Gameboard with LCD Display"/>
    <x v="758"/>
    <n v="3"/>
    <n v="0"/>
    <n v="26.396699999999999"/>
  </r>
  <r>
    <n v="1416"/>
    <x v="480"/>
    <x v="3"/>
    <x v="9"/>
    <d v="2014-02-01T00:00:00"/>
    <n v="3"/>
    <x v="0"/>
    <s v="Beth Thompson"/>
    <x v="2"/>
    <s v="United States"/>
    <s v="Costa Mesa"/>
    <s v="California"/>
    <s v="West"/>
    <x v="0"/>
    <x v="5"/>
    <s v="DAX Executive Solid Wood Document Frame, Desktop or Hang, Mahogany, 5 x 7"/>
    <x v="1250"/>
    <n v="3"/>
    <n v="0"/>
    <n v="12.8316"/>
  </r>
  <r>
    <n v="1417"/>
    <x v="481"/>
    <x v="1"/>
    <x v="8"/>
    <d v="2012-09-24T00:00:00"/>
    <n v="3"/>
    <x v="2"/>
    <s v="Stuart Van"/>
    <x v="1"/>
    <s v="United States"/>
    <s v="Houston"/>
    <s v="Texas"/>
    <s v="Central"/>
    <x v="2"/>
    <x v="7"/>
    <s v="ShoreTel ShorePhone IP 230 VoIP phone"/>
    <x v="1251"/>
    <n v="7"/>
    <n v="0.2"/>
    <n v="118.29300000000001"/>
  </r>
  <r>
    <n v="1418"/>
    <x v="481"/>
    <x v="1"/>
    <x v="8"/>
    <d v="2012-09-24T00:00:00"/>
    <n v="3"/>
    <x v="2"/>
    <s v="Stuart Van"/>
    <x v="1"/>
    <s v="United States"/>
    <s v="Houston"/>
    <s v="Texas"/>
    <s v="Central"/>
    <x v="2"/>
    <x v="11"/>
    <s v="Hypercom P1300 Pinpad"/>
    <x v="1252"/>
    <n v="3"/>
    <n v="0.2"/>
    <n v="32.130000000000003"/>
  </r>
  <r>
    <n v="1419"/>
    <x v="481"/>
    <x v="1"/>
    <x v="8"/>
    <d v="2012-09-24T00:00:00"/>
    <n v="3"/>
    <x v="2"/>
    <s v="Stuart Van"/>
    <x v="1"/>
    <s v="United States"/>
    <s v="Houston"/>
    <s v="Texas"/>
    <s v="Central"/>
    <x v="0"/>
    <x v="5"/>
    <s v="Longer-Life Soft White Bulbs"/>
    <x v="1253"/>
    <n v="4"/>
    <n v="0.6"/>
    <n v="-1.4783999999999999"/>
  </r>
  <r>
    <n v="1420"/>
    <x v="120"/>
    <x v="1"/>
    <x v="8"/>
    <d v="2012-09-30T00:00:00"/>
    <n v="4"/>
    <x v="1"/>
    <s v="Rick Wilson"/>
    <x v="1"/>
    <s v="United States"/>
    <s v="Mesa"/>
    <s v="Arizona"/>
    <s v="West"/>
    <x v="1"/>
    <x v="10"/>
    <s v="Petty Cash Envelope"/>
    <x v="1254"/>
    <n v="4"/>
    <n v="0.2"/>
    <n v="31.273599999999998"/>
  </r>
  <r>
    <n v="1421"/>
    <x v="120"/>
    <x v="1"/>
    <x v="8"/>
    <d v="2012-09-30T00:00:00"/>
    <n v="4"/>
    <x v="1"/>
    <s v="Rick Wilson"/>
    <x v="1"/>
    <s v="United States"/>
    <s v="Mesa"/>
    <s v="Arizona"/>
    <s v="West"/>
    <x v="1"/>
    <x v="8"/>
    <s v="GBC VeloBinder Electric Binding Machine"/>
    <x v="1255"/>
    <n v="2"/>
    <n v="0.7"/>
    <n v="-48.392000000000003"/>
  </r>
  <r>
    <n v="1422"/>
    <x v="120"/>
    <x v="1"/>
    <x v="8"/>
    <d v="2012-09-30T00:00:00"/>
    <n v="4"/>
    <x v="1"/>
    <s v="Rick Wilson"/>
    <x v="1"/>
    <s v="United States"/>
    <s v="Mesa"/>
    <s v="Arizona"/>
    <s v="West"/>
    <x v="1"/>
    <x v="9"/>
    <s v="3M Replacement Filter for Office Air Cleaner for 20' x 33' Room"/>
    <x v="1256"/>
    <n v="2"/>
    <n v="0.2"/>
    <n v="14.409599999999999"/>
  </r>
  <r>
    <n v="1423"/>
    <x v="120"/>
    <x v="1"/>
    <x v="8"/>
    <d v="2012-09-30T00:00:00"/>
    <n v="4"/>
    <x v="1"/>
    <s v="Rick Wilson"/>
    <x v="1"/>
    <s v="United States"/>
    <s v="Mesa"/>
    <s v="Arizona"/>
    <s v="West"/>
    <x v="1"/>
    <x v="8"/>
    <s v="Lock-Up Easel 'Spel-Binder'"/>
    <x v="1257"/>
    <n v="9"/>
    <n v="0.7"/>
    <n v="-59.057099999999998"/>
  </r>
  <r>
    <n v="1424"/>
    <x v="120"/>
    <x v="1"/>
    <x v="8"/>
    <d v="2012-09-30T00:00:00"/>
    <n v="4"/>
    <x v="1"/>
    <s v="Rick Wilson"/>
    <x v="1"/>
    <s v="United States"/>
    <s v="Mesa"/>
    <s v="Arizona"/>
    <s v="West"/>
    <x v="1"/>
    <x v="4"/>
    <s v="2300 Heavy-Duty Transfer File Systems by Perma"/>
    <x v="1258"/>
    <n v="6"/>
    <n v="0.2"/>
    <n v="-1.4987999999999999"/>
  </r>
  <r>
    <n v="1425"/>
    <x v="120"/>
    <x v="1"/>
    <x v="8"/>
    <d v="2012-09-30T00:00:00"/>
    <n v="4"/>
    <x v="1"/>
    <s v="Rick Wilson"/>
    <x v="1"/>
    <s v="United States"/>
    <s v="Mesa"/>
    <s v="Arizona"/>
    <s v="West"/>
    <x v="2"/>
    <x v="7"/>
    <s v="Samsung Rugby III"/>
    <x v="1259"/>
    <n v="5"/>
    <n v="0.2"/>
    <n v="23.096499999999999"/>
  </r>
  <r>
    <n v="1426"/>
    <x v="120"/>
    <x v="1"/>
    <x v="8"/>
    <d v="2012-09-30T00:00:00"/>
    <n v="4"/>
    <x v="1"/>
    <s v="Rick Wilson"/>
    <x v="1"/>
    <s v="United States"/>
    <s v="Mesa"/>
    <s v="Arizona"/>
    <s v="West"/>
    <x v="1"/>
    <x v="4"/>
    <s v="SAFCO Boltless Steel Shelving"/>
    <x v="1260"/>
    <n v="4"/>
    <n v="0.2"/>
    <n v="-86.366399999999999"/>
  </r>
  <r>
    <n v="1427"/>
    <x v="89"/>
    <x v="1"/>
    <x v="2"/>
    <d v="2012-11-04T00:00:00"/>
    <n v="4"/>
    <x v="0"/>
    <s v="Damala Kotsonis"/>
    <x v="1"/>
    <s v="United States"/>
    <s v="Salinas"/>
    <s v="California"/>
    <s v="West"/>
    <x v="1"/>
    <x v="8"/>
    <s v="Prestige Round Ring Binders"/>
    <x v="1261"/>
    <n v="2"/>
    <n v="0.2"/>
    <n v="3.2831999999999999"/>
  </r>
  <r>
    <n v="1428"/>
    <x v="89"/>
    <x v="1"/>
    <x v="2"/>
    <d v="2012-11-04T00:00:00"/>
    <n v="4"/>
    <x v="0"/>
    <s v="Damala Kotsonis"/>
    <x v="1"/>
    <s v="United States"/>
    <s v="Salinas"/>
    <s v="California"/>
    <s v="West"/>
    <x v="1"/>
    <x v="12"/>
    <s v="Redi-Strip #10 Envelopes, 4 1/8 x 9 1/2"/>
    <x v="1262"/>
    <n v="5"/>
    <n v="0"/>
    <n v="7.08"/>
  </r>
  <r>
    <n v="1429"/>
    <x v="89"/>
    <x v="1"/>
    <x v="2"/>
    <d v="2012-11-04T00:00:00"/>
    <n v="4"/>
    <x v="0"/>
    <s v="Damala Kotsonis"/>
    <x v="1"/>
    <s v="United States"/>
    <s v="Salinas"/>
    <s v="California"/>
    <s v="West"/>
    <x v="1"/>
    <x v="8"/>
    <s v="Acco Four Pocket Poly Ring Binder with Label Holder, Smoke, 1&quot;"/>
    <x v="1263"/>
    <n v="5"/>
    <n v="0.2"/>
    <n v="9.3125"/>
  </r>
  <r>
    <n v="1430"/>
    <x v="89"/>
    <x v="1"/>
    <x v="2"/>
    <d v="2012-11-04T00:00:00"/>
    <n v="4"/>
    <x v="0"/>
    <s v="Damala Kotsonis"/>
    <x v="1"/>
    <s v="United States"/>
    <s v="Salinas"/>
    <s v="California"/>
    <s v="West"/>
    <x v="1"/>
    <x v="2"/>
    <s v="Avery 4027 File Folder Labels for Dot Matrix Printers, 5000 Labels per Box, White"/>
    <x v="1264"/>
    <n v="14"/>
    <n v="0"/>
    <n v="196.61320000000001"/>
  </r>
  <r>
    <n v="1431"/>
    <x v="200"/>
    <x v="3"/>
    <x v="0"/>
    <d v="2014-12-01T00:00:00"/>
    <n v="4"/>
    <x v="1"/>
    <s v="Liz Thompson"/>
    <x v="0"/>
    <s v="United States"/>
    <s v="Columbus"/>
    <s v="Ohio"/>
    <s v="East"/>
    <x v="2"/>
    <x v="7"/>
    <s v="Motorola L804"/>
    <x v="1265"/>
    <n v="8"/>
    <n v="0.4"/>
    <n v="-40.471200000000003"/>
  </r>
  <r>
    <n v="1432"/>
    <x v="174"/>
    <x v="2"/>
    <x v="4"/>
    <d v="2011-12-21T00:00:00"/>
    <n v="2"/>
    <x v="0"/>
    <s v="Irene Maddox"/>
    <x v="0"/>
    <s v="United States"/>
    <s v="Florence"/>
    <s v="Alabama"/>
    <s v="South"/>
    <x v="1"/>
    <x v="8"/>
    <s v="Canvas Sectional Post Binders"/>
    <x v="1266"/>
    <n v="6"/>
    <n v="0"/>
    <n v="74.852400000000003"/>
  </r>
  <r>
    <n v="1433"/>
    <x v="174"/>
    <x v="2"/>
    <x v="4"/>
    <d v="2011-12-21T00:00:00"/>
    <n v="2"/>
    <x v="0"/>
    <s v="Irene Maddox"/>
    <x v="0"/>
    <s v="United States"/>
    <s v="Florence"/>
    <s v="Alabama"/>
    <s v="South"/>
    <x v="1"/>
    <x v="14"/>
    <s v="Acme Stainless Steel Office Snips"/>
    <x v="1267"/>
    <n v="1"/>
    <n v="0"/>
    <n v="1.9629000000000001"/>
  </r>
  <r>
    <n v="1434"/>
    <x v="174"/>
    <x v="2"/>
    <x v="4"/>
    <d v="2011-12-21T00:00:00"/>
    <n v="2"/>
    <x v="0"/>
    <s v="Irene Maddox"/>
    <x v="0"/>
    <s v="United States"/>
    <s v="Florence"/>
    <s v="Alabama"/>
    <s v="South"/>
    <x v="0"/>
    <x v="1"/>
    <s v="High-Back Leather Manager's Chair"/>
    <x v="1268"/>
    <n v="14"/>
    <n v="0"/>
    <n v="163.78739999999999"/>
  </r>
  <r>
    <n v="1435"/>
    <x v="482"/>
    <x v="0"/>
    <x v="4"/>
    <d v="2013-12-31T00:00:00"/>
    <n v="4"/>
    <x v="1"/>
    <s v="Frank Preis"/>
    <x v="0"/>
    <s v="United States"/>
    <s v="Seattle"/>
    <s v="Washington"/>
    <s v="West"/>
    <x v="1"/>
    <x v="10"/>
    <s v="Strathmore Photo Mount Cards"/>
    <x v="1269"/>
    <n v="5"/>
    <n v="0"/>
    <n v="15.593999999999999"/>
  </r>
  <r>
    <n v="1436"/>
    <x v="308"/>
    <x v="3"/>
    <x v="1"/>
    <d v="2014-06-28T00:00:00"/>
    <n v="7"/>
    <x v="1"/>
    <s v="Shui Tom"/>
    <x v="0"/>
    <s v="United States"/>
    <s v="Parma"/>
    <s v="Ohio"/>
    <s v="East"/>
    <x v="1"/>
    <x v="10"/>
    <s v="Xerox 203"/>
    <x v="276"/>
    <n v="6"/>
    <n v="0.2"/>
    <n v="10.8864"/>
  </r>
  <r>
    <n v="1437"/>
    <x v="308"/>
    <x v="3"/>
    <x v="1"/>
    <d v="2014-06-28T00:00:00"/>
    <n v="7"/>
    <x v="1"/>
    <s v="Shui Tom"/>
    <x v="0"/>
    <s v="United States"/>
    <s v="Parma"/>
    <s v="Ohio"/>
    <s v="East"/>
    <x v="1"/>
    <x v="6"/>
    <s v="Newell 35"/>
    <x v="791"/>
    <n v="2"/>
    <n v="0.2"/>
    <n v="0.59040000000000004"/>
  </r>
  <r>
    <n v="1438"/>
    <x v="52"/>
    <x v="1"/>
    <x v="2"/>
    <d v="2012-10-15T00:00:00"/>
    <n v="0"/>
    <x v="3"/>
    <s v="Joel Eaton"/>
    <x v="0"/>
    <s v="United States"/>
    <s v="Amarillo"/>
    <s v="Texas"/>
    <s v="Central"/>
    <x v="2"/>
    <x v="11"/>
    <s v="Plantronics Audio 995 Wireless Stereo Headset"/>
    <x v="425"/>
    <n v="3"/>
    <n v="0.2"/>
    <n v="42.880499999999998"/>
  </r>
  <r>
    <n v="1439"/>
    <x v="52"/>
    <x v="1"/>
    <x v="2"/>
    <d v="2012-10-15T00:00:00"/>
    <n v="0"/>
    <x v="3"/>
    <s v="Joel Eaton"/>
    <x v="0"/>
    <s v="United States"/>
    <s v="Amarillo"/>
    <s v="Texas"/>
    <s v="Central"/>
    <x v="0"/>
    <x v="1"/>
    <s v="HON 5400 Series Task Chairs for Big and Tall"/>
    <x v="1270"/>
    <n v="5"/>
    <n v="0.3"/>
    <n v="-350.49"/>
  </r>
  <r>
    <n v="1440"/>
    <x v="483"/>
    <x v="3"/>
    <x v="3"/>
    <d v="2014-04-16T00:00:00"/>
    <n v="3"/>
    <x v="0"/>
    <s v="Bill Donatelli"/>
    <x v="0"/>
    <s v="United States"/>
    <s v="Providence"/>
    <s v="Rhode Island"/>
    <s v="East"/>
    <x v="1"/>
    <x v="8"/>
    <s v="Storex Dura Pro Binders"/>
    <x v="1271"/>
    <n v="5"/>
    <n v="0"/>
    <n v="13.365"/>
  </r>
  <r>
    <n v="1441"/>
    <x v="483"/>
    <x v="3"/>
    <x v="3"/>
    <d v="2014-04-16T00:00:00"/>
    <n v="3"/>
    <x v="0"/>
    <s v="Bill Donatelli"/>
    <x v="0"/>
    <s v="United States"/>
    <s v="Providence"/>
    <s v="Rhode Island"/>
    <s v="East"/>
    <x v="1"/>
    <x v="10"/>
    <s v="Xerox 1948"/>
    <x v="786"/>
    <n v="4"/>
    <n v="0"/>
    <n v="17.981999999999999"/>
  </r>
  <r>
    <n v="1442"/>
    <x v="484"/>
    <x v="3"/>
    <x v="4"/>
    <d v="2014-12-25T00:00:00"/>
    <n v="5"/>
    <x v="0"/>
    <s v="Michael Moore"/>
    <x v="0"/>
    <s v="United States"/>
    <s v="San Francisco"/>
    <s v="California"/>
    <s v="West"/>
    <x v="1"/>
    <x v="8"/>
    <s v="Deluxe Heavy-Duty Vinyl Round Ring Binder"/>
    <x v="1272"/>
    <n v="2"/>
    <n v="0.2"/>
    <n v="11.46"/>
  </r>
  <r>
    <n v="1443"/>
    <x v="485"/>
    <x v="3"/>
    <x v="6"/>
    <d v="2014-08-09T00:00:00"/>
    <n v="3"/>
    <x v="2"/>
    <s v="Pauline Webber"/>
    <x v="1"/>
    <s v="United States"/>
    <s v="Richmond"/>
    <s v="Kentucky"/>
    <s v="South"/>
    <x v="1"/>
    <x v="10"/>
    <s v="Adams Phone Message Book, 200 Message Capacity, 8 1/16” x 11”"/>
    <x v="1273"/>
    <n v="2"/>
    <n v="0"/>
    <n v="6.3296000000000001"/>
  </r>
  <r>
    <n v="1444"/>
    <x v="486"/>
    <x v="1"/>
    <x v="2"/>
    <d v="2012-10-06T00:00:00"/>
    <n v="5"/>
    <x v="1"/>
    <s v="Shaun Chance"/>
    <x v="1"/>
    <s v="United States"/>
    <s v="Aurora"/>
    <s v="Colorado"/>
    <s v="West"/>
    <x v="1"/>
    <x v="4"/>
    <s v="Trav-L-File Heavy-Duty Shuttle II, Black"/>
    <x v="1274"/>
    <n v="4"/>
    <n v="0.2"/>
    <n v="17.428000000000001"/>
  </r>
  <r>
    <n v="1445"/>
    <x v="454"/>
    <x v="0"/>
    <x v="5"/>
    <d v="2013-05-29T00:00:00"/>
    <n v="5"/>
    <x v="1"/>
    <s v="Ken Lonsdale"/>
    <x v="0"/>
    <s v="United States"/>
    <s v="Chicago"/>
    <s v="Illinois"/>
    <s v="Central"/>
    <x v="2"/>
    <x v="7"/>
    <s v="Mitel MiVoice 5330e IP Phone"/>
    <x v="1275"/>
    <n v="9"/>
    <n v="0.2"/>
    <n v="148.49459999999999"/>
  </r>
  <r>
    <n v="1446"/>
    <x v="487"/>
    <x v="3"/>
    <x v="1"/>
    <d v="2014-06-17T00:00:00"/>
    <n v="3"/>
    <x v="2"/>
    <s v="Shirley Daniels"/>
    <x v="2"/>
    <s v="United States"/>
    <s v="Chicago"/>
    <s v="Illinois"/>
    <s v="Central"/>
    <x v="1"/>
    <x v="4"/>
    <s v="Belkin 19&quot; Vented Equipment Shelf, Black"/>
    <x v="1276"/>
    <n v="4"/>
    <n v="0.2"/>
    <n v="-39.1248"/>
  </r>
  <r>
    <n v="1447"/>
    <x v="487"/>
    <x v="3"/>
    <x v="1"/>
    <d v="2014-06-17T00:00:00"/>
    <n v="3"/>
    <x v="2"/>
    <s v="Shirley Daniels"/>
    <x v="2"/>
    <s v="United States"/>
    <s v="Chicago"/>
    <s v="Illinois"/>
    <s v="Central"/>
    <x v="0"/>
    <x v="1"/>
    <s v="Global Super Steno Chair"/>
    <x v="1277"/>
    <n v="7"/>
    <n v="0.3"/>
    <n v="-87.341800000000006"/>
  </r>
  <r>
    <n v="1448"/>
    <x v="487"/>
    <x v="3"/>
    <x v="1"/>
    <d v="2014-06-17T00:00:00"/>
    <n v="3"/>
    <x v="2"/>
    <s v="Shirley Daniels"/>
    <x v="2"/>
    <s v="United States"/>
    <s v="Chicago"/>
    <s v="Illinois"/>
    <s v="Central"/>
    <x v="2"/>
    <x v="7"/>
    <s v="OtterBox Defender Series Case - Samsung Galaxy S4"/>
    <x v="730"/>
    <n v="2"/>
    <n v="0.2"/>
    <n v="5.9980000000000002"/>
  </r>
  <r>
    <n v="1449"/>
    <x v="488"/>
    <x v="2"/>
    <x v="3"/>
    <d v="2011-04-24T00:00:00"/>
    <n v="1"/>
    <x v="2"/>
    <s v="Theresa Swint"/>
    <x v="1"/>
    <s v="United States"/>
    <s v="Philadelphia"/>
    <s v="Pennsylvania"/>
    <s v="East"/>
    <x v="1"/>
    <x v="8"/>
    <s v="Wilson Jones Suede Grain Vinyl Binders"/>
    <x v="1278"/>
    <n v="3"/>
    <n v="0.7"/>
    <n v="-1.7514000000000001"/>
  </r>
  <r>
    <n v="1450"/>
    <x v="489"/>
    <x v="1"/>
    <x v="5"/>
    <d v="2012-05-07T00:00:00"/>
    <n v="6"/>
    <x v="1"/>
    <s v="Jennifer Braxton"/>
    <x v="1"/>
    <s v="United States"/>
    <s v="Los Angeles"/>
    <s v="California"/>
    <s v="West"/>
    <x v="2"/>
    <x v="7"/>
    <s v="OtterBox Defender Series Case - iPhone 5c"/>
    <x v="1279"/>
    <n v="3"/>
    <n v="0.2"/>
    <n v="11.093999999999999"/>
  </r>
  <r>
    <n v="1451"/>
    <x v="490"/>
    <x v="1"/>
    <x v="7"/>
    <d v="2012-07-20T00:00:00"/>
    <n v="1"/>
    <x v="2"/>
    <s v="Thais Sissman"/>
    <x v="0"/>
    <s v="United States"/>
    <s v="Phoenix"/>
    <s v="Arizona"/>
    <s v="West"/>
    <x v="1"/>
    <x v="8"/>
    <s v="Wilson Jones DublLock D-Ring Binders"/>
    <x v="1280"/>
    <n v="1"/>
    <n v="0.7"/>
    <n v="-1.35"/>
  </r>
  <r>
    <n v="1452"/>
    <x v="491"/>
    <x v="0"/>
    <x v="0"/>
    <d v="2013-11-30T00:00:00"/>
    <n v="3"/>
    <x v="2"/>
    <s v="Mark Cousins"/>
    <x v="1"/>
    <s v="United States"/>
    <s v="Mobile"/>
    <s v="Alabama"/>
    <s v="South"/>
    <x v="1"/>
    <x v="10"/>
    <s v="Staples"/>
    <x v="554"/>
    <n v="7"/>
    <n v="0"/>
    <n v="34.780200000000001"/>
  </r>
  <r>
    <n v="1453"/>
    <x v="491"/>
    <x v="0"/>
    <x v="0"/>
    <d v="2013-11-30T00:00:00"/>
    <n v="3"/>
    <x v="2"/>
    <s v="Mark Cousins"/>
    <x v="1"/>
    <s v="United States"/>
    <s v="Mobile"/>
    <s v="Alabama"/>
    <s v="South"/>
    <x v="1"/>
    <x v="8"/>
    <s v="Surelock Post Binders"/>
    <x v="1281"/>
    <n v="3"/>
    <n v="0"/>
    <n v="45.84"/>
  </r>
  <r>
    <n v="1454"/>
    <x v="491"/>
    <x v="0"/>
    <x v="0"/>
    <d v="2013-11-30T00:00:00"/>
    <n v="3"/>
    <x v="2"/>
    <s v="Mark Cousins"/>
    <x v="1"/>
    <s v="United States"/>
    <s v="Mobile"/>
    <s v="Alabama"/>
    <s v="South"/>
    <x v="1"/>
    <x v="8"/>
    <s v="Wilson Jones DublLock D-Ring Binders"/>
    <x v="1282"/>
    <n v="5"/>
    <n v="0"/>
    <n v="16.875"/>
  </r>
  <r>
    <n v="1455"/>
    <x v="491"/>
    <x v="0"/>
    <x v="0"/>
    <d v="2013-11-30T00:00:00"/>
    <n v="3"/>
    <x v="2"/>
    <s v="Mark Cousins"/>
    <x v="1"/>
    <s v="United States"/>
    <s v="Mobile"/>
    <s v="Alabama"/>
    <s v="South"/>
    <x v="2"/>
    <x v="15"/>
    <s v="Hewlett-Packard Deskjet 3050a All-in-One Color Inkjet Printer"/>
    <x v="1283"/>
    <n v="8"/>
    <n v="0"/>
    <n v="1459.2"/>
  </r>
  <r>
    <n v="1456"/>
    <x v="492"/>
    <x v="3"/>
    <x v="1"/>
    <d v="2014-06-20T00:00:00"/>
    <n v="7"/>
    <x v="1"/>
    <s v="Maria Etezadi"/>
    <x v="2"/>
    <s v="United States"/>
    <s v="Columbus"/>
    <s v="Georgia"/>
    <s v="South"/>
    <x v="1"/>
    <x v="8"/>
    <s v="Ibico Plastic Spiral Binding Combs"/>
    <x v="1284"/>
    <n v="3"/>
    <n v="0"/>
    <n v="41.951999999999998"/>
  </r>
  <r>
    <n v="1457"/>
    <x v="492"/>
    <x v="3"/>
    <x v="1"/>
    <d v="2014-06-20T00:00:00"/>
    <n v="7"/>
    <x v="1"/>
    <s v="Maria Etezadi"/>
    <x v="2"/>
    <s v="United States"/>
    <s v="Columbus"/>
    <s v="Georgia"/>
    <s v="South"/>
    <x v="0"/>
    <x v="3"/>
    <s v="Iceberg OfficeWorks 42&quot; Round Tables"/>
    <x v="1285"/>
    <n v="3"/>
    <n v="0"/>
    <n v="67.941000000000003"/>
  </r>
  <r>
    <n v="1458"/>
    <x v="493"/>
    <x v="1"/>
    <x v="6"/>
    <d v="2012-08-21T00:00:00"/>
    <n v="4"/>
    <x v="1"/>
    <s v="Shaun Chance"/>
    <x v="1"/>
    <s v="United States"/>
    <s v="New Bedford"/>
    <s v="Massachusetts"/>
    <s v="East"/>
    <x v="1"/>
    <x v="8"/>
    <s v="Wilson Jones “Snap” Scratch Pad Binder Tool for Ring Binders"/>
    <x v="1286"/>
    <n v="9"/>
    <n v="0"/>
    <n v="23.49"/>
  </r>
  <r>
    <n v="1459"/>
    <x v="477"/>
    <x v="0"/>
    <x v="8"/>
    <d v="2013-10-02T00:00:00"/>
    <n v="6"/>
    <x v="1"/>
    <s v="Nicole Hansen"/>
    <x v="1"/>
    <s v="United States"/>
    <s v="Irving"/>
    <s v="Texas"/>
    <s v="Central"/>
    <x v="1"/>
    <x v="2"/>
    <s v="Avery 499"/>
    <x v="795"/>
    <n v="4"/>
    <n v="0.2"/>
    <n v="5.1791999999999998"/>
  </r>
  <r>
    <n v="1460"/>
    <x v="417"/>
    <x v="2"/>
    <x v="5"/>
    <d v="2011-05-04T00:00:00"/>
    <n v="0"/>
    <x v="3"/>
    <s v="Andrew Allen"/>
    <x v="0"/>
    <s v="United States"/>
    <s v="Middletown"/>
    <s v="Connecticut"/>
    <s v="East"/>
    <x v="0"/>
    <x v="5"/>
    <s v="DAX Wood Document Frame"/>
    <x v="1287"/>
    <n v="2"/>
    <n v="0"/>
    <n v="9.8856000000000002"/>
  </r>
  <r>
    <n v="1461"/>
    <x v="494"/>
    <x v="1"/>
    <x v="4"/>
    <d v="2012-12-08T00:00:00"/>
    <n v="7"/>
    <x v="1"/>
    <s v="Logan Currie"/>
    <x v="0"/>
    <s v="United States"/>
    <s v="Seattle"/>
    <s v="Washington"/>
    <s v="West"/>
    <x v="1"/>
    <x v="8"/>
    <s v="Wilson Jones Heavy-Duty Casebound Ring Binders with Metal Hinges"/>
    <x v="1288"/>
    <n v="2"/>
    <n v="0.2"/>
    <n v="19.398399999999999"/>
  </r>
  <r>
    <n v="1462"/>
    <x v="21"/>
    <x v="0"/>
    <x v="10"/>
    <d v="2013-03-16T00:00:00"/>
    <n v="4"/>
    <x v="1"/>
    <s v="Mick Brown"/>
    <x v="0"/>
    <s v="United States"/>
    <s v="Vineland"/>
    <s v="New Jersey"/>
    <s v="East"/>
    <x v="0"/>
    <x v="3"/>
    <s v="Chromcraft Round Conference Tables"/>
    <x v="1289"/>
    <n v="2"/>
    <n v="0.3"/>
    <n v="-31.372199999999999"/>
  </r>
  <r>
    <n v="1463"/>
    <x v="370"/>
    <x v="0"/>
    <x v="6"/>
    <d v="2013-08-29T00:00:00"/>
    <n v="2"/>
    <x v="2"/>
    <s v="Linda Cazamias"/>
    <x v="1"/>
    <s v="United States"/>
    <s v="Pasadena"/>
    <s v="Texas"/>
    <s v="Central"/>
    <x v="2"/>
    <x v="11"/>
    <s v="Logitech G700s Rechargeable Gaming Mouse"/>
    <x v="1290"/>
    <n v="2"/>
    <n v="0.2"/>
    <n v="43.995600000000003"/>
  </r>
  <r>
    <n v="1464"/>
    <x v="370"/>
    <x v="0"/>
    <x v="6"/>
    <d v="2013-08-29T00:00:00"/>
    <n v="2"/>
    <x v="2"/>
    <s v="Linda Cazamias"/>
    <x v="1"/>
    <s v="United States"/>
    <s v="Pasadena"/>
    <s v="Texas"/>
    <s v="Central"/>
    <x v="0"/>
    <x v="1"/>
    <s v="Hon Deluxe Fabric Upholstered Stacking Chairs"/>
    <x v="1291"/>
    <n v="6"/>
    <n v="0.3"/>
    <n v="-29.2776"/>
  </r>
  <r>
    <n v="1465"/>
    <x v="186"/>
    <x v="0"/>
    <x v="4"/>
    <d v="2013-12-20T00:00:00"/>
    <n v="3"/>
    <x v="2"/>
    <s v="Keith Dawkins"/>
    <x v="1"/>
    <s v="United States"/>
    <s v="New York City"/>
    <s v="New York"/>
    <s v="East"/>
    <x v="1"/>
    <x v="13"/>
    <s v="Stockwell Gold Paper Clips"/>
    <x v="1292"/>
    <n v="2"/>
    <n v="0"/>
    <n v="1.8031999999999999"/>
  </r>
  <r>
    <n v="1466"/>
    <x v="233"/>
    <x v="2"/>
    <x v="6"/>
    <d v="2011-08-14T00:00:00"/>
    <n v="6"/>
    <x v="1"/>
    <s v="Maria Bertelson"/>
    <x v="0"/>
    <s v="United States"/>
    <s v="Glendale"/>
    <s v="Arizona"/>
    <s v="West"/>
    <x v="0"/>
    <x v="5"/>
    <s v="Eldon Delta Triangular Chair Mat, 52&quot; x 58&quot;, Clear"/>
    <x v="1293"/>
    <n v="4"/>
    <n v="0.2"/>
    <n v="-3.0344000000000002"/>
  </r>
  <r>
    <n v="1467"/>
    <x v="233"/>
    <x v="2"/>
    <x v="6"/>
    <d v="2011-08-14T00:00:00"/>
    <n v="6"/>
    <x v="1"/>
    <s v="Maria Bertelson"/>
    <x v="0"/>
    <s v="United States"/>
    <s v="Glendale"/>
    <s v="Arizona"/>
    <s v="West"/>
    <x v="2"/>
    <x v="11"/>
    <s v="SanDisk Ultra 64 GB MicroSDHC Class 10 Memory Card"/>
    <x v="98"/>
    <n v="3"/>
    <n v="0.2"/>
    <n v="-10.7973"/>
  </r>
  <r>
    <n v="1468"/>
    <x v="495"/>
    <x v="1"/>
    <x v="5"/>
    <d v="2012-05-16T00:00:00"/>
    <n v="0"/>
    <x v="3"/>
    <s v="Tracy Hopkins"/>
    <x v="2"/>
    <s v="United States"/>
    <s v="Jacksonville"/>
    <s v="Florida"/>
    <s v="South"/>
    <x v="2"/>
    <x v="11"/>
    <s v="Razer Kraken PRO Over Ear PC and Music Headset"/>
    <x v="1294"/>
    <n v="4"/>
    <n v="0.2"/>
    <n v="31.995999999999999"/>
  </r>
  <r>
    <n v="1469"/>
    <x v="34"/>
    <x v="3"/>
    <x v="4"/>
    <d v="2014-12-14T00:00:00"/>
    <n v="4"/>
    <x v="1"/>
    <s v="Damala Kotsonis"/>
    <x v="1"/>
    <s v="United States"/>
    <s v="Detroit"/>
    <s v="Michigan"/>
    <s v="Central"/>
    <x v="0"/>
    <x v="1"/>
    <s v="Global Executive Mid-Back Manager's Chair"/>
    <x v="1295"/>
    <n v="3"/>
    <n v="0"/>
    <n v="226.96440000000001"/>
  </r>
  <r>
    <n v="1470"/>
    <x v="34"/>
    <x v="3"/>
    <x v="4"/>
    <d v="2014-12-14T00:00:00"/>
    <n v="4"/>
    <x v="1"/>
    <s v="Damala Kotsonis"/>
    <x v="1"/>
    <s v="United States"/>
    <s v="Detroit"/>
    <s v="Michigan"/>
    <s v="Central"/>
    <x v="1"/>
    <x v="8"/>
    <s v="Wilson Jones Century Plastic Molded Ring Binders"/>
    <x v="1296"/>
    <n v="2"/>
    <n v="0"/>
    <n v="19.523800000000001"/>
  </r>
  <r>
    <n v="1471"/>
    <x v="34"/>
    <x v="3"/>
    <x v="4"/>
    <d v="2014-12-14T00:00:00"/>
    <n v="4"/>
    <x v="1"/>
    <s v="Damala Kotsonis"/>
    <x v="1"/>
    <s v="United States"/>
    <s v="Detroit"/>
    <s v="Michigan"/>
    <s v="Central"/>
    <x v="1"/>
    <x v="10"/>
    <s v="Xerox 1946"/>
    <x v="91"/>
    <n v="2"/>
    <n v="0"/>
    <n v="6.2207999999999997"/>
  </r>
  <r>
    <n v="1472"/>
    <x v="496"/>
    <x v="1"/>
    <x v="8"/>
    <d v="2012-09-27T00:00:00"/>
    <n v="3"/>
    <x v="0"/>
    <s v="Odella Nelson"/>
    <x v="1"/>
    <s v="United States"/>
    <s v="Philadelphia"/>
    <s v="Pennsylvania"/>
    <s v="East"/>
    <x v="1"/>
    <x v="6"/>
    <s v="Newell 320"/>
    <x v="1297"/>
    <n v="2"/>
    <n v="0.2"/>
    <n v="0.59919999999999995"/>
  </r>
  <r>
    <n v="1473"/>
    <x v="497"/>
    <x v="3"/>
    <x v="7"/>
    <d v="2014-07-16T00:00:00"/>
    <n v="4"/>
    <x v="1"/>
    <s v="Katherine Nockton"/>
    <x v="1"/>
    <s v="United States"/>
    <s v="Los Angeles"/>
    <s v="California"/>
    <s v="West"/>
    <x v="1"/>
    <x v="2"/>
    <s v="Avery 482"/>
    <x v="1298"/>
    <n v="3"/>
    <n v="0"/>
    <n v="4.0749000000000004"/>
  </r>
  <r>
    <n v="1474"/>
    <x v="494"/>
    <x v="1"/>
    <x v="4"/>
    <d v="2012-12-02T00:00:00"/>
    <n v="1"/>
    <x v="3"/>
    <s v="Neoma Murray"/>
    <x v="0"/>
    <s v="United States"/>
    <s v="Houston"/>
    <s v="Texas"/>
    <s v="Central"/>
    <x v="0"/>
    <x v="5"/>
    <s v="Eldon Image Series Desk Accessories, Burgundy"/>
    <x v="1299"/>
    <n v="4"/>
    <n v="0.6"/>
    <n v="-4.0128000000000004"/>
  </r>
  <r>
    <n v="1475"/>
    <x v="258"/>
    <x v="0"/>
    <x v="0"/>
    <d v="2013-11-26T00:00:00"/>
    <n v="6"/>
    <x v="1"/>
    <s v="Nora Pelletier"/>
    <x v="2"/>
    <s v="United States"/>
    <s v="Niagara Falls"/>
    <s v="New York"/>
    <s v="East"/>
    <x v="1"/>
    <x v="6"/>
    <s v="Newell 340"/>
    <x v="1300"/>
    <n v="6"/>
    <n v="0"/>
    <n v="5.0111999999999997"/>
  </r>
  <r>
    <n v="1476"/>
    <x v="258"/>
    <x v="0"/>
    <x v="0"/>
    <d v="2013-11-26T00:00:00"/>
    <n v="6"/>
    <x v="1"/>
    <s v="Nora Pelletier"/>
    <x v="2"/>
    <s v="United States"/>
    <s v="Niagara Falls"/>
    <s v="New York"/>
    <s v="East"/>
    <x v="1"/>
    <x v="8"/>
    <s v="GBC Plastic Binding Combs"/>
    <x v="1161"/>
    <n v="3"/>
    <n v="0.2"/>
    <n v="6.4206000000000003"/>
  </r>
  <r>
    <n v="1477"/>
    <x v="498"/>
    <x v="3"/>
    <x v="10"/>
    <d v="2014-03-25T00:00:00"/>
    <n v="5"/>
    <x v="1"/>
    <s v="Catherine Glotzbach"/>
    <x v="2"/>
    <s v="United States"/>
    <s v="New York City"/>
    <s v="New York"/>
    <s v="East"/>
    <x v="1"/>
    <x v="2"/>
    <s v="Avery 506"/>
    <x v="1301"/>
    <n v="7"/>
    <n v="0"/>
    <n v="13.2986"/>
  </r>
  <r>
    <n v="1478"/>
    <x v="373"/>
    <x v="0"/>
    <x v="0"/>
    <d v="2013-11-18T00:00:00"/>
    <n v="4"/>
    <x v="1"/>
    <s v="Cindy Stewart"/>
    <x v="0"/>
    <s v="United States"/>
    <s v="Thomasville"/>
    <s v="North Carolina"/>
    <s v="South"/>
    <x v="1"/>
    <x v="14"/>
    <s v="Acme Forged Steel Scissors with Black Enamel Handles"/>
    <x v="1302"/>
    <n v="7"/>
    <n v="0.2"/>
    <n v="5.8653000000000004"/>
  </r>
  <r>
    <n v="1479"/>
    <x v="123"/>
    <x v="3"/>
    <x v="0"/>
    <d v="2014-11-21T00:00:00"/>
    <n v="1"/>
    <x v="2"/>
    <s v="Katherine Ducich"/>
    <x v="0"/>
    <s v="United States"/>
    <s v="Westminster"/>
    <s v="California"/>
    <s v="West"/>
    <x v="2"/>
    <x v="7"/>
    <s v="Square Credit Card Reader"/>
    <x v="1303"/>
    <n v="4"/>
    <n v="0.2"/>
    <n v="2.3976000000000002"/>
  </r>
  <r>
    <n v="1480"/>
    <x v="499"/>
    <x v="0"/>
    <x v="4"/>
    <d v="2013-12-09T00:00:00"/>
    <n v="6"/>
    <x v="1"/>
    <s v="Mike Kennedy"/>
    <x v="0"/>
    <s v="United States"/>
    <s v="San Francisco"/>
    <s v="California"/>
    <s v="West"/>
    <x v="1"/>
    <x v="10"/>
    <s v="Xerox 192"/>
    <x v="233"/>
    <n v="4"/>
    <n v="0"/>
    <n v="12.441599999999999"/>
  </r>
  <r>
    <n v="1481"/>
    <x v="499"/>
    <x v="0"/>
    <x v="4"/>
    <d v="2013-12-09T00:00:00"/>
    <n v="6"/>
    <x v="1"/>
    <s v="Mike Kennedy"/>
    <x v="0"/>
    <s v="United States"/>
    <s v="San Francisco"/>
    <s v="California"/>
    <s v="West"/>
    <x v="1"/>
    <x v="10"/>
    <s v="HP Office Recycled Paper (20Lb. and 87 Bright)"/>
    <x v="1304"/>
    <n v="7"/>
    <n v="0"/>
    <n v="19.825399999999998"/>
  </r>
  <r>
    <n v="1482"/>
    <x v="499"/>
    <x v="0"/>
    <x v="4"/>
    <d v="2013-12-09T00:00:00"/>
    <n v="6"/>
    <x v="1"/>
    <s v="Mike Kennedy"/>
    <x v="0"/>
    <s v="United States"/>
    <s v="San Francisco"/>
    <s v="California"/>
    <s v="West"/>
    <x v="1"/>
    <x v="4"/>
    <s v="X-Rack File for Hanging Folders"/>
    <x v="1305"/>
    <n v="3"/>
    <n v="0"/>
    <n v="8.8062000000000005"/>
  </r>
  <r>
    <n v="1483"/>
    <x v="326"/>
    <x v="3"/>
    <x v="6"/>
    <d v="2014-08-29T00:00:00"/>
    <n v="3"/>
    <x v="0"/>
    <s v="Don Weiss"/>
    <x v="0"/>
    <s v="United States"/>
    <s v="Jackson"/>
    <s v="Tennessee"/>
    <s v="South"/>
    <x v="1"/>
    <x v="6"/>
    <s v="Zebra Zazzle Fluorescent Highlighters"/>
    <x v="1261"/>
    <n v="2"/>
    <n v="0.2"/>
    <n v="1.7023999999999999"/>
  </r>
  <r>
    <n v="1484"/>
    <x v="326"/>
    <x v="3"/>
    <x v="6"/>
    <d v="2014-08-29T00:00:00"/>
    <n v="3"/>
    <x v="0"/>
    <s v="Don Weiss"/>
    <x v="0"/>
    <s v="United States"/>
    <s v="Jackson"/>
    <s v="Tennessee"/>
    <s v="South"/>
    <x v="1"/>
    <x v="10"/>
    <s v="Xerox 199"/>
    <x v="1306"/>
    <n v="1"/>
    <n v="0.2"/>
    <n v="1.07"/>
  </r>
  <r>
    <n v="1485"/>
    <x v="500"/>
    <x v="0"/>
    <x v="2"/>
    <d v="2013-10-19T00:00:00"/>
    <n v="4"/>
    <x v="1"/>
    <s v="Christine Phan"/>
    <x v="1"/>
    <s v="United States"/>
    <s v="Seattle"/>
    <s v="Washington"/>
    <s v="West"/>
    <x v="2"/>
    <x v="11"/>
    <s v="WD My Passport Ultra 500GB Portable External Hard Drive"/>
    <x v="1307"/>
    <n v="3"/>
    <n v="0"/>
    <n v="30.09"/>
  </r>
  <r>
    <n v="1486"/>
    <x v="501"/>
    <x v="2"/>
    <x v="0"/>
    <d v="2011-12-03T00:00:00"/>
    <n v="6"/>
    <x v="1"/>
    <s v="Maxwell Schwartz"/>
    <x v="0"/>
    <s v="United States"/>
    <s v="New York City"/>
    <s v="New York"/>
    <s v="East"/>
    <x v="1"/>
    <x v="13"/>
    <s v="Staples"/>
    <x v="1053"/>
    <n v="2"/>
    <n v="0"/>
    <n v="1.3160000000000001"/>
  </r>
  <r>
    <n v="1487"/>
    <x v="502"/>
    <x v="1"/>
    <x v="0"/>
    <d v="2012-11-07T00:00:00"/>
    <n v="4"/>
    <x v="1"/>
    <s v="Corinna Mitchell"/>
    <x v="2"/>
    <s v="United States"/>
    <s v="Los Angeles"/>
    <s v="California"/>
    <s v="West"/>
    <x v="2"/>
    <x v="7"/>
    <s v="Cisco IP Phone 7961G-GE VoIP phone"/>
    <x v="1308"/>
    <n v="7"/>
    <n v="0.2"/>
    <n v="106.1242"/>
  </r>
  <r>
    <n v="1488"/>
    <x v="502"/>
    <x v="1"/>
    <x v="0"/>
    <d v="2012-11-07T00:00:00"/>
    <n v="4"/>
    <x v="1"/>
    <s v="Corinna Mitchell"/>
    <x v="2"/>
    <s v="United States"/>
    <s v="Los Angeles"/>
    <s v="California"/>
    <s v="West"/>
    <x v="2"/>
    <x v="11"/>
    <s v="Logitech Trackman Marble Mouse"/>
    <x v="1309"/>
    <n v="3"/>
    <n v="0"/>
    <n v="37.787399999999998"/>
  </r>
  <r>
    <n v="1489"/>
    <x v="502"/>
    <x v="1"/>
    <x v="0"/>
    <d v="2012-11-07T00:00:00"/>
    <n v="4"/>
    <x v="1"/>
    <s v="Corinna Mitchell"/>
    <x v="2"/>
    <s v="United States"/>
    <s v="Los Angeles"/>
    <s v="California"/>
    <s v="West"/>
    <x v="0"/>
    <x v="5"/>
    <s v="Coloredge Poster Frame"/>
    <x v="528"/>
    <n v="3"/>
    <n v="0"/>
    <n v="16.614000000000001"/>
  </r>
  <r>
    <n v="1490"/>
    <x v="503"/>
    <x v="2"/>
    <x v="0"/>
    <d v="2011-12-06T00:00:00"/>
    <n v="7"/>
    <x v="1"/>
    <s v="Corey-Lock"/>
    <x v="0"/>
    <s v="United States"/>
    <s v="Philadelphia"/>
    <s v="Pennsylvania"/>
    <s v="East"/>
    <x v="1"/>
    <x v="2"/>
    <s v="Avery 488"/>
    <x v="1310"/>
    <n v="2"/>
    <n v="0.2"/>
    <n v="1.764"/>
  </r>
  <r>
    <n v="1491"/>
    <x v="504"/>
    <x v="3"/>
    <x v="5"/>
    <d v="2014-05-06T00:00:00"/>
    <n v="5"/>
    <x v="0"/>
    <s v="Dionis Lloyd"/>
    <x v="1"/>
    <s v="United States"/>
    <s v="New York City"/>
    <s v="New York"/>
    <s v="East"/>
    <x v="1"/>
    <x v="12"/>
    <s v="#10-4 1/8&quot; x 9 1/2&quot; Premium Diagonal Seam Envelopes"/>
    <x v="1311"/>
    <n v="4"/>
    <n v="0"/>
    <n v="28.332000000000001"/>
  </r>
  <r>
    <n v="1492"/>
    <x v="221"/>
    <x v="3"/>
    <x v="0"/>
    <d v="2014-11-29T00:00:00"/>
    <n v="4"/>
    <x v="1"/>
    <s v="Todd Sumrall"/>
    <x v="1"/>
    <s v="United States"/>
    <s v="New York City"/>
    <s v="New York"/>
    <s v="East"/>
    <x v="1"/>
    <x v="10"/>
    <s v="Adams Telephone Message Book W/Dividers/Space For Phone Numbers, 5 1/4&quot;X8 1/2&quot;, 300/Messages"/>
    <x v="486"/>
    <n v="1"/>
    <n v="0"/>
    <n v="2.8812000000000002"/>
  </r>
  <r>
    <n v="1493"/>
    <x v="221"/>
    <x v="3"/>
    <x v="0"/>
    <d v="2014-11-29T00:00:00"/>
    <n v="4"/>
    <x v="1"/>
    <s v="Todd Sumrall"/>
    <x v="1"/>
    <s v="United States"/>
    <s v="New York City"/>
    <s v="New York"/>
    <s v="East"/>
    <x v="0"/>
    <x v="1"/>
    <s v="Global Ergonomic Managers Chair"/>
    <x v="1312"/>
    <n v="6"/>
    <n v="0.1"/>
    <n v="173.74080000000001"/>
  </r>
  <r>
    <n v="1494"/>
    <x v="505"/>
    <x v="3"/>
    <x v="2"/>
    <d v="2014-11-04T00:00:00"/>
    <n v="4"/>
    <x v="1"/>
    <s v="Jane Waco"/>
    <x v="1"/>
    <s v="United States"/>
    <s v="Vancouver"/>
    <s v="Washington"/>
    <s v="West"/>
    <x v="0"/>
    <x v="5"/>
    <s v="Magna Visual Magnetic Picture Hangers"/>
    <x v="1313"/>
    <n v="2"/>
    <n v="0"/>
    <n v="3.6631999999999998"/>
  </r>
  <r>
    <n v="1495"/>
    <x v="506"/>
    <x v="2"/>
    <x v="4"/>
    <d v="2011-12-19T00:00:00"/>
    <n v="2"/>
    <x v="0"/>
    <s v="Roy Französisch"/>
    <x v="0"/>
    <s v="United States"/>
    <s v="Columbus"/>
    <s v="Georgia"/>
    <s v="South"/>
    <x v="1"/>
    <x v="6"/>
    <s v="Stanley Contemporary Battery Pencil Sharpeners"/>
    <x v="1314"/>
    <n v="3"/>
    <n v="0"/>
    <n v="11.214"/>
  </r>
  <r>
    <n v="1496"/>
    <x v="507"/>
    <x v="3"/>
    <x v="8"/>
    <d v="2014-09-09T00:00:00"/>
    <n v="4"/>
    <x v="1"/>
    <s v="John Dryer"/>
    <x v="0"/>
    <s v="United States"/>
    <s v="Coppell"/>
    <s v="Texas"/>
    <s v="Central"/>
    <x v="1"/>
    <x v="6"/>
    <s v="Crayola Anti Dust Chalk, 12/Pack"/>
    <x v="1315"/>
    <n v="7"/>
    <n v="0.2"/>
    <n v="3.1850000000000001"/>
  </r>
  <r>
    <n v="1497"/>
    <x v="507"/>
    <x v="3"/>
    <x v="8"/>
    <d v="2014-09-09T00:00:00"/>
    <n v="4"/>
    <x v="1"/>
    <s v="John Dryer"/>
    <x v="0"/>
    <s v="United States"/>
    <s v="Coppell"/>
    <s v="Texas"/>
    <s v="Central"/>
    <x v="1"/>
    <x v="4"/>
    <s v="Acco Perma 3000 Stacking Storage Drawers"/>
    <x v="1316"/>
    <n v="1"/>
    <n v="0.2"/>
    <n v="-0.20979999999999999"/>
  </r>
  <r>
    <n v="1498"/>
    <x v="507"/>
    <x v="3"/>
    <x v="8"/>
    <d v="2014-09-09T00:00:00"/>
    <n v="4"/>
    <x v="1"/>
    <s v="John Dryer"/>
    <x v="0"/>
    <s v="United States"/>
    <s v="Coppell"/>
    <s v="Texas"/>
    <s v="Central"/>
    <x v="1"/>
    <x v="6"/>
    <s v="Sanford Colorific Eraseable Coloring Pencils, 12 Count"/>
    <x v="1317"/>
    <n v="5"/>
    <n v="0.2"/>
    <n v="3.7719999999999998"/>
  </r>
  <r>
    <n v="1499"/>
    <x v="508"/>
    <x v="0"/>
    <x v="2"/>
    <d v="2013-10-21T00:00:00"/>
    <n v="3"/>
    <x v="2"/>
    <s v="Neil Knudson"/>
    <x v="2"/>
    <s v="United States"/>
    <s v="San Francisco"/>
    <s v="California"/>
    <s v="West"/>
    <x v="1"/>
    <x v="8"/>
    <s v="Avery Durable Plastic 1&quot; Binders"/>
    <x v="1318"/>
    <n v="5"/>
    <n v="0.2"/>
    <n v="6.5830000000000002"/>
  </r>
  <r>
    <n v="1500"/>
    <x v="105"/>
    <x v="3"/>
    <x v="0"/>
    <d v="2014-11-19T00:00:00"/>
    <n v="6"/>
    <x v="1"/>
    <s v="Nathan Gelder"/>
    <x v="0"/>
    <s v="United States"/>
    <s v="Austin"/>
    <s v="Texas"/>
    <s v="Central"/>
    <x v="1"/>
    <x v="10"/>
    <s v="Wirebound Message Books, 5-1/2 x 4 Forms, 2 or 4 Forms per Page"/>
    <x v="195"/>
    <n v="3"/>
    <n v="0.2"/>
    <n v="5.8202999999999996"/>
  </r>
  <r>
    <n v="1501"/>
    <x v="105"/>
    <x v="3"/>
    <x v="0"/>
    <d v="2014-11-19T00:00:00"/>
    <n v="6"/>
    <x v="1"/>
    <s v="Nathan Gelder"/>
    <x v="0"/>
    <s v="United States"/>
    <s v="Austin"/>
    <s v="Texas"/>
    <s v="Central"/>
    <x v="1"/>
    <x v="10"/>
    <s v="Xerox 197"/>
    <x v="1319"/>
    <n v="9"/>
    <n v="0.2"/>
    <n v="69.704999999999998"/>
  </r>
  <r>
    <n v="1502"/>
    <x v="105"/>
    <x v="3"/>
    <x v="0"/>
    <d v="2014-11-19T00:00:00"/>
    <n v="6"/>
    <x v="1"/>
    <s v="Nathan Gelder"/>
    <x v="0"/>
    <s v="United States"/>
    <s v="Austin"/>
    <s v="Texas"/>
    <s v="Central"/>
    <x v="1"/>
    <x v="4"/>
    <s v="Tennsco Double-Tier Lockers"/>
    <x v="1117"/>
    <n v="3"/>
    <n v="0.2"/>
    <n v="-47.254199999999997"/>
  </r>
  <r>
    <n v="1503"/>
    <x v="390"/>
    <x v="0"/>
    <x v="0"/>
    <d v="2013-12-02T00:00:00"/>
    <n v="7"/>
    <x v="1"/>
    <s v="Alyssa Tate"/>
    <x v="2"/>
    <s v="United States"/>
    <s v="Los Angeles"/>
    <s v="California"/>
    <s v="West"/>
    <x v="2"/>
    <x v="7"/>
    <s v="iKross Bluetooth Portable Keyboard + Cell Phone Stand Holder + Brush for Apple iPhone 5S 5C 5, 4S 4"/>
    <x v="1320"/>
    <n v="2"/>
    <n v="0.2"/>
    <n v="3.3519999999999999"/>
  </r>
  <r>
    <n v="1504"/>
    <x v="390"/>
    <x v="0"/>
    <x v="0"/>
    <d v="2013-12-02T00:00:00"/>
    <n v="7"/>
    <x v="1"/>
    <s v="Alyssa Tate"/>
    <x v="2"/>
    <s v="United States"/>
    <s v="Los Angeles"/>
    <s v="California"/>
    <s v="West"/>
    <x v="0"/>
    <x v="5"/>
    <s v="DAX Value U-Channel Document Frames, Easel Back"/>
    <x v="583"/>
    <n v="2"/>
    <n v="0"/>
    <n v="3.0813999999999999"/>
  </r>
  <r>
    <n v="1505"/>
    <x v="509"/>
    <x v="1"/>
    <x v="6"/>
    <d v="2012-08-07T00:00:00"/>
    <n v="6"/>
    <x v="1"/>
    <s v="Pauline Chand"/>
    <x v="2"/>
    <s v="United States"/>
    <s v="Los Angeles"/>
    <s v="California"/>
    <s v="West"/>
    <x v="1"/>
    <x v="6"/>
    <s v="Prang Dustless Chalk Sticks"/>
    <x v="944"/>
    <n v="4"/>
    <n v="0"/>
    <n v="3.36"/>
  </r>
  <r>
    <n v="1506"/>
    <x v="509"/>
    <x v="1"/>
    <x v="6"/>
    <d v="2012-08-07T00:00:00"/>
    <n v="6"/>
    <x v="1"/>
    <s v="Pauline Chand"/>
    <x v="2"/>
    <s v="United States"/>
    <s v="Los Angeles"/>
    <s v="California"/>
    <s v="West"/>
    <x v="0"/>
    <x v="3"/>
    <s v="Hon 2111 Invitation Series Corner Table"/>
    <x v="1321"/>
    <n v="6"/>
    <n v="0.2"/>
    <n v="-175.8708"/>
  </r>
  <r>
    <n v="1507"/>
    <x v="165"/>
    <x v="3"/>
    <x v="4"/>
    <d v="2014-12-30T00:00:00"/>
    <n v="5"/>
    <x v="1"/>
    <s v="Andy Reiter"/>
    <x v="0"/>
    <s v="United States"/>
    <s v="New York City"/>
    <s v="New York"/>
    <s v="East"/>
    <x v="1"/>
    <x v="8"/>
    <s v="Acco Four Pocket Poly Ring Binder with Label Holder, Smoke, 1&quot;"/>
    <x v="598"/>
    <n v="3"/>
    <n v="0.2"/>
    <n v="5.5875000000000004"/>
  </r>
  <r>
    <n v="1508"/>
    <x v="42"/>
    <x v="0"/>
    <x v="8"/>
    <d v="2013-09-24T00:00:00"/>
    <n v="6"/>
    <x v="1"/>
    <s v="Cindy Stewart"/>
    <x v="0"/>
    <s v="United States"/>
    <s v="Columbus"/>
    <s v="Georgia"/>
    <s v="South"/>
    <x v="2"/>
    <x v="15"/>
    <s v="Lexmark X 9575 Professional All-in-One Color Printer"/>
    <x v="1322"/>
    <n v="4"/>
    <n v="0"/>
    <n v="190.08"/>
  </r>
  <r>
    <n v="1509"/>
    <x v="389"/>
    <x v="3"/>
    <x v="4"/>
    <d v="2014-12-11T00:00:00"/>
    <n v="0"/>
    <x v="3"/>
    <s v="Lindsay Shagiari"/>
    <x v="2"/>
    <s v="United States"/>
    <s v="Omaha"/>
    <s v="Nebraska"/>
    <s v="Central"/>
    <x v="1"/>
    <x v="8"/>
    <s v="Ibico Covers for Plastic or Wire Binding Elements"/>
    <x v="1323"/>
    <n v="3"/>
    <n v="0"/>
    <n v="15.525"/>
  </r>
  <r>
    <n v="1510"/>
    <x v="510"/>
    <x v="3"/>
    <x v="8"/>
    <d v="2014-09-16T00:00:00"/>
    <n v="3"/>
    <x v="2"/>
    <s v="Jessica Myrick"/>
    <x v="0"/>
    <s v="United States"/>
    <s v="Los Angeles"/>
    <s v="California"/>
    <s v="West"/>
    <x v="0"/>
    <x v="5"/>
    <s v="Eldon Image Series Desk Accessories, Burgundy"/>
    <x v="1324"/>
    <n v="2"/>
    <n v="0"/>
    <n v="3.0095999999999998"/>
  </r>
  <r>
    <n v="1511"/>
    <x v="92"/>
    <x v="3"/>
    <x v="1"/>
    <d v="2014-07-02T00:00:00"/>
    <n v="7"/>
    <x v="1"/>
    <s v="Nicole Hansen"/>
    <x v="1"/>
    <s v="United States"/>
    <s v="Pomona"/>
    <s v="California"/>
    <s v="West"/>
    <x v="1"/>
    <x v="6"/>
    <s v="Boston Heavy-Duty Trimline Electric Pencil Sharpeners"/>
    <x v="1325"/>
    <n v="8"/>
    <n v="0"/>
    <n v="111.824"/>
  </r>
  <r>
    <n v="1512"/>
    <x v="92"/>
    <x v="3"/>
    <x v="1"/>
    <d v="2014-07-02T00:00:00"/>
    <n v="7"/>
    <x v="1"/>
    <s v="Nicole Hansen"/>
    <x v="1"/>
    <s v="United States"/>
    <s v="Pomona"/>
    <s v="California"/>
    <s v="West"/>
    <x v="1"/>
    <x v="6"/>
    <s v="4009 Highlighters by Sanford"/>
    <x v="1326"/>
    <n v="9"/>
    <n v="0"/>
    <n v="11.820600000000001"/>
  </r>
  <r>
    <n v="1513"/>
    <x v="238"/>
    <x v="3"/>
    <x v="6"/>
    <d v="2014-08-23T00:00:00"/>
    <n v="4"/>
    <x v="1"/>
    <s v="Russell Applegate"/>
    <x v="0"/>
    <s v="United States"/>
    <s v="Dallas"/>
    <s v="Texas"/>
    <s v="Central"/>
    <x v="1"/>
    <x v="4"/>
    <s v="Safco Steel Mobile File Cart"/>
    <x v="1327"/>
    <n v="3"/>
    <n v="0.2"/>
    <n v="12.504"/>
  </r>
  <r>
    <n v="1514"/>
    <x v="238"/>
    <x v="3"/>
    <x v="6"/>
    <d v="2014-08-23T00:00:00"/>
    <n v="4"/>
    <x v="1"/>
    <s v="Russell Applegate"/>
    <x v="0"/>
    <s v="United States"/>
    <s v="Dallas"/>
    <s v="Texas"/>
    <s v="Central"/>
    <x v="1"/>
    <x v="8"/>
    <s v="Acco D-Ring Binder w/DublLock"/>
    <x v="1328"/>
    <n v="5"/>
    <n v="0.8"/>
    <n v="-33.139000000000003"/>
  </r>
  <r>
    <n v="1515"/>
    <x v="238"/>
    <x v="3"/>
    <x v="6"/>
    <d v="2014-08-23T00:00:00"/>
    <n v="4"/>
    <x v="1"/>
    <s v="Russell Applegate"/>
    <x v="0"/>
    <s v="United States"/>
    <s v="Dallas"/>
    <s v="Texas"/>
    <s v="Central"/>
    <x v="1"/>
    <x v="8"/>
    <s v="Ibico Plastic and Wire Spiral Binding Combs"/>
    <x v="1329"/>
    <n v="4"/>
    <n v="0.8"/>
    <n v="-11.4648"/>
  </r>
  <r>
    <n v="1516"/>
    <x v="157"/>
    <x v="3"/>
    <x v="4"/>
    <d v="2014-12-18T00:00:00"/>
    <n v="6"/>
    <x v="1"/>
    <s v="Arianne Irving"/>
    <x v="0"/>
    <s v="United States"/>
    <s v="Philadelphia"/>
    <s v="Pennsylvania"/>
    <s v="East"/>
    <x v="0"/>
    <x v="1"/>
    <s v="Leather Task Chair, Black"/>
    <x v="1330"/>
    <n v="1"/>
    <n v="0.3"/>
    <n v="-9.0980000000000008"/>
  </r>
  <r>
    <n v="1517"/>
    <x v="389"/>
    <x v="3"/>
    <x v="4"/>
    <d v="2014-12-15T00:00:00"/>
    <n v="4"/>
    <x v="0"/>
    <s v="Michael Chen"/>
    <x v="0"/>
    <s v="United States"/>
    <s v="North Las Vegas"/>
    <s v="Nevada"/>
    <s v="West"/>
    <x v="0"/>
    <x v="3"/>
    <s v="Bretford “Just In Time” Height-Adjustable Multi-Task Work Tables"/>
    <x v="1331"/>
    <n v="4"/>
    <n v="0"/>
    <n v="116.872"/>
  </r>
  <r>
    <n v="1518"/>
    <x v="511"/>
    <x v="2"/>
    <x v="11"/>
    <d v="2011-02-07T00:00:00"/>
    <n v="3"/>
    <x v="0"/>
    <s v="Tom Boeckenhauer"/>
    <x v="0"/>
    <s v="United States"/>
    <s v="Seattle"/>
    <s v="Washington"/>
    <s v="West"/>
    <x v="1"/>
    <x v="8"/>
    <s v="Ibico Laser Imprintable Binding System Covers"/>
    <x v="1332"/>
    <n v="2"/>
    <n v="0.2"/>
    <n v="27.248000000000001"/>
  </r>
  <r>
    <n v="1519"/>
    <x v="511"/>
    <x v="2"/>
    <x v="11"/>
    <d v="2011-02-07T00:00:00"/>
    <n v="3"/>
    <x v="0"/>
    <s v="Tom Boeckenhauer"/>
    <x v="0"/>
    <s v="United States"/>
    <s v="Seattle"/>
    <s v="Washington"/>
    <s v="West"/>
    <x v="1"/>
    <x v="8"/>
    <s v="Avery Durable Poly Binders"/>
    <x v="1333"/>
    <n v="3"/>
    <n v="0.2"/>
    <n v="4.3133999999999997"/>
  </r>
  <r>
    <n v="1520"/>
    <x v="512"/>
    <x v="3"/>
    <x v="11"/>
    <d v="2014-02-15T00:00:00"/>
    <n v="3"/>
    <x v="0"/>
    <s v="Victoria Wilson"/>
    <x v="1"/>
    <s v="United States"/>
    <s v="San Francisco"/>
    <s v="California"/>
    <s v="West"/>
    <x v="1"/>
    <x v="8"/>
    <s v="Acco Pressboard Covers with Storage Hooks, 14 7/8&quot; x 11&quot;, Dark Blue"/>
    <x v="1334"/>
    <n v="7"/>
    <n v="0.2"/>
    <n v="7.7343000000000002"/>
  </r>
  <r>
    <n v="1521"/>
    <x v="513"/>
    <x v="3"/>
    <x v="3"/>
    <d v="2014-04-22T00:00:00"/>
    <n v="5"/>
    <x v="1"/>
    <s v="Paul Lucas"/>
    <x v="2"/>
    <s v="United States"/>
    <s v="Chicago"/>
    <s v="Illinois"/>
    <s v="Central"/>
    <x v="1"/>
    <x v="6"/>
    <s v="Newell 325"/>
    <x v="1045"/>
    <n v="5"/>
    <n v="0.2"/>
    <n v="2.0649999999999999"/>
  </r>
  <r>
    <n v="1522"/>
    <x v="401"/>
    <x v="1"/>
    <x v="4"/>
    <d v="2012-12-11T00:00:00"/>
    <n v="5"/>
    <x v="1"/>
    <s v="Gary Hwang"/>
    <x v="0"/>
    <s v="United States"/>
    <s v="Tucson"/>
    <s v="Arizona"/>
    <s v="West"/>
    <x v="0"/>
    <x v="5"/>
    <s v="Howard Miller 13&quot; Diameter Pewter Finish Round Wall Clock"/>
    <x v="1335"/>
    <n v="6"/>
    <n v="0.2"/>
    <n v="48.951599999999999"/>
  </r>
  <r>
    <n v="1523"/>
    <x v="401"/>
    <x v="1"/>
    <x v="4"/>
    <d v="2012-12-11T00:00:00"/>
    <n v="5"/>
    <x v="1"/>
    <s v="Gary Hwang"/>
    <x v="0"/>
    <s v="United States"/>
    <s v="Tucson"/>
    <s v="Arizona"/>
    <s v="West"/>
    <x v="1"/>
    <x v="10"/>
    <s v="Xerox 1970"/>
    <x v="544"/>
    <n v="5"/>
    <n v="0.2"/>
    <n v="6.7229999999999999"/>
  </r>
  <r>
    <n v="1524"/>
    <x v="401"/>
    <x v="1"/>
    <x v="4"/>
    <d v="2012-12-11T00:00:00"/>
    <n v="5"/>
    <x v="1"/>
    <s v="Gary Hwang"/>
    <x v="0"/>
    <s v="United States"/>
    <s v="Tucson"/>
    <s v="Arizona"/>
    <s v="West"/>
    <x v="1"/>
    <x v="10"/>
    <s v="Xerox 1960"/>
    <x v="654"/>
    <n v="8"/>
    <n v="0.2"/>
    <n v="61.96"/>
  </r>
  <r>
    <n v="1525"/>
    <x v="401"/>
    <x v="1"/>
    <x v="4"/>
    <d v="2012-12-11T00:00:00"/>
    <n v="5"/>
    <x v="1"/>
    <s v="Gary Hwang"/>
    <x v="0"/>
    <s v="United States"/>
    <s v="Tucson"/>
    <s v="Arizona"/>
    <s v="West"/>
    <x v="1"/>
    <x v="4"/>
    <s v="Belkin 19&quot; Vented Equipment Shelf, Black"/>
    <x v="1336"/>
    <n v="6"/>
    <n v="0.2"/>
    <n v="-58.687199999999997"/>
  </r>
  <r>
    <n v="1526"/>
    <x v="401"/>
    <x v="1"/>
    <x v="4"/>
    <d v="2012-12-11T00:00:00"/>
    <n v="5"/>
    <x v="1"/>
    <s v="Gary Hwang"/>
    <x v="0"/>
    <s v="United States"/>
    <s v="Tucson"/>
    <s v="Arizona"/>
    <s v="West"/>
    <x v="1"/>
    <x v="6"/>
    <s v="BOSTON Model 1800 Electric Pencil Sharpeners, Putty/Woodgrain"/>
    <x v="31"/>
    <n v="6"/>
    <n v="0.2"/>
    <n v="9.7091999999999992"/>
  </r>
  <r>
    <n v="1527"/>
    <x v="405"/>
    <x v="0"/>
    <x v="7"/>
    <d v="2013-07-28T00:00:00"/>
    <n v="5"/>
    <x v="1"/>
    <s v="Caroline Jumper"/>
    <x v="0"/>
    <s v="United States"/>
    <s v="Allentown"/>
    <s v="Pennsylvania"/>
    <s v="East"/>
    <x v="1"/>
    <x v="6"/>
    <s v="12 Colored Short Pencils"/>
    <x v="1337"/>
    <n v="2"/>
    <n v="0.2"/>
    <n v="0.36399999999999999"/>
  </r>
  <r>
    <n v="1528"/>
    <x v="405"/>
    <x v="0"/>
    <x v="7"/>
    <d v="2013-07-28T00:00:00"/>
    <n v="5"/>
    <x v="1"/>
    <s v="Caroline Jumper"/>
    <x v="0"/>
    <s v="United States"/>
    <s v="Allentown"/>
    <s v="Pennsylvania"/>
    <s v="East"/>
    <x v="0"/>
    <x v="5"/>
    <s v="Master Caster Door Stop, Large Neon Orange"/>
    <x v="25"/>
    <n v="2"/>
    <n v="0.2"/>
    <n v="3.3488000000000002"/>
  </r>
  <r>
    <n v="1529"/>
    <x v="209"/>
    <x v="1"/>
    <x v="0"/>
    <d v="2012-11-10T00:00:00"/>
    <n v="3"/>
    <x v="0"/>
    <s v="Mike Caudle"/>
    <x v="1"/>
    <s v="United States"/>
    <s v="Newark"/>
    <s v="Delaware"/>
    <s v="East"/>
    <x v="1"/>
    <x v="13"/>
    <s v="Rubber Band Ball"/>
    <x v="1338"/>
    <n v="7"/>
    <n v="0"/>
    <n v="0.52359999999999995"/>
  </r>
  <r>
    <n v="1530"/>
    <x v="209"/>
    <x v="1"/>
    <x v="0"/>
    <d v="2012-11-10T00:00:00"/>
    <n v="3"/>
    <x v="0"/>
    <s v="Mike Caudle"/>
    <x v="1"/>
    <s v="United States"/>
    <s v="Newark"/>
    <s v="Delaware"/>
    <s v="East"/>
    <x v="1"/>
    <x v="10"/>
    <s v="Loose Memo Sheets"/>
    <x v="545"/>
    <n v="2"/>
    <n v="0"/>
    <n v="3.431"/>
  </r>
  <r>
    <n v="1531"/>
    <x v="514"/>
    <x v="1"/>
    <x v="10"/>
    <d v="2012-03-31T00:00:00"/>
    <n v="5"/>
    <x v="1"/>
    <s v="Benjamin Venier"/>
    <x v="1"/>
    <s v="United States"/>
    <s v="Miami"/>
    <s v="Florida"/>
    <s v="South"/>
    <x v="1"/>
    <x v="10"/>
    <s v="Xerox 1988"/>
    <x v="1339"/>
    <n v="3"/>
    <n v="0.2"/>
    <n v="23.234999999999999"/>
  </r>
  <r>
    <n v="1532"/>
    <x v="515"/>
    <x v="3"/>
    <x v="8"/>
    <d v="2014-09-06T00:00:00"/>
    <n v="5"/>
    <x v="1"/>
    <s v="Jeremy Farry"/>
    <x v="0"/>
    <s v="United States"/>
    <s v="Tempe"/>
    <s v="Arizona"/>
    <s v="West"/>
    <x v="1"/>
    <x v="4"/>
    <s v="Neat Ideas Personal Hanging Folder Files, Black"/>
    <x v="1340"/>
    <n v="1"/>
    <n v="0.2"/>
    <n v="0.80579999999999996"/>
  </r>
  <r>
    <n v="1533"/>
    <x v="515"/>
    <x v="3"/>
    <x v="8"/>
    <d v="2014-09-06T00:00:00"/>
    <n v="5"/>
    <x v="1"/>
    <s v="Jeremy Farry"/>
    <x v="0"/>
    <s v="United States"/>
    <s v="Tempe"/>
    <s v="Arizona"/>
    <s v="West"/>
    <x v="1"/>
    <x v="13"/>
    <s v="OIC Bulk Pack Metal Binder Clips"/>
    <x v="1341"/>
    <n v="3"/>
    <n v="0.2"/>
    <n v="2.7222"/>
  </r>
  <r>
    <n v="1534"/>
    <x v="429"/>
    <x v="0"/>
    <x v="4"/>
    <d v="2013-12-09T00:00:00"/>
    <n v="4"/>
    <x v="1"/>
    <s v="Ellis Ballard"/>
    <x v="1"/>
    <s v="United States"/>
    <s v="New York City"/>
    <s v="New York"/>
    <s v="East"/>
    <x v="1"/>
    <x v="4"/>
    <s v="Belkin OmniView SE Rackmount Kit"/>
    <x v="1342"/>
    <n v="6"/>
    <n v="0"/>
    <n v="0"/>
  </r>
  <r>
    <n v="1535"/>
    <x v="516"/>
    <x v="3"/>
    <x v="11"/>
    <d v="2014-02-15T00:00:00"/>
    <n v="4"/>
    <x v="1"/>
    <s v="Mike Pelletier"/>
    <x v="2"/>
    <s v="United States"/>
    <s v="Laguna Niguel"/>
    <s v="California"/>
    <s v="West"/>
    <x v="0"/>
    <x v="0"/>
    <s v="Bush Andora Bookcase, Maple/Graphite Gray Finish"/>
    <x v="1343"/>
    <n v="2"/>
    <n v="0.15"/>
    <n v="16.7986"/>
  </r>
  <r>
    <n v="1536"/>
    <x v="517"/>
    <x v="0"/>
    <x v="2"/>
    <d v="2013-11-03T00:00:00"/>
    <n v="4"/>
    <x v="1"/>
    <s v="Jim Mitchum"/>
    <x v="1"/>
    <s v="United States"/>
    <s v="Bridgeton"/>
    <s v="New Jersey"/>
    <s v="East"/>
    <x v="1"/>
    <x v="4"/>
    <s v="Rogers Jumbo File, Granite"/>
    <x v="1344"/>
    <n v="3"/>
    <n v="0"/>
    <n v="0.40739999999999998"/>
  </r>
  <r>
    <n v="1537"/>
    <x v="517"/>
    <x v="0"/>
    <x v="2"/>
    <d v="2013-11-03T00:00:00"/>
    <n v="4"/>
    <x v="1"/>
    <s v="Jim Mitchum"/>
    <x v="1"/>
    <s v="United States"/>
    <s v="Bridgeton"/>
    <s v="New Jersey"/>
    <s v="East"/>
    <x v="1"/>
    <x v="9"/>
    <s v="Commercial WindTunnel Clean Air Upright Vacuum, Replacement Belts, Filtration Bags"/>
    <x v="1345"/>
    <n v="3"/>
    <n v="0"/>
    <n v="3.0341999999999998"/>
  </r>
  <r>
    <n v="1538"/>
    <x v="175"/>
    <x v="3"/>
    <x v="8"/>
    <d v="2014-09-18T00:00:00"/>
    <n v="2"/>
    <x v="0"/>
    <s v="Carl Ludwig"/>
    <x v="0"/>
    <s v="United States"/>
    <s v="Everett"/>
    <s v="Massachusetts"/>
    <s v="East"/>
    <x v="2"/>
    <x v="7"/>
    <s v="GE DSL Phone Line Filter"/>
    <x v="1346"/>
    <n v="1"/>
    <n v="0"/>
    <n v="11.597099999999999"/>
  </r>
  <r>
    <n v="1539"/>
    <x v="175"/>
    <x v="3"/>
    <x v="8"/>
    <d v="2014-09-18T00:00:00"/>
    <n v="2"/>
    <x v="0"/>
    <s v="Carl Ludwig"/>
    <x v="0"/>
    <s v="United States"/>
    <s v="Everett"/>
    <s v="Massachusetts"/>
    <s v="East"/>
    <x v="1"/>
    <x v="6"/>
    <s v="Avery Hi-Liter EverBold Pen Style Fluorescent Highlighters, 4/Pack"/>
    <x v="1347"/>
    <n v="2"/>
    <n v="0"/>
    <n v="6.5119999999999996"/>
  </r>
  <r>
    <n v="1540"/>
    <x v="175"/>
    <x v="3"/>
    <x v="8"/>
    <d v="2014-09-18T00:00:00"/>
    <n v="2"/>
    <x v="0"/>
    <s v="Carl Ludwig"/>
    <x v="0"/>
    <s v="United States"/>
    <s v="Everett"/>
    <s v="Massachusetts"/>
    <s v="East"/>
    <x v="0"/>
    <x v="0"/>
    <s v="Atlantic Metals Mobile 3-Shelf Bookcases, Custom Colors"/>
    <x v="1348"/>
    <n v="3"/>
    <n v="0"/>
    <n v="203.56440000000001"/>
  </r>
  <r>
    <n v="1541"/>
    <x v="175"/>
    <x v="3"/>
    <x v="8"/>
    <d v="2014-09-18T00:00:00"/>
    <n v="2"/>
    <x v="0"/>
    <s v="Carl Ludwig"/>
    <x v="0"/>
    <s v="United States"/>
    <s v="Everett"/>
    <s v="Massachusetts"/>
    <s v="East"/>
    <x v="1"/>
    <x v="8"/>
    <s v="Wilson Jones Heavy-Duty Casebound Ring Binders with Metal Hinges"/>
    <x v="1349"/>
    <n v="7"/>
    <n v="0"/>
    <n v="116.3904"/>
  </r>
  <r>
    <n v="1542"/>
    <x v="518"/>
    <x v="2"/>
    <x v="10"/>
    <d v="2011-03-16T00:00:00"/>
    <n v="5"/>
    <x v="0"/>
    <s v="Chloris Kastensmidt"/>
    <x v="0"/>
    <s v="United States"/>
    <s v="Columbus"/>
    <s v="Ohio"/>
    <s v="East"/>
    <x v="0"/>
    <x v="5"/>
    <s v="Eldon Wave Desk Accessories"/>
    <x v="1350"/>
    <n v="5"/>
    <n v="0.2"/>
    <n v="2.2879999999999998"/>
  </r>
  <r>
    <n v="1543"/>
    <x v="518"/>
    <x v="2"/>
    <x v="10"/>
    <d v="2011-03-16T00:00:00"/>
    <n v="5"/>
    <x v="0"/>
    <s v="Chloris Kastensmidt"/>
    <x v="0"/>
    <s v="United States"/>
    <s v="Columbus"/>
    <s v="Ohio"/>
    <s v="East"/>
    <x v="1"/>
    <x v="13"/>
    <s v="Stockwell Push Pins"/>
    <x v="1351"/>
    <n v="6"/>
    <n v="0.2"/>
    <n v="1.7003999999999999"/>
  </r>
  <r>
    <n v="1544"/>
    <x v="519"/>
    <x v="2"/>
    <x v="11"/>
    <d v="2011-02-09T00:00:00"/>
    <n v="4"/>
    <x v="1"/>
    <s v="Deborah Brumfield"/>
    <x v="2"/>
    <s v="United States"/>
    <s v="San Diego"/>
    <s v="California"/>
    <s v="West"/>
    <x v="1"/>
    <x v="8"/>
    <s v="GBC Recycled Grain Textured Covers"/>
    <x v="1352"/>
    <n v="3"/>
    <n v="0.2"/>
    <n v="29.0136"/>
  </r>
  <r>
    <n v="1545"/>
    <x v="519"/>
    <x v="2"/>
    <x v="11"/>
    <d v="2011-02-09T00:00:00"/>
    <n v="4"/>
    <x v="1"/>
    <s v="Deborah Brumfield"/>
    <x v="2"/>
    <s v="United States"/>
    <s v="San Diego"/>
    <s v="California"/>
    <s v="West"/>
    <x v="1"/>
    <x v="10"/>
    <s v="Message Book, Standard Line &quot;While You Were Out&quot;, 5 1/2&quot; X 4&quot;, 200 Sets/Book"/>
    <x v="1353"/>
    <n v="4"/>
    <n v="0"/>
    <n v="16.0928"/>
  </r>
  <r>
    <n v="1546"/>
    <x v="520"/>
    <x v="2"/>
    <x v="4"/>
    <d v="2012-01-04T00:00:00"/>
    <n v="4"/>
    <x v="0"/>
    <s v="Pamela Coakley"/>
    <x v="1"/>
    <s v="United States"/>
    <s v="Watertown"/>
    <s v="New York"/>
    <s v="East"/>
    <x v="0"/>
    <x v="0"/>
    <s v="Atlantic Metals Mobile 4-Shelf Bookcases, Custom Colors"/>
    <x v="1354"/>
    <n v="7"/>
    <n v="0.2"/>
    <n v="196.68600000000001"/>
  </r>
  <r>
    <n v="1547"/>
    <x v="521"/>
    <x v="1"/>
    <x v="0"/>
    <d v="2012-11-27T00:00:00"/>
    <n v="4"/>
    <x v="1"/>
    <s v="Victoria Brennan"/>
    <x v="1"/>
    <s v="United States"/>
    <s v="San Antonio"/>
    <s v="Texas"/>
    <s v="Central"/>
    <x v="1"/>
    <x v="10"/>
    <s v="Xerox 1915"/>
    <x v="757"/>
    <n v="4"/>
    <n v="0.2"/>
    <n v="117.432"/>
  </r>
  <r>
    <n v="1548"/>
    <x v="521"/>
    <x v="1"/>
    <x v="0"/>
    <d v="2012-11-27T00:00:00"/>
    <n v="4"/>
    <x v="1"/>
    <s v="Victoria Brennan"/>
    <x v="1"/>
    <s v="United States"/>
    <s v="San Antonio"/>
    <s v="Texas"/>
    <s v="Central"/>
    <x v="1"/>
    <x v="8"/>
    <s v="GBC Recycled Regency Composition Covers"/>
    <x v="1355"/>
    <n v="2"/>
    <n v="0.8"/>
    <n v="-40.650399999999998"/>
  </r>
  <r>
    <n v="1549"/>
    <x v="521"/>
    <x v="1"/>
    <x v="0"/>
    <d v="2012-11-27T00:00:00"/>
    <n v="4"/>
    <x v="1"/>
    <s v="Victoria Brennan"/>
    <x v="1"/>
    <s v="United States"/>
    <s v="San Antonio"/>
    <s v="Texas"/>
    <s v="Central"/>
    <x v="1"/>
    <x v="4"/>
    <s v="Tenex Personal Self-Stacking Standard File Box, Black/Gray"/>
    <x v="1356"/>
    <n v="2"/>
    <n v="0.2"/>
    <n v="2.3673999999999999"/>
  </r>
  <r>
    <n v="1550"/>
    <x v="522"/>
    <x v="2"/>
    <x v="7"/>
    <d v="2011-07-08T00:00:00"/>
    <n v="2"/>
    <x v="2"/>
    <s v="Emily Phan"/>
    <x v="0"/>
    <s v="United States"/>
    <s v="New York City"/>
    <s v="New York"/>
    <s v="East"/>
    <x v="2"/>
    <x v="16"/>
    <s v="Canon Imageclass D680 Copier / Fax"/>
    <x v="1357"/>
    <n v="1"/>
    <n v="0.2"/>
    <n v="174.9975"/>
  </r>
  <r>
    <n v="1551"/>
    <x v="38"/>
    <x v="3"/>
    <x v="0"/>
    <d v="2014-11-19T00:00:00"/>
    <n v="5"/>
    <x v="0"/>
    <s v="Maria Etezadi"/>
    <x v="2"/>
    <s v="United States"/>
    <s v="Houston"/>
    <s v="Texas"/>
    <s v="Central"/>
    <x v="1"/>
    <x v="9"/>
    <s v="Hoover Commercial Soft Guard Upright Vacuum And Disposable Filtration Bags"/>
    <x v="1358"/>
    <n v="6"/>
    <n v="0.8"/>
    <n v="-24.708600000000001"/>
  </r>
  <r>
    <n v="1552"/>
    <x v="26"/>
    <x v="0"/>
    <x v="1"/>
    <d v="2013-06-23T00:00:00"/>
    <n v="5"/>
    <x v="1"/>
    <s v="Ivan Gibson"/>
    <x v="0"/>
    <s v="United States"/>
    <s v="San Diego"/>
    <s v="California"/>
    <s v="West"/>
    <x v="1"/>
    <x v="10"/>
    <s v="Xerox 1934"/>
    <x v="1359"/>
    <n v="2"/>
    <n v="0"/>
    <n v="54.860399999999998"/>
  </r>
  <r>
    <n v="1553"/>
    <x v="523"/>
    <x v="2"/>
    <x v="5"/>
    <d v="2011-05-05T00:00:00"/>
    <n v="2"/>
    <x v="2"/>
    <s v="Joni Sundaresam"/>
    <x v="2"/>
    <s v="United States"/>
    <s v="Appleton"/>
    <s v="Wisconsin"/>
    <s v="Central"/>
    <x v="1"/>
    <x v="2"/>
    <s v="Avery 481"/>
    <x v="742"/>
    <n v="7"/>
    <n v="0"/>
    <n v="10.348800000000001"/>
  </r>
  <r>
    <n v="1554"/>
    <x v="524"/>
    <x v="3"/>
    <x v="2"/>
    <d v="2014-10-22T00:00:00"/>
    <n v="5"/>
    <x v="1"/>
    <s v="Bobby Odegard"/>
    <x v="0"/>
    <s v="United States"/>
    <s v="Richmond"/>
    <s v="Kentucky"/>
    <s v="South"/>
    <x v="1"/>
    <x v="8"/>
    <s v="Large Capacity Hanging Post Binders"/>
    <x v="1360"/>
    <n v="5"/>
    <n v="0"/>
    <n v="57.384999999999998"/>
  </r>
  <r>
    <n v="1555"/>
    <x v="525"/>
    <x v="1"/>
    <x v="11"/>
    <d v="2012-02-13T00:00:00"/>
    <n v="7"/>
    <x v="1"/>
    <s v="Victoria Wilson"/>
    <x v="1"/>
    <s v="United States"/>
    <s v="Bellevue"/>
    <s v="Washington"/>
    <s v="West"/>
    <x v="1"/>
    <x v="6"/>
    <s v="Newell 310"/>
    <x v="266"/>
    <n v="3"/>
    <n v="0"/>
    <n v="1.5311999999999999"/>
  </r>
  <r>
    <n v="1556"/>
    <x v="507"/>
    <x v="3"/>
    <x v="8"/>
    <d v="2014-09-09T00:00:00"/>
    <n v="4"/>
    <x v="1"/>
    <s v="Aimee Bixby"/>
    <x v="0"/>
    <s v="United States"/>
    <s v="Long Beach"/>
    <s v="New York"/>
    <s v="East"/>
    <x v="2"/>
    <x v="11"/>
    <s v="Verbatim 25 GB 6x Blu-ray Single Layer Recordable Disc, 25/Pack"/>
    <x v="1361"/>
    <n v="4"/>
    <n v="0"/>
    <n v="39.5428"/>
  </r>
  <r>
    <n v="1557"/>
    <x v="195"/>
    <x v="0"/>
    <x v="5"/>
    <d v="2013-05-16T00:00:00"/>
    <n v="6"/>
    <x v="1"/>
    <s v="Julia West"/>
    <x v="0"/>
    <s v="United States"/>
    <s v="Philadelphia"/>
    <s v="Pennsylvania"/>
    <s v="East"/>
    <x v="1"/>
    <x v="12"/>
    <s v="Staples"/>
    <x v="560"/>
    <n v="1"/>
    <n v="0.2"/>
    <n v="3.504"/>
  </r>
  <r>
    <n v="1558"/>
    <x v="195"/>
    <x v="0"/>
    <x v="5"/>
    <d v="2013-05-16T00:00:00"/>
    <n v="6"/>
    <x v="1"/>
    <s v="Julia West"/>
    <x v="0"/>
    <s v="United States"/>
    <s v="Philadelphia"/>
    <s v="Pennsylvania"/>
    <s v="East"/>
    <x v="1"/>
    <x v="6"/>
    <s v="Newell 319"/>
    <x v="1362"/>
    <n v="5"/>
    <n v="0.2"/>
    <n v="9.92"/>
  </r>
  <r>
    <n v="1559"/>
    <x v="199"/>
    <x v="1"/>
    <x v="10"/>
    <d v="2012-03-18T00:00:00"/>
    <n v="2"/>
    <x v="0"/>
    <s v="Jeremy Ellison"/>
    <x v="0"/>
    <s v="United States"/>
    <s v="Seattle"/>
    <s v="Washington"/>
    <s v="West"/>
    <x v="0"/>
    <x v="3"/>
    <s v="KI Adjustable-Height Table"/>
    <x v="1363"/>
    <n v="2"/>
    <n v="0"/>
    <n v="44.709600000000002"/>
  </r>
  <r>
    <n v="1560"/>
    <x v="526"/>
    <x v="0"/>
    <x v="3"/>
    <d v="2013-04-14T00:00:00"/>
    <n v="4"/>
    <x v="1"/>
    <s v="Edward Becker"/>
    <x v="1"/>
    <s v="United States"/>
    <s v="Seattle"/>
    <s v="Washington"/>
    <s v="West"/>
    <x v="1"/>
    <x v="8"/>
    <s v="Acco Pressboard Covers with Storage Hooks, 14 7/8&quot; x 11&quot;, Light Blue"/>
    <x v="1364"/>
    <n v="9"/>
    <n v="0.2"/>
    <n v="12.815099999999999"/>
  </r>
  <r>
    <n v="1561"/>
    <x v="527"/>
    <x v="2"/>
    <x v="3"/>
    <d v="2011-04-09T00:00:00"/>
    <n v="5"/>
    <x v="1"/>
    <s v="Paul Knutson"/>
    <x v="2"/>
    <s v="United States"/>
    <s v="San Francisco"/>
    <s v="California"/>
    <s v="West"/>
    <x v="1"/>
    <x v="2"/>
    <s v="Avery 518"/>
    <x v="1365"/>
    <n v="6"/>
    <n v="0"/>
    <n v="9.0719999999999992"/>
  </r>
  <r>
    <n v="1562"/>
    <x v="528"/>
    <x v="3"/>
    <x v="8"/>
    <d v="2014-09-07T00:00:00"/>
    <n v="1"/>
    <x v="2"/>
    <s v="Christopher Schild"/>
    <x v="2"/>
    <s v="United States"/>
    <s v="Seattle"/>
    <s v="Washington"/>
    <s v="West"/>
    <x v="1"/>
    <x v="6"/>
    <s v="Newell 333"/>
    <x v="1094"/>
    <n v="1"/>
    <n v="0"/>
    <n v="0.7228"/>
  </r>
  <r>
    <n v="1563"/>
    <x v="160"/>
    <x v="3"/>
    <x v="7"/>
    <d v="2014-07-01T00:00:00"/>
    <n v="0"/>
    <x v="3"/>
    <s v="Sheri Gordon"/>
    <x v="0"/>
    <s v="United States"/>
    <s v="New York City"/>
    <s v="New York"/>
    <s v="East"/>
    <x v="0"/>
    <x v="3"/>
    <s v="Bretford CR4500 Series Slim Rectangular Table"/>
    <x v="24"/>
    <n v="5"/>
    <n v="0.4"/>
    <n v="-295.9785"/>
  </r>
  <r>
    <n v="1564"/>
    <x v="529"/>
    <x v="1"/>
    <x v="0"/>
    <d v="2012-11-09T00:00:00"/>
    <n v="0"/>
    <x v="3"/>
    <s v="Charlotte Melton"/>
    <x v="0"/>
    <s v="United States"/>
    <s v="Philadelphia"/>
    <s v="Pennsylvania"/>
    <s v="East"/>
    <x v="1"/>
    <x v="10"/>
    <s v="While You Were Out Pads, 50 per Pad, 4 x 5 1/4, Green Cycle"/>
    <x v="1366"/>
    <n v="3"/>
    <n v="0.2"/>
    <n v="4.1151"/>
  </r>
  <r>
    <n v="1565"/>
    <x v="530"/>
    <x v="2"/>
    <x v="10"/>
    <d v="2011-03-04T00:00:00"/>
    <n v="0"/>
    <x v="3"/>
    <s v="Clay Ludtke"/>
    <x v="0"/>
    <s v="United States"/>
    <s v="Columbia"/>
    <s v="South Carolina"/>
    <s v="South"/>
    <x v="1"/>
    <x v="4"/>
    <s v="Sensible Storage WireTech Storage Systems"/>
    <x v="1367"/>
    <n v="5"/>
    <n v="0"/>
    <n v="17.745000000000001"/>
  </r>
  <r>
    <n v="1566"/>
    <x v="531"/>
    <x v="1"/>
    <x v="10"/>
    <d v="2012-03-25T00:00:00"/>
    <n v="6"/>
    <x v="1"/>
    <s v="Jesus Ocampo"/>
    <x v="2"/>
    <s v="United States"/>
    <s v="Seattle"/>
    <s v="Washington"/>
    <s v="West"/>
    <x v="2"/>
    <x v="7"/>
    <s v="Wireless Extenders zBoost YX545 SOHO Signal Booster"/>
    <x v="1368"/>
    <n v="3"/>
    <n v="0.2"/>
    <n v="39.687899999999999"/>
  </r>
  <r>
    <n v="1567"/>
    <x v="239"/>
    <x v="1"/>
    <x v="0"/>
    <d v="2012-11-30T00:00:00"/>
    <n v="1"/>
    <x v="2"/>
    <s v="Anthony Witt"/>
    <x v="0"/>
    <s v="United States"/>
    <s v="Allen"/>
    <s v="Texas"/>
    <s v="Central"/>
    <x v="2"/>
    <x v="11"/>
    <s v="Kingston Digital DataTraveler 16GB USB 2.0"/>
    <x v="1369"/>
    <n v="3"/>
    <n v="0.2"/>
    <n v="-0.26850000000000002"/>
  </r>
  <r>
    <n v="1568"/>
    <x v="239"/>
    <x v="1"/>
    <x v="0"/>
    <d v="2012-11-30T00:00:00"/>
    <n v="1"/>
    <x v="2"/>
    <s v="Anthony Witt"/>
    <x v="0"/>
    <s v="United States"/>
    <s v="Allen"/>
    <s v="Texas"/>
    <s v="Central"/>
    <x v="1"/>
    <x v="8"/>
    <s v="GBC Imprintable Covers"/>
    <x v="1370"/>
    <n v="4"/>
    <n v="0.8"/>
    <n v="-13.6152"/>
  </r>
  <r>
    <n v="1569"/>
    <x v="532"/>
    <x v="3"/>
    <x v="1"/>
    <d v="2014-06-12T00:00:00"/>
    <n v="0"/>
    <x v="3"/>
    <s v="Dianna Vittorini"/>
    <x v="0"/>
    <s v="United States"/>
    <s v="Los Angeles"/>
    <s v="California"/>
    <s v="West"/>
    <x v="1"/>
    <x v="10"/>
    <s v="White Dual Perf Computer Printout Paper, 2700 Sheets, 1 Part, Heavyweight, 20 lbs., 14 7/8 x 11"/>
    <x v="1232"/>
    <n v="3"/>
    <n v="0"/>
    <n v="60.255299999999998"/>
  </r>
  <r>
    <n v="1570"/>
    <x v="200"/>
    <x v="3"/>
    <x v="0"/>
    <d v="2014-12-01T00:00:00"/>
    <n v="4"/>
    <x v="1"/>
    <s v="Adam Hart"/>
    <x v="1"/>
    <s v="United States"/>
    <s v="Atlanta"/>
    <s v="Georgia"/>
    <s v="South"/>
    <x v="1"/>
    <x v="6"/>
    <s v="Newell 347"/>
    <x v="1371"/>
    <n v="3"/>
    <n v="0"/>
    <n v="3.7235999999999998"/>
  </r>
  <r>
    <n v="1571"/>
    <x v="533"/>
    <x v="2"/>
    <x v="0"/>
    <d v="2011-11-25T00:00:00"/>
    <n v="2"/>
    <x v="2"/>
    <s v="Sanjit Chand"/>
    <x v="0"/>
    <s v="United States"/>
    <s v="Los Angeles"/>
    <s v="California"/>
    <s v="West"/>
    <x v="0"/>
    <x v="1"/>
    <s v="Novimex Swivel Fabric Task Chair"/>
    <x v="884"/>
    <n v="5"/>
    <n v="0.2"/>
    <n v="-67.941000000000003"/>
  </r>
  <r>
    <n v="1572"/>
    <x v="533"/>
    <x v="2"/>
    <x v="0"/>
    <d v="2011-11-25T00:00:00"/>
    <n v="2"/>
    <x v="2"/>
    <s v="Sanjit Chand"/>
    <x v="0"/>
    <s v="United States"/>
    <s v="Los Angeles"/>
    <s v="California"/>
    <s v="West"/>
    <x v="1"/>
    <x v="12"/>
    <s v="Pastel Pink Envelopes"/>
    <x v="1372"/>
    <n v="3"/>
    <n v="0"/>
    <n v="10.4832"/>
  </r>
  <r>
    <n v="1573"/>
    <x v="533"/>
    <x v="2"/>
    <x v="0"/>
    <d v="2011-11-25T00:00:00"/>
    <n v="2"/>
    <x v="2"/>
    <s v="Sanjit Chand"/>
    <x v="0"/>
    <s v="United States"/>
    <s v="Los Angeles"/>
    <s v="California"/>
    <s v="West"/>
    <x v="2"/>
    <x v="11"/>
    <s v="Belkin F8E887 USB Wired Ergonomic Keyboard"/>
    <x v="803"/>
    <n v="1"/>
    <n v="0"/>
    <n v="6.2979000000000003"/>
  </r>
  <r>
    <n v="1574"/>
    <x v="533"/>
    <x v="2"/>
    <x v="0"/>
    <d v="2011-11-25T00:00:00"/>
    <n v="2"/>
    <x v="2"/>
    <s v="Sanjit Chand"/>
    <x v="0"/>
    <s v="United States"/>
    <s v="Los Angeles"/>
    <s v="California"/>
    <s v="West"/>
    <x v="0"/>
    <x v="1"/>
    <s v="Safco Contoured Stacking Chairs"/>
    <x v="1373"/>
    <n v="2"/>
    <n v="0.2"/>
    <n v="23.84"/>
  </r>
  <r>
    <n v="1575"/>
    <x v="534"/>
    <x v="2"/>
    <x v="4"/>
    <d v="2011-12-18T00:00:00"/>
    <n v="3"/>
    <x v="2"/>
    <s v="Mick Crebagga"/>
    <x v="0"/>
    <s v="United States"/>
    <s v="El Paso"/>
    <s v="Texas"/>
    <s v="Central"/>
    <x v="2"/>
    <x v="7"/>
    <s v="ARKON Windshield Dashboard Air Vent Car Mount Holder"/>
    <x v="1374"/>
    <n v="3"/>
    <n v="0.2"/>
    <n v="-9.1530000000000005"/>
  </r>
  <r>
    <n v="1576"/>
    <x v="534"/>
    <x v="2"/>
    <x v="4"/>
    <d v="2011-12-18T00:00:00"/>
    <n v="3"/>
    <x v="2"/>
    <s v="Mick Crebagga"/>
    <x v="0"/>
    <s v="United States"/>
    <s v="El Paso"/>
    <s v="Texas"/>
    <s v="Central"/>
    <x v="0"/>
    <x v="1"/>
    <s v="Lifetime Advantage Folding Chairs, 4/Carton"/>
    <x v="1375"/>
    <n v="5"/>
    <n v="0.3"/>
    <n v="-21.808"/>
  </r>
  <r>
    <n v="1577"/>
    <x v="183"/>
    <x v="0"/>
    <x v="3"/>
    <d v="2013-04-28T00:00:00"/>
    <n v="5"/>
    <x v="1"/>
    <s v="Tonja Turnell"/>
    <x v="2"/>
    <s v="United States"/>
    <s v="Aurora"/>
    <s v="Illinois"/>
    <s v="Central"/>
    <x v="1"/>
    <x v="4"/>
    <s v="Pizazz Global Quick File"/>
    <x v="1376"/>
    <n v="2"/>
    <n v="0.2"/>
    <n v="2.3952"/>
  </r>
  <r>
    <n v="1578"/>
    <x v="454"/>
    <x v="0"/>
    <x v="5"/>
    <d v="2013-05-28T00:00:00"/>
    <n v="4"/>
    <x v="1"/>
    <s v="Anne Pryor"/>
    <x v="2"/>
    <s v="United States"/>
    <s v="Florence"/>
    <s v="Alabama"/>
    <s v="South"/>
    <x v="1"/>
    <x v="10"/>
    <s v="Xerox 1949"/>
    <x v="1377"/>
    <n v="1"/>
    <n v="0"/>
    <n v="2.4401999999999999"/>
  </r>
  <r>
    <n v="1579"/>
    <x v="535"/>
    <x v="0"/>
    <x v="11"/>
    <d v="2013-03-02T00:00:00"/>
    <n v="3"/>
    <x v="2"/>
    <s v="Dan Lawera"/>
    <x v="0"/>
    <s v="United States"/>
    <s v="New York City"/>
    <s v="New York"/>
    <s v="East"/>
    <x v="1"/>
    <x v="9"/>
    <s v="Conquest 14 Commercial Heavy-Duty Upright Vacuum, Collection System, Accessory Kit"/>
    <x v="1378"/>
    <n v="3"/>
    <n v="0"/>
    <n v="49.555199999999999"/>
  </r>
  <r>
    <n v="1580"/>
    <x v="101"/>
    <x v="1"/>
    <x v="6"/>
    <d v="2012-08-12T00:00:00"/>
    <n v="3"/>
    <x v="2"/>
    <s v="Naresj Patel"/>
    <x v="0"/>
    <s v="United States"/>
    <s v="New York City"/>
    <s v="New York"/>
    <s v="East"/>
    <x v="2"/>
    <x v="7"/>
    <s v="Nortel Meridian M3904 Professional Digital phone"/>
    <x v="669"/>
    <n v="2"/>
    <n v="0"/>
    <n v="89.3142"/>
  </r>
  <r>
    <n v="1581"/>
    <x v="101"/>
    <x v="1"/>
    <x v="6"/>
    <d v="2012-08-12T00:00:00"/>
    <n v="3"/>
    <x v="2"/>
    <s v="Naresj Patel"/>
    <x v="0"/>
    <s v="United States"/>
    <s v="New York City"/>
    <s v="New York"/>
    <s v="East"/>
    <x v="0"/>
    <x v="3"/>
    <s v="KI Conference Tables"/>
    <x v="1379"/>
    <n v="9"/>
    <n v="0.4"/>
    <n v="-153.1224"/>
  </r>
  <r>
    <n v="1582"/>
    <x v="101"/>
    <x v="1"/>
    <x v="6"/>
    <d v="2012-08-12T00:00:00"/>
    <n v="3"/>
    <x v="2"/>
    <s v="Naresj Patel"/>
    <x v="0"/>
    <s v="United States"/>
    <s v="New York City"/>
    <s v="New York"/>
    <s v="East"/>
    <x v="1"/>
    <x v="4"/>
    <s v="Tennsco Lockers, Gray"/>
    <x v="108"/>
    <n v="2"/>
    <n v="0"/>
    <n v="2.9371999999999998"/>
  </r>
  <r>
    <n v="1583"/>
    <x v="101"/>
    <x v="1"/>
    <x v="6"/>
    <d v="2012-08-12T00:00:00"/>
    <n v="3"/>
    <x v="2"/>
    <s v="Naresj Patel"/>
    <x v="0"/>
    <s v="United States"/>
    <s v="New York City"/>
    <s v="New York"/>
    <s v="East"/>
    <x v="1"/>
    <x v="8"/>
    <s v="GBC Ibimaster 500 Manual ProClick Binding System"/>
    <x v="1380"/>
    <n v="2"/>
    <n v="0.2"/>
    <n v="456.58800000000002"/>
  </r>
  <r>
    <n v="1584"/>
    <x v="101"/>
    <x v="1"/>
    <x v="6"/>
    <d v="2012-08-12T00:00:00"/>
    <n v="3"/>
    <x v="2"/>
    <s v="Naresj Patel"/>
    <x v="0"/>
    <s v="United States"/>
    <s v="New York City"/>
    <s v="New York"/>
    <s v="East"/>
    <x v="0"/>
    <x v="5"/>
    <s v="Artistic Insta-Plaque"/>
    <x v="116"/>
    <n v="3"/>
    <n v="0"/>
    <n v="18.345600000000001"/>
  </r>
  <r>
    <n v="1585"/>
    <x v="101"/>
    <x v="1"/>
    <x v="6"/>
    <d v="2012-08-12T00:00:00"/>
    <n v="3"/>
    <x v="2"/>
    <s v="Naresj Patel"/>
    <x v="0"/>
    <s v="United States"/>
    <s v="New York City"/>
    <s v="New York"/>
    <s v="East"/>
    <x v="0"/>
    <x v="5"/>
    <s v="Longer-Life Soft White Bulbs"/>
    <x v="51"/>
    <n v="2"/>
    <n v="0"/>
    <n v="2.9567999999999999"/>
  </r>
  <r>
    <n v="1586"/>
    <x v="101"/>
    <x v="1"/>
    <x v="6"/>
    <d v="2012-08-12T00:00:00"/>
    <n v="3"/>
    <x v="2"/>
    <s v="Naresj Patel"/>
    <x v="0"/>
    <s v="United States"/>
    <s v="New York City"/>
    <s v="New York"/>
    <s v="East"/>
    <x v="2"/>
    <x v="7"/>
    <s v="Panasonic KX-TG9471B"/>
    <x v="504"/>
    <n v="5"/>
    <n v="0"/>
    <n v="274.38600000000002"/>
  </r>
  <r>
    <n v="1587"/>
    <x v="101"/>
    <x v="1"/>
    <x v="6"/>
    <d v="2012-08-12T00:00:00"/>
    <n v="3"/>
    <x v="2"/>
    <s v="Naresj Patel"/>
    <x v="0"/>
    <s v="United States"/>
    <s v="New York City"/>
    <s v="New York"/>
    <s v="East"/>
    <x v="1"/>
    <x v="10"/>
    <s v="Xerox 1886"/>
    <x v="140"/>
    <n v="3"/>
    <n v="0"/>
    <n v="68.975999999999999"/>
  </r>
  <r>
    <n v="1588"/>
    <x v="101"/>
    <x v="1"/>
    <x v="6"/>
    <d v="2012-08-12T00:00:00"/>
    <n v="3"/>
    <x v="2"/>
    <s v="Naresj Patel"/>
    <x v="0"/>
    <s v="United States"/>
    <s v="New York City"/>
    <s v="New York"/>
    <s v="East"/>
    <x v="1"/>
    <x v="13"/>
    <s v="Acco Clips to Go Binder Clips, 24 Clips in Two Sizes"/>
    <x v="1381"/>
    <n v="3"/>
    <n v="0"/>
    <n v="5.0054999999999996"/>
  </r>
  <r>
    <n v="1589"/>
    <x v="101"/>
    <x v="1"/>
    <x v="6"/>
    <d v="2012-08-12T00:00:00"/>
    <n v="3"/>
    <x v="2"/>
    <s v="Naresj Patel"/>
    <x v="0"/>
    <s v="United States"/>
    <s v="New York City"/>
    <s v="New York"/>
    <s v="East"/>
    <x v="2"/>
    <x v="11"/>
    <s v="Belkin QODE FastFit Bluetooth Keyboard"/>
    <x v="411"/>
    <n v="4"/>
    <n v="0"/>
    <n v="34.692"/>
  </r>
  <r>
    <n v="1590"/>
    <x v="536"/>
    <x v="0"/>
    <x v="5"/>
    <d v="2013-05-17T00:00:00"/>
    <n v="4"/>
    <x v="1"/>
    <s v="Vivek Grady"/>
    <x v="1"/>
    <s v="United States"/>
    <s v="Virginia Beach"/>
    <s v="Virginia"/>
    <s v="South"/>
    <x v="1"/>
    <x v="6"/>
    <s v="Rogers Handheld Barrel Pencil Sharpener"/>
    <x v="1382"/>
    <n v="4"/>
    <n v="0"/>
    <n v="2.9592000000000001"/>
  </r>
  <r>
    <n v="1591"/>
    <x v="173"/>
    <x v="0"/>
    <x v="3"/>
    <d v="2013-04-20T00:00:00"/>
    <n v="4"/>
    <x v="1"/>
    <s v="Muhammed Yedwab"/>
    <x v="1"/>
    <s v="United States"/>
    <s v="Grapevine"/>
    <s v="Texas"/>
    <s v="Central"/>
    <x v="1"/>
    <x v="6"/>
    <s v="Dixon Ticonderoga Erasable Colored Pencil Set, 12-Color"/>
    <x v="1383"/>
    <n v="7"/>
    <n v="0.2"/>
    <n v="5.8604000000000003"/>
  </r>
  <r>
    <n v="1592"/>
    <x v="173"/>
    <x v="0"/>
    <x v="3"/>
    <d v="2013-04-20T00:00:00"/>
    <n v="4"/>
    <x v="1"/>
    <s v="Muhammed Yedwab"/>
    <x v="1"/>
    <s v="United States"/>
    <s v="Grapevine"/>
    <s v="Texas"/>
    <s v="Central"/>
    <x v="1"/>
    <x v="13"/>
    <s v="Ideal Clamps"/>
    <x v="1384"/>
    <n v="5"/>
    <n v="0.2"/>
    <n v="2.9144999999999999"/>
  </r>
  <r>
    <n v="1593"/>
    <x v="537"/>
    <x v="1"/>
    <x v="1"/>
    <d v="2012-06-25T00:00:00"/>
    <n v="2"/>
    <x v="0"/>
    <s v="Rick Duston"/>
    <x v="0"/>
    <s v="United States"/>
    <s v="Olympia"/>
    <s v="Washington"/>
    <s v="West"/>
    <x v="2"/>
    <x v="7"/>
    <s v="Pyle PRT45 Retro Home Telephone"/>
    <x v="1385"/>
    <n v="4"/>
    <n v="0.2"/>
    <n v="22.676400000000001"/>
  </r>
  <r>
    <n v="1594"/>
    <x v="538"/>
    <x v="2"/>
    <x v="2"/>
    <d v="2011-10-19T00:00:00"/>
    <n v="0"/>
    <x v="3"/>
    <s v="Jeremy Farry"/>
    <x v="0"/>
    <s v="United States"/>
    <s v="Los Angeles"/>
    <s v="California"/>
    <s v="West"/>
    <x v="1"/>
    <x v="10"/>
    <s v="Spiral Phone Message Books with Labels by Adams"/>
    <x v="1386"/>
    <n v="3"/>
    <n v="0"/>
    <n v="6.5856000000000003"/>
  </r>
  <r>
    <n v="1595"/>
    <x v="539"/>
    <x v="1"/>
    <x v="10"/>
    <d v="2012-03-27T00:00:00"/>
    <n v="3"/>
    <x v="2"/>
    <s v="Dennis Pardue"/>
    <x v="2"/>
    <s v="United States"/>
    <s v="Peoria"/>
    <s v="Illinois"/>
    <s v="Central"/>
    <x v="0"/>
    <x v="0"/>
    <s v="Sauder Inglewood Library Bookcases"/>
    <x v="1387"/>
    <n v="3"/>
    <n v="0.3"/>
    <n v="-35.905799999999999"/>
  </r>
  <r>
    <n v="1596"/>
    <x v="540"/>
    <x v="3"/>
    <x v="5"/>
    <d v="2014-05-13T00:00:00"/>
    <n v="4"/>
    <x v="1"/>
    <s v="Maribeth Dona"/>
    <x v="0"/>
    <s v="United States"/>
    <s v="Columbus"/>
    <s v="Ohio"/>
    <s v="East"/>
    <x v="0"/>
    <x v="1"/>
    <s v="Global Chrome Stack Chair"/>
    <x v="1388"/>
    <n v="2"/>
    <n v="0.3"/>
    <n v="-2.0568"/>
  </r>
  <r>
    <n v="1597"/>
    <x v="524"/>
    <x v="3"/>
    <x v="2"/>
    <d v="2014-10-19T00:00:00"/>
    <n v="2"/>
    <x v="2"/>
    <s v="Maribeth Yedwab"/>
    <x v="1"/>
    <s v="United States"/>
    <s v="New York City"/>
    <s v="New York"/>
    <s v="East"/>
    <x v="0"/>
    <x v="5"/>
    <s v="Executive Impressions Supervisor Wall Clock"/>
    <x v="1389"/>
    <n v="13"/>
    <n v="0"/>
    <n v="175.136"/>
  </r>
  <r>
    <n v="1598"/>
    <x v="123"/>
    <x v="3"/>
    <x v="0"/>
    <d v="2014-11-22T00:00:00"/>
    <n v="2"/>
    <x v="0"/>
    <s v="Aimee Bixby"/>
    <x v="0"/>
    <s v="United States"/>
    <s v="Carrollton"/>
    <s v="Texas"/>
    <s v="Central"/>
    <x v="1"/>
    <x v="10"/>
    <s v="Xerox 1901"/>
    <x v="1390"/>
    <n v="4"/>
    <n v="0.2"/>
    <n v="5.28"/>
  </r>
  <r>
    <n v="1599"/>
    <x v="123"/>
    <x v="3"/>
    <x v="0"/>
    <d v="2014-11-22T00:00:00"/>
    <n v="2"/>
    <x v="0"/>
    <s v="Aimee Bixby"/>
    <x v="0"/>
    <s v="United States"/>
    <s v="Carrollton"/>
    <s v="Texas"/>
    <s v="Central"/>
    <x v="1"/>
    <x v="14"/>
    <s v="Acme Elite Stainless Steel Scissors"/>
    <x v="405"/>
    <n v="1"/>
    <n v="0.2"/>
    <n v="0.50039999999999996"/>
  </r>
  <r>
    <n v="1600"/>
    <x v="123"/>
    <x v="3"/>
    <x v="0"/>
    <d v="2014-11-22T00:00:00"/>
    <n v="2"/>
    <x v="0"/>
    <s v="Aimee Bixby"/>
    <x v="0"/>
    <s v="United States"/>
    <s v="Carrollton"/>
    <s v="Texas"/>
    <s v="Central"/>
    <x v="1"/>
    <x v="6"/>
    <s v="Boston School Pro Electric Pencil Sharpener, 1670"/>
    <x v="304"/>
    <n v="4"/>
    <n v="0.2"/>
    <n v="8.6744000000000003"/>
  </r>
  <r>
    <n v="1601"/>
    <x v="123"/>
    <x v="3"/>
    <x v="0"/>
    <d v="2014-11-22T00:00:00"/>
    <n v="2"/>
    <x v="0"/>
    <s v="Aimee Bixby"/>
    <x v="0"/>
    <s v="United States"/>
    <s v="Carrollton"/>
    <s v="Texas"/>
    <s v="Central"/>
    <x v="0"/>
    <x v="5"/>
    <s v="Telescoping Adjustable Floor Lamp"/>
    <x v="312"/>
    <n v="2"/>
    <n v="0.6"/>
    <n v="-13.993"/>
  </r>
  <r>
    <n v="1602"/>
    <x v="541"/>
    <x v="0"/>
    <x v="5"/>
    <d v="2013-05-14T00:00:00"/>
    <n v="5"/>
    <x v="0"/>
    <s v="George Bell"/>
    <x v="1"/>
    <s v="United States"/>
    <s v="Dover"/>
    <s v="Delaware"/>
    <s v="East"/>
    <x v="0"/>
    <x v="5"/>
    <s v="Tenex 46&quot; x 60&quot; Computer Anti-Static Chairmat, Rectangular Shaped"/>
    <x v="46"/>
    <n v="2"/>
    <n v="0"/>
    <n v="42.392000000000003"/>
  </r>
  <r>
    <n v="1603"/>
    <x v="25"/>
    <x v="0"/>
    <x v="4"/>
    <d v="2013-12-18T00:00:00"/>
    <n v="6"/>
    <x v="1"/>
    <s v="Cynthia Arntzen"/>
    <x v="0"/>
    <s v="United States"/>
    <s v="Smyrna"/>
    <s v="Tennessee"/>
    <s v="South"/>
    <x v="1"/>
    <x v="6"/>
    <s v="Prang Drawing Pencil Set"/>
    <x v="405"/>
    <n v="3"/>
    <n v="0.2"/>
    <n v="1.6679999999999999"/>
  </r>
  <r>
    <n v="1604"/>
    <x v="329"/>
    <x v="3"/>
    <x v="4"/>
    <d v="2014-12-05T00:00:00"/>
    <n v="4"/>
    <x v="1"/>
    <s v="Max Engle"/>
    <x v="0"/>
    <s v="United States"/>
    <s v="Newark"/>
    <s v="Delaware"/>
    <s v="East"/>
    <x v="1"/>
    <x v="6"/>
    <s v="BOSTON Ranger #55 Pencil Sharpener, Black"/>
    <x v="1391"/>
    <n v="6"/>
    <n v="0"/>
    <n v="45.2226"/>
  </r>
  <r>
    <n v="1605"/>
    <x v="475"/>
    <x v="0"/>
    <x v="3"/>
    <d v="2013-04-25T00:00:00"/>
    <n v="5"/>
    <x v="0"/>
    <s v="Jas O'Carroll"/>
    <x v="0"/>
    <s v="United States"/>
    <s v="Los Angeles"/>
    <s v="California"/>
    <s v="West"/>
    <x v="2"/>
    <x v="7"/>
    <s v="PowerGen Dual USB Car Charger"/>
    <x v="786"/>
    <n v="5"/>
    <n v="0.2"/>
    <n v="12.987"/>
  </r>
  <r>
    <n v="1606"/>
    <x v="475"/>
    <x v="0"/>
    <x v="3"/>
    <d v="2013-04-25T00:00:00"/>
    <n v="5"/>
    <x v="0"/>
    <s v="Jas O'Carroll"/>
    <x v="0"/>
    <s v="United States"/>
    <s v="Los Angeles"/>
    <s v="California"/>
    <s v="West"/>
    <x v="1"/>
    <x v="6"/>
    <s v="Newell 307"/>
    <x v="1392"/>
    <n v="3"/>
    <n v="0"/>
    <n v="1.5287999999999999"/>
  </r>
  <r>
    <n v="1607"/>
    <x v="475"/>
    <x v="0"/>
    <x v="3"/>
    <d v="2013-04-25T00:00:00"/>
    <n v="5"/>
    <x v="0"/>
    <s v="Jas O'Carroll"/>
    <x v="0"/>
    <s v="United States"/>
    <s v="Los Angeles"/>
    <s v="California"/>
    <s v="West"/>
    <x v="1"/>
    <x v="6"/>
    <s v="Panasonic KP-4ABK Battery-Operated Pencil Sharpener"/>
    <x v="1393"/>
    <n v="5"/>
    <n v="0"/>
    <n v="21.228000000000002"/>
  </r>
  <r>
    <n v="1608"/>
    <x v="475"/>
    <x v="0"/>
    <x v="3"/>
    <d v="2013-04-25T00:00:00"/>
    <n v="5"/>
    <x v="0"/>
    <s v="Jas O'Carroll"/>
    <x v="0"/>
    <s v="United States"/>
    <s v="Los Angeles"/>
    <s v="California"/>
    <s v="West"/>
    <x v="1"/>
    <x v="8"/>
    <s v="Angle-D Binders with Locking Rings, Label Holders"/>
    <x v="568"/>
    <n v="1"/>
    <n v="0.2"/>
    <n v="1.9710000000000001"/>
  </r>
  <r>
    <n v="1609"/>
    <x v="475"/>
    <x v="0"/>
    <x v="3"/>
    <d v="2013-04-25T00:00:00"/>
    <n v="5"/>
    <x v="0"/>
    <s v="Jas O'Carroll"/>
    <x v="0"/>
    <s v="United States"/>
    <s v="Los Angeles"/>
    <s v="California"/>
    <s v="West"/>
    <x v="1"/>
    <x v="10"/>
    <s v="Adams Telephone Message Book W/Dividers/Space For Phone Numbers, 5 1/4&quot;X8 1/2&quot;, 200/Messages"/>
    <x v="20"/>
    <n v="4"/>
    <n v="0"/>
    <n v="10.224"/>
  </r>
  <r>
    <n v="1610"/>
    <x v="475"/>
    <x v="0"/>
    <x v="3"/>
    <d v="2013-04-25T00:00:00"/>
    <n v="5"/>
    <x v="0"/>
    <s v="Jas O'Carroll"/>
    <x v="0"/>
    <s v="United States"/>
    <s v="Los Angeles"/>
    <s v="California"/>
    <s v="West"/>
    <x v="1"/>
    <x v="8"/>
    <s v="Avery Binder Labels"/>
    <x v="1394"/>
    <n v="3"/>
    <n v="0.2"/>
    <n v="3.2675999999999998"/>
  </r>
  <r>
    <n v="1611"/>
    <x v="542"/>
    <x v="2"/>
    <x v="5"/>
    <d v="2011-05-30T00:00:00"/>
    <n v="4"/>
    <x v="1"/>
    <s v="Marina Lichtenstein"/>
    <x v="1"/>
    <s v="United States"/>
    <s v="Los Angeles"/>
    <s v="California"/>
    <s v="West"/>
    <x v="0"/>
    <x v="0"/>
    <s v="Sauder Inglewood Library Bookcases"/>
    <x v="1395"/>
    <n v="2"/>
    <n v="0.15"/>
    <n v="27.3568"/>
  </r>
  <r>
    <n v="1612"/>
    <x v="542"/>
    <x v="2"/>
    <x v="5"/>
    <d v="2011-05-30T00:00:00"/>
    <n v="4"/>
    <x v="1"/>
    <s v="Marina Lichtenstein"/>
    <x v="1"/>
    <s v="United States"/>
    <s v="Los Angeles"/>
    <s v="California"/>
    <s v="West"/>
    <x v="2"/>
    <x v="7"/>
    <s v="VTech DS6151"/>
    <x v="1212"/>
    <n v="2"/>
    <n v="0.2"/>
    <n v="20.1584"/>
  </r>
  <r>
    <n v="1613"/>
    <x v="542"/>
    <x v="2"/>
    <x v="5"/>
    <d v="2011-05-30T00:00:00"/>
    <n v="4"/>
    <x v="1"/>
    <s v="Marina Lichtenstein"/>
    <x v="1"/>
    <s v="United States"/>
    <s v="Los Angeles"/>
    <s v="California"/>
    <s v="West"/>
    <x v="2"/>
    <x v="7"/>
    <s v="netTALK DUO VoIP Telephone Service"/>
    <x v="1396"/>
    <n v="2"/>
    <n v="0.2"/>
    <n v="31.494"/>
  </r>
  <r>
    <n v="1614"/>
    <x v="202"/>
    <x v="3"/>
    <x v="4"/>
    <d v="2014-12-26T00:00:00"/>
    <n v="4"/>
    <x v="1"/>
    <s v="Yana Sorensen"/>
    <x v="1"/>
    <s v="United States"/>
    <s v="Oakland"/>
    <s v="California"/>
    <s v="West"/>
    <x v="1"/>
    <x v="4"/>
    <s v="Letter Size Cart"/>
    <x v="1397"/>
    <n v="7"/>
    <n v="0"/>
    <n v="290.00580000000002"/>
  </r>
  <r>
    <n v="1615"/>
    <x v="543"/>
    <x v="0"/>
    <x v="10"/>
    <d v="2013-03-20T00:00:00"/>
    <n v="4"/>
    <x v="1"/>
    <s v="Paul Lucas"/>
    <x v="2"/>
    <s v="United States"/>
    <s v="Philadelphia"/>
    <s v="Pennsylvania"/>
    <s v="East"/>
    <x v="2"/>
    <x v="11"/>
    <s v="V7 USB Numeric Keypad"/>
    <x v="364"/>
    <n v="3"/>
    <n v="0.2"/>
    <n v="-13.646100000000001"/>
  </r>
  <r>
    <n v="1616"/>
    <x v="544"/>
    <x v="1"/>
    <x v="6"/>
    <d v="2012-08-16T00:00:00"/>
    <n v="6"/>
    <x v="1"/>
    <s v="Julie Kriz"/>
    <x v="2"/>
    <s v="United States"/>
    <s v="Eagan"/>
    <s v="Minnesota"/>
    <s v="Central"/>
    <x v="1"/>
    <x v="2"/>
    <s v="Avery 480"/>
    <x v="1398"/>
    <n v="1"/>
    <n v="0"/>
    <n v="1.8"/>
  </r>
  <r>
    <n v="1617"/>
    <x v="544"/>
    <x v="1"/>
    <x v="6"/>
    <d v="2012-08-16T00:00:00"/>
    <n v="6"/>
    <x v="1"/>
    <s v="Julie Kriz"/>
    <x v="2"/>
    <s v="United States"/>
    <s v="Eagan"/>
    <s v="Minnesota"/>
    <s v="Central"/>
    <x v="1"/>
    <x v="2"/>
    <s v="Avery 489"/>
    <x v="1399"/>
    <n v="4"/>
    <n v="0"/>
    <n v="19.872"/>
  </r>
  <r>
    <n v="1618"/>
    <x v="544"/>
    <x v="1"/>
    <x v="6"/>
    <d v="2012-08-16T00:00:00"/>
    <n v="6"/>
    <x v="1"/>
    <s v="Julie Kriz"/>
    <x v="2"/>
    <s v="United States"/>
    <s v="Eagan"/>
    <s v="Minnesota"/>
    <s v="Central"/>
    <x v="1"/>
    <x v="6"/>
    <s v="Peel-Off China Markers"/>
    <x v="1400"/>
    <n v="3"/>
    <n v="0"/>
    <n v="12.511799999999999"/>
  </r>
  <r>
    <n v="1619"/>
    <x v="545"/>
    <x v="0"/>
    <x v="8"/>
    <d v="2013-09-15T00:00:00"/>
    <n v="4"/>
    <x v="0"/>
    <s v="Parhena Norris"/>
    <x v="2"/>
    <s v="United States"/>
    <s v="New York City"/>
    <s v="New York"/>
    <s v="East"/>
    <x v="1"/>
    <x v="4"/>
    <s v="Acco Perma 2700 Stacking Storage Drawers"/>
    <x v="1401"/>
    <n v="2"/>
    <n v="0"/>
    <n v="8.9220000000000006"/>
  </r>
  <r>
    <n v="1620"/>
    <x v="545"/>
    <x v="0"/>
    <x v="8"/>
    <d v="2013-09-15T00:00:00"/>
    <n v="4"/>
    <x v="0"/>
    <s v="Parhena Norris"/>
    <x v="2"/>
    <s v="United States"/>
    <s v="New York City"/>
    <s v="New York"/>
    <s v="East"/>
    <x v="1"/>
    <x v="10"/>
    <s v="Wirebound Message Books, Four 2 3/4 x 5 White Forms per Page"/>
    <x v="1402"/>
    <n v="1"/>
    <n v="0"/>
    <n v="3.0773999999999999"/>
  </r>
  <r>
    <n v="1621"/>
    <x v="141"/>
    <x v="3"/>
    <x v="7"/>
    <d v="2014-07-16T00:00:00"/>
    <n v="7"/>
    <x v="1"/>
    <s v="Jenna Caffey"/>
    <x v="0"/>
    <s v="United States"/>
    <s v="Kent"/>
    <s v="Washington"/>
    <s v="West"/>
    <x v="0"/>
    <x v="5"/>
    <s v="GE 48&quot; Fluorescent Tube, Cool White Energy Saver, 34 Watts, 30/Box"/>
    <x v="1403"/>
    <n v="2"/>
    <n v="0"/>
    <n v="99.23"/>
  </r>
  <r>
    <n v="1622"/>
    <x v="141"/>
    <x v="3"/>
    <x v="7"/>
    <d v="2014-07-16T00:00:00"/>
    <n v="7"/>
    <x v="1"/>
    <s v="Jenna Caffey"/>
    <x v="0"/>
    <s v="United States"/>
    <s v="Kent"/>
    <s v="Washington"/>
    <s v="West"/>
    <x v="1"/>
    <x v="2"/>
    <s v="Dot Matrix Printer Tape Reel Labels, White, 5000/Box"/>
    <x v="1404"/>
    <n v="8"/>
    <n v="0"/>
    <n v="385.37520000000001"/>
  </r>
  <r>
    <n v="1623"/>
    <x v="141"/>
    <x v="3"/>
    <x v="7"/>
    <d v="2014-07-16T00:00:00"/>
    <n v="7"/>
    <x v="1"/>
    <s v="Jenna Caffey"/>
    <x v="0"/>
    <s v="United States"/>
    <s v="Kent"/>
    <s v="Washington"/>
    <s v="West"/>
    <x v="1"/>
    <x v="8"/>
    <s v="GBC White Gloss Covers, Plain Front"/>
    <x v="1405"/>
    <n v="2"/>
    <n v="0.2"/>
    <n v="7.8192000000000004"/>
  </r>
  <r>
    <n v="1624"/>
    <x v="141"/>
    <x v="3"/>
    <x v="7"/>
    <d v="2014-07-16T00:00:00"/>
    <n v="7"/>
    <x v="1"/>
    <s v="Jenna Caffey"/>
    <x v="0"/>
    <s v="United States"/>
    <s v="Kent"/>
    <s v="Washington"/>
    <s v="West"/>
    <x v="2"/>
    <x v="11"/>
    <s v="Micro Innovations USB RF Wireless Keyboard with Mouse"/>
    <x v="1406"/>
    <n v="2"/>
    <n v="0"/>
    <n v="10.5"/>
  </r>
  <r>
    <n v="1625"/>
    <x v="546"/>
    <x v="1"/>
    <x v="4"/>
    <d v="2012-12-24T00:00:00"/>
    <n v="5"/>
    <x v="1"/>
    <s v="James Galang"/>
    <x v="0"/>
    <s v="United States"/>
    <s v="Los Angeles"/>
    <s v="California"/>
    <s v="West"/>
    <x v="2"/>
    <x v="7"/>
    <s v="ShoreTel ShorePhone IP 230 VoIP phone"/>
    <x v="1407"/>
    <n v="5"/>
    <n v="0.2"/>
    <n v="84.495000000000005"/>
  </r>
  <r>
    <n v="1626"/>
    <x v="546"/>
    <x v="1"/>
    <x v="4"/>
    <d v="2012-12-24T00:00:00"/>
    <n v="5"/>
    <x v="1"/>
    <s v="James Galang"/>
    <x v="0"/>
    <s v="United States"/>
    <s v="Los Angeles"/>
    <s v="California"/>
    <s v="West"/>
    <x v="2"/>
    <x v="11"/>
    <s v="Plantronics Savi W720 Multi-Device Wireless Headset System"/>
    <x v="1408"/>
    <n v="3"/>
    <n v="0"/>
    <n v="556.97400000000005"/>
  </r>
  <r>
    <n v="1627"/>
    <x v="547"/>
    <x v="1"/>
    <x v="0"/>
    <d v="2012-11-22T00:00:00"/>
    <n v="6"/>
    <x v="1"/>
    <s v="Philisse Overcash"/>
    <x v="2"/>
    <s v="United States"/>
    <s v="New York City"/>
    <s v="New York"/>
    <s v="East"/>
    <x v="1"/>
    <x v="9"/>
    <s v="Eureka The Boss Plus 12-Amp Hard Box Upright Vacuum, Red"/>
    <x v="1409"/>
    <n v="5"/>
    <n v="0"/>
    <n v="141.2775"/>
  </r>
  <r>
    <n v="1628"/>
    <x v="496"/>
    <x v="1"/>
    <x v="8"/>
    <d v="2012-09-30T00:00:00"/>
    <n v="6"/>
    <x v="1"/>
    <s v="Marc Crier"/>
    <x v="0"/>
    <s v="United States"/>
    <s v="Lafayette"/>
    <s v="Louisiana"/>
    <s v="South"/>
    <x v="0"/>
    <x v="1"/>
    <s v="Harbour Creations Steel Folding Chair"/>
    <x v="1410"/>
    <n v="6"/>
    <n v="0"/>
    <n v="155.25"/>
  </r>
  <r>
    <n v="1629"/>
    <x v="548"/>
    <x v="3"/>
    <x v="1"/>
    <d v="2014-06-26T00:00:00"/>
    <n v="4"/>
    <x v="0"/>
    <s v="Alan Shonely"/>
    <x v="0"/>
    <s v="United States"/>
    <s v="Cleveland"/>
    <s v="Ohio"/>
    <s v="East"/>
    <x v="0"/>
    <x v="5"/>
    <s v="Stacking Tray, Side-Loading, Legal, Smoke"/>
    <x v="1411"/>
    <n v="5"/>
    <n v="0.2"/>
    <n v="2.464"/>
  </r>
  <r>
    <n v="1630"/>
    <x v="548"/>
    <x v="3"/>
    <x v="1"/>
    <d v="2014-06-26T00:00:00"/>
    <n v="4"/>
    <x v="0"/>
    <s v="Alan Shonely"/>
    <x v="0"/>
    <s v="United States"/>
    <s v="Cleveland"/>
    <s v="Ohio"/>
    <s v="East"/>
    <x v="1"/>
    <x v="8"/>
    <s v="Deluxe Heavy-Duty Vinyl Round Ring Binder"/>
    <x v="1412"/>
    <n v="6"/>
    <n v="0.7"/>
    <n v="-34.380000000000003"/>
  </r>
  <r>
    <n v="1631"/>
    <x v="541"/>
    <x v="0"/>
    <x v="5"/>
    <d v="2013-05-09T00:00:00"/>
    <n v="0"/>
    <x v="3"/>
    <s v="Clay Ludtke"/>
    <x v="0"/>
    <s v="United States"/>
    <s v="Cleveland"/>
    <s v="Ohio"/>
    <s v="East"/>
    <x v="1"/>
    <x v="4"/>
    <s v="Smead Adjustable Mobile File Trolley with Lockable Top"/>
    <x v="1413"/>
    <n v="3"/>
    <n v="0.2"/>
    <n v="88.029899999999998"/>
  </r>
  <r>
    <n v="1632"/>
    <x v="541"/>
    <x v="0"/>
    <x v="5"/>
    <d v="2013-05-09T00:00:00"/>
    <n v="0"/>
    <x v="3"/>
    <s v="Clay Ludtke"/>
    <x v="0"/>
    <s v="United States"/>
    <s v="Cleveland"/>
    <s v="Ohio"/>
    <s v="East"/>
    <x v="1"/>
    <x v="10"/>
    <s v="Xerox 1898"/>
    <x v="1414"/>
    <n v="2"/>
    <n v="0.2"/>
    <n v="3.7408000000000001"/>
  </r>
  <r>
    <n v="1633"/>
    <x v="541"/>
    <x v="0"/>
    <x v="5"/>
    <d v="2013-05-09T00:00:00"/>
    <n v="0"/>
    <x v="3"/>
    <s v="Clay Ludtke"/>
    <x v="0"/>
    <s v="United States"/>
    <s v="Cleveland"/>
    <s v="Ohio"/>
    <s v="East"/>
    <x v="1"/>
    <x v="10"/>
    <s v="Xerox 222"/>
    <x v="559"/>
    <n v="2"/>
    <n v="0.2"/>
    <n v="3.6288"/>
  </r>
  <r>
    <n v="1634"/>
    <x v="541"/>
    <x v="0"/>
    <x v="5"/>
    <d v="2013-05-09T00:00:00"/>
    <n v="0"/>
    <x v="3"/>
    <s v="Clay Ludtke"/>
    <x v="0"/>
    <s v="United States"/>
    <s v="Cleveland"/>
    <s v="Ohio"/>
    <s v="East"/>
    <x v="1"/>
    <x v="4"/>
    <s v="Hanging Personal Folder File"/>
    <x v="1415"/>
    <n v="2"/>
    <n v="0.2"/>
    <n v="1.57"/>
  </r>
  <r>
    <n v="1635"/>
    <x v="541"/>
    <x v="0"/>
    <x v="5"/>
    <d v="2013-05-09T00:00:00"/>
    <n v="0"/>
    <x v="3"/>
    <s v="Clay Ludtke"/>
    <x v="0"/>
    <s v="United States"/>
    <s v="Cleveland"/>
    <s v="Ohio"/>
    <s v="East"/>
    <x v="2"/>
    <x v="11"/>
    <s v="SanDisk Cruzer 64 GB USB Flash Drive"/>
    <x v="514"/>
    <n v="2"/>
    <n v="0.2"/>
    <n v="7.2640000000000002"/>
  </r>
  <r>
    <n v="1636"/>
    <x v="35"/>
    <x v="2"/>
    <x v="0"/>
    <d v="2011-12-02T00:00:00"/>
    <n v="6"/>
    <x v="1"/>
    <s v="Natalie Webber"/>
    <x v="0"/>
    <s v="United States"/>
    <s v="Tigard"/>
    <s v="Oregon"/>
    <s v="West"/>
    <x v="1"/>
    <x v="10"/>
    <s v="Xerox 2"/>
    <x v="12"/>
    <n v="3"/>
    <n v="0.2"/>
    <n v="5.4432"/>
  </r>
  <r>
    <n v="1637"/>
    <x v="35"/>
    <x v="2"/>
    <x v="0"/>
    <d v="2011-12-02T00:00:00"/>
    <n v="6"/>
    <x v="1"/>
    <s v="Natalie Webber"/>
    <x v="0"/>
    <s v="United States"/>
    <s v="Tigard"/>
    <s v="Oregon"/>
    <s v="West"/>
    <x v="1"/>
    <x v="4"/>
    <s v="Office Impressions Heavy Duty Welded Shelving &amp; Multimedia Storage Drawers"/>
    <x v="1416"/>
    <n v="5"/>
    <n v="0.2"/>
    <n v="-167.27"/>
  </r>
  <r>
    <n v="1638"/>
    <x v="35"/>
    <x v="2"/>
    <x v="0"/>
    <d v="2011-12-02T00:00:00"/>
    <n v="6"/>
    <x v="1"/>
    <s v="Natalie Webber"/>
    <x v="0"/>
    <s v="United States"/>
    <s v="Tigard"/>
    <s v="Oregon"/>
    <s v="West"/>
    <x v="2"/>
    <x v="7"/>
    <s v="Jawbone MINI JAMBOX Wireless Bluetooth Speaker"/>
    <x v="1417"/>
    <n v="4"/>
    <n v="0.2"/>
    <n v="-87.667199999999994"/>
  </r>
  <r>
    <n v="1639"/>
    <x v="439"/>
    <x v="0"/>
    <x v="5"/>
    <d v="2013-06-02T00:00:00"/>
    <n v="6"/>
    <x v="1"/>
    <s v="Toby Braunhardt"/>
    <x v="0"/>
    <s v="United States"/>
    <s v="Washington"/>
    <s v="District of Columbia"/>
    <s v="East"/>
    <x v="1"/>
    <x v="10"/>
    <s v="Weyerhaeuser First Choice Laser/Copy Paper (20Lb. and 88 Bright)"/>
    <x v="537"/>
    <n v="3"/>
    <n v="0"/>
    <n v="9.3312000000000008"/>
  </r>
  <r>
    <n v="1640"/>
    <x v="439"/>
    <x v="0"/>
    <x v="5"/>
    <d v="2013-06-02T00:00:00"/>
    <n v="6"/>
    <x v="1"/>
    <s v="Toby Braunhardt"/>
    <x v="0"/>
    <s v="United States"/>
    <s v="Washington"/>
    <s v="District of Columbia"/>
    <s v="East"/>
    <x v="1"/>
    <x v="8"/>
    <s v="Wilson Jones Turn Tabs Binder Tool for Ring Binders"/>
    <x v="1313"/>
    <n v="2"/>
    <n v="0"/>
    <n v="4.4344000000000001"/>
  </r>
  <r>
    <n v="1641"/>
    <x v="439"/>
    <x v="0"/>
    <x v="5"/>
    <d v="2013-06-02T00:00:00"/>
    <n v="6"/>
    <x v="1"/>
    <s v="Toby Braunhardt"/>
    <x v="0"/>
    <s v="United States"/>
    <s v="Washington"/>
    <s v="District of Columbia"/>
    <s v="East"/>
    <x v="1"/>
    <x v="10"/>
    <s v="Telephone Message Books with Fax/Mobile Section, 5 1/2&quot; x 3 3/16&quot;"/>
    <x v="1418"/>
    <n v="2"/>
    <n v="0"/>
    <n v="5.8419999999999996"/>
  </r>
  <r>
    <n v="1642"/>
    <x v="439"/>
    <x v="0"/>
    <x v="5"/>
    <d v="2013-06-02T00:00:00"/>
    <n v="6"/>
    <x v="1"/>
    <s v="Toby Braunhardt"/>
    <x v="0"/>
    <s v="United States"/>
    <s v="Washington"/>
    <s v="District of Columbia"/>
    <s v="East"/>
    <x v="0"/>
    <x v="5"/>
    <s v="9-3/4 Diameter Round Wall Clock"/>
    <x v="1419"/>
    <n v="3"/>
    <n v="0"/>
    <n v="17.375399999999999"/>
  </r>
  <r>
    <n v="1643"/>
    <x v="503"/>
    <x v="2"/>
    <x v="0"/>
    <d v="2011-12-04T00:00:00"/>
    <n v="5"/>
    <x v="1"/>
    <s v="Bill Stewart"/>
    <x v="1"/>
    <s v="United States"/>
    <s v="Skokie"/>
    <s v="Illinois"/>
    <s v="Central"/>
    <x v="1"/>
    <x v="13"/>
    <s v="Staples"/>
    <x v="1420"/>
    <n v="2"/>
    <n v="0.2"/>
    <n v="3.9449999999999998"/>
  </r>
  <r>
    <n v="1644"/>
    <x v="531"/>
    <x v="1"/>
    <x v="10"/>
    <d v="2012-03-20T00:00:00"/>
    <n v="1"/>
    <x v="2"/>
    <s v="Fred Hopkins"/>
    <x v="1"/>
    <s v="United States"/>
    <s v="Seattle"/>
    <s v="Washington"/>
    <s v="West"/>
    <x v="1"/>
    <x v="4"/>
    <s v="Deluxe Rollaway Locking File with Drawer"/>
    <x v="1421"/>
    <n v="3"/>
    <n v="0"/>
    <n v="349.33920000000001"/>
  </r>
  <r>
    <n v="1645"/>
    <x v="531"/>
    <x v="1"/>
    <x v="10"/>
    <d v="2012-03-20T00:00:00"/>
    <n v="1"/>
    <x v="2"/>
    <s v="Fred Hopkins"/>
    <x v="1"/>
    <s v="United States"/>
    <s v="Seattle"/>
    <s v="Washington"/>
    <s v="West"/>
    <x v="2"/>
    <x v="16"/>
    <s v="Canon PC940 Copier"/>
    <x v="1422"/>
    <n v="7"/>
    <n v="0"/>
    <n v="1480.4671000000001"/>
  </r>
  <r>
    <n v="1646"/>
    <x v="531"/>
    <x v="1"/>
    <x v="10"/>
    <d v="2012-03-20T00:00:00"/>
    <n v="1"/>
    <x v="2"/>
    <s v="Fred Hopkins"/>
    <x v="1"/>
    <s v="United States"/>
    <s v="Seattle"/>
    <s v="Washington"/>
    <s v="West"/>
    <x v="1"/>
    <x v="10"/>
    <s v="Multicolor Computer Printout Paper"/>
    <x v="1423"/>
    <n v="2"/>
    <n v="0"/>
    <n v="100.65600000000001"/>
  </r>
  <r>
    <n v="1647"/>
    <x v="549"/>
    <x v="1"/>
    <x v="0"/>
    <d v="2012-11-03T00:00:00"/>
    <n v="2"/>
    <x v="2"/>
    <s v="Valerie Mitchum"/>
    <x v="2"/>
    <s v="United States"/>
    <s v="Philadelphia"/>
    <s v="Pennsylvania"/>
    <s v="East"/>
    <x v="2"/>
    <x v="11"/>
    <s v="SanDisk Ultra 32 GB MicroSDHC Class 10 Memory Card"/>
    <x v="1424"/>
    <n v="2"/>
    <n v="0.2"/>
    <n v="-3.0939999999999999"/>
  </r>
  <r>
    <n v="1648"/>
    <x v="549"/>
    <x v="1"/>
    <x v="0"/>
    <d v="2012-11-03T00:00:00"/>
    <n v="2"/>
    <x v="2"/>
    <s v="Valerie Mitchum"/>
    <x v="2"/>
    <s v="United States"/>
    <s v="Philadelphia"/>
    <s v="Pennsylvania"/>
    <s v="East"/>
    <x v="1"/>
    <x v="13"/>
    <s v="Brites Rubber Bands, 1 1/2 oz. Box"/>
    <x v="754"/>
    <n v="2"/>
    <n v="0.2"/>
    <n v="-0.71279999999999999"/>
  </r>
  <r>
    <n v="1649"/>
    <x v="120"/>
    <x v="1"/>
    <x v="8"/>
    <d v="2012-09-29T00:00:00"/>
    <n v="3"/>
    <x v="0"/>
    <s v="Sarah Foster"/>
    <x v="0"/>
    <s v="United States"/>
    <s v="Philadelphia"/>
    <s v="Pennsylvania"/>
    <s v="East"/>
    <x v="1"/>
    <x v="8"/>
    <s v="Catalog Binders with Expanding Posts"/>
    <x v="1425"/>
    <n v="6"/>
    <n v="0.7"/>
    <n v="-100.92"/>
  </r>
  <r>
    <n v="1650"/>
    <x v="120"/>
    <x v="1"/>
    <x v="8"/>
    <d v="2012-09-29T00:00:00"/>
    <n v="3"/>
    <x v="0"/>
    <s v="Sarah Foster"/>
    <x v="0"/>
    <s v="United States"/>
    <s v="Philadelphia"/>
    <s v="Pennsylvania"/>
    <s v="East"/>
    <x v="2"/>
    <x v="7"/>
    <s v="Grandstream GXP2100 Mainstream Business Phone"/>
    <x v="1426"/>
    <n v="1"/>
    <n v="0.4"/>
    <n v="-9.1788000000000007"/>
  </r>
  <r>
    <n v="1651"/>
    <x v="550"/>
    <x v="2"/>
    <x v="6"/>
    <d v="2011-08-29T00:00:00"/>
    <n v="0"/>
    <x v="3"/>
    <s v="Hilary Holden"/>
    <x v="1"/>
    <s v="United States"/>
    <s v="San Francisco"/>
    <s v="California"/>
    <s v="West"/>
    <x v="1"/>
    <x v="10"/>
    <s v="Xerox 1940"/>
    <x v="1427"/>
    <n v="2"/>
    <n v="0"/>
    <n v="53.860799999999998"/>
  </r>
  <r>
    <n v="1652"/>
    <x v="550"/>
    <x v="2"/>
    <x v="6"/>
    <d v="2011-08-29T00:00:00"/>
    <n v="0"/>
    <x v="3"/>
    <s v="Hilary Holden"/>
    <x v="1"/>
    <s v="United States"/>
    <s v="San Francisco"/>
    <s v="California"/>
    <s v="West"/>
    <x v="1"/>
    <x v="10"/>
    <s v="Xerox 1986"/>
    <x v="518"/>
    <n v="2"/>
    <n v="0"/>
    <n v="6.4127999999999998"/>
  </r>
  <r>
    <n v="1653"/>
    <x v="551"/>
    <x v="3"/>
    <x v="0"/>
    <d v="2014-11-22T00:00:00"/>
    <n v="3"/>
    <x v="2"/>
    <s v="Christina DeMoss"/>
    <x v="0"/>
    <s v="United States"/>
    <s v="Seattle"/>
    <s v="Washington"/>
    <s v="West"/>
    <x v="1"/>
    <x v="4"/>
    <s v="Eldon Portable Mobile Manager"/>
    <x v="1428"/>
    <n v="6"/>
    <n v="0"/>
    <n v="45.813600000000001"/>
  </r>
  <r>
    <n v="1654"/>
    <x v="551"/>
    <x v="3"/>
    <x v="0"/>
    <d v="2014-11-22T00:00:00"/>
    <n v="3"/>
    <x v="2"/>
    <s v="Christina DeMoss"/>
    <x v="0"/>
    <s v="United States"/>
    <s v="Seattle"/>
    <s v="Washington"/>
    <s v="West"/>
    <x v="2"/>
    <x v="11"/>
    <s v="Imation 16GB Mini TravelDrive USB 2.0 Flash Drive"/>
    <x v="608"/>
    <n v="4"/>
    <n v="0"/>
    <n v="54.333199999999998"/>
  </r>
  <r>
    <n v="1655"/>
    <x v="551"/>
    <x v="3"/>
    <x v="0"/>
    <d v="2014-11-22T00:00:00"/>
    <n v="3"/>
    <x v="2"/>
    <s v="Christina DeMoss"/>
    <x v="0"/>
    <s v="United States"/>
    <s v="Seattle"/>
    <s v="Washington"/>
    <s v="West"/>
    <x v="1"/>
    <x v="13"/>
    <s v="Binder Clips by OIC"/>
    <x v="366"/>
    <n v="2"/>
    <n v="0"/>
    <n v="1.4208000000000001"/>
  </r>
  <r>
    <n v="1656"/>
    <x v="551"/>
    <x v="3"/>
    <x v="0"/>
    <d v="2014-11-22T00:00:00"/>
    <n v="3"/>
    <x v="2"/>
    <s v="Christina DeMoss"/>
    <x v="0"/>
    <s v="United States"/>
    <s v="Seattle"/>
    <s v="Washington"/>
    <s v="West"/>
    <x v="1"/>
    <x v="8"/>
    <s v="Wilson Jones 1&quot; Hanging DublLock Ring Binders"/>
    <x v="578"/>
    <n v="2"/>
    <n v="0.2"/>
    <n v="2.9567999999999999"/>
  </r>
  <r>
    <n v="1657"/>
    <x v="551"/>
    <x v="3"/>
    <x v="0"/>
    <d v="2014-11-22T00:00:00"/>
    <n v="3"/>
    <x v="2"/>
    <s v="Christina DeMoss"/>
    <x v="0"/>
    <s v="United States"/>
    <s v="Seattle"/>
    <s v="Washington"/>
    <s v="West"/>
    <x v="1"/>
    <x v="4"/>
    <s v="Fellowes Bankers Box Stor/Drawer Steel Plus"/>
    <x v="1429"/>
    <n v="3"/>
    <n v="0"/>
    <n v="9.5939999999999994"/>
  </r>
  <r>
    <n v="1658"/>
    <x v="552"/>
    <x v="2"/>
    <x v="5"/>
    <d v="2011-05-15T00:00:00"/>
    <n v="3"/>
    <x v="2"/>
    <s v="Hunter Lopez"/>
    <x v="0"/>
    <s v="United States"/>
    <s v="Milwaukee"/>
    <s v="Wisconsin"/>
    <s v="Central"/>
    <x v="0"/>
    <x v="5"/>
    <s v="DAX Value U-Channel Document Frames, Easel Back"/>
    <x v="1430"/>
    <n v="7"/>
    <n v="0"/>
    <n v="10.7849"/>
  </r>
  <r>
    <n v="1659"/>
    <x v="176"/>
    <x v="3"/>
    <x v="9"/>
    <d v="2014-01-27T00:00:00"/>
    <n v="6"/>
    <x v="1"/>
    <s v="Thea Hendricks"/>
    <x v="0"/>
    <s v="United States"/>
    <s v="Los Angeles"/>
    <s v="California"/>
    <s v="West"/>
    <x v="2"/>
    <x v="7"/>
    <s v="RCA Visys Integrated PBX 8-Line Router"/>
    <x v="1431"/>
    <n v="3"/>
    <n v="0.2"/>
    <n v="10.048500000000001"/>
  </r>
  <r>
    <n v="1660"/>
    <x v="505"/>
    <x v="3"/>
    <x v="2"/>
    <d v="2014-11-07T00:00:00"/>
    <n v="7"/>
    <x v="1"/>
    <s v="Michelle Moray"/>
    <x v="0"/>
    <s v="United States"/>
    <s v="Seattle"/>
    <s v="Washington"/>
    <s v="West"/>
    <x v="1"/>
    <x v="8"/>
    <s v="GBC Velobind Prepunched Cover Sets, Regency Series"/>
    <x v="1279"/>
    <n v="3"/>
    <n v="0.2"/>
    <n v="27.734999999999999"/>
  </r>
  <r>
    <n v="1661"/>
    <x v="505"/>
    <x v="3"/>
    <x v="2"/>
    <d v="2014-11-07T00:00:00"/>
    <n v="7"/>
    <x v="1"/>
    <s v="Michelle Moray"/>
    <x v="0"/>
    <s v="United States"/>
    <s v="Seattle"/>
    <s v="Washington"/>
    <s v="West"/>
    <x v="1"/>
    <x v="8"/>
    <s v="Cardinal Slant-D Ring Binders"/>
    <x v="1150"/>
    <n v="2"/>
    <n v="0.2"/>
    <n v="5.2140000000000004"/>
  </r>
  <r>
    <n v="1662"/>
    <x v="504"/>
    <x v="3"/>
    <x v="5"/>
    <d v="2014-05-07T00:00:00"/>
    <n v="6"/>
    <x v="1"/>
    <s v="Quincy Jones"/>
    <x v="1"/>
    <s v="United States"/>
    <s v="Philadelphia"/>
    <s v="Pennsylvania"/>
    <s v="East"/>
    <x v="2"/>
    <x v="7"/>
    <s v="Polycom SoundPoint IP 450 VoIP phone"/>
    <x v="1186"/>
    <n v="5"/>
    <n v="0.4"/>
    <n v="-158.102"/>
  </r>
  <r>
    <n v="1663"/>
    <x v="504"/>
    <x v="3"/>
    <x v="5"/>
    <d v="2014-05-07T00:00:00"/>
    <n v="6"/>
    <x v="1"/>
    <s v="Quincy Jones"/>
    <x v="1"/>
    <s v="United States"/>
    <s v="Philadelphia"/>
    <s v="Pennsylvania"/>
    <s v="East"/>
    <x v="1"/>
    <x v="8"/>
    <s v="GBC VeloBind Cover Sets"/>
    <x v="1432"/>
    <n v="3"/>
    <n v="0.7"/>
    <n v="-9.2639999999999993"/>
  </r>
  <r>
    <n v="1664"/>
    <x v="390"/>
    <x v="0"/>
    <x v="0"/>
    <d v="2013-11-27T00:00:00"/>
    <n v="2"/>
    <x v="0"/>
    <s v="Neola Schneider"/>
    <x v="0"/>
    <s v="United States"/>
    <s v="Dallas"/>
    <s v="Texas"/>
    <s v="Central"/>
    <x v="1"/>
    <x v="4"/>
    <s v="Sterilite Officeware Hinged File Box"/>
    <x v="1433"/>
    <n v="5"/>
    <n v="0.2"/>
    <n v="3.6680000000000001"/>
  </r>
  <r>
    <n v="1665"/>
    <x v="390"/>
    <x v="0"/>
    <x v="0"/>
    <d v="2013-11-27T00:00:00"/>
    <n v="2"/>
    <x v="0"/>
    <s v="Neola Schneider"/>
    <x v="0"/>
    <s v="United States"/>
    <s v="Dallas"/>
    <s v="Texas"/>
    <s v="Central"/>
    <x v="2"/>
    <x v="11"/>
    <s v="Logitech G19 Programmable Gaming Keyboard"/>
    <x v="1434"/>
    <n v="3"/>
    <n v="0.2"/>
    <n v="-7.4394"/>
  </r>
  <r>
    <n v="1666"/>
    <x v="390"/>
    <x v="0"/>
    <x v="0"/>
    <d v="2013-11-27T00:00:00"/>
    <n v="2"/>
    <x v="0"/>
    <s v="Neola Schneider"/>
    <x v="0"/>
    <s v="United States"/>
    <s v="Dallas"/>
    <s v="Texas"/>
    <s v="Central"/>
    <x v="1"/>
    <x v="13"/>
    <s v="Colored Push Pins"/>
    <x v="1435"/>
    <n v="3"/>
    <n v="0.2"/>
    <n v="0.86880000000000002"/>
  </r>
  <r>
    <n v="1667"/>
    <x v="390"/>
    <x v="0"/>
    <x v="0"/>
    <d v="2013-11-27T00:00:00"/>
    <n v="2"/>
    <x v="0"/>
    <s v="Neola Schneider"/>
    <x v="0"/>
    <s v="United States"/>
    <s v="Dallas"/>
    <s v="Texas"/>
    <s v="Central"/>
    <x v="2"/>
    <x v="11"/>
    <s v="Logitech G105 Gaming Keyboard"/>
    <x v="1436"/>
    <n v="2"/>
    <n v="0.2"/>
    <n v="-2.3748"/>
  </r>
  <r>
    <n v="1668"/>
    <x v="390"/>
    <x v="0"/>
    <x v="0"/>
    <d v="2013-11-27T00:00:00"/>
    <n v="2"/>
    <x v="0"/>
    <s v="Neola Schneider"/>
    <x v="0"/>
    <s v="United States"/>
    <s v="Dallas"/>
    <s v="Texas"/>
    <s v="Central"/>
    <x v="1"/>
    <x v="10"/>
    <s v="Xerox 1925"/>
    <x v="1339"/>
    <n v="3"/>
    <n v="0.2"/>
    <n v="23.234999999999999"/>
  </r>
  <r>
    <n v="1669"/>
    <x v="390"/>
    <x v="0"/>
    <x v="0"/>
    <d v="2013-11-27T00:00:00"/>
    <n v="2"/>
    <x v="0"/>
    <s v="Neola Schneider"/>
    <x v="0"/>
    <s v="United States"/>
    <s v="Dallas"/>
    <s v="Texas"/>
    <s v="Central"/>
    <x v="1"/>
    <x v="6"/>
    <s v="Dixon My First Ticonderoga Pencil, #2"/>
    <x v="1215"/>
    <n v="3"/>
    <n v="0.2"/>
    <n v="1.5794999999999999"/>
  </r>
  <r>
    <n v="1670"/>
    <x v="553"/>
    <x v="1"/>
    <x v="9"/>
    <d v="2012-01-15T00:00:00"/>
    <n v="5"/>
    <x v="1"/>
    <s v="Michael Moore"/>
    <x v="0"/>
    <s v="United States"/>
    <s v="New York City"/>
    <s v="New York"/>
    <s v="East"/>
    <x v="0"/>
    <x v="3"/>
    <s v="Bush Advantage Collection Racetrack Conference Table"/>
    <x v="1437"/>
    <n v="4"/>
    <n v="0.4"/>
    <n v="-373.3048"/>
  </r>
  <r>
    <n v="1671"/>
    <x v="15"/>
    <x v="3"/>
    <x v="2"/>
    <d v="2014-10-27T00:00:00"/>
    <n v="7"/>
    <x v="1"/>
    <s v="Rick Duston"/>
    <x v="0"/>
    <s v="United States"/>
    <s v="Houston"/>
    <s v="Texas"/>
    <s v="Central"/>
    <x v="2"/>
    <x v="7"/>
    <s v="QVS USB Car Charger 2-Port 2.1Amp for iPod/iPhone/iPad/iPad 2/iPad 3"/>
    <x v="1438"/>
    <n v="3"/>
    <n v="0.2"/>
    <n v="5.2125000000000004"/>
  </r>
  <r>
    <n v="1672"/>
    <x v="554"/>
    <x v="0"/>
    <x v="10"/>
    <d v="2013-03-26T00:00:00"/>
    <n v="3"/>
    <x v="2"/>
    <s v="Robert Barroso"/>
    <x v="1"/>
    <s v="United States"/>
    <s v="North Las Vegas"/>
    <s v="Nevada"/>
    <s v="West"/>
    <x v="2"/>
    <x v="11"/>
    <s v="Logitech ClearChat Comfort/USB Headset H390"/>
    <x v="1439"/>
    <n v="2"/>
    <n v="0"/>
    <n v="19.331399999999999"/>
  </r>
  <r>
    <n v="1673"/>
    <x v="445"/>
    <x v="3"/>
    <x v="7"/>
    <d v="2014-07-08T00:00:00"/>
    <n v="4"/>
    <x v="1"/>
    <s v="Rob Dowd"/>
    <x v="0"/>
    <s v="United States"/>
    <s v="Plano"/>
    <s v="Texas"/>
    <s v="Central"/>
    <x v="2"/>
    <x v="7"/>
    <s v="netTALK DUO VoIP Telephone Service"/>
    <x v="68"/>
    <n v="4"/>
    <n v="0.2"/>
    <n v="62.988"/>
  </r>
  <r>
    <n v="1674"/>
    <x v="555"/>
    <x v="1"/>
    <x v="4"/>
    <d v="2012-12-12T00:00:00"/>
    <n v="1"/>
    <x v="2"/>
    <s v="Shaun Weien"/>
    <x v="0"/>
    <s v="United States"/>
    <s v="Suffolk"/>
    <s v="Virginia"/>
    <s v="South"/>
    <x v="1"/>
    <x v="2"/>
    <s v="Dot Matrix Printer Tape Reel Labels, White, 5000/Box"/>
    <x v="1440"/>
    <n v="2"/>
    <n v="0"/>
    <n v="96.343800000000002"/>
  </r>
  <r>
    <n v="1675"/>
    <x v="14"/>
    <x v="1"/>
    <x v="8"/>
    <d v="2012-09-21T00:00:00"/>
    <n v="4"/>
    <x v="1"/>
    <s v="Sylvia Foulston"/>
    <x v="1"/>
    <s v="United States"/>
    <s v="Houston"/>
    <s v="Texas"/>
    <s v="Central"/>
    <x v="0"/>
    <x v="5"/>
    <s v="Howard Miller Distant Time Traveler Alarm Clock"/>
    <x v="1441"/>
    <n v="2"/>
    <n v="0.6"/>
    <n v="-10.419600000000001"/>
  </r>
  <r>
    <n v="1676"/>
    <x v="14"/>
    <x v="1"/>
    <x v="8"/>
    <d v="2012-09-21T00:00:00"/>
    <n v="4"/>
    <x v="1"/>
    <s v="Sylvia Foulston"/>
    <x v="1"/>
    <s v="United States"/>
    <s v="Houston"/>
    <s v="Texas"/>
    <s v="Central"/>
    <x v="1"/>
    <x v="8"/>
    <s v="GBC Imprintable Covers"/>
    <x v="1442"/>
    <n v="3"/>
    <n v="0.8"/>
    <n v="-10.211399999999999"/>
  </r>
  <r>
    <n v="1677"/>
    <x v="556"/>
    <x v="0"/>
    <x v="5"/>
    <d v="2013-05-25T00:00:00"/>
    <n v="6"/>
    <x v="1"/>
    <s v="Eric Barreto"/>
    <x v="0"/>
    <s v="United States"/>
    <s v="San Francisco"/>
    <s v="California"/>
    <s v="West"/>
    <x v="1"/>
    <x v="4"/>
    <s v="Home/Office Personal File Carts"/>
    <x v="1443"/>
    <n v="3"/>
    <n v="0"/>
    <n v="26.07"/>
  </r>
  <r>
    <n v="1678"/>
    <x v="556"/>
    <x v="0"/>
    <x v="5"/>
    <d v="2013-05-25T00:00:00"/>
    <n v="6"/>
    <x v="1"/>
    <s v="Eric Barreto"/>
    <x v="0"/>
    <s v="United States"/>
    <s v="San Francisco"/>
    <s v="California"/>
    <s v="West"/>
    <x v="1"/>
    <x v="10"/>
    <s v="Universal Premium White Copier/Laser Paper (20Lb. and 87 Bright)"/>
    <x v="1444"/>
    <n v="3"/>
    <n v="0"/>
    <n v="8.7905999999999995"/>
  </r>
  <r>
    <n v="1679"/>
    <x v="557"/>
    <x v="2"/>
    <x v="8"/>
    <d v="2011-09-13T00:00:00"/>
    <n v="6"/>
    <x v="1"/>
    <s v="Sean Braxton"/>
    <x v="1"/>
    <s v="United States"/>
    <s v="Philadelphia"/>
    <s v="Pennsylvania"/>
    <s v="East"/>
    <x v="1"/>
    <x v="4"/>
    <s v="Carina 42&quot;Hx23 3/4&quot;W Media Storage Unit"/>
    <x v="1445"/>
    <n v="1"/>
    <n v="0.2"/>
    <n v="-14.5764"/>
  </r>
  <r>
    <n v="1680"/>
    <x v="557"/>
    <x v="2"/>
    <x v="8"/>
    <d v="2011-09-13T00:00:00"/>
    <n v="6"/>
    <x v="1"/>
    <s v="Sean Braxton"/>
    <x v="1"/>
    <s v="United States"/>
    <s v="Philadelphia"/>
    <s v="Pennsylvania"/>
    <s v="East"/>
    <x v="2"/>
    <x v="7"/>
    <s v="invisibleSHIELD by ZAGG Smudge-Free Screen Protector"/>
    <x v="1446"/>
    <n v="3"/>
    <n v="0.4"/>
    <n v="4.3175999999999997"/>
  </r>
  <r>
    <n v="1681"/>
    <x v="557"/>
    <x v="2"/>
    <x v="8"/>
    <d v="2011-09-13T00:00:00"/>
    <n v="6"/>
    <x v="1"/>
    <s v="Sean Braxton"/>
    <x v="1"/>
    <s v="United States"/>
    <s v="Philadelphia"/>
    <s v="Pennsylvania"/>
    <s v="East"/>
    <x v="0"/>
    <x v="5"/>
    <s v="DAX Natural Wood-Tone Poster Frame"/>
    <x v="1447"/>
    <n v="2"/>
    <n v="0.2"/>
    <n v="8.4735999999999994"/>
  </r>
  <r>
    <n v="1682"/>
    <x v="557"/>
    <x v="2"/>
    <x v="8"/>
    <d v="2011-09-13T00:00:00"/>
    <n v="6"/>
    <x v="1"/>
    <s v="Sean Braxton"/>
    <x v="1"/>
    <s v="United States"/>
    <s v="Philadelphia"/>
    <s v="Pennsylvania"/>
    <s v="East"/>
    <x v="2"/>
    <x v="15"/>
    <s v="StarTech.com 10/100 VDSL2 Ethernet Extender Kit"/>
    <x v="1448"/>
    <n v="4"/>
    <n v="0.7"/>
    <n v="-559.35599999999999"/>
  </r>
  <r>
    <n v="1683"/>
    <x v="321"/>
    <x v="0"/>
    <x v="8"/>
    <d v="2013-10-02T00:00:00"/>
    <n v="2"/>
    <x v="0"/>
    <s v="Pamela Stobb"/>
    <x v="0"/>
    <s v="United States"/>
    <s v="Los Angeles"/>
    <s v="California"/>
    <s v="West"/>
    <x v="1"/>
    <x v="10"/>
    <s v="Xerox 1887"/>
    <x v="1449"/>
    <n v="1"/>
    <n v="0"/>
    <n v="9.1056000000000008"/>
  </r>
  <r>
    <n v="1684"/>
    <x v="77"/>
    <x v="0"/>
    <x v="0"/>
    <d v="2013-11-13T00:00:00"/>
    <n v="5"/>
    <x v="1"/>
    <s v="Claudia Bergmann"/>
    <x v="1"/>
    <s v="United States"/>
    <s v="San Francisco"/>
    <s v="California"/>
    <s v="West"/>
    <x v="0"/>
    <x v="5"/>
    <s v="C-Line Magnetic Cubicle Keepers, Clear Polypropylene"/>
    <x v="1450"/>
    <n v="3"/>
    <n v="0"/>
    <n v="6.2244000000000002"/>
  </r>
  <r>
    <n v="1685"/>
    <x v="558"/>
    <x v="3"/>
    <x v="3"/>
    <d v="2014-04-28T00:00:00"/>
    <n v="3"/>
    <x v="2"/>
    <s v="Damala Kotsonis"/>
    <x v="1"/>
    <s v="United States"/>
    <s v="Philadelphia"/>
    <s v="Pennsylvania"/>
    <s v="East"/>
    <x v="1"/>
    <x v="9"/>
    <s v="Acco Smartsocket Table Surge Protector, 6 Color-Coded Adapter Outlets"/>
    <x v="1451"/>
    <n v="2"/>
    <n v="0.2"/>
    <n v="12.41"/>
  </r>
  <r>
    <n v="1686"/>
    <x v="558"/>
    <x v="3"/>
    <x v="3"/>
    <d v="2014-04-28T00:00:00"/>
    <n v="3"/>
    <x v="2"/>
    <s v="Damala Kotsonis"/>
    <x v="1"/>
    <s v="United States"/>
    <s v="Philadelphia"/>
    <s v="Pennsylvania"/>
    <s v="East"/>
    <x v="1"/>
    <x v="8"/>
    <s v="Avery Reinforcements for Hole-Punch Pages"/>
    <x v="1452"/>
    <n v="2"/>
    <n v="0.7"/>
    <n v="-0.99"/>
  </r>
  <r>
    <n v="1687"/>
    <x v="558"/>
    <x v="3"/>
    <x v="3"/>
    <d v="2014-04-28T00:00:00"/>
    <n v="3"/>
    <x v="2"/>
    <s v="Damala Kotsonis"/>
    <x v="1"/>
    <s v="United States"/>
    <s v="Philadelphia"/>
    <s v="Pennsylvania"/>
    <s v="East"/>
    <x v="1"/>
    <x v="8"/>
    <s v="GBC ProClick Spines for 32-Hole Punch"/>
    <x v="1453"/>
    <n v="2"/>
    <n v="0.7"/>
    <n v="-5.7637999999999998"/>
  </r>
  <r>
    <n v="1688"/>
    <x v="389"/>
    <x v="3"/>
    <x v="4"/>
    <d v="2014-12-13T00:00:00"/>
    <n v="2"/>
    <x v="2"/>
    <s v="Anthony Witt"/>
    <x v="0"/>
    <s v="United States"/>
    <s v="Philadelphia"/>
    <s v="Pennsylvania"/>
    <s v="East"/>
    <x v="1"/>
    <x v="10"/>
    <s v="Xerox 210"/>
    <x v="559"/>
    <n v="2"/>
    <n v="0.2"/>
    <n v="3.6288"/>
  </r>
  <r>
    <n v="1689"/>
    <x v="389"/>
    <x v="3"/>
    <x v="4"/>
    <d v="2014-12-13T00:00:00"/>
    <n v="2"/>
    <x v="2"/>
    <s v="Anthony Witt"/>
    <x v="0"/>
    <s v="United States"/>
    <s v="Philadelphia"/>
    <s v="Pennsylvania"/>
    <s v="East"/>
    <x v="0"/>
    <x v="5"/>
    <s v="Electrix Halogen Magnifier Lamp"/>
    <x v="715"/>
    <n v="2"/>
    <n v="0.2"/>
    <n v="23.315999999999999"/>
  </r>
  <r>
    <n v="1690"/>
    <x v="559"/>
    <x v="2"/>
    <x v="6"/>
    <d v="2011-08-20T00:00:00"/>
    <n v="4"/>
    <x v="1"/>
    <s v="Troy Staebel"/>
    <x v="0"/>
    <s v="United States"/>
    <s v="Philadelphia"/>
    <s v="Pennsylvania"/>
    <s v="East"/>
    <x v="0"/>
    <x v="3"/>
    <s v="Chromcraft Rectangular Conference Tables"/>
    <x v="1454"/>
    <n v="6"/>
    <n v="0.4"/>
    <n v="-227.49119999999999"/>
  </r>
  <r>
    <n v="1691"/>
    <x v="34"/>
    <x v="3"/>
    <x v="4"/>
    <d v="2014-12-16T00:00:00"/>
    <n v="6"/>
    <x v="1"/>
    <s v="Herbert Flentye"/>
    <x v="0"/>
    <s v="United States"/>
    <s v="Indianapolis"/>
    <s v="Indiana"/>
    <s v="Central"/>
    <x v="1"/>
    <x v="10"/>
    <s v="Wirebound Message Books, Four 2 3/4 x 5 White Forms per Page"/>
    <x v="1455"/>
    <n v="5"/>
    <n v="0"/>
    <n v="15.387"/>
  </r>
  <r>
    <n v="1692"/>
    <x v="34"/>
    <x v="3"/>
    <x v="4"/>
    <d v="2014-12-16T00:00:00"/>
    <n v="6"/>
    <x v="1"/>
    <s v="Herbert Flentye"/>
    <x v="0"/>
    <s v="United States"/>
    <s v="Indianapolis"/>
    <s v="Indiana"/>
    <s v="Central"/>
    <x v="1"/>
    <x v="8"/>
    <s v="Economy Binders"/>
    <x v="1456"/>
    <n v="5"/>
    <n v="0"/>
    <n v="5.0960000000000001"/>
  </r>
  <r>
    <n v="1693"/>
    <x v="560"/>
    <x v="0"/>
    <x v="10"/>
    <d v="2013-03-20T00:00:00"/>
    <n v="5"/>
    <x v="1"/>
    <s v="Henia Zydlo"/>
    <x v="0"/>
    <s v="United States"/>
    <s v="Columbus"/>
    <s v="Ohio"/>
    <s v="East"/>
    <x v="0"/>
    <x v="5"/>
    <s v="Advantus Panel Wall Acrylic Frame"/>
    <x v="870"/>
    <n v="5"/>
    <n v="0.2"/>
    <n v="6.2904999999999998"/>
  </r>
  <r>
    <n v="1694"/>
    <x v="190"/>
    <x v="0"/>
    <x v="1"/>
    <d v="2013-06-30T00:00:00"/>
    <n v="3"/>
    <x v="0"/>
    <s v="Alejandro Ballentine"/>
    <x v="2"/>
    <s v="United States"/>
    <s v="Plano"/>
    <s v="Texas"/>
    <s v="Central"/>
    <x v="2"/>
    <x v="11"/>
    <s v="Memorex Mini Travel Drive 4 GB USB 2.0 Flash Drive"/>
    <x v="1457"/>
    <n v="2"/>
    <n v="0.2"/>
    <n v="3.5741999999999998"/>
  </r>
  <r>
    <n v="1695"/>
    <x v="12"/>
    <x v="1"/>
    <x v="8"/>
    <d v="2012-09-28T00:00:00"/>
    <n v="3"/>
    <x v="0"/>
    <s v="Phillina Ober"/>
    <x v="2"/>
    <s v="United States"/>
    <s v="Bayonne"/>
    <s v="New Jersey"/>
    <s v="East"/>
    <x v="2"/>
    <x v="11"/>
    <s v="Memorex Micro Travel Drive 16 GB"/>
    <x v="1458"/>
    <n v="4"/>
    <n v="0"/>
    <n v="19.8276"/>
  </r>
  <r>
    <n v="1696"/>
    <x v="12"/>
    <x v="1"/>
    <x v="8"/>
    <d v="2012-09-28T00:00:00"/>
    <n v="3"/>
    <x v="0"/>
    <s v="Phillina Ober"/>
    <x v="2"/>
    <s v="United States"/>
    <s v="Bayonne"/>
    <s v="New Jersey"/>
    <s v="East"/>
    <x v="1"/>
    <x v="8"/>
    <s v="Tuff Stuff Recycled Round Ring Binders"/>
    <x v="1459"/>
    <n v="3"/>
    <n v="0"/>
    <n v="7.0853999999999999"/>
  </r>
  <r>
    <n v="1697"/>
    <x v="12"/>
    <x v="1"/>
    <x v="8"/>
    <d v="2012-09-28T00:00:00"/>
    <n v="3"/>
    <x v="0"/>
    <s v="Phillina Ober"/>
    <x v="2"/>
    <s v="United States"/>
    <s v="Bayonne"/>
    <s v="New Jersey"/>
    <s v="East"/>
    <x v="2"/>
    <x v="7"/>
    <s v="netTALK DUO VoIP Telephone Service"/>
    <x v="1460"/>
    <n v="2"/>
    <n v="0"/>
    <n v="52.49"/>
  </r>
  <r>
    <n v="1698"/>
    <x v="17"/>
    <x v="1"/>
    <x v="4"/>
    <d v="2012-12-31T00:00:00"/>
    <n v="4"/>
    <x v="1"/>
    <s v="Arthur Gainer"/>
    <x v="0"/>
    <s v="United States"/>
    <s v="Los Angeles"/>
    <s v="California"/>
    <s v="West"/>
    <x v="1"/>
    <x v="9"/>
    <s v="Belkin F9G930V10-GRY 9 Outlet Surge"/>
    <x v="1461"/>
    <n v="2"/>
    <n v="0"/>
    <n v="31.0184"/>
  </r>
  <r>
    <n v="1699"/>
    <x v="17"/>
    <x v="1"/>
    <x v="4"/>
    <d v="2012-12-31T00:00:00"/>
    <n v="4"/>
    <x v="1"/>
    <s v="Arthur Gainer"/>
    <x v="0"/>
    <s v="United States"/>
    <s v="Los Angeles"/>
    <s v="California"/>
    <s v="West"/>
    <x v="1"/>
    <x v="2"/>
    <s v="Avery 497"/>
    <x v="742"/>
    <n v="7"/>
    <n v="0"/>
    <n v="10.348800000000001"/>
  </r>
  <r>
    <n v="1700"/>
    <x v="561"/>
    <x v="2"/>
    <x v="1"/>
    <d v="2011-06-07T00:00:00"/>
    <n v="4"/>
    <x v="0"/>
    <s v="Steven Cartwright"/>
    <x v="0"/>
    <s v="United States"/>
    <s v="Seattle"/>
    <s v="Washington"/>
    <s v="West"/>
    <x v="0"/>
    <x v="3"/>
    <s v="KI Adjustable-Height Table"/>
    <x v="1462"/>
    <n v="6"/>
    <n v="0"/>
    <n v="113.4936"/>
  </r>
  <r>
    <n v="1701"/>
    <x v="562"/>
    <x v="1"/>
    <x v="7"/>
    <d v="2012-07-15T00:00:00"/>
    <n v="2"/>
    <x v="0"/>
    <s v="Natalie DeCherney"/>
    <x v="0"/>
    <s v="United States"/>
    <s v="New York City"/>
    <s v="New York"/>
    <s v="East"/>
    <x v="1"/>
    <x v="8"/>
    <s v="GBC Plastic Binding Combs"/>
    <x v="921"/>
    <n v="2"/>
    <n v="0.2"/>
    <n v="4.2804000000000002"/>
  </r>
  <r>
    <n v="1702"/>
    <x v="562"/>
    <x v="1"/>
    <x v="7"/>
    <d v="2012-07-15T00:00:00"/>
    <n v="2"/>
    <x v="0"/>
    <s v="Natalie DeCherney"/>
    <x v="0"/>
    <s v="United States"/>
    <s v="New York City"/>
    <s v="New York"/>
    <s v="East"/>
    <x v="0"/>
    <x v="1"/>
    <s v="Safco Contoured Stacking Chairs"/>
    <x v="1463"/>
    <n v="9"/>
    <n v="0.1"/>
    <n v="321.83999999999997"/>
  </r>
  <r>
    <n v="1703"/>
    <x v="562"/>
    <x v="1"/>
    <x v="7"/>
    <d v="2012-07-15T00:00:00"/>
    <n v="2"/>
    <x v="0"/>
    <s v="Natalie DeCherney"/>
    <x v="0"/>
    <s v="United States"/>
    <s v="New York City"/>
    <s v="New York"/>
    <s v="East"/>
    <x v="1"/>
    <x v="10"/>
    <s v="Staples"/>
    <x v="739"/>
    <n v="2"/>
    <n v="0"/>
    <n v="4.6811999999999996"/>
  </r>
  <r>
    <n v="1704"/>
    <x v="563"/>
    <x v="2"/>
    <x v="11"/>
    <d v="2011-02-07T00:00:00"/>
    <n v="4"/>
    <x v="1"/>
    <s v="Cynthia Delaney"/>
    <x v="2"/>
    <s v="United States"/>
    <s v="San Diego"/>
    <s v="California"/>
    <s v="West"/>
    <x v="1"/>
    <x v="13"/>
    <s v="Staples"/>
    <x v="1101"/>
    <n v="5"/>
    <n v="0"/>
    <n v="5.8045"/>
  </r>
  <r>
    <n v="1705"/>
    <x v="387"/>
    <x v="0"/>
    <x v="10"/>
    <d v="2013-03-09T00:00:00"/>
    <n v="0"/>
    <x v="3"/>
    <s v="Patrick Gardner"/>
    <x v="0"/>
    <s v="United States"/>
    <s v="Glendale"/>
    <s v="Arizona"/>
    <s v="West"/>
    <x v="1"/>
    <x v="8"/>
    <s v="GBC Standard Recycled Report Covers, Clear Plastic Sheets"/>
    <x v="1464"/>
    <n v="3"/>
    <n v="0.7"/>
    <n v="-7.1147999999999998"/>
  </r>
  <r>
    <n v="1706"/>
    <x v="6"/>
    <x v="1"/>
    <x v="0"/>
    <d v="2012-11-26T00:00:00"/>
    <n v="4"/>
    <x v="1"/>
    <s v="Irene Maddox"/>
    <x v="0"/>
    <s v="United States"/>
    <s v="Philadelphia"/>
    <s v="Pennsylvania"/>
    <s v="East"/>
    <x v="1"/>
    <x v="8"/>
    <s v="GBC Durable Plastic Covers"/>
    <x v="1465"/>
    <n v="2"/>
    <n v="0.7"/>
    <n v="-9.2880000000000003"/>
  </r>
  <r>
    <n v="1707"/>
    <x v="505"/>
    <x v="3"/>
    <x v="2"/>
    <d v="2014-11-06T00:00:00"/>
    <n v="6"/>
    <x v="1"/>
    <s v="Jamie Kunitz"/>
    <x v="0"/>
    <s v="United States"/>
    <s v="San Francisco"/>
    <s v="California"/>
    <s v="West"/>
    <x v="1"/>
    <x v="2"/>
    <s v="Avery 500"/>
    <x v="1466"/>
    <n v="6"/>
    <n v="0"/>
    <n v="20.6142"/>
  </r>
  <r>
    <n v="1708"/>
    <x v="505"/>
    <x v="3"/>
    <x v="2"/>
    <d v="2014-11-06T00:00:00"/>
    <n v="6"/>
    <x v="1"/>
    <s v="Jamie Kunitz"/>
    <x v="0"/>
    <s v="United States"/>
    <s v="San Francisco"/>
    <s v="California"/>
    <s v="West"/>
    <x v="2"/>
    <x v="7"/>
    <s v="Geemarc AmpliPOWER60"/>
    <x v="1467"/>
    <n v="2"/>
    <n v="0.2"/>
    <n v="16.704000000000001"/>
  </r>
  <r>
    <n v="1709"/>
    <x v="505"/>
    <x v="3"/>
    <x v="2"/>
    <d v="2014-11-06T00:00:00"/>
    <n v="6"/>
    <x v="1"/>
    <s v="Jamie Kunitz"/>
    <x v="0"/>
    <s v="United States"/>
    <s v="San Francisco"/>
    <s v="California"/>
    <s v="West"/>
    <x v="1"/>
    <x v="10"/>
    <s v="&quot;While you Were Out&quot; Message Book, One Form per Page"/>
    <x v="1468"/>
    <n v="2"/>
    <n v="0"/>
    <n v="3.71"/>
  </r>
  <r>
    <n v="1710"/>
    <x v="505"/>
    <x v="3"/>
    <x v="2"/>
    <d v="2014-11-06T00:00:00"/>
    <n v="6"/>
    <x v="1"/>
    <s v="Jamie Kunitz"/>
    <x v="0"/>
    <s v="United States"/>
    <s v="San Francisco"/>
    <s v="California"/>
    <s v="West"/>
    <x v="0"/>
    <x v="1"/>
    <s v="Global Leather Task Chair, Black"/>
    <x v="1469"/>
    <n v="1"/>
    <n v="0.2"/>
    <n v="-0.89990000000000003"/>
  </r>
  <r>
    <n v="1711"/>
    <x v="505"/>
    <x v="3"/>
    <x v="2"/>
    <d v="2014-11-06T00:00:00"/>
    <n v="6"/>
    <x v="1"/>
    <s v="Jamie Kunitz"/>
    <x v="0"/>
    <s v="United States"/>
    <s v="San Francisco"/>
    <s v="California"/>
    <s v="West"/>
    <x v="1"/>
    <x v="6"/>
    <s v="4009 Highlighters by Sanford"/>
    <x v="189"/>
    <n v="5"/>
    <n v="0"/>
    <n v="6.5670000000000002"/>
  </r>
  <r>
    <n v="1712"/>
    <x v="505"/>
    <x v="3"/>
    <x v="2"/>
    <d v="2014-11-06T00:00:00"/>
    <n v="6"/>
    <x v="1"/>
    <s v="Jamie Kunitz"/>
    <x v="0"/>
    <s v="United States"/>
    <s v="San Francisco"/>
    <s v="California"/>
    <s v="West"/>
    <x v="1"/>
    <x v="9"/>
    <s v="Acco 7-Outlet Masterpiece Power Center, Wihtout Fax/Phone Line Protection"/>
    <x v="1470"/>
    <n v="14"/>
    <n v="0"/>
    <n v="510.63600000000002"/>
  </r>
  <r>
    <n v="1713"/>
    <x v="564"/>
    <x v="1"/>
    <x v="9"/>
    <d v="2012-02-04T00:00:00"/>
    <n v="5"/>
    <x v="1"/>
    <s v="Jeremy Pistek"/>
    <x v="0"/>
    <s v="United States"/>
    <s v="Houston"/>
    <s v="Texas"/>
    <s v="Central"/>
    <x v="1"/>
    <x v="10"/>
    <s v="Rediform Voice Mail Log Books"/>
    <x v="1471"/>
    <n v="6"/>
    <n v="0.2"/>
    <n v="5.0064000000000002"/>
  </r>
  <r>
    <n v="1714"/>
    <x v="565"/>
    <x v="3"/>
    <x v="8"/>
    <d v="2014-09-14T00:00:00"/>
    <n v="5"/>
    <x v="0"/>
    <s v="Michelle Moray"/>
    <x v="0"/>
    <s v="United States"/>
    <s v="Chicago"/>
    <s v="Illinois"/>
    <s v="Central"/>
    <x v="0"/>
    <x v="3"/>
    <s v="BoxOffice By Design Rectangular and Half-Moon Meeting Room Tables"/>
    <x v="1472"/>
    <n v="7"/>
    <n v="0.5"/>
    <n v="-566.5625"/>
  </r>
  <r>
    <n v="1715"/>
    <x v="566"/>
    <x v="3"/>
    <x v="2"/>
    <d v="2014-10-14T00:00:00"/>
    <n v="6"/>
    <x v="1"/>
    <s v="Debra Catini"/>
    <x v="0"/>
    <s v="United States"/>
    <s v="San Francisco"/>
    <s v="California"/>
    <s v="West"/>
    <x v="0"/>
    <x v="0"/>
    <s v="O'Sullivan Manor Hill 2-Door Library in Brianna Oak"/>
    <x v="1473"/>
    <n v="2"/>
    <n v="0.15"/>
    <n v="-14.478400000000001"/>
  </r>
  <r>
    <n v="1716"/>
    <x v="567"/>
    <x v="0"/>
    <x v="5"/>
    <d v="2013-05-05T00:00:00"/>
    <n v="4"/>
    <x v="1"/>
    <s v="John Lee"/>
    <x v="0"/>
    <s v="United States"/>
    <s v="New York City"/>
    <s v="New York"/>
    <s v="East"/>
    <x v="1"/>
    <x v="8"/>
    <s v="Tuff Stuff Recycled Round Ring Binders"/>
    <x v="323"/>
    <n v="2"/>
    <n v="0.2"/>
    <n v="2.7955999999999999"/>
  </r>
  <r>
    <n v="1717"/>
    <x v="288"/>
    <x v="0"/>
    <x v="5"/>
    <d v="2013-05-25T00:00:00"/>
    <n v="5"/>
    <x v="1"/>
    <s v="Bradley Nguyen"/>
    <x v="0"/>
    <s v="United States"/>
    <s v="New York City"/>
    <s v="New York"/>
    <s v="East"/>
    <x v="1"/>
    <x v="9"/>
    <s v="Belkin Premiere Surge Master II 8-outlet surge protector"/>
    <x v="1474"/>
    <n v="5"/>
    <n v="0"/>
    <n v="70.441000000000003"/>
  </r>
  <r>
    <n v="1718"/>
    <x v="288"/>
    <x v="0"/>
    <x v="5"/>
    <d v="2013-05-25T00:00:00"/>
    <n v="5"/>
    <x v="1"/>
    <s v="Bradley Nguyen"/>
    <x v="0"/>
    <s v="United States"/>
    <s v="New York City"/>
    <s v="New York"/>
    <s v="East"/>
    <x v="1"/>
    <x v="4"/>
    <s v="Safco Industrial Wire Shelving System"/>
    <x v="1475"/>
    <n v="5"/>
    <n v="0"/>
    <n v="0"/>
  </r>
  <r>
    <n v="1719"/>
    <x v="288"/>
    <x v="0"/>
    <x v="5"/>
    <d v="2013-05-25T00:00:00"/>
    <n v="5"/>
    <x v="1"/>
    <s v="Bradley Nguyen"/>
    <x v="0"/>
    <s v="United States"/>
    <s v="New York City"/>
    <s v="New York"/>
    <s v="East"/>
    <x v="0"/>
    <x v="5"/>
    <s v="Nu-Dell Float Frame 11 x 14 1/2"/>
    <x v="1476"/>
    <n v="4"/>
    <n v="0"/>
    <n v="15.086399999999999"/>
  </r>
  <r>
    <n v="1720"/>
    <x v="288"/>
    <x v="0"/>
    <x v="5"/>
    <d v="2013-05-25T00:00:00"/>
    <n v="5"/>
    <x v="1"/>
    <s v="Bradley Nguyen"/>
    <x v="0"/>
    <s v="United States"/>
    <s v="New York City"/>
    <s v="New York"/>
    <s v="East"/>
    <x v="0"/>
    <x v="5"/>
    <s v="DAX Value U-Channel Document Frames, Easel Back"/>
    <x v="1477"/>
    <n v="8"/>
    <n v="0"/>
    <n v="12.3256"/>
  </r>
  <r>
    <n v="1721"/>
    <x v="288"/>
    <x v="0"/>
    <x v="5"/>
    <d v="2013-05-25T00:00:00"/>
    <n v="5"/>
    <x v="1"/>
    <s v="Bradley Nguyen"/>
    <x v="0"/>
    <s v="United States"/>
    <s v="New York City"/>
    <s v="New York"/>
    <s v="East"/>
    <x v="1"/>
    <x v="8"/>
    <s v="Recycled Easel Ring Binders"/>
    <x v="1478"/>
    <n v="4"/>
    <n v="0.2"/>
    <n v="14.92"/>
  </r>
  <r>
    <n v="1722"/>
    <x v="139"/>
    <x v="1"/>
    <x v="4"/>
    <d v="2012-12-25T00:00:00"/>
    <n v="5"/>
    <x v="1"/>
    <s v="Katherine Ducich"/>
    <x v="0"/>
    <s v="United States"/>
    <s v="Chicago"/>
    <s v="Illinois"/>
    <s v="Central"/>
    <x v="2"/>
    <x v="7"/>
    <s v="Apple iPhone 5C"/>
    <x v="1290"/>
    <n v="2"/>
    <n v="0.2"/>
    <n v="11.998799999999999"/>
  </r>
  <r>
    <n v="1723"/>
    <x v="139"/>
    <x v="1"/>
    <x v="4"/>
    <d v="2012-12-25T00:00:00"/>
    <n v="5"/>
    <x v="1"/>
    <s v="Katherine Ducich"/>
    <x v="0"/>
    <s v="United States"/>
    <s v="Chicago"/>
    <s v="Illinois"/>
    <s v="Central"/>
    <x v="2"/>
    <x v="11"/>
    <s v="Logitech G600 MMO Gaming Mouse"/>
    <x v="1294"/>
    <n v="4"/>
    <n v="0.2"/>
    <n v="51.193600000000004"/>
  </r>
  <r>
    <n v="1724"/>
    <x v="139"/>
    <x v="1"/>
    <x v="4"/>
    <d v="2012-12-25T00:00:00"/>
    <n v="5"/>
    <x v="1"/>
    <s v="Katherine Ducich"/>
    <x v="0"/>
    <s v="United States"/>
    <s v="Chicago"/>
    <s v="Illinois"/>
    <s v="Central"/>
    <x v="0"/>
    <x v="0"/>
    <s v="Sauder Facets Collection Library, Sky Alder Finish"/>
    <x v="1387"/>
    <n v="3"/>
    <n v="0.3"/>
    <n v="-71.811599999999999"/>
  </r>
  <r>
    <n v="1725"/>
    <x v="546"/>
    <x v="1"/>
    <x v="4"/>
    <d v="2012-12-20T00:00:00"/>
    <n v="1"/>
    <x v="2"/>
    <s v="Jay Kimmel"/>
    <x v="0"/>
    <s v="United States"/>
    <s v="Philadelphia"/>
    <s v="Pennsylvania"/>
    <s v="East"/>
    <x v="1"/>
    <x v="9"/>
    <s v="Avanti 4.4 Cu. Ft. Refrigerator"/>
    <x v="1479"/>
    <n v="3"/>
    <n v="0.2"/>
    <n v="43.435200000000002"/>
  </r>
  <r>
    <n v="1726"/>
    <x v="546"/>
    <x v="1"/>
    <x v="4"/>
    <d v="2012-12-20T00:00:00"/>
    <n v="1"/>
    <x v="2"/>
    <s v="Jay Kimmel"/>
    <x v="0"/>
    <s v="United States"/>
    <s v="Philadelphia"/>
    <s v="Pennsylvania"/>
    <s v="East"/>
    <x v="1"/>
    <x v="9"/>
    <s v="Hoover Replacement Belt for Commercial Guardsman Heavy-Duty Upright Vacuum"/>
    <x v="1480"/>
    <n v="2"/>
    <n v="0.2"/>
    <n v="0.44400000000000001"/>
  </r>
  <r>
    <n v="1727"/>
    <x v="546"/>
    <x v="1"/>
    <x v="4"/>
    <d v="2012-12-20T00:00:00"/>
    <n v="1"/>
    <x v="2"/>
    <s v="Jay Kimmel"/>
    <x v="0"/>
    <s v="United States"/>
    <s v="Philadelphia"/>
    <s v="Pennsylvania"/>
    <s v="East"/>
    <x v="1"/>
    <x v="9"/>
    <s v="Fellowes Advanced 8 Outlet Surge Suppressor with Phone/Fax Protection"/>
    <x v="1481"/>
    <n v="4"/>
    <n v="0.2"/>
    <n v="7.7728000000000002"/>
  </r>
  <r>
    <n v="1728"/>
    <x v="568"/>
    <x v="3"/>
    <x v="3"/>
    <d v="2014-05-05T00:00:00"/>
    <n v="5"/>
    <x v="0"/>
    <s v="Filia McAdams"/>
    <x v="1"/>
    <s v="United States"/>
    <s v="Dublin"/>
    <s v="Ohio"/>
    <s v="East"/>
    <x v="0"/>
    <x v="3"/>
    <s v="SAFCO PlanMaster Heigh-Adjustable Drafting Table Base, 43w x 30d x 30-37h, Black"/>
    <x v="1482"/>
    <n v="5"/>
    <n v="0.4"/>
    <n v="-69.89"/>
  </r>
  <r>
    <n v="1729"/>
    <x v="569"/>
    <x v="0"/>
    <x v="11"/>
    <d v="2013-02-07T00:00:00"/>
    <n v="0"/>
    <x v="3"/>
    <s v="Christina Anderson"/>
    <x v="0"/>
    <s v="United States"/>
    <s v="Springfield"/>
    <s v="Virginia"/>
    <s v="South"/>
    <x v="2"/>
    <x v="11"/>
    <s v="Micro Innovations USB RF Wireless Keyboard with Mouse"/>
    <x v="1483"/>
    <n v="4"/>
    <n v="0"/>
    <n v="21"/>
  </r>
  <r>
    <n v="1730"/>
    <x v="569"/>
    <x v="0"/>
    <x v="11"/>
    <d v="2013-02-07T00:00:00"/>
    <n v="0"/>
    <x v="3"/>
    <s v="Christina Anderson"/>
    <x v="0"/>
    <s v="United States"/>
    <s v="Springfield"/>
    <s v="Virginia"/>
    <s v="South"/>
    <x v="1"/>
    <x v="2"/>
    <s v="Permanent Self-Adhesive File Folder Labels for Typewriters by Universal"/>
    <x v="1484"/>
    <n v="3"/>
    <n v="0"/>
    <n v="3.6017999999999999"/>
  </r>
  <r>
    <n v="1731"/>
    <x v="450"/>
    <x v="2"/>
    <x v="8"/>
    <d v="2011-10-03T00:00:00"/>
    <n v="5"/>
    <x v="1"/>
    <s v="Keith Dawkins"/>
    <x v="1"/>
    <s v="United States"/>
    <s v="Fayetteville"/>
    <s v="North Carolina"/>
    <s v="South"/>
    <x v="1"/>
    <x v="10"/>
    <s v="White GlueTop Scratch Pads"/>
    <x v="1485"/>
    <n v="8"/>
    <n v="0.2"/>
    <n v="31.283200000000001"/>
  </r>
  <r>
    <n v="1732"/>
    <x v="450"/>
    <x v="2"/>
    <x v="8"/>
    <d v="2011-10-03T00:00:00"/>
    <n v="5"/>
    <x v="1"/>
    <s v="Keith Dawkins"/>
    <x v="1"/>
    <s v="United States"/>
    <s v="Fayetteville"/>
    <s v="North Carolina"/>
    <s v="South"/>
    <x v="1"/>
    <x v="10"/>
    <s v="Xerox 195"/>
    <x v="1414"/>
    <n v="2"/>
    <n v="0.2"/>
    <n v="3.7408000000000001"/>
  </r>
  <r>
    <n v="1733"/>
    <x v="212"/>
    <x v="0"/>
    <x v="7"/>
    <d v="2013-07-15T00:00:00"/>
    <n v="4"/>
    <x v="1"/>
    <s v="Logan Haushalter"/>
    <x v="0"/>
    <s v="United States"/>
    <s v="Dallas"/>
    <s v="Texas"/>
    <s v="Central"/>
    <x v="1"/>
    <x v="4"/>
    <s v="Fellowes Strictly Business Drawer File, Letter/Legal Size"/>
    <x v="1070"/>
    <n v="3"/>
    <n v="0.2"/>
    <n v="-33.804000000000002"/>
  </r>
  <r>
    <n v="1734"/>
    <x v="212"/>
    <x v="0"/>
    <x v="7"/>
    <d v="2013-07-15T00:00:00"/>
    <n v="4"/>
    <x v="1"/>
    <s v="Logan Haushalter"/>
    <x v="0"/>
    <s v="United States"/>
    <s v="Dallas"/>
    <s v="Texas"/>
    <s v="Central"/>
    <x v="1"/>
    <x v="6"/>
    <s v="Boston Heavy-Duty Trimline Electric Pencil Sharpeners"/>
    <x v="1486"/>
    <n v="4"/>
    <n v="0.2"/>
    <n v="17.352"/>
  </r>
  <r>
    <n v="1735"/>
    <x v="570"/>
    <x v="3"/>
    <x v="7"/>
    <d v="2014-08-02T00:00:00"/>
    <n v="3"/>
    <x v="0"/>
    <s v="Anna Gayman"/>
    <x v="0"/>
    <s v="United States"/>
    <s v="Jacksonville"/>
    <s v="North Carolina"/>
    <s v="South"/>
    <x v="1"/>
    <x v="9"/>
    <s v="Holmes HEPA Air Purifier"/>
    <x v="1487"/>
    <n v="2"/>
    <n v="0.2"/>
    <n v="6.5339999999999998"/>
  </r>
  <r>
    <n v="1736"/>
    <x v="570"/>
    <x v="3"/>
    <x v="7"/>
    <d v="2014-08-02T00:00:00"/>
    <n v="3"/>
    <x v="0"/>
    <s v="Anna Gayman"/>
    <x v="0"/>
    <s v="United States"/>
    <s v="Jacksonville"/>
    <s v="North Carolina"/>
    <s v="South"/>
    <x v="2"/>
    <x v="7"/>
    <s v="Samsung Replacement EH64AVFWE Premium Headset"/>
    <x v="1103"/>
    <n v="5"/>
    <n v="0.2"/>
    <n v="1.375"/>
  </r>
  <r>
    <n v="1737"/>
    <x v="570"/>
    <x v="3"/>
    <x v="7"/>
    <d v="2014-08-02T00:00:00"/>
    <n v="3"/>
    <x v="0"/>
    <s v="Anna Gayman"/>
    <x v="0"/>
    <s v="United States"/>
    <s v="Jacksonville"/>
    <s v="North Carolina"/>
    <s v="South"/>
    <x v="1"/>
    <x v="6"/>
    <s v="Newell 322"/>
    <x v="964"/>
    <n v="3"/>
    <n v="0.2"/>
    <n v="0.38219999999999998"/>
  </r>
  <r>
    <n v="1738"/>
    <x v="37"/>
    <x v="1"/>
    <x v="8"/>
    <d v="2012-09-09T00:00:00"/>
    <n v="6"/>
    <x v="1"/>
    <s v="David Bremer"/>
    <x v="1"/>
    <s v="United States"/>
    <s v="San Francisco"/>
    <s v="California"/>
    <s v="West"/>
    <x v="1"/>
    <x v="4"/>
    <s v="Sterilite Officeware Hinged File Box"/>
    <x v="966"/>
    <n v="3"/>
    <n v="0"/>
    <n v="8.4887999999999995"/>
  </r>
  <r>
    <n v="1739"/>
    <x v="37"/>
    <x v="1"/>
    <x v="8"/>
    <d v="2012-09-09T00:00:00"/>
    <n v="6"/>
    <x v="1"/>
    <s v="David Bremer"/>
    <x v="1"/>
    <s v="United States"/>
    <s v="San Francisco"/>
    <s v="California"/>
    <s v="West"/>
    <x v="2"/>
    <x v="11"/>
    <s v="Kingston Digital DataTraveler 16GB USB 2.0"/>
    <x v="1488"/>
    <n v="2"/>
    <n v="0"/>
    <n v="3.4009999999999998"/>
  </r>
  <r>
    <n v="1740"/>
    <x v="37"/>
    <x v="1"/>
    <x v="8"/>
    <d v="2012-09-09T00:00:00"/>
    <n v="6"/>
    <x v="1"/>
    <s v="David Bremer"/>
    <x v="1"/>
    <s v="United States"/>
    <s v="San Francisco"/>
    <s v="California"/>
    <s v="West"/>
    <x v="2"/>
    <x v="11"/>
    <s v="TRENDnet 56K USB 2.0 Phone, Internet and Fax Modem"/>
    <x v="1489"/>
    <n v="5"/>
    <n v="0"/>
    <n v="46.601999999999997"/>
  </r>
  <r>
    <n v="1741"/>
    <x v="128"/>
    <x v="2"/>
    <x v="6"/>
    <d v="2011-08-16T00:00:00"/>
    <n v="7"/>
    <x v="1"/>
    <s v="Emily Ducich"/>
    <x v="2"/>
    <s v="United States"/>
    <s v="San Diego"/>
    <s v="California"/>
    <s v="West"/>
    <x v="1"/>
    <x v="2"/>
    <s v="Avery 494"/>
    <x v="1490"/>
    <n v="8"/>
    <n v="0"/>
    <n v="9.6047999999999991"/>
  </r>
  <r>
    <n v="1742"/>
    <x v="505"/>
    <x v="3"/>
    <x v="2"/>
    <d v="2014-11-04T00:00:00"/>
    <n v="4"/>
    <x v="1"/>
    <s v="Mick Crebagga"/>
    <x v="0"/>
    <s v="United States"/>
    <s v="Philadelphia"/>
    <s v="Pennsylvania"/>
    <s v="East"/>
    <x v="1"/>
    <x v="10"/>
    <s v="Xerox 231"/>
    <x v="557"/>
    <n v="4"/>
    <n v="0.2"/>
    <n v="7.2576000000000001"/>
  </r>
  <r>
    <n v="1743"/>
    <x v="505"/>
    <x v="3"/>
    <x v="2"/>
    <d v="2014-11-04T00:00:00"/>
    <n v="4"/>
    <x v="1"/>
    <s v="Mick Crebagga"/>
    <x v="0"/>
    <s v="United States"/>
    <s v="Philadelphia"/>
    <s v="Pennsylvania"/>
    <s v="East"/>
    <x v="0"/>
    <x v="5"/>
    <s v="Stacking Tray, Side-Loading, Legal, Smoke"/>
    <x v="1491"/>
    <n v="2"/>
    <n v="0.2"/>
    <n v="0.98560000000000003"/>
  </r>
  <r>
    <n v="1744"/>
    <x v="505"/>
    <x v="3"/>
    <x v="2"/>
    <d v="2014-11-04T00:00:00"/>
    <n v="4"/>
    <x v="1"/>
    <s v="Mick Crebagga"/>
    <x v="0"/>
    <s v="United States"/>
    <s v="Philadelphia"/>
    <s v="Pennsylvania"/>
    <s v="East"/>
    <x v="1"/>
    <x v="4"/>
    <s v="Eldon Shelf Savers Cubes and Bins"/>
    <x v="1492"/>
    <n v="2"/>
    <n v="0.2"/>
    <n v="-2.5127999999999999"/>
  </r>
  <r>
    <n v="1745"/>
    <x v="505"/>
    <x v="3"/>
    <x v="2"/>
    <d v="2014-11-04T00:00:00"/>
    <n v="4"/>
    <x v="1"/>
    <s v="Mick Crebagga"/>
    <x v="0"/>
    <s v="United States"/>
    <s v="Philadelphia"/>
    <s v="Pennsylvania"/>
    <s v="East"/>
    <x v="2"/>
    <x v="11"/>
    <s v="First Data FD10 PIN Pad"/>
    <x v="1493"/>
    <n v="7"/>
    <n v="0.2"/>
    <n v="-55.3"/>
  </r>
  <r>
    <n v="1746"/>
    <x v="571"/>
    <x v="2"/>
    <x v="1"/>
    <d v="2011-06-09T00:00:00"/>
    <n v="3"/>
    <x v="2"/>
    <s v="Bryan Mills"/>
    <x v="0"/>
    <s v="United States"/>
    <s v="Rochester"/>
    <s v="New York"/>
    <s v="East"/>
    <x v="1"/>
    <x v="6"/>
    <s v="Sanford Liquid Accent Highlighters"/>
    <x v="518"/>
    <n v="2"/>
    <n v="0"/>
    <n v="4.9432"/>
  </r>
  <r>
    <n v="1747"/>
    <x v="572"/>
    <x v="0"/>
    <x v="6"/>
    <d v="2013-08-18T00:00:00"/>
    <n v="4"/>
    <x v="0"/>
    <s v="Erin Mull"/>
    <x v="0"/>
    <s v="United States"/>
    <s v="Jacksonville"/>
    <s v="North Carolina"/>
    <s v="South"/>
    <x v="1"/>
    <x v="8"/>
    <s v="Acco Translucent Poly Ring Binders"/>
    <x v="1494"/>
    <n v="8"/>
    <n v="0.7"/>
    <n v="-8.2368000000000006"/>
  </r>
  <r>
    <n v="1748"/>
    <x v="572"/>
    <x v="0"/>
    <x v="6"/>
    <d v="2013-08-18T00:00:00"/>
    <n v="4"/>
    <x v="0"/>
    <s v="Erin Mull"/>
    <x v="0"/>
    <s v="United States"/>
    <s v="Jacksonville"/>
    <s v="North Carolina"/>
    <s v="South"/>
    <x v="1"/>
    <x v="10"/>
    <s v="Staples"/>
    <x v="1495"/>
    <n v="3"/>
    <n v="0.2"/>
    <n v="3.21"/>
  </r>
  <r>
    <n v="1749"/>
    <x v="573"/>
    <x v="2"/>
    <x v="3"/>
    <d v="2011-04-29T00:00:00"/>
    <n v="4"/>
    <x v="1"/>
    <s v="Dianna Arnett"/>
    <x v="2"/>
    <s v="United States"/>
    <s v="Houston"/>
    <s v="Texas"/>
    <s v="Central"/>
    <x v="1"/>
    <x v="10"/>
    <s v="Xerox 1985"/>
    <x v="559"/>
    <n v="2"/>
    <n v="0.2"/>
    <n v="3.6288"/>
  </r>
  <r>
    <n v="1750"/>
    <x v="573"/>
    <x v="2"/>
    <x v="3"/>
    <d v="2011-04-29T00:00:00"/>
    <n v="4"/>
    <x v="1"/>
    <s v="Dianna Arnett"/>
    <x v="2"/>
    <s v="United States"/>
    <s v="Houston"/>
    <s v="Texas"/>
    <s v="Central"/>
    <x v="1"/>
    <x v="6"/>
    <s v="12 Colored Short Pencils"/>
    <x v="869"/>
    <n v="3"/>
    <n v="0.2"/>
    <n v="0.54600000000000004"/>
  </r>
  <r>
    <n v="1751"/>
    <x v="6"/>
    <x v="1"/>
    <x v="0"/>
    <d v="2012-11-27T00:00:00"/>
    <n v="5"/>
    <x v="1"/>
    <s v="Meg O'Connel"/>
    <x v="2"/>
    <s v="United States"/>
    <s v="San Antonio"/>
    <s v="Texas"/>
    <s v="Central"/>
    <x v="0"/>
    <x v="3"/>
    <s v="Hon 2111 Invitation Series Straight Table"/>
    <x v="1496"/>
    <n v="2"/>
    <n v="0.3"/>
    <n v="-32.522599999999997"/>
  </r>
  <r>
    <n v="1752"/>
    <x v="336"/>
    <x v="3"/>
    <x v="2"/>
    <d v="2014-10-18T00:00:00"/>
    <n v="3"/>
    <x v="2"/>
    <s v="Joni Wasserman"/>
    <x v="0"/>
    <s v="United States"/>
    <s v="Oakland"/>
    <s v="California"/>
    <s v="West"/>
    <x v="0"/>
    <x v="5"/>
    <s v="C-Line Cubicle Keepers Polyproplyene Holder With Velcro Backings"/>
    <x v="1497"/>
    <n v="2"/>
    <n v="0"/>
    <n v="3.6894"/>
  </r>
  <r>
    <n v="1753"/>
    <x v="574"/>
    <x v="3"/>
    <x v="4"/>
    <d v="2014-12-06T00:00:00"/>
    <n v="3"/>
    <x v="2"/>
    <s v="Victoria Wilson"/>
    <x v="1"/>
    <s v="United States"/>
    <s v="San Francisco"/>
    <s v="California"/>
    <s v="West"/>
    <x v="1"/>
    <x v="4"/>
    <s v="Fellowes Mobile File Cart, Black"/>
    <x v="1498"/>
    <n v="9"/>
    <n v="0"/>
    <n v="151.09739999999999"/>
  </r>
  <r>
    <n v="1754"/>
    <x v="574"/>
    <x v="3"/>
    <x v="4"/>
    <d v="2014-12-06T00:00:00"/>
    <n v="3"/>
    <x v="2"/>
    <s v="Victoria Wilson"/>
    <x v="1"/>
    <s v="United States"/>
    <s v="San Francisco"/>
    <s v="California"/>
    <s v="West"/>
    <x v="1"/>
    <x v="10"/>
    <s v="Xerox 1940"/>
    <x v="1427"/>
    <n v="2"/>
    <n v="0"/>
    <n v="53.860799999999998"/>
  </r>
  <r>
    <n v="1755"/>
    <x v="574"/>
    <x v="3"/>
    <x v="4"/>
    <d v="2014-12-06T00:00:00"/>
    <n v="3"/>
    <x v="2"/>
    <s v="Victoria Wilson"/>
    <x v="1"/>
    <s v="United States"/>
    <s v="San Francisco"/>
    <s v="California"/>
    <s v="West"/>
    <x v="1"/>
    <x v="10"/>
    <s v="Xerox 1962"/>
    <x v="18"/>
    <n v="2"/>
    <n v="0"/>
    <n v="3.8519999999999999"/>
  </r>
  <r>
    <n v="1756"/>
    <x v="575"/>
    <x v="1"/>
    <x v="4"/>
    <d v="2012-12-11T00:00:00"/>
    <n v="3"/>
    <x v="0"/>
    <s v="Tonja Turnell"/>
    <x v="2"/>
    <s v="United States"/>
    <s v="Fort Worth"/>
    <s v="Texas"/>
    <s v="Central"/>
    <x v="1"/>
    <x v="10"/>
    <s v="Xerox 1945"/>
    <x v="1499"/>
    <n v="11"/>
    <n v="0.2"/>
    <n v="130.75810000000001"/>
  </r>
  <r>
    <n v="1757"/>
    <x v="575"/>
    <x v="1"/>
    <x v="4"/>
    <d v="2012-12-11T00:00:00"/>
    <n v="3"/>
    <x v="0"/>
    <s v="Tonja Turnell"/>
    <x v="2"/>
    <s v="United States"/>
    <s v="Fort Worth"/>
    <s v="Texas"/>
    <s v="Central"/>
    <x v="2"/>
    <x v="7"/>
    <s v="Wilson Electronics DB Pro Signal Booster"/>
    <x v="1500"/>
    <n v="6"/>
    <n v="0.2"/>
    <n v="150.36000000000001"/>
  </r>
  <r>
    <n v="1758"/>
    <x v="562"/>
    <x v="1"/>
    <x v="7"/>
    <d v="2012-07-15T00:00:00"/>
    <n v="2"/>
    <x v="2"/>
    <s v="Sara Luxemburg"/>
    <x v="2"/>
    <s v="United States"/>
    <s v="Houston"/>
    <s v="Texas"/>
    <s v="Central"/>
    <x v="1"/>
    <x v="8"/>
    <s v="Wilson Jones Heavy-Duty Casebound Ring Binders with Metal Hinges"/>
    <x v="1501"/>
    <n v="6"/>
    <n v="0.8"/>
    <n v="-66.508799999999994"/>
  </r>
  <r>
    <n v="1759"/>
    <x v="218"/>
    <x v="2"/>
    <x v="5"/>
    <d v="2011-05-17T00:00:00"/>
    <n v="6"/>
    <x v="1"/>
    <s v="Raymond Messe"/>
    <x v="0"/>
    <s v="United States"/>
    <s v="Houston"/>
    <s v="Texas"/>
    <s v="Central"/>
    <x v="2"/>
    <x v="11"/>
    <s v="Logitech ClearChat Comfort/USB Headset H390"/>
    <x v="1502"/>
    <n v="2"/>
    <n v="0.2"/>
    <n v="7.6154000000000002"/>
  </r>
  <r>
    <n v="1760"/>
    <x v="576"/>
    <x v="2"/>
    <x v="9"/>
    <d v="2011-01-13T00:00:00"/>
    <n v="7"/>
    <x v="1"/>
    <s v="Mick Brown"/>
    <x v="0"/>
    <s v="United States"/>
    <s v="Philadelphia"/>
    <s v="Pennsylvania"/>
    <s v="East"/>
    <x v="1"/>
    <x v="6"/>
    <s v="Avery Hi-Liter EverBold Pen Style Fluorescent Highlighters, 4/Pack"/>
    <x v="1503"/>
    <n v="3"/>
    <n v="0.2"/>
    <n v="4.8840000000000003"/>
  </r>
  <r>
    <n v="1761"/>
    <x v="577"/>
    <x v="1"/>
    <x v="8"/>
    <d v="2012-09-09T00:00:00"/>
    <n v="4"/>
    <x v="1"/>
    <s v="Arthur Gainer"/>
    <x v="0"/>
    <s v="United States"/>
    <s v="San Diego"/>
    <s v="California"/>
    <s v="West"/>
    <x v="0"/>
    <x v="0"/>
    <s v="Sauder Camden County Barrister Bookcase, Planked Cherry Finish"/>
    <x v="1504"/>
    <n v="4"/>
    <n v="0.15"/>
    <n v="-4.8391999999999999"/>
  </r>
  <r>
    <n v="1762"/>
    <x v="577"/>
    <x v="1"/>
    <x v="8"/>
    <d v="2012-09-09T00:00:00"/>
    <n v="4"/>
    <x v="1"/>
    <s v="Arthur Gainer"/>
    <x v="0"/>
    <s v="United States"/>
    <s v="San Diego"/>
    <s v="California"/>
    <s v="West"/>
    <x v="1"/>
    <x v="8"/>
    <s v="DXL Angle-View Binders with Locking Rings, Black"/>
    <x v="1505"/>
    <n v="6"/>
    <n v="0.2"/>
    <n v="9.7037999999999993"/>
  </r>
  <r>
    <n v="1763"/>
    <x v="577"/>
    <x v="1"/>
    <x v="8"/>
    <d v="2012-09-09T00:00:00"/>
    <n v="4"/>
    <x v="1"/>
    <s v="Arthur Gainer"/>
    <x v="0"/>
    <s v="United States"/>
    <s v="San Diego"/>
    <s v="California"/>
    <s v="West"/>
    <x v="0"/>
    <x v="0"/>
    <s v="Sauder Camden County Collection Libraries, Planked Cherry Finish"/>
    <x v="1506"/>
    <n v="3"/>
    <n v="0.15"/>
    <n v="-20.696400000000001"/>
  </r>
  <r>
    <n v="1764"/>
    <x v="578"/>
    <x v="0"/>
    <x v="6"/>
    <d v="2013-08-09T00:00:00"/>
    <n v="4"/>
    <x v="1"/>
    <s v="Max Ludwig"/>
    <x v="2"/>
    <s v="United States"/>
    <s v="Suffolk"/>
    <s v="Virginia"/>
    <s v="South"/>
    <x v="1"/>
    <x v="14"/>
    <s v="Acme 10&quot; Easy Grip Assistive Scissors"/>
    <x v="1507"/>
    <n v="2"/>
    <n v="0"/>
    <n v="10.518000000000001"/>
  </r>
  <r>
    <n v="1765"/>
    <x v="578"/>
    <x v="0"/>
    <x v="6"/>
    <d v="2013-08-09T00:00:00"/>
    <n v="4"/>
    <x v="1"/>
    <s v="Max Ludwig"/>
    <x v="2"/>
    <s v="United States"/>
    <s v="Suffolk"/>
    <s v="Virginia"/>
    <s v="South"/>
    <x v="1"/>
    <x v="2"/>
    <s v="Avery 476"/>
    <x v="1508"/>
    <n v="1"/>
    <n v="0"/>
    <n v="1.8997999999999999"/>
  </r>
  <r>
    <n v="1766"/>
    <x v="578"/>
    <x v="0"/>
    <x v="6"/>
    <d v="2013-08-09T00:00:00"/>
    <n v="4"/>
    <x v="1"/>
    <s v="Max Ludwig"/>
    <x v="2"/>
    <s v="United States"/>
    <s v="Suffolk"/>
    <s v="Virginia"/>
    <s v="South"/>
    <x v="0"/>
    <x v="5"/>
    <s v="Advantus Panel Wall Certificate Holder - 8.5x11"/>
    <x v="1509"/>
    <n v="9"/>
    <n v="0"/>
    <n v="46.116"/>
  </r>
  <r>
    <n v="1767"/>
    <x v="578"/>
    <x v="0"/>
    <x v="6"/>
    <d v="2013-08-09T00:00:00"/>
    <n v="4"/>
    <x v="1"/>
    <s v="Max Ludwig"/>
    <x v="2"/>
    <s v="United States"/>
    <s v="Suffolk"/>
    <s v="Virginia"/>
    <s v="South"/>
    <x v="1"/>
    <x v="2"/>
    <s v="Avery 478"/>
    <x v="759"/>
    <n v="2"/>
    <n v="0"/>
    <n v="4.8117999999999999"/>
  </r>
  <r>
    <n v="1768"/>
    <x v="579"/>
    <x v="2"/>
    <x v="10"/>
    <d v="2011-03-26T00:00:00"/>
    <n v="4"/>
    <x v="1"/>
    <s v="Craig Carroll"/>
    <x v="0"/>
    <s v="United States"/>
    <s v="Greensboro"/>
    <s v="North Carolina"/>
    <s v="South"/>
    <x v="1"/>
    <x v="8"/>
    <s v="C-Line Peel &amp; Stick Add-On Filing Pockets, 8-3/4 x 5-1/8, 10/Pack"/>
    <x v="1510"/>
    <n v="4"/>
    <n v="0.7"/>
    <n v="-5.8604000000000003"/>
  </r>
  <r>
    <n v="1769"/>
    <x v="579"/>
    <x v="2"/>
    <x v="10"/>
    <d v="2011-03-26T00:00:00"/>
    <n v="4"/>
    <x v="1"/>
    <s v="Craig Carroll"/>
    <x v="0"/>
    <s v="United States"/>
    <s v="Greensboro"/>
    <s v="North Carolina"/>
    <s v="South"/>
    <x v="1"/>
    <x v="8"/>
    <s v="GBC Prestige Therm-A-Bind Covers"/>
    <x v="1511"/>
    <n v="5"/>
    <n v="0.7"/>
    <n v="-39.456499999999998"/>
  </r>
  <r>
    <n v="1770"/>
    <x v="580"/>
    <x v="3"/>
    <x v="10"/>
    <d v="2014-03-09T00:00:00"/>
    <n v="6"/>
    <x v="1"/>
    <s v="Stewart Carmichael"/>
    <x v="1"/>
    <s v="United States"/>
    <s v="Dallas"/>
    <s v="Texas"/>
    <s v="Central"/>
    <x v="1"/>
    <x v="14"/>
    <s v="Staples"/>
    <x v="1512"/>
    <n v="4"/>
    <n v="0.2"/>
    <n v="-1.3952"/>
  </r>
  <r>
    <n v="1771"/>
    <x v="580"/>
    <x v="3"/>
    <x v="10"/>
    <d v="2014-03-09T00:00:00"/>
    <n v="6"/>
    <x v="1"/>
    <s v="Stewart Carmichael"/>
    <x v="1"/>
    <s v="United States"/>
    <s v="Dallas"/>
    <s v="Texas"/>
    <s v="Central"/>
    <x v="1"/>
    <x v="8"/>
    <s v="Wilson Jones Leather-Like Binders with DublLock Round Rings"/>
    <x v="1513"/>
    <n v="7"/>
    <n v="0.8"/>
    <n v="-20.1663"/>
  </r>
  <r>
    <n v="1772"/>
    <x v="581"/>
    <x v="0"/>
    <x v="0"/>
    <d v="2013-11-30T00:00:00"/>
    <n v="2"/>
    <x v="0"/>
    <s v="Greg Guthrie"/>
    <x v="1"/>
    <s v="United States"/>
    <s v="Chicago"/>
    <s v="Illinois"/>
    <s v="Central"/>
    <x v="1"/>
    <x v="4"/>
    <s v="SAFCO Commercial Wire Shelving, 72h"/>
    <x v="1514"/>
    <n v="2"/>
    <n v="0.2"/>
    <n v="-24.495999999999999"/>
  </r>
  <r>
    <n v="1773"/>
    <x v="581"/>
    <x v="0"/>
    <x v="0"/>
    <d v="2013-11-30T00:00:00"/>
    <n v="2"/>
    <x v="0"/>
    <s v="Greg Guthrie"/>
    <x v="1"/>
    <s v="United States"/>
    <s v="Chicago"/>
    <s v="Illinois"/>
    <s v="Central"/>
    <x v="2"/>
    <x v="11"/>
    <s v="Memorex Micro Travel Drive 8 GB"/>
    <x v="1515"/>
    <n v="6"/>
    <n v="0.2"/>
    <n v="19.5"/>
  </r>
  <r>
    <n v="1774"/>
    <x v="582"/>
    <x v="2"/>
    <x v="3"/>
    <d v="2011-05-03T00:00:00"/>
    <n v="5"/>
    <x v="1"/>
    <s v="Muhammed Yedwab"/>
    <x v="1"/>
    <s v="United States"/>
    <s v="Baltimore"/>
    <s v="Maryland"/>
    <s v="East"/>
    <x v="1"/>
    <x v="8"/>
    <s v="Acco Data Flex Cable Posts For Top &amp; Bottom Load Binders, 6&quot; Capacity"/>
    <x v="1516"/>
    <n v="2"/>
    <n v="0"/>
    <n v="9.3870000000000005"/>
  </r>
  <r>
    <n v="1775"/>
    <x v="582"/>
    <x v="2"/>
    <x v="3"/>
    <d v="2011-05-03T00:00:00"/>
    <n v="5"/>
    <x v="1"/>
    <s v="Muhammed Yedwab"/>
    <x v="1"/>
    <s v="United States"/>
    <s v="Baltimore"/>
    <s v="Maryland"/>
    <s v="East"/>
    <x v="1"/>
    <x v="4"/>
    <s v="Recycled Steel Personal File for Standard File Folders"/>
    <x v="1517"/>
    <n v="9"/>
    <n v="0"/>
    <n v="129.37860000000001"/>
  </r>
  <r>
    <n v="1776"/>
    <x v="582"/>
    <x v="2"/>
    <x v="3"/>
    <d v="2011-05-03T00:00:00"/>
    <n v="5"/>
    <x v="1"/>
    <s v="Muhammed Yedwab"/>
    <x v="1"/>
    <s v="United States"/>
    <s v="Baltimore"/>
    <s v="Maryland"/>
    <s v="East"/>
    <x v="1"/>
    <x v="6"/>
    <s v="Blackstonian Pencils"/>
    <x v="1518"/>
    <n v="2"/>
    <n v="0"/>
    <n v="1.4952000000000001"/>
  </r>
  <r>
    <n v="1777"/>
    <x v="582"/>
    <x v="2"/>
    <x v="3"/>
    <d v="2011-05-03T00:00:00"/>
    <n v="5"/>
    <x v="1"/>
    <s v="Muhammed Yedwab"/>
    <x v="1"/>
    <s v="United States"/>
    <s v="Baltimore"/>
    <s v="Maryland"/>
    <s v="East"/>
    <x v="1"/>
    <x v="2"/>
    <s v="Avery 488"/>
    <x v="974"/>
    <n v="1"/>
    <n v="0"/>
    <n v="1.512"/>
  </r>
  <r>
    <n v="1778"/>
    <x v="27"/>
    <x v="1"/>
    <x v="0"/>
    <d v="2012-11-28T00:00:00"/>
    <n v="4"/>
    <x v="1"/>
    <s v="Darren Powers"/>
    <x v="0"/>
    <s v="United States"/>
    <s v="Los Angeles"/>
    <s v="California"/>
    <s v="West"/>
    <x v="1"/>
    <x v="10"/>
    <s v="Xerox 1919"/>
    <x v="1519"/>
    <n v="9"/>
    <n v="0"/>
    <n v="180.76589999999999"/>
  </r>
  <r>
    <n v="1779"/>
    <x v="27"/>
    <x v="1"/>
    <x v="0"/>
    <d v="2012-11-28T00:00:00"/>
    <n v="4"/>
    <x v="1"/>
    <s v="Darren Powers"/>
    <x v="0"/>
    <s v="United States"/>
    <s v="Los Angeles"/>
    <s v="California"/>
    <s v="West"/>
    <x v="1"/>
    <x v="6"/>
    <s v="Prang Colored Pencils"/>
    <x v="453"/>
    <n v="5"/>
    <n v="0"/>
    <n v="6.6150000000000002"/>
  </r>
  <r>
    <n v="1780"/>
    <x v="583"/>
    <x v="0"/>
    <x v="0"/>
    <d v="2013-11-17T00:00:00"/>
    <n v="5"/>
    <x v="1"/>
    <s v="Bryan Davis"/>
    <x v="0"/>
    <s v="United States"/>
    <s v="New York City"/>
    <s v="New York"/>
    <s v="East"/>
    <x v="2"/>
    <x v="11"/>
    <s v="Micropad Numeric Keypads"/>
    <x v="127"/>
    <n v="3"/>
    <n v="0"/>
    <n v="14.9925"/>
  </r>
  <r>
    <n v="1781"/>
    <x v="583"/>
    <x v="0"/>
    <x v="0"/>
    <d v="2013-11-17T00:00:00"/>
    <n v="5"/>
    <x v="1"/>
    <s v="Bryan Davis"/>
    <x v="0"/>
    <s v="United States"/>
    <s v="New York City"/>
    <s v="New York"/>
    <s v="East"/>
    <x v="1"/>
    <x v="4"/>
    <s v="Safco Steel Mobile File Cart"/>
    <x v="1520"/>
    <n v="1"/>
    <n v="0"/>
    <n v="20.84"/>
  </r>
  <r>
    <n v="1782"/>
    <x v="584"/>
    <x v="1"/>
    <x v="7"/>
    <d v="2012-07-13T00:00:00"/>
    <n v="4"/>
    <x v="1"/>
    <s v="Claudia Bergmann"/>
    <x v="1"/>
    <s v="United States"/>
    <s v="Franklin"/>
    <s v="Massachusetts"/>
    <s v="East"/>
    <x v="1"/>
    <x v="10"/>
    <s v="Tops Wirebound Message Log Books"/>
    <x v="1521"/>
    <n v="2"/>
    <n v="0"/>
    <n v="3.0268000000000002"/>
  </r>
  <r>
    <n v="1783"/>
    <x v="584"/>
    <x v="1"/>
    <x v="7"/>
    <d v="2012-07-13T00:00:00"/>
    <n v="4"/>
    <x v="1"/>
    <s v="Claudia Bergmann"/>
    <x v="1"/>
    <s v="United States"/>
    <s v="Franklin"/>
    <s v="Massachusetts"/>
    <s v="East"/>
    <x v="1"/>
    <x v="8"/>
    <s v="Wilson Jones Ledger-Size, Piano-Hinge Binder, 2&quot;, Blue"/>
    <x v="1522"/>
    <n v="3"/>
    <n v="0"/>
    <n v="59.011200000000002"/>
  </r>
  <r>
    <n v="1784"/>
    <x v="585"/>
    <x v="3"/>
    <x v="8"/>
    <d v="2014-09-27T00:00:00"/>
    <n v="4"/>
    <x v="1"/>
    <s v="Jim Epp"/>
    <x v="1"/>
    <s v="United States"/>
    <s v="Milwaukee"/>
    <s v="Wisconsin"/>
    <s v="Central"/>
    <x v="1"/>
    <x v="10"/>
    <s v="Xerox 1940"/>
    <x v="1523"/>
    <n v="4"/>
    <n v="0"/>
    <n v="107.7216"/>
  </r>
  <r>
    <n v="1785"/>
    <x v="585"/>
    <x v="3"/>
    <x v="8"/>
    <d v="2014-09-27T00:00:00"/>
    <n v="4"/>
    <x v="1"/>
    <s v="Jim Epp"/>
    <x v="1"/>
    <s v="United States"/>
    <s v="Milwaukee"/>
    <s v="Wisconsin"/>
    <s v="Central"/>
    <x v="2"/>
    <x v="11"/>
    <s v="Logitech Desktop MK120 Mouse and keyboard Combo"/>
    <x v="1524"/>
    <n v="6"/>
    <n v="0"/>
    <n v="9.8160000000000007"/>
  </r>
  <r>
    <n v="1786"/>
    <x v="585"/>
    <x v="3"/>
    <x v="8"/>
    <d v="2014-09-27T00:00:00"/>
    <n v="4"/>
    <x v="1"/>
    <s v="Jim Epp"/>
    <x v="1"/>
    <s v="United States"/>
    <s v="Milwaukee"/>
    <s v="Wisconsin"/>
    <s v="Central"/>
    <x v="1"/>
    <x v="8"/>
    <s v="ACCOHIDE Binder by Acco"/>
    <x v="1525"/>
    <n v="8"/>
    <n v="0"/>
    <n v="15.5288"/>
  </r>
  <r>
    <n v="1787"/>
    <x v="585"/>
    <x v="3"/>
    <x v="8"/>
    <d v="2014-09-27T00:00:00"/>
    <n v="4"/>
    <x v="1"/>
    <s v="Jim Epp"/>
    <x v="1"/>
    <s v="United States"/>
    <s v="Milwaukee"/>
    <s v="Wisconsin"/>
    <s v="Central"/>
    <x v="2"/>
    <x v="7"/>
    <s v="AT&amp;T CL82213"/>
    <x v="283"/>
    <n v="3"/>
    <n v="0"/>
    <n v="25.221299999999999"/>
  </r>
  <r>
    <n v="1788"/>
    <x v="586"/>
    <x v="1"/>
    <x v="11"/>
    <d v="2012-02-19T00:00:00"/>
    <n v="4"/>
    <x v="1"/>
    <s v="Roy Phan"/>
    <x v="1"/>
    <s v="United States"/>
    <s v="Kenosha"/>
    <s v="Wisconsin"/>
    <s v="Central"/>
    <x v="2"/>
    <x v="7"/>
    <s v="Innergie mMini Combo Duo USB Travel Charging Kit"/>
    <x v="1526"/>
    <n v="3"/>
    <n v="0"/>
    <n v="64.785600000000002"/>
  </r>
  <r>
    <n v="1789"/>
    <x v="586"/>
    <x v="1"/>
    <x v="11"/>
    <d v="2012-02-19T00:00:00"/>
    <n v="4"/>
    <x v="1"/>
    <s v="Roy Phan"/>
    <x v="1"/>
    <s v="United States"/>
    <s v="Kenosha"/>
    <s v="Wisconsin"/>
    <s v="Central"/>
    <x v="2"/>
    <x v="7"/>
    <s v="Samsung Galaxy S III - 16GB - pebble blue (T-Mobile)"/>
    <x v="1527"/>
    <n v="2"/>
    <n v="0"/>
    <n v="195.99440000000001"/>
  </r>
  <r>
    <n v="1790"/>
    <x v="586"/>
    <x v="1"/>
    <x v="11"/>
    <d v="2012-02-19T00:00:00"/>
    <n v="4"/>
    <x v="1"/>
    <s v="Roy Phan"/>
    <x v="1"/>
    <s v="United States"/>
    <s v="Kenosha"/>
    <s v="Wisconsin"/>
    <s v="Central"/>
    <x v="2"/>
    <x v="11"/>
    <s v="Maxell LTO Ultrium - 800 GB"/>
    <x v="1528"/>
    <n v="5"/>
    <n v="0"/>
    <n v="26.590499999999999"/>
  </r>
  <r>
    <n v="1791"/>
    <x v="587"/>
    <x v="2"/>
    <x v="8"/>
    <d v="2011-10-04T00:00:00"/>
    <n v="4"/>
    <x v="1"/>
    <s v="Russell Applegate"/>
    <x v="0"/>
    <s v="United States"/>
    <s v="New York City"/>
    <s v="New York"/>
    <s v="East"/>
    <x v="1"/>
    <x v="10"/>
    <s v="Tops Green Bar Computer Printout Paper"/>
    <x v="1529"/>
    <n v="1"/>
    <n v="0"/>
    <n v="24.47"/>
  </r>
  <r>
    <n v="1792"/>
    <x v="588"/>
    <x v="2"/>
    <x v="4"/>
    <d v="2011-12-03T00:00:00"/>
    <n v="2"/>
    <x v="2"/>
    <s v="Resi Pölking"/>
    <x v="0"/>
    <s v="United States"/>
    <s v="Madison"/>
    <s v="Wisconsin"/>
    <s v="Central"/>
    <x v="0"/>
    <x v="1"/>
    <s v="Office Star - Professional Matrix Back Chair with 2-to-1 Synchro Tilt and Mesh Fabric Seat"/>
    <x v="1530"/>
    <n v="8"/>
    <n v="0"/>
    <n v="673.88160000000005"/>
  </r>
  <r>
    <n v="1793"/>
    <x v="588"/>
    <x v="2"/>
    <x v="4"/>
    <d v="2011-12-03T00:00:00"/>
    <n v="2"/>
    <x v="2"/>
    <s v="Resi Pölking"/>
    <x v="0"/>
    <s v="United States"/>
    <s v="Madison"/>
    <s v="Wisconsin"/>
    <s v="Central"/>
    <x v="1"/>
    <x v="6"/>
    <s v="Hunt BOSTON Vista Battery-Operated Pencil Sharpener, Black"/>
    <x v="1531"/>
    <n v="4"/>
    <n v="0"/>
    <n v="12.5928"/>
  </r>
  <r>
    <n v="1794"/>
    <x v="589"/>
    <x v="2"/>
    <x v="4"/>
    <d v="2011-12-13T00:00:00"/>
    <n v="5"/>
    <x v="1"/>
    <s v="Thomas Boland"/>
    <x v="1"/>
    <s v="United States"/>
    <s v="Houston"/>
    <s v="Texas"/>
    <s v="Central"/>
    <x v="1"/>
    <x v="4"/>
    <s v="Companion Letter/Legal File, Black"/>
    <x v="1532"/>
    <n v="2"/>
    <n v="0.2"/>
    <n v="6.0415999999999999"/>
  </r>
  <r>
    <n v="1795"/>
    <x v="64"/>
    <x v="0"/>
    <x v="8"/>
    <d v="2013-09-11T00:00:00"/>
    <n v="5"/>
    <x v="1"/>
    <s v="Brad Eason"/>
    <x v="2"/>
    <s v="United States"/>
    <s v="Olathe"/>
    <s v="Kansas"/>
    <s v="Central"/>
    <x v="1"/>
    <x v="6"/>
    <s v="Panasonic KP-380BK Classic Electric Pencil Sharpener"/>
    <x v="1533"/>
    <n v="3"/>
    <n v="0"/>
    <n v="26.984999999999999"/>
  </r>
  <r>
    <n v="1796"/>
    <x v="151"/>
    <x v="3"/>
    <x v="6"/>
    <d v="2014-08-31T00:00:00"/>
    <n v="3"/>
    <x v="2"/>
    <s v="Mathew Reese"/>
    <x v="2"/>
    <s v="United States"/>
    <s v="New York City"/>
    <s v="New York"/>
    <s v="East"/>
    <x v="1"/>
    <x v="4"/>
    <s v="Iris Project Case"/>
    <x v="1534"/>
    <n v="8"/>
    <n v="0"/>
    <n v="16.598400000000002"/>
  </r>
  <r>
    <n v="1797"/>
    <x v="151"/>
    <x v="3"/>
    <x v="6"/>
    <d v="2014-08-31T00:00:00"/>
    <n v="3"/>
    <x v="2"/>
    <s v="Mathew Reese"/>
    <x v="2"/>
    <s v="United States"/>
    <s v="New York City"/>
    <s v="New York"/>
    <s v="East"/>
    <x v="2"/>
    <x v="7"/>
    <s v="GE 30522EE2"/>
    <x v="1535"/>
    <n v="3"/>
    <n v="0"/>
    <n v="100.9113"/>
  </r>
  <r>
    <n v="1798"/>
    <x v="151"/>
    <x v="3"/>
    <x v="6"/>
    <d v="2014-08-31T00:00:00"/>
    <n v="3"/>
    <x v="2"/>
    <s v="Mathew Reese"/>
    <x v="2"/>
    <s v="United States"/>
    <s v="New York City"/>
    <s v="New York"/>
    <s v="East"/>
    <x v="1"/>
    <x v="8"/>
    <s v="DXL Angle-View Binders with Locking Rings by Samsill"/>
    <x v="1536"/>
    <n v="6"/>
    <n v="0.2"/>
    <n v="11.565"/>
  </r>
  <r>
    <n v="1799"/>
    <x v="274"/>
    <x v="0"/>
    <x v="7"/>
    <d v="2013-07-12T00:00:00"/>
    <n v="4"/>
    <x v="1"/>
    <s v="Raymond Messe"/>
    <x v="0"/>
    <s v="United States"/>
    <s v="San Jose"/>
    <s v="California"/>
    <s v="West"/>
    <x v="0"/>
    <x v="5"/>
    <s v="Howard Miller 11-1/2&quot; Diameter Grantwood Wall Clock"/>
    <x v="1537"/>
    <n v="5"/>
    <n v="0"/>
    <n v="73.320999999999998"/>
  </r>
  <r>
    <n v="1800"/>
    <x v="590"/>
    <x v="0"/>
    <x v="6"/>
    <d v="2013-08-11T00:00:00"/>
    <n v="2"/>
    <x v="0"/>
    <s v="Jill Fjeld"/>
    <x v="0"/>
    <s v="United States"/>
    <s v="Dallas"/>
    <s v="Texas"/>
    <s v="Central"/>
    <x v="1"/>
    <x v="13"/>
    <s v="OIC Bulk Pack Metal Binder Clips"/>
    <x v="1492"/>
    <n v="4"/>
    <n v="0.2"/>
    <n v="3.6295999999999999"/>
  </r>
  <r>
    <n v="1801"/>
    <x v="590"/>
    <x v="0"/>
    <x v="6"/>
    <d v="2013-08-11T00:00:00"/>
    <n v="2"/>
    <x v="0"/>
    <s v="Jill Fjeld"/>
    <x v="0"/>
    <s v="United States"/>
    <s v="Dallas"/>
    <s v="Texas"/>
    <s v="Central"/>
    <x v="1"/>
    <x v="10"/>
    <s v="Ink Jet Note and Greeting Cards, 8-1/2&quot; x 5-1/2&quot; Card Size"/>
    <x v="1538"/>
    <n v="3"/>
    <n v="0.2"/>
    <n v="17.534400000000002"/>
  </r>
  <r>
    <n v="1802"/>
    <x v="373"/>
    <x v="0"/>
    <x v="0"/>
    <d v="2013-11-20T00:00:00"/>
    <n v="6"/>
    <x v="1"/>
    <s v="Adrian Shami"/>
    <x v="2"/>
    <s v="United States"/>
    <s v="Auburn"/>
    <s v="Washington"/>
    <s v="West"/>
    <x v="0"/>
    <x v="5"/>
    <s v="Eldon Image Series Desk Accessories, Burgundy"/>
    <x v="1539"/>
    <n v="1"/>
    <n v="0"/>
    <n v="1.5047999999999999"/>
  </r>
  <r>
    <n v="1803"/>
    <x v="585"/>
    <x v="3"/>
    <x v="8"/>
    <d v="2014-09-27T00:00:00"/>
    <n v="4"/>
    <x v="0"/>
    <s v="Joseph Airdo"/>
    <x v="0"/>
    <s v="United States"/>
    <s v="Philadelphia"/>
    <s v="Pennsylvania"/>
    <s v="East"/>
    <x v="1"/>
    <x v="8"/>
    <s v="Clear Mylar Reinforcing Strips"/>
    <x v="1540"/>
    <n v="1"/>
    <n v="0.7"/>
    <n v="-4.2987000000000002"/>
  </r>
  <r>
    <n v="1804"/>
    <x v="585"/>
    <x v="3"/>
    <x v="8"/>
    <d v="2014-09-27T00:00:00"/>
    <n v="4"/>
    <x v="0"/>
    <s v="Joseph Airdo"/>
    <x v="0"/>
    <s v="United States"/>
    <s v="Philadelphia"/>
    <s v="Pennsylvania"/>
    <s v="East"/>
    <x v="1"/>
    <x v="14"/>
    <s v="Martin Yale Chadless Opener Electric Letter Opener"/>
    <x v="1541"/>
    <n v="7"/>
    <n v="0.2"/>
    <n v="-1049.3406"/>
  </r>
  <r>
    <n v="1805"/>
    <x v="585"/>
    <x v="3"/>
    <x v="8"/>
    <d v="2014-09-27T00:00:00"/>
    <n v="4"/>
    <x v="0"/>
    <s v="Joseph Airdo"/>
    <x v="0"/>
    <s v="United States"/>
    <s v="Philadelphia"/>
    <s v="Pennsylvania"/>
    <s v="East"/>
    <x v="2"/>
    <x v="11"/>
    <s v="Logitech Wireless Marathon Mouse M705"/>
    <x v="1542"/>
    <n v="2"/>
    <n v="0.2"/>
    <n v="22.9954"/>
  </r>
  <r>
    <n v="1806"/>
    <x v="591"/>
    <x v="0"/>
    <x v="4"/>
    <d v="2013-12-29T00:00:00"/>
    <n v="3"/>
    <x v="2"/>
    <s v="Grace Kelly"/>
    <x v="1"/>
    <s v="United States"/>
    <s v="Los Angeles"/>
    <s v="California"/>
    <s v="West"/>
    <x v="2"/>
    <x v="7"/>
    <s v="Samsung Galaxy Note 2"/>
    <x v="1543"/>
    <n v="7"/>
    <n v="0.2"/>
    <n v="257.59440000000001"/>
  </r>
  <r>
    <n v="1807"/>
    <x v="591"/>
    <x v="0"/>
    <x v="4"/>
    <d v="2013-12-29T00:00:00"/>
    <n v="3"/>
    <x v="2"/>
    <s v="Grace Kelly"/>
    <x v="1"/>
    <s v="United States"/>
    <s v="Los Angeles"/>
    <s v="California"/>
    <s v="West"/>
    <x v="1"/>
    <x v="10"/>
    <s v="Xerox 225"/>
    <x v="1544"/>
    <n v="7"/>
    <n v="0"/>
    <n v="21.7728"/>
  </r>
  <r>
    <n v="1808"/>
    <x v="591"/>
    <x v="0"/>
    <x v="4"/>
    <d v="2013-12-29T00:00:00"/>
    <n v="3"/>
    <x v="2"/>
    <s v="Grace Kelly"/>
    <x v="1"/>
    <s v="United States"/>
    <s v="Los Angeles"/>
    <s v="California"/>
    <s v="West"/>
    <x v="2"/>
    <x v="11"/>
    <s v="SanDisk Cruzer 64 GB USB Flash Drive"/>
    <x v="1545"/>
    <n v="7"/>
    <n v="0"/>
    <n v="76.272000000000006"/>
  </r>
  <r>
    <n v="1809"/>
    <x v="592"/>
    <x v="0"/>
    <x v="11"/>
    <d v="2013-02-13T00:00:00"/>
    <n v="2"/>
    <x v="2"/>
    <s v="Phillip Breyer"/>
    <x v="1"/>
    <s v="United States"/>
    <s v="Tulsa"/>
    <s v="Oklahoma"/>
    <s v="Central"/>
    <x v="2"/>
    <x v="7"/>
    <s v="Mediabridge Sport Armband iPhone 5s"/>
    <x v="1546"/>
    <n v="7"/>
    <n v="0"/>
    <n v="0.69930000000000003"/>
  </r>
  <r>
    <n v="1810"/>
    <x v="248"/>
    <x v="0"/>
    <x v="2"/>
    <d v="2013-10-30T00:00:00"/>
    <n v="6"/>
    <x v="1"/>
    <s v="Heather Kirkland"/>
    <x v="1"/>
    <s v="United States"/>
    <s v="Chicago"/>
    <s v="Illinois"/>
    <s v="Central"/>
    <x v="0"/>
    <x v="5"/>
    <s v="DAX Cubicle Frames - 8x10"/>
    <x v="1547"/>
    <n v="7"/>
    <n v="0.6"/>
    <n v="-12.117000000000001"/>
  </r>
  <r>
    <n v="1811"/>
    <x v="248"/>
    <x v="0"/>
    <x v="2"/>
    <d v="2013-10-30T00:00:00"/>
    <n v="6"/>
    <x v="1"/>
    <s v="Heather Kirkland"/>
    <x v="1"/>
    <s v="United States"/>
    <s v="Chicago"/>
    <s v="Illinois"/>
    <s v="Central"/>
    <x v="1"/>
    <x v="10"/>
    <s v="Xerox 1929"/>
    <x v="1548"/>
    <n v="3"/>
    <n v="0.2"/>
    <n v="17.815200000000001"/>
  </r>
  <r>
    <n v="1812"/>
    <x v="3"/>
    <x v="2"/>
    <x v="1"/>
    <d v="2011-06-11T00:00:00"/>
    <n v="2"/>
    <x v="0"/>
    <s v="Frank Olsen"/>
    <x v="0"/>
    <s v="United States"/>
    <s v="Harrisonburg"/>
    <s v="Virginia"/>
    <s v="South"/>
    <x v="0"/>
    <x v="3"/>
    <s v="Bevis 44 x 96 Conference Tables"/>
    <x v="1549"/>
    <n v="7"/>
    <n v="0"/>
    <n v="245.02099999999999"/>
  </r>
  <r>
    <n v="1813"/>
    <x v="225"/>
    <x v="3"/>
    <x v="0"/>
    <d v="2014-11-27T00:00:00"/>
    <n v="6"/>
    <x v="1"/>
    <s v="Brian Thompson"/>
    <x v="0"/>
    <s v="United States"/>
    <s v="Newark"/>
    <s v="Ohio"/>
    <s v="East"/>
    <x v="0"/>
    <x v="5"/>
    <s v="Floodlight Indoor Halogen Bulbs, 1 Bulb per Pack, 60 Watts"/>
    <x v="291"/>
    <n v="5"/>
    <n v="0.2"/>
    <n v="28.13"/>
  </r>
  <r>
    <n v="1814"/>
    <x v="225"/>
    <x v="3"/>
    <x v="0"/>
    <d v="2014-11-27T00:00:00"/>
    <n v="6"/>
    <x v="1"/>
    <s v="Brian Thompson"/>
    <x v="0"/>
    <s v="United States"/>
    <s v="Newark"/>
    <s v="Ohio"/>
    <s v="East"/>
    <x v="0"/>
    <x v="5"/>
    <s v="GE General Purpose, Extra Long Life, Showcase &amp; Floodlight Incandescent Bulbs"/>
    <x v="1550"/>
    <n v="2"/>
    <n v="0.2"/>
    <n v="1.5713999999999999"/>
  </r>
  <r>
    <n v="1815"/>
    <x v="471"/>
    <x v="1"/>
    <x v="8"/>
    <d v="2012-09-18T00:00:00"/>
    <n v="4"/>
    <x v="1"/>
    <s v="Stefania Perrino"/>
    <x v="1"/>
    <s v="United States"/>
    <s v="Los Angeles"/>
    <s v="California"/>
    <s v="West"/>
    <x v="0"/>
    <x v="3"/>
    <s v="KI Conference Tables"/>
    <x v="1551"/>
    <n v="3"/>
    <n v="0.2"/>
    <n v="-8.5068000000000001"/>
  </r>
  <r>
    <n v="1816"/>
    <x v="593"/>
    <x v="1"/>
    <x v="1"/>
    <d v="2012-06-04T00:00:00"/>
    <n v="0"/>
    <x v="3"/>
    <s v="Lauren Leatherbury"/>
    <x v="0"/>
    <s v="United States"/>
    <s v="Seattle"/>
    <s v="Washington"/>
    <s v="West"/>
    <x v="1"/>
    <x v="2"/>
    <s v="Avery 501"/>
    <x v="1552"/>
    <n v="2"/>
    <n v="0"/>
    <n v="3.4685999999999999"/>
  </r>
  <r>
    <n v="1817"/>
    <x v="593"/>
    <x v="1"/>
    <x v="1"/>
    <d v="2012-06-04T00:00:00"/>
    <n v="0"/>
    <x v="3"/>
    <s v="Lauren Leatherbury"/>
    <x v="0"/>
    <s v="United States"/>
    <s v="Seattle"/>
    <s v="Washington"/>
    <s v="West"/>
    <x v="1"/>
    <x v="6"/>
    <s v="Binney &amp; Smith Crayola Metallic Colored Pencils, 8-Color Set"/>
    <x v="1553"/>
    <n v="2"/>
    <n v="0"/>
    <n v="3.0558000000000001"/>
  </r>
  <r>
    <n v="1818"/>
    <x v="350"/>
    <x v="1"/>
    <x v="4"/>
    <d v="2012-12-15T00:00:00"/>
    <n v="2"/>
    <x v="0"/>
    <s v="Matt Collins"/>
    <x v="0"/>
    <s v="United States"/>
    <s v="Los Angeles"/>
    <s v="California"/>
    <s v="West"/>
    <x v="1"/>
    <x v="2"/>
    <s v="Avery 513"/>
    <x v="739"/>
    <n v="2"/>
    <n v="0"/>
    <n v="4.5815999999999999"/>
  </r>
  <r>
    <n v="1819"/>
    <x v="594"/>
    <x v="2"/>
    <x v="5"/>
    <d v="2011-05-29T00:00:00"/>
    <n v="4"/>
    <x v="1"/>
    <s v="Janet Lee"/>
    <x v="0"/>
    <s v="United States"/>
    <s v="Chicago"/>
    <s v="Illinois"/>
    <s v="Central"/>
    <x v="1"/>
    <x v="9"/>
    <s v="Harmony Air Purifier"/>
    <x v="1554"/>
    <n v="2"/>
    <n v="0.8"/>
    <n v="-166.32"/>
  </r>
  <r>
    <n v="1820"/>
    <x v="594"/>
    <x v="2"/>
    <x v="5"/>
    <d v="2011-05-29T00:00:00"/>
    <n v="4"/>
    <x v="1"/>
    <s v="Janet Lee"/>
    <x v="0"/>
    <s v="United States"/>
    <s v="Chicago"/>
    <s v="Illinois"/>
    <s v="Central"/>
    <x v="0"/>
    <x v="5"/>
    <s v="Electrix Incandescent Magnifying Lamp, Black"/>
    <x v="1555"/>
    <n v="2"/>
    <n v="0.6"/>
    <n v="-24.189"/>
  </r>
  <r>
    <n v="1821"/>
    <x v="595"/>
    <x v="0"/>
    <x v="11"/>
    <d v="2013-02-20T00:00:00"/>
    <n v="4"/>
    <x v="1"/>
    <s v="Erin Ashbrook"/>
    <x v="1"/>
    <s v="United States"/>
    <s v="Chicago"/>
    <s v="Illinois"/>
    <s v="Central"/>
    <x v="1"/>
    <x v="9"/>
    <s v="Honeywell Enviracaire Portable Air Cleaner for up to 8 x 10 Room"/>
    <x v="1556"/>
    <n v="6"/>
    <n v="0.8"/>
    <n v="-225.55680000000001"/>
  </r>
  <r>
    <n v="1822"/>
    <x v="595"/>
    <x v="0"/>
    <x v="11"/>
    <d v="2013-02-20T00:00:00"/>
    <n v="4"/>
    <x v="1"/>
    <s v="Erin Ashbrook"/>
    <x v="1"/>
    <s v="United States"/>
    <s v="Chicago"/>
    <s v="Illinois"/>
    <s v="Central"/>
    <x v="1"/>
    <x v="13"/>
    <s v="Advantus Push Pins"/>
    <x v="1512"/>
    <n v="4"/>
    <n v="0.2"/>
    <n v="1.8311999999999999"/>
  </r>
  <r>
    <n v="1823"/>
    <x v="595"/>
    <x v="0"/>
    <x v="11"/>
    <d v="2013-02-20T00:00:00"/>
    <n v="4"/>
    <x v="1"/>
    <s v="Erin Ashbrook"/>
    <x v="1"/>
    <s v="United States"/>
    <s v="Chicago"/>
    <s v="Illinois"/>
    <s v="Central"/>
    <x v="0"/>
    <x v="1"/>
    <s v="Global Stack Chair with Arms, Black"/>
    <x v="1557"/>
    <n v="3"/>
    <n v="0.3"/>
    <n v="-2.6981999999999999"/>
  </r>
  <r>
    <n v="1824"/>
    <x v="595"/>
    <x v="0"/>
    <x v="11"/>
    <d v="2013-02-20T00:00:00"/>
    <n v="4"/>
    <x v="1"/>
    <s v="Erin Ashbrook"/>
    <x v="1"/>
    <s v="United States"/>
    <s v="Chicago"/>
    <s v="Illinois"/>
    <s v="Central"/>
    <x v="1"/>
    <x v="10"/>
    <s v="Xerox 206"/>
    <x v="1170"/>
    <n v="1"/>
    <n v="0.2"/>
    <n v="1.8144"/>
  </r>
  <r>
    <n v="1825"/>
    <x v="596"/>
    <x v="0"/>
    <x v="4"/>
    <d v="2013-12-29T00:00:00"/>
    <n v="6"/>
    <x v="1"/>
    <s v="Sue Ann Reed"/>
    <x v="0"/>
    <s v="United States"/>
    <s v="Redmond"/>
    <s v="Oregon"/>
    <s v="West"/>
    <x v="1"/>
    <x v="8"/>
    <s v="Avery 3 1/2&quot; Diskette Storage Pages, 10/Pack"/>
    <x v="1558"/>
    <n v="10"/>
    <n v="0.7"/>
    <n v="-25.056000000000001"/>
  </r>
  <r>
    <n v="1826"/>
    <x v="596"/>
    <x v="0"/>
    <x v="4"/>
    <d v="2013-12-29T00:00:00"/>
    <n v="6"/>
    <x v="1"/>
    <s v="Sue Ann Reed"/>
    <x v="0"/>
    <s v="United States"/>
    <s v="Redmond"/>
    <s v="Oregon"/>
    <s v="West"/>
    <x v="0"/>
    <x v="5"/>
    <s v="3M Hangers With Command Adhesive"/>
    <x v="1559"/>
    <n v="4"/>
    <n v="0.2"/>
    <n v="3.1080000000000001"/>
  </r>
  <r>
    <n v="1827"/>
    <x v="596"/>
    <x v="0"/>
    <x v="4"/>
    <d v="2013-12-29T00:00:00"/>
    <n v="6"/>
    <x v="1"/>
    <s v="Sue Ann Reed"/>
    <x v="0"/>
    <s v="United States"/>
    <s v="Redmond"/>
    <s v="Oregon"/>
    <s v="West"/>
    <x v="0"/>
    <x v="5"/>
    <s v="Seth Thomas 14&quot; Day/Date Wall Clock"/>
    <x v="1560"/>
    <n v="1"/>
    <n v="0.2"/>
    <n v="4.8415999999999997"/>
  </r>
  <r>
    <n v="1828"/>
    <x v="597"/>
    <x v="0"/>
    <x v="11"/>
    <d v="2013-02-11T00:00:00"/>
    <n v="3"/>
    <x v="0"/>
    <s v="Cathy Hwang"/>
    <x v="2"/>
    <s v="United States"/>
    <s v="Raleigh"/>
    <s v="North Carolina"/>
    <s v="South"/>
    <x v="2"/>
    <x v="7"/>
    <s v="Samsung Galaxy S4 Mini"/>
    <x v="1561"/>
    <n v="3"/>
    <n v="0.2"/>
    <n v="126.8973"/>
  </r>
  <r>
    <n v="1829"/>
    <x v="562"/>
    <x v="1"/>
    <x v="7"/>
    <d v="2012-07-15T00:00:00"/>
    <n v="2"/>
    <x v="0"/>
    <s v="Neil Ducich"/>
    <x v="1"/>
    <s v="United States"/>
    <s v="Macon"/>
    <s v="Georgia"/>
    <s v="South"/>
    <x v="1"/>
    <x v="10"/>
    <s v="Xerox 1931"/>
    <x v="783"/>
    <n v="6"/>
    <n v="0"/>
    <n v="18.662400000000002"/>
  </r>
  <r>
    <n v="1830"/>
    <x v="598"/>
    <x v="2"/>
    <x v="5"/>
    <d v="2011-05-24T00:00:00"/>
    <n v="6"/>
    <x v="1"/>
    <s v="Bruce Stewart"/>
    <x v="0"/>
    <s v="United States"/>
    <s v="Cleveland"/>
    <s v="Ohio"/>
    <s v="East"/>
    <x v="2"/>
    <x v="7"/>
    <s v="Apple iPhone 5"/>
    <x v="1562"/>
    <n v="2"/>
    <n v="0.4"/>
    <n v="-168.95580000000001"/>
  </r>
  <r>
    <n v="1831"/>
    <x v="208"/>
    <x v="3"/>
    <x v="2"/>
    <d v="2014-10-22T00:00:00"/>
    <n v="0"/>
    <x v="3"/>
    <s v="Sara Luxemburg"/>
    <x v="2"/>
    <s v="United States"/>
    <s v="Muskogee"/>
    <s v="Oklahoma"/>
    <s v="Central"/>
    <x v="2"/>
    <x v="7"/>
    <s v="Polycom VVX 310 VoIP phone"/>
    <x v="1563"/>
    <n v="8"/>
    <n v="0"/>
    <n v="374.37920000000003"/>
  </r>
  <r>
    <n v="1832"/>
    <x v="208"/>
    <x v="3"/>
    <x v="2"/>
    <d v="2014-10-22T00:00:00"/>
    <n v="0"/>
    <x v="3"/>
    <s v="Sara Luxemburg"/>
    <x v="2"/>
    <s v="United States"/>
    <s v="Muskogee"/>
    <s v="Oklahoma"/>
    <s v="Central"/>
    <x v="0"/>
    <x v="3"/>
    <s v="Bevis Boat-Shaped Conference Table"/>
    <x v="1564"/>
    <n v="1"/>
    <n v="0"/>
    <n v="62.906399999999998"/>
  </r>
  <r>
    <n v="1833"/>
    <x v="599"/>
    <x v="1"/>
    <x v="0"/>
    <d v="2012-11-09T00:00:00"/>
    <n v="4"/>
    <x v="1"/>
    <s v="George Bell"/>
    <x v="1"/>
    <s v="United States"/>
    <s v="Monroe"/>
    <s v="North Carolina"/>
    <s v="South"/>
    <x v="0"/>
    <x v="1"/>
    <s v="Harbour Creations Steel Folding Chair"/>
    <x v="718"/>
    <n v="3"/>
    <n v="0.2"/>
    <n v="25.875"/>
  </r>
  <r>
    <n v="1834"/>
    <x v="378"/>
    <x v="3"/>
    <x v="6"/>
    <d v="2014-08-08T00:00:00"/>
    <n v="6"/>
    <x v="1"/>
    <s v="Aaron Smayling"/>
    <x v="1"/>
    <s v="United States"/>
    <s v="Austin"/>
    <s v="Texas"/>
    <s v="Central"/>
    <x v="2"/>
    <x v="15"/>
    <s v="Bady BDG101FRU Card Printer"/>
    <x v="1565"/>
    <n v="3"/>
    <n v="0.4"/>
    <n v="-263.99669999999998"/>
  </r>
  <r>
    <n v="1835"/>
    <x v="378"/>
    <x v="3"/>
    <x v="6"/>
    <d v="2014-08-08T00:00:00"/>
    <n v="6"/>
    <x v="1"/>
    <s v="Aaron Smayling"/>
    <x v="1"/>
    <s v="United States"/>
    <s v="Austin"/>
    <s v="Texas"/>
    <s v="Central"/>
    <x v="1"/>
    <x v="10"/>
    <s v="Xerox 1998"/>
    <x v="1566"/>
    <n v="7"/>
    <n v="0.2"/>
    <n v="12.700799999999999"/>
  </r>
  <r>
    <n v="1836"/>
    <x v="261"/>
    <x v="2"/>
    <x v="1"/>
    <d v="2011-06-24T00:00:00"/>
    <n v="3"/>
    <x v="2"/>
    <s v="Raymond Messe"/>
    <x v="0"/>
    <s v="United States"/>
    <s v="Meriden"/>
    <s v="Connecticut"/>
    <s v="East"/>
    <x v="1"/>
    <x v="6"/>
    <s v="Newell 341"/>
    <x v="1567"/>
    <n v="5"/>
    <n v="0"/>
    <n v="6.2060000000000004"/>
  </r>
  <r>
    <n v="1837"/>
    <x v="600"/>
    <x v="3"/>
    <x v="11"/>
    <d v="2014-02-22T00:00:00"/>
    <n v="2"/>
    <x v="0"/>
    <s v="Nicole Hansen"/>
    <x v="1"/>
    <s v="United States"/>
    <s v="Roswell"/>
    <s v="Georgia"/>
    <s v="South"/>
    <x v="1"/>
    <x v="9"/>
    <s v="Kensington 7 Outlet MasterPiece Power Center"/>
    <x v="1568"/>
    <n v="7"/>
    <n v="0"/>
    <n v="361.29939999999999"/>
  </r>
  <r>
    <n v="1838"/>
    <x v="601"/>
    <x v="2"/>
    <x v="6"/>
    <d v="2011-08-05T00:00:00"/>
    <n v="4"/>
    <x v="1"/>
    <s v="Barbara Fisher"/>
    <x v="1"/>
    <s v="United States"/>
    <s v="Charlotte"/>
    <s v="North Carolina"/>
    <s v="South"/>
    <x v="1"/>
    <x v="2"/>
    <s v="Self-Adhesive Address Labels for Typewriters by Universal"/>
    <x v="1569"/>
    <n v="3"/>
    <n v="0.2"/>
    <n v="5.9211"/>
  </r>
  <r>
    <n v="1839"/>
    <x v="601"/>
    <x v="2"/>
    <x v="6"/>
    <d v="2011-08-05T00:00:00"/>
    <n v="4"/>
    <x v="1"/>
    <s v="Barbara Fisher"/>
    <x v="1"/>
    <s v="United States"/>
    <s v="Charlotte"/>
    <s v="North Carolina"/>
    <s v="South"/>
    <x v="0"/>
    <x v="5"/>
    <s v="9-3/4 Diameter Round Wall Clock"/>
    <x v="1570"/>
    <n v="4"/>
    <n v="0.2"/>
    <n v="12.135199999999999"/>
  </r>
  <r>
    <n v="1840"/>
    <x v="601"/>
    <x v="2"/>
    <x v="6"/>
    <d v="2011-08-05T00:00:00"/>
    <n v="4"/>
    <x v="1"/>
    <s v="Barbara Fisher"/>
    <x v="1"/>
    <s v="United States"/>
    <s v="Charlotte"/>
    <s v="North Carolina"/>
    <s v="South"/>
    <x v="1"/>
    <x v="9"/>
    <s v="Honeywell Quietcare HEPA Air Cleaner"/>
    <x v="1571"/>
    <n v="1"/>
    <n v="0.2"/>
    <n v="10.224500000000001"/>
  </r>
  <r>
    <n v="1841"/>
    <x v="601"/>
    <x v="2"/>
    <x v="6"/>
    <d v="2011-08-05T00:00:00"/>
    <n v="4"/>
    <x v="1"/>
    <s v="Barbara Fisher"/>
    <x v="1"/>
    <s v="United States"/>
    <s v="Charlotte"/>
    <s v="North Carolina"/>
    <s v="South"/>
    <x v="1"/>
    <x v="10"/>
    <s v="Xerox 1916"/>
    <x v="128"/>
    <n v="2"/>
    <n v="0.2"/>
    <n v="29.364000000000001"/>
  </r>
  <r>
    <n v="1842"/>
    <x v="427"/>
    <x v="0"/>
    <x v="7"/>
    <d v="2013-07-24T00:00:00"/>
    <n v="5"/>
    <x v="1"/>
    <s v="Katharine Harms"/>
    <x v="1"/>
    <s v="United States"/>
    <s v="Bowling Green"/>
    <s v="Kentucky"/>
    <s v="South"/>
    <x v="0"/>
    <x v="1"/>
    <s v="Hon Olson Stacker Stools"/>
    <x v="1572"/>
    <n v="1"/>
    <n v="0"/>
    <n v="39.4268"/>
  </r>
  <r>
    <n v="1843"/>
    <x v="97"/>
    <x v="1"/>
    <x v="11"/>
    <d v="2012-02-11T00:00:00"/>
    <n v="2"/>
    <x v="0"/>
    <s v="Frank Atkinson"/>
    <x v="1"/>
    <s v="United States"/>
    <s v="San Antonio"/>
    <s v="Texas"/>
    <s v="Central"/>
    <x v="1"/>
    <x v="2"/>
    <s v="Round Specialty Laser Printer Labels"/>
    <x v="110"/>
    <n v="4"/>
    <n v="0.2"/>
    <n v="13.532400000000001"/>
  </r>
  <r>
    <n v="1844"/>
    <x v="97"/>
    <x v="1"/>
    <x v="11"/>
    <d v="2012-02-11T00:00:00"/>
    <n v="2"/>
    <x v="0"/>
    <s v="Frank Atkinson"/>
    <x v="1"/>
    <s v="United States"/>
    <s v="San Antonio"/>
    <s v="Texas"/>
    <s v="Central"/>
    <x v="0"/>
    <x v="5"/>
    <s v="Dana Fluorescent Magnifying Lamp, White, 36&quot;"/>
    <x v="1573"/>
    <n v="2"/>
    <n v="0.6"/>
    <n v="-30.588000000000001"/>
  </r>
  <r>
    <n v="1845"/>
    <x v="570"/>
    <x v="3"/>
    <x v="7"/>
    <d v="2014-08-03T00:00:00"/>
    <n v="4"/>
    <x v="1"/>
    <s v="Giulietta Weimer"/>
    <x v="0"/>
    <s v="United States"/>
    <s v="Seattle"/>
    <s v="Washington"/>
    <s v="West"/>
    <x v="2"/>
    <x v="11"/>
    <s v="Imation 8GB Mini TravelDrive USB 2.0 Flash Drive"/>
    <x v="26"/>
    <n v="3"/>
    <n v="0"/>
    <n v="11.774100000000001"/>
  </r>
  <r>
    <n v="1846"/>
    <x v="602"/>
    <x v="3"/>
    <x v="9"/>
    <d v="2014-01-18T00:00:00"/>
    <n v="5"/>
    <x v="0"/>
    <s v="Dianna Arnett"/>
    <x v="2"/>
    <s v="United States"/>
    <s v="Washington"/>
    <s v="District of Columbia"/>
    <s v="East"/>
    <x v="1"/>
    <x v="10"/>
    <s v="Xerox 195"/>
    <x v="1574"/>
    <n v="6"/>
    <n v="0"/>
    <n v="19.238399999999999"/>
  </r>
  <r>
    <n v="1847"/>
    <x v="602"/>
    <x v="3"/>
    <x v="9"/>
    <d v="2014-01-18T00:00:00"/>
    <n v="5"/>
    <x v="0"/>
    <s v="Dianna Arnett"/>
    <x v="2"/>
    <s v="United States"/>
    <s v="Washington"/>
    <s v="District of Columbia"/>
    <s v="East"/>
    <x v="0"/>
    <x v="5"/>
    <s v="Flat Face Poster Frame"/>
    <x v="1015"/>
    <n v="2"/>
    <n v="0"/>
    <n v="15.8256"/>
  </r>
  <r>
    <n v="1848"/>
    <x v="18"/>
    <x v="3"/>
    <x v="8"/>
    <d v="2014-09-11T00:00:00"/>
    <n v="0"/>
    <x v="3"/>
    <s v="Frank Hawley"/>
    <x v="1"/>
    <s v="United States"/>
    <s v="Los Angeles"/>
    <s v="California"/>
    <s v="West"/>
    <x v="0"/>
    <x v="1"/>
    <s v="DMI Arturo Collection Mission-style Design Wood Chair"/>
    <x v="1575"/>
    <n v="3"/>
    <n v="0.2"/>
    <n v="27.176400000000001"/>
  </r>
  <r>
    <n v="1849"/>
    <x v="18"/>
    <x v="3"/>
    <x v="8"/>
    <d v="2014-09-11T00:00:00"/>
    <n v="0"/>
    <x v="3"/>
    <s v="Frank Hawley"/>
    <x v="1"/>
    <s v="United States"/>
    <s v="Los Angeles"/>
    <s v="California"/>
    <s v="West"/>
    <x v="1"/>
    <x v="8"/>
    <s v="Avery Non-Stick Binders"/>
    <x v="1576"/>
    <n v="2"/>
    <n v="0.2"/>
    <n v="2.2450000000000001"/>
  </r>
  <r>
    <n v="1850"/>
    <x v="603"/>
    <x v="1"/>
    <x v="7"/>
    <d v="2012-07-25T00:00:00"/>
    <n v="5"/>
    <x v="0"/>
    <s v="Ralph Kennedy"/>
    <x v="0"/>
    <s v="United States"/>
    <s v="South Bend"/>
    <s v="Indiana"/>
    <s v="Central"/>
    <x v="1"/>
    <x v="4"/>
    <s v="Multi-Use Personal File Cart and Caster Set, Three Stacking Bins"/>
    <x v="1577"/>
    <n v="1"/>
    <n v="0"/>
    <n v="9.7327999999999992"/>
  </r>
  <r>
    <n v="1851"/>
    <x v="603"/>
    <x v="1"/>
    <x v="7"/>
    <d v="2012-07-25T00:00:00"/>
    <n v="5"/>
    <x v="0"/>
    <s v="Ralph Kennedy"/>
    <x v="0"/>
    <s v="United States"/>
    <s v="South Bend"/>
    <s v="Indiana"/>
    <s v="Central"/>
    <x v="2"/>
    <x v="11"/>
    <s v="Imation Bio 8GB USB Flash Drive Imation Corp"/>
    <x v="1578"/>
    <n v="5"/>
    <n v="0"/>
    <n v="124.68"/>
  </r>
  <r>
    <n v="1852"/>
    <x v="603"/>
    <x v="1"/>
    <x v="7"/>
    <d v="2012-07-25T00:00:00"/>
    <n v="5"/>
    <x v="0"/>
    <s v="Ralph Kennedy"/>
    <x v="0"/>
    <s v="United States"/>
    <s v="South Bend"/>
    <s v="Indiana"/>
    <s v="Central"/>
    <x v="1"/>
    <x v="10"/>
    <s v="Xerox 1981"/>
    <x v="1579"/>
    <n v="5"/>
    <n v="0"/>
    <n v="11.88"/>
  </r>
  <r>
    <n v="1853"/>
    <x v="603"/>
    <x v="1"/>
    <x v="7"/>
    <d v="2012-07-25T00:00:00"/>
    <n v="5"/>
    <x v="0"/>
    <s v="Ralph Kennedy"/>
    <x v="0"/>
    <s v="United States"/>
    <s v="South Bend"/>
    <s v="Indiana"/>
    <s v="Central"/>
    <x v="1"/>
    <x v="12"/>
    <s v="White Envelopes, White Envelopes with Clear Poly Window"/>
    <x v="1580"/>
    <n v="7"/>
    <n v="0"/>
    <n v="49.104999999999997"/>
  </r>
  <r>
    <n v="1854"/>
    <x v="603"/>
    <x v="1"/>
    <x v="7"/>
    <d v="2012-07-25T00:00:00"/>
    <n v="5"/>
    <x v="0"/>
    <s v="Ralph Kennedy"/>
    <x v="0"/>
    <s v="United States"/>
    <s v="South Bend"/>
    <s v="Indiana"/>
    <s v="Central"/>
    <x v="1"/>
    <x v="10"/>
    <s v="Tops White Computer Printout Paper"/>
    <x v="615"/>
    <n v="2"/>
    <n v="0"/>
    <n v="45.9754"/>
  </r>
  <r>
    <n v="1855"/>
    <x v="603"/>
    <x v="1"/>
    <x v="7"/>
    <d v="2012-07-25T00:00:00"/>
    <n v="5"/>
    <x v="0"/>
    <s v="Ralph Kennedy"/>
    <x v="0"/>
    <s v="United States"/>
    <s v="South Bend"/>
    <s v="Indiana"/>
    <s v="Central"/>
    <x v="1"/>
    <x v="4"/>
    <s v="Eldon Portable Mobile Manager"/>
    <x v="1581"/>
    <n v="5"/>
    <n v="0"/>
    <n v="38.177999999999997"/>
  </r>
  <r>
    <n v="1856"/>
    <x v="604"/>
    <x v="2"/>
    <x v="1"/>
    <d v="2011-06-17T00:00:00"/>
    <n v="4"/>
    <x v="1"/>
    <s v="Filia McAdams"/>
    <x v="1"/>
    <s v="United States"/>
    <s v="Los Angeles"/>
    <s v="California"/>
    <s v="West"/>
    <x v="1"/>
    <x v="6"/>
    <s v="Staples"/>
    <x v="1582"/>
    <n v="3"/>
    <n v="0"/>
    <n v="4.7915999999999999"/>
  </r>
  <r>
    <n v="1857"/>
    <x v="605"/>
    <x v="3"/>
    <x v="5"/>
    <d v="2014-05-16T00:00:00"/>
    <n v="3"/>
    <x v="0"/>
    <s v="Alyssa Crouse"/>
    <x v="1"/>
    <s v="United States"/>
    <s v="Houston"/>
    <s v="Texas"/>
    <s v="Central"/>
    <x v="1"/>
    <x v="4"/>
    <s v="Fellowes Bankers Box Stor/Drawer Steel Plus"/>
    <x v="1583"/>
    <n v="5"/>
    <n v="0.2"/>
    <n v="-15.99"/>
  </r>
  <r>
    <n v="1858"/>
    <x v="605"/>
    <x v="3"/>
    <x v="5"/>
    <d v="2014-05-16T00:00:00"/>
    <n v="3"/>
    <x v="0"/>
    <s v="Alyssa Crouse"/>
    <x v="1"/>
    <s v="United States"/>
    <s v="Houston"/>
    <s v="Texas"/>
    <s v="Central"/>
    <x v="1"/>
    <x v="8"/>
    <s v="Wilson Jones Elliptical Ring 3 1/2&quot; Capacity Binders, 800 sheets"/>
    <x v="1353"/>
    <n v="4"/>
    <n v="0.8"/>
    <n v="-53.072000000000003"/>
  </r>
  <r>
    <n v="1859"/>
    <x v="37"/>
    <x v="1"/>
    <x v="8"/>
    <d v="2012-09-05T00:00:00"/>
    <n v="2"/>
    <x v="2"/>
    <s v="Jennifer Braxton"/>
    <x v="1"/>
    <s v="United States"/>
    <s v="Bristol"/>
    <s v="Connecticut"/>
    <s v="East"/>
    <x v="1"/>
    <x v="9"/>
    <s v="Holmes Replacement Filter for HEPA Air Cleaner, Very Large Room, HEPA Filter"/>
    <x v="1584"/>
    <n v="2"/>
    <n v="0"/>
    <n v="60.552799999999998"/>
  </r>
  <r>
    <n v="1860"/>
    <x v="37"/>
    <x v="1"/>
    <x v="8"/>
    <d v="2012-09-05T00:00:00"/>
    <n v="2"/>
    <x v="2"/>
    <s v="Jennifer Braxton"/>
    <x v="1"/>
    <s v="United States"/>
    <s v="Bristol"/>
    <s v="Connecticut"/>
    <s v="East"/>
    <x v="2"/>
    <x v="7"/>
    <s v="Classic Ivory Antique Telephone ZL1810"/>
    <x v="1585"/>
    <n v="1"/>
    <n v="0"/>
    <n v="25.122499999999999"/>
  </r>
  <r>
    <n v="1861"/>
    <x v="606"/>
    <x v="3"/>
    <x v="10"/>
    <d v="2014-03-28T00:00:00"/>
    <n v="1"/>
    <x v="2"/>
    <s v="Gary McGarr"/>
    <x v="0"/>
    <s v="United States"/>
    <s v="New York City"/>
    <s v="New York"/>
    <s v="East"/>
    <x v="0"/>
    <x v="0"/>
    <s v="Sauder Forest Hills Library with Doors, Woodland Oak Finish"/>
    <x v="1586"/>
    <n v="2"/>
    <n v="0.2"/>
    <n v="-28.976400000000002"/>
  </r>
  <r>
    <n v="1862"/>
    <x v="606"/>
    <x v="3"/>
    <x v="10"/>
    <d v="2014-03-28T00:00:00"/>
    <n v="1"/>
    <x v="2"/>
    <s v="Gary McGarr"/>
    <x v="0"/>
    <s v="United States"/>
    <s v="New York City"/>
    <s v="New York"/>
    <s v="East"/>
    <x v="2"/>
    <x v="7"/>
    <s v="Nokia Lumia 521 (T-Mobile)"/>
    <x v="664"/>
    <n v="4"/>
    <n v="0"/>
    <n v="33.588799999999999"/>
  </r>
  <r>
    <n v="1863"/>
    <x v="607"/>
    <x v="2"/>
    <x v="0"/>
    <d v="2011-11-12T00:00:00"/>
    <n v="0"/>
    <x v="3"/>
    <s v="Roy Französisch"/>
    <x v="0"/>
    <s v="United States"/>
    <s v="San Antonio"/>
    <s v="Texas"/>
    <s v="Central"/>
    <x v="1"/>
    <x v="4"/>
    <s v="Personal Filing Tote with Lid, Black/Gray"/>
    <x v="1587"/>
    <n v="4"/>
    <n v="0.2"/>
    <n v="4.9631999999999996"/>
  </r>
  <r>
    <n v="1864"/>
    <x v="63"/>
    <x v="0"/>
    <x v="2"/>
    <d v="2013-10-18T00:00:00"/>
    <n v="4"/>
    <x v="1"/>
    <s v="Noah Childs"/>
    <x v="1"/>
    <s v="United States"/>
    <s v="Aurora"/>
    <s v="Colorado"/>
    <s v="West"/>
    <x v="0"/>
    <x v="3"/>
    <s v="Hon 5100 Series Wood Tables"/>
    <x v="1588"/>
    <n v="5"/>
    <n v="0.5"/>
    <n v="-465.56799999999998"/>
  </r>
  <r>
    <n v="1865"/>
    <x v="63"/>
    <x v="0"/>
    <x v="2"/>
    <d v="2013-10-18T00:00:00"/>
    <n v="4"/>
    <x v="1"/>
    <s v="Noah Childs"/>
    <x v="1"/>
    <s v="United States"/>
    <s v="Aurora"/>
    <s v="Colorado"/>
    <s v="West"/>
    <x v="0"/>
    <x v="5"/>
    <s v="Executive Impressions 8-1/2&quot; Career Panel/Partition Cubicle Clock"/>
    <x v="1589"/>
    <n v="3"/>
    <n v="0.2"/>
    <n v="4.3680000000000003"/>
  </r>
  <r>
    <n v="1866"/>
    <x v="105"/>
    <x v="3"/>
    <x v="0"/>
    <d v="2014-11-13T00:00:00"/>
    <n v="0"/>
    <x v="3"/>
    <s v="Nat Gilpin"/>
    <x v="1"/>
    <s v="United States"/>
    <s v="Newark"/>
    <s v="Ohio"/>
    <s v="East"/>
    <x v="2"/>
    <x v="7"/>
    <s v="Jabra SPEAK 410 Multidevice Speakerphone"/>
    <x v="1590"/>
    <n v="3"/>
    <n v="0.4"/>
    <n v="-92.695499999999996"/>
  </r>
  <r>
    <n v="1867"/>
    <x v="4"/>
    <x v="3"/>
    <x v="3"/>
    <d v="2014-04-19T00:00:00"/>
    <n v="3"/>
    <x v="2"/>
    <s v="Adam Hart"/>
    <x v="1"/>
    <s v="United States"/>
    <s v="Henderson"/>
    <s v="Nevada"/>
    <s v="West"/>
    <x v="0"/>
    <x v="5"/>
    <s v="Howard Miller 12&quot; Round Wall Clock"/>
    <x v="1591"/>
    <n v="5"/>
    <n v="0"/>
    <n v="70.721999999999994"/>
  </r>
  <r>
    <n v="1868"/>
    <x v="608"/>
    <x v="1"/>
    <x v="1"/>
    <d v="2012-07-01T00:00:00"/>
    <n v="6"/>
    <x v="1"/>
    <s v="Cathy Hwang"/>
    <x v="2"/>
    <s v="United States"/>
    <s v="Philadelphia"/>
    <s v="Pennsylvania"/>
    <s v="East"/>
    <x v="1"/>
    <x v="10"/>
    <s v="Xerox 211"/>
    <x v="276"/>
    <n v="6"/>
    <n v="0.2"/>
    <n v="10.8864"/>
  </r>
  <r>
    <n v="1869"/>
    <x v="608"/>
    <x v="1"/>
    <x v="1"/>
    <d v="2012-07-01T00:00:00"/>
    <n v="6"/>
    <x v="1"/>
    <s v="Cathy Hwang"/>
    <x v="2"/>
    <s v="United States"/>
    <s v="Philadelphia"/>
    <s v="Pennsylvania"/>
    <s v="East"/>
    <x v="1"/>
    <x v="4"/>
    <s v="Tennsco Industrial Shelving"/>
    <x v="1592"/>
    <n v="2"/>
    <n v="0.2"/>
    <n v="-17.607600000000001"/>
  </r>
  <r>
    <n v="1870"/>
    <x v="370"/>
    <x v="0"/>
    <x v="6"/>
    <d v="2013-08-30T00:00:00"/>
    <n v="3"/>
    <x v="0"/>
    <s v="Charles Crestani"/>
    <x v="0"/>
    <s v="United States"/>
    <s v="Seattle"/>
    <s v="Washington"/>
    <s v="West"/>
    <x v="1"/>
    <x v="10"/>
    <s v="Xerox 1931"/>
    <x v="90"/>
    <n v="1"/>
    <n v="0"/>
    <n v="3.1103999999999998"/>
  </r>
  <r>
    <n v="1871"/>
    <x v="609"/>
    <x v="2"/>
    <x v="7"/>
    <d v="2011-07-25T00:00:00"/>
    <n v="4"/>
    <x v="1"/>
    <s v="Michelle Ellison"/>
    <x v="1"/>
    <s v="United States"/>
    <s v="San Francisco"/>
    <s v="California"/>
    <s v="West"/>
    <x v="1"/>
    <x v="6"/>
    <s v="Newell 334"/>
    <x v="1593"/>
    <n v="5"/>
    <n v="0"/>
    <n v="25.792000000000002"/>
  </r>
  <r>
    <n v="1872"/>
    <x v="609"/>
    <x v="2"/>
    <x v="7"/>
    <d v="2011-07-25T00:00:00"/>
    <n v="4"/>
    <x v="1"/>
    <s v="Michelle Ellison"/>
    <x v="1"/>
    <s v="United States"/>
    <s v="San Francisco"/>
    <s v="California"/>
    <s v="West"/>
    <x v="0"/>
    <x v="1"/>
    <s v="Global Troy Executive Leather Low-Back Tilter"/>
    <x v="476"/>
    <n v="2"/>
    <n v="0.2"/>
    <n v="50.097999999999999"/>
  </r>
  <r>
    <n v="1873"/>
    <x v="609"/>
    <x v="2"/>
    <x v="7"/>
    <d v="2011-07-25T00:00:00"/>
    <n v="4"/>
    <x v="1"/>
    <s v="Michelle Ellison"/>
    <x v="1"/>
    <s v="United States"/>
    <s v="San Francisco"/>
    <s v="California"/>
    <s v="West"/>
    <x v="0"/>
    <x v="3"/>
    <s v="Hon 30&quot; x 60&quot; Table with Locking Drawer"/>
    <x v="1594"/>
    <n v="1"/>
    <n v="0.2"/>
    <n v="27.284800000000001"/>
  </r>
  <r>
    <n v="1874"/>
    <x v="610"/>
    <x v="3"/>
    <x v="0"/>
    <d v="2014-11-26T00:00:00"/>
    <n v="4"/>
    <x v="1"/>
    <s v="Benjamin Patterson"/>
    <x v="0"/>
    <s v="United States"/>
    <s v="Spokane"/>
    <s v="Washington"/>
    <s v="West"/>
    <x v="0"/>
    <x v="3"/>
    <s v="Safco Drafting Table"/>
    <x v="554"/>
    <n v="1"/>
    <n v="0"/>
    <n v="20.584199999999999"/>
  </r>
  <r>
    <n v="1875"/>
    <x v="611"/>
    <x v="2"/>
    <x v="1"/>
    <d v="2011-06-09T00:00:00"/>
    <n v="5"/>
    <x v="1"/>
    <s v="Mark Packer"/>
    <x v="2"/>
    <s v="United States"/>
    <s v="Columbus"/>
    <s v="Ohio"/>
    <s v="East"/>
    <x v="1"/>
    <x v="10"/>
    <s v="Staples"/>
    <x v="1595"/>
    <n v="2"/>
    <n v="0.2"/>
    <n v="5.8811999999999998"/>
  </r>
  <r>
    <n v="1876"/>
    <x v="612"/>
    <x v="0"/>
    <x v="10"/>
    <d v="2013-03-17T00:00:00"/>
    <n v="6"/>
    <x v="1"/>
    <s v="Caroline Jumper"/>
    <x v="0"/>
    <s v="United States"/>
    <s v="Long Beach"/>
    <s v="New York"/>
    <s v="East"/>
    <x v="0"/>
    <x v="0"/>
    <s v="O'Sullivan Living Dimensions 5-Shelf Bookcases"/>
    <x v="1596"/>
    <n v="1"/>
    <n v="0.2"/>
    <n v="-22.097999999999999"/>
  </r>
  <r>
    <n v="1877"/>
    <x v="613"/>
    <x v="3"/>
    <x v="10"/>
    <d v="2014-03-30T00:00:00"/>
    <n v="4"/>
    <x v="1"/>
    <s v="John Castell"/>
    <x v="0"/>
    <s v="United States"/>
    <s v="San Antonio"/>
    <s v="Texas"/>
    <s v="Central"/>
    <x v="2"/>
    <x v="7"/>
    <s v="Panasonic KX-TG9471B"/>
    <x v="549"/>
    <n v="3"/>
    <n v="0.2"/>
    <n v="47.037599999999998"/>
  </r>
  <r>
    <n v="1878"/>
    <x v="614"/>
    <x v="3"/>
    <x v="4"/>
    <d v="2015-01-03T00:00:00"/>
    <n v="4"/>
    <x v="1"/>
    <s v="James Galang"/>
    <x v="0"/>
    <s v="United States"/>
    <s v="Los Angeles"/>
    <s v="California"/>
    <s v="West"/>
    <x v="0"/>
    <x v="1"/>
    <s v="Global High-Back Leather Tilter, Burgundy"/>
    <x v="1597"/>
    <n v="4"/>
    <n v="0.2"/>
    <n v="-44.276400000000002"/>
  </r>
  <r>
    <n v="1879"/>
    <x v="614"/>
    <x v="3"/>
    <x v="4"/>
    <d v="2015-01-03T00:00:00"/>
    <n v="4"/>
    <x v="1"/>
    <s v="James Galang"/>
    <x v="0"/>
    <s v="United States"/>
    <s v="Los Angeles"/>
    <s v="California"/>
    <s v="West"/>
    <x v="2"/>
    <x v="7"/>
    <s v="Adtran 1202752G1"/>
    <x v="214"/>
    <n v="3"/>
    <n v="0.2"/>
    <n v="22.6782"/>
  </r>
  <r>
    <n v="1880"/>
    <x v="615"/>
    <x v="3"/>
    <x v="10"/>
    <d v="2014-04-03T00:00:00"/>
    <n v="5"/>
    <x v="1"/>
    <s v="Cyma Kinney"/>
    <x v="1"/>
    <s v="United States"/>
    <s v="Jacksonville"/>
    <s v="Florida"/>
    <s v="South"/>
    <x v="1"/>
    <x v="8"/>
    <s v="Canvas Sectional Post Binders"/>
    <x v="1598"/>
    <n v="9"/>
    <n v="0.7"/>
    <n v="-48.119399999999999"/>
  </r>
  <r>
    <n v="1881"/>
    <x v="616"/>
    <x v="1"/>
    <x v="10"/>
    <d v="2012-03-05T00:00:00"/>
    <n v="0"/>
    <x v="3"/>
    <s v="Luke Foster"/>
    <x v="0"/>
    <s v="United States"/>
    <s v="New York City"/>
    <s v="New York"/>
    <s v="East"/>
    <x v="1"/>
    <x v="12"/>
    <s v="Staples"/>
    <x v="1599"/>
    <n v="3"/>
    <n v="0"/>
    <n v="14.67"/>
  </r>
  <r>
    <n v="1882"/>
    <x v="616"/>
    <x v="1"/>
    <x v="10"/>
    <d v="2012-03-05T00:00:00"/>
    <n v="0"/>
    <x v="3"/>
    <s v="Luke Foster"/>
    <x v="0"/>
    <s v="United States"/>
    <s v="New York City"/>
    <s v="New York"/>
    <s v="East"/>
    <x v="0"/>
    <x v="1"/>
    <s v="Global Value Mid-Back Manager's Chair, Gray"/>
    <x v="1600"/>
    <n v="7"/>
    <n v="0.1"/>
    <n v="63.9345"/>
  </r>
  <r>
    <n v="1883"/>
    <x v="616"/>
    <x v="1"/>
    <x v="10"/>
    <d v="2012-03-05T00:00:00"/>
    <n v="0"/>
    <x v="3"/>
    <s v="Luke Foster"/>
    <x v="0"/>
    <s v="United States"/>
    <s v="New York City"/>
    <s v="New York"/>
    <s v="East"/>
    <x v="1"/>
    <x v="4"/>
    <s v="Fellowes Strictly Business Drawer File, Letter/Legal Size"/>
    <x v="1601"/>
    <n v="4"/>
    <n v="0"/>
    <n v="67.608000000000004"/>
  </r>
  <r>
    <n v="1884"/>
    <x v="373"/>
    <x v="0"/>
    <x v="0"/>
    <d v="2013-11-18T00:00:00"/>
    <n v="4"/>
    <x v="1"/>
    <s v="Chuck Clark"/>
    <x v="2"/>
    <s v="United States"/>
    <s v="Philadelphia"/>
    <s v="Pennsylvania"/>
    <s v="East"/>
    <x v="1"/>
    <x v="10"/>
    <s v="White Computer Printout Paper by Universal"/>
    <x v="1602"/>
    <n v="7"/>
    <n v="0.2"/>
    <n v="78.6828"/>
  </r>
  <r>
    <n v="1885"/>
    <x v="617"/>
    <x v="3"/>
    <x v="9"/>
    <d v="2014-01-24T00:00:00"/>
    <n v="4"/>
    <x v="0"/>
    <s v="Dan Lawera"/>
    <x v="0"/>
    <s v="United States"/>
    <s v="Keller"/>
    <s v="Texas"/>
    <s v="Central"/>
    <x v="1"/>
    <x v="2"/>
    <s v="Avery 510"/>
    <x v="1603"/>
    <n v="2"/>
    <n v="0.2"/>
    <n v="2.1"/>
  </r>
  <r>
    <n v="1886"/>
    <x v="183"/>
    <x v="0"/>
    <x v="3"/>
    <d v="2013-04-27T00:00:00"/>
    <n v="4"/>
    <x v="0"/>
    <s v="Paul Gonzalez"/>
    <x v="0"/>
    <s v="United States"/>
    <s v="San Francisco"/>
    <s v="California"/>
    <s v="West"/>
    <x v="0"/>
    <x v="5"/>
    <s v="Ultra Door Pull Handle"/>
    <x v="610"/>
    <n v="3"/>
    <n v="0"/>
    <n v="10.4148"/>
  </r>
  <r>
    <n v="1887"/>
    <x v="8"/>
    <x v="2"/>
    <x v="5"/>
    <d v="2011-05-15T00:00:00"/>
    <n v="2"/>
    <x v="2"/>
    <s v="Erica Hernandez"/>
    <x v="2"/>
    <s v="United States"/>
    <s v="Hialeah"/>
    <s v="Florida"/>
    <s v="South"/>
    <x v="1"/>
    <x v="13"/>
    <s v="Staples"/>
    <x v="1604"/>
    <n v="2"/>
    <n v="0.2"/>
    <n v="2.3976000000000002"/>
  </r>
  <r>
    <n v="1888"/>
    <x v="8"/>
    <x v="2"/>
    <x v="5"/>
    <d v="2011-05-15T00:00:00"/>
    <n v="2"/>
    <x v="2"/>
    <s v="Erica Hernandez"/>
    <x v="2"/>
    <s v="United States"/>
    <s v="Hialeah"/>
    <s v="Florida"/>
    <s v="South"/>
    <x v="1"/>
    <x v="8"/>
    <s v="GBC DocuBind P100 Manual Binding Machine"/>
    <x v="1104"/>
    <n v="8"/>
    <n v="0.7"/>
    <n v="-331.96"/>
  </r>
  <r>
    <n v="1889"/>
    <x v="618"/>
    <x v="2"/>
    <x v="2"/>
    <d v="2011-10-22T00:00:00"/>
    <n v="1"/>
    <x v="2"/>
    <s v="Tracy Blumstein"/>
    <x v="0"/>
    <s v="United States"/>
    <s v="Fairfield"/>
    <s v="Ohio"/>
    <s v="East"/>
    <x v="1"/>
    <x v="9"/>
    <s v="Fellowes Superior 10 Outlet Split Surge Protector"/>
    <x v="1605"/>
    <n v="4"/>
    <n v="0.2"/>
    <n v="13.701599999999999"/>
  </r>
  <r>
    <n v="1890"/>
    <x v="618"/>
    <x v="2"/>
    <x v="2"/>
    <d v="2011-10-22T00:00:00"/>
    <n v="1"/>
    <x v="2"/>
    <s v="Tracy Blumstein"/>
    <x v="0"/>
    <s v="United States"/>
    <s v="Fairfield"/>
    <s v="Ohio"/>
    <s v="East"/>
    <x v="0"/>
    <x v="3"/>
    <s v="Hon Practical Foundations 30 x 60 Training Table, Light Gray/Charcoal"/>
    <x v="1606"/>
    <n v="3"/>
    <n v="0.4"/>
    <n v="-122.877"/>
  </r>
  <r>
    <n v="1891"/>
    <x v="619"/>
    <x v="2"/>
    <x v="10"/>
    <d v="2011-03-18T00:00:00"/>
    <n v="4"/>
    <x v="1"/>
    <s v="Dean Katz"/>
    <x v="1"/>
    <s v="United States"/>
    <s v="Huntington Beach"/>
    <s v="California"/>
    <s v="West"/>
    <x v="1"/>
    <x v="10"/>
    <s v="Xerox 1972"/>
    <x v="232"/>
    <n v="2"/>
    <n v="0"/>
    <n v="4.7519999999999998"/>
  </r>
  <r>
    <n v="1892"/>
    <x v="619"/>
    <x v="2"/>
    <x v="10"/>
    <d v="2011-03-18T00:00:00"/>
    <n v="4"/>
    <x v="1"/>
    <s v="Dean Katz"/>
    <x v="1"/>
    <s v="United States"/>
    <s v="Huntington Beach"/>
    <s v="California"/>
    <s v="West"/>
    <x v="1"/>
    <x v="6"/>
    <s v="Avery Hi-Liter Fluorescent Desk Style Markers"/>
    <x v="1607"/>
    <n v="1"/>
    <n v="0"/>
    <n v="1.2505999999999999"/>
  </r>
  <r>
    <n v="1893"/>
    <x v="66"/>
    <x v="3"/>
    <x v="4"/>
    <d v="2014-12-25T00:00:00"/>
    <n v="2"/>
    <x v="0"/>
    <s v="Jeremy Pistek"/>
    <x v="0"/>
    <s v="United States"/>
    <s v="Port Orange"/>
    <s v="Florida"/>
    <s v="South"/>
    <x v="1"/>
    <x v="12"/>
    <s v="Staples"/>
    <x v="1608"/>
    <n v="1"/>
    <n v="0.2"/>
    <n v="2.9340000000000002"/>
  </r>
  <r>
    <n v="1894"/>
    <x v="390"/>
    <x v="0"/>
    <x v="0"/>
    <d v="2013-11-30T00:00:00"/>
    <n v="5"/>
    <x v="1"/>
    <s v="Carol Darley"/>
    <x v="0"/>
    <s v="United States"/>
    <s v="Medford"/>
    <s v="Oregon"/>
    <s v="West"/>
    <x v="1"/>
    <x v="10"/>
    <s v="IBM Multi-Purpose Copy Paper, 8 1/2 x 11&quot;, Case"/>
    <x v="1609"/>
    <n v="1"/>
    <n v="0.2"/>
    <n v="7.7450000000000001"/>
  </r>
  <r>
    <n v="1895"/>
    <x v="574"/>
    <x v="3"/>
    <x v="4"/>
    <d v="2014-12-06T00:00:00"/>
    <n v="3"/>
    <x v="2"/>
    <s v="Adam Shillingsburg"/>
    <x v="0"/>
    <s v="United States"/>
    <s v="Charlottesville"/>
    <s v="Virginia"/>
    <s v="South"/>
    <x v="1"/>
    <x v="6"/>
    <s v="Newell 309"/>
    <x v="1610"/>
    <n v="3"/>
    <n v="0"/>
    <n v="10.395"/>
  </r>
  <r>
    <n v="1896"/>
    <x v="620"/>
    <x v="1"/>
    <x v="4"/>
    <d v="2013-01-04T00:00:00"/>
    <n v="4"/>
    <x v="1"/>
    <s v="Jas O'Carroll"/>
    <x v="0"/>
    <s v="United States"/>
    <s v="Missoula"/>
    <s v="Montana"/>
    <s v="West"/>
    <x v="1"/>
    <x v="8"/>
    <s v="Ibico Hi-Tech Manual Binding System"/>
    <x v="1611"/>
    <n v="2"/>
    <n v="0.2"/>
    <n v="152.495"/>
  </r>
  <r>
    <n v="1897"/>
    <x v="621"/>
    <x v="3"/>
    <x v="2"/>
    <d v="2014-10-07T00:00:00"/>
    <n v="3"/>
    <x v="2"/>
    <s v="Amy Cox"/>
    <x v="0"/>
    <s v="United States"/>
    <s v="Minneapolis"/>
    <s v="Minnesota"/>
    <s v="Central"/>
    <x v="1"/>
    <x v="8"/>
    <s v="GBC DocuBind TL300 Electric Binding System"/>
    <x v="1612"/>
    <n v="2"/>
    <n v="0"/>
    <n v="843.17060000000004"/>
  </r>
  <r>
    <n v="1898"/>
    <x v="550"/>
    <x v="2"/>
    <x v="6"/>
    <d v="2011-09-02T00:00:00"/>
    <n v="4"/>
    <x v="0"/>
    <s v="Ryan Akin"/>
    <x v="0"/>
    <s v="United States"/>
    <s v="Miami"/>
    <s v="Florida"/>
    <s v="South"/>
    <x v="1"/>
    <x v="12"/>
    <s v="Jiffy Padded Mailers with Self-Seal Closure"/>
    <x v="1613"/>
    <n v="2"/>
    <n v="0.2"/>
    <n v="10.805400000000001"/>
  </r>
  <r>
    <n v="1899"/>
    <x v="550"/>
    <x v="2"/>
    <x v="6"/>
    <d v="2011-09-02T00:00:00"/>
    <n v="4"/>
    <x v="0"/>
    <s v="Ryan Akin"/>
    <x v="0"/>
    <s v="United States"/>
    <s v="Miami"/>
    <s v="Florida"/>
    <s v="South"/>
    <x v="1"/>
    <x v="8"/>
    <s v="GBC DocuBind 200 Manual Binding Machine"/>
    <x v="1614"/>
    <n v="4"/>
    <n v="0.7"/>
    <n v="-336.78399999999999"/>
  </r>
  <r>
    <n v="1900"/>
    <x v="550"/>
    <x v="2"/>
    <x v="6"/>
    <d v="2011-09-02T00:00:00"/>
    <n v="4"/>
    <x v="0"/>
    <s v="Ryan Akin"/>
    <x v="0"/>
    <s v="United States"/>
    <s v="Miami"/>
    <s v="Florida"/>
    <s v="South"/>
    <x v="0"/>
    <x v="3"/>
    <s v="Balt Solid Wood Rectangular Table"/>
    <x v="1615"/>
    <n v="3"/>
    <n v="0.45"/>
    <n v="-110.7645"/>
  </r>
  <r>
    <n v="1901"/>
    <x v="622"/>
    <x v="0"/>
    <x v="1"/>
    <d v="2013-07-04T00:00:00"/>
    <n v="4"/>
    <x v="0"/>
    <s v="Corey-Lock"/>
    <x v="0"/>
    <s v="United States"/>
    <s v="Florence"/>
    <s v="South Carolina"/>
    <s v="South"/>
    <x v="1"/>
    <x v="4"/>
    <s v="Fellowes Bankers Box Stor/Drawer Steel Plus"/>
    <x v="1616"/>
    <n v="6"/>
    <n v="0"/>
    <n v="19.187999999999999"/>
  </r>
  <r>
    <n v="1902"/>
    <x v="623"/>
    <x v="0"/>
    <x v="6"/>
    <d v="2013-08-24T00:00:00"/>
    <n v="3"/>
    <x v="2"/>
    <s v="Dianna Wilson"/>
    <x v="2"/>
    <s v="United States"/>
    <s v="Detroit"/>
    <s v="Michigan"/>
    <s v="Central"/>
    <x v="2"/>
    <x v="7"/>
    <s v="SKILCRAFT Telephone Shoulder Rest, 2&quot; x 6.5&quot; x 2.5&quot;, Black"/>
    <x v="1617"/>
    <n v="2"/>
    <n v="0"/>
    <n v="3.9906000000000001"/>
  </r>
  <r>
    <n v="1903"/>
    <x v="208"/>
    <x v="3"/>
    <x v="2"/>
    <d v="2014-10-23T00:00:00"/>
    <n v="1"/>
    <x v="2"/>
    <s v="Damala Kotsonis"/>
    <x v="1"/>
    <s v="United States"/>
    <s v="Springfield"/>
    <s v="Oregon"/>
    <s v="West"/>
    <x v="1"/>
    <x v="10"/>
    <s v="Xerox 218"/>
    <x v="1170"/>
    <n v="1"/>
    <n v="0.2"/>
    <n v="1.8144"/>
  </r>
  <r>
    <n v="1904"/>
    <x v="208"/>
    <x v="3"/>
    <x v="2"/>
    <d v="2014-10-23T00:00:00"/>
    <n v="1"/>
    <x v="2"/>
    <s v="Damala Kotsonis"/>
    <x v="1"/>
    <s v="United States"/>
    <s v="Springfield"/>
    <s v="Oregon"/>
    <s v="West"/>
    <x v="0"/>
    <x v="1"/>
    <s v="Global Comet Stacking Armless Chair"/>
    <x v="1618"/>
    <n v="2"/>
    <n v="0.2"/>
    <n v="47.847999999999999"/>
  </r>
  <r>
    <n v="1905"/>
    <x v="208"/>
    <x v="3"/>
    <x v="2"/>
    <d v="2014-10-23T00:00:00"/>
    <n v="1"/>
    <x v="2"/>
    <s v="Damala Kotsonis"/>
    <x v="1"/>
    <s v="United States"/>
    <s v="Springfield"/>
    <s v="Oregon"/>
    <s v="West"/>
    <x v="2"/>
    <x v="11"/>
    <s v="Memorex Froggy Flash Drive 8 GB"/>
    <x v="158"/>
    <n v="2"/>
    <n v="0.2"/>
    <n v="6.7450000000000001"/>
  </r>
  <r>
    <n v="1906"/>
    <x v="208"/>
    <x v="3"/>
    <x v="2"/>
    <d v="2014-10-25T00:00:00"/>
    <n v="3"/>
    <x v="2"/>
    <s v="Michael Dominguez"/>
    <x v="1"/>
    <s v="United States"/>
    <s v="Indianapolis"/>
    <s v="Indiana"/>
    <s v="Central"/>
    <x v="1"/>
    <x v="4"/>
    <s v="SAFCO Boltless Steel Shelving"/>
    <x v="1619"/>
    <n v="8"/>
    <n v="0"/>
    <n v="9.0912000000000006"/>
  </r>
  <r>
    <n v="1907"/>
    <x v="624"/>
    <x v="0"/>
    <x v="5"/>
    <d v="2013-05-22T00:00:00"/>
    <n v="4"/>
    <x v="1"/>
    <s v="Roy Phan"/>
    <x v="1"/>
    <s v="United States"/>
    <s v="Apopka"/>
    <s v="Florida"/>
    <s v="South"/>
    <x v="1"/>
    <x v="8"/>
    <s v="Pressboard Hanging Data Binders for Unburst Sheets"/>
    <x v="1620"/>
    <n v="2"/>
    <n v="0.7"/>
    <n v="-2.1648000000000001"/>
  </r>
  <r>
    <n v="1908"/>
    <x v="624"/>
    <x v="0"/>
    <x v="5"/>
    <d v="2013-05-22T00:00:00"/>
    <n v="4"/>
    <x v="1"/>
    <s v="Roy Phan"/>
    <x v="1"/>
    <s v="United States"/>
    <s v="Apopka"/>
    <s v="Florida"/>
    <s v="South"/>
    <x v="1"/>
    <x v="8"/>
    <s v="GBC Prepunched Paper, 19-Hole, for Binding Systems, 24-lb"/>
    <x v="1621"/>
    <n v="6"/>
    <n v="0.7"/>
    <n v="-21.6144"/>
  </r>
  <r>
    <n v="1909"/>
    <x v="302"/>
    <x v="1"/>
    <x v="11"/>
    <d v="2012-02-04T00:00:00"/>
    <n v="1"/>
    <x v="2"/>
    <s v="Rick Wilson"/>
    <x v="1"/>
    <s v="United States"/>
    <s v="Los Angeles"/>
    <s v="California"/>
    <s v="West"/>
    <x v="0"/>
    <x v="5"/>
    <s v="Hand-Finished Solid Wood Document Frame"/>
    <x v="1622"/>
    <n v="4"/>
    <n v="0"/>
    <n v="41.076000000000001"/>
  </r>
  <r>
    <n v="1910"/>
    <x v="404"/>
    <x v="3"/>
    <x v="4"/>
    <d v="2014-12-24T00:00:00"/>
    <n v="5"/>
    <x v="1"/>
    <s v="Duane Benoit"/>
    <x v="0"/>
    <s v="United States"/>
    <s v="Oceanside"/>
    <s v="New York"/>
    <s v="East"/>
    <x v="0"/>
    <x v="5"/>
    <s v="DAX Charcoal/Nickel-Tone Document Frame, 5 x 7"/>
    <x v="1623"/>
    <n v="2"/>
    <n v="0"/>
    <n v="8.532"/>
  </r>
  <r>
    <n v="1911"/>
    <x v="625"/>
    <x v="0"/>
    <x v="0"/>
    <d v="2013-11-23T00:00:00"/>
    <n v="7"/>
    <x v="1"/>
    <s v="Stewart Carmichael"/>
    <x v="1"/>
    <s v="United States"/>
    <s v="Los Angeles"/>
    <s v="California"/>
    <s v="West"/>
    <x v="2"/>
    <x v="11"/>
    <s v="Imation 16GB Mini TravelDrive USB 2.0 Flash Drive"/>
    <x v="637"/>
    <n v="3"/>
    <n v="0"/>
    <n v="40.749899999999997"/>
  </r>
  <r>
    <n v="1912"/>
    <x v="445"/>
    <x v="3"/>
    <x v="7"/>
    <d v="2014-07-07T00:00:00"/>
    <n v="3"/>
    <x v="0"/>
    <s v="Frank Hawley"/>
    <x v="1"/>
    <s v="United States"/>
    <s v="Houston"/>
    <s v="Texas"/>
    <s v="Central"/>
    <x v="1"/>
    <x v="10"/>
    <s v="Xerox 1891"/>
    <x v="1624"/>
    <n v="7"/>
    <n v="0.2"/>
    <n v="92.439899999999994"/>
  </r>
  <r>
    <n v="1913"/>
    <x v="445"/>
    <x v="3"/>
    <x v="7"/>
    <d v="2014-07-07T00:00:00"/>
    <n v="3"/>
    <x v="0"/>
    <s v="Frank Hawley"/>
    <x v="1"/>
    <s v="United States"/>
    <s v="Houston"/>
    <s v="Texas"/>
    <s v="Central"/>
    <x v="2"/>
    <x v="15"/>
    <s v="Hewlett-Packard Deskjet 5550 Printer"/>
    <x v="1625"/>
    <n v="3"/>
    <n v="0.4"/>
    <n v="49.761000000000003"/>
  </r>
  <r>
    <n v="1914"/>
    <x v="626"/>
    <x v="2"/>
    <x v="9"/>
    <d v="2011-01-18T00:00:00"/>
    <n v="2"/>
    <x v="2"/>
    <s v="Erica Hackney"/>
    <x v="0"/>
    <s v="United States"/>
    <s v="Roswell"/>
    <s v="Georgia"/>
    <s v="South"/>
    <x v="2"/>
    <x v="11"/>
    <s v="Logitech 910-002974 M325 Wireless Mouse for Web Scrolling"/>
    <x v="179"/>
    <n v="5"/>
    <n v="0"/>
    <n v="65.977999999999994"/>
  </r>
  <r>
    <n v="1915"/>
    <x v="504"/>
    <x v="3"/>
    <x v="5"/>
    <d v="2014-05-06T00:00:00"/>
    <n v="5"/>
    <x v="1"/>
    <s v="Ann Steele"/>
    <x v="2"/>
    <s v="United States"/>
    <s v="Boynton Beach"/>
    <s v="Florida"/>
    <s v="South"/>
    <x v="1"/>
    <x v="2"/>
    <s v="Avery 474"/>
    <x v="871"/>
    <n v="2"/>
    <n v="0.2"/>
    <n v="1.6704000000000001"/>
  </r>
  <r>
    <n v="1916"/>
    <x v="504"/>
    <x v="3"/>
    <x v="5"/>
    <d v="2014-05-06T00:00:00"/>
    <n v="5"/>
    <x v="1"/>
    <s v="Ann Steele"/>
    <x v="2"/>
    <s v="United States"/>
    <s v="Boynton Beach"/>
    <s v="Florida"/>
    <s v="South"/>
    <x v="1"/>
    <x v="6"/>
    <s v="Staples"/>
    <x v="1626"/>
    <n v="3"/>
    <n v="0.2"/>
    <n v="4.8525"/>
  </r>
  <r>
    <n v="1917"/>
    <x v="504"/>
    <x v="3"/>
    <x v="5"/>
    <d v="2014-05-06T00:00:00"/>
    <n v="5"/>
    <x v="1"/>
    <s v="Ann Steele"/>
    <x v="2"/>
    <s v="United States"/>
    <s v="Boynton Beach"/>
    <s v="Florida"/>
    <s v="South"/>
    <x v="1"/>
    <x v="2"/>
    <s v="Avery 499"/>
    <x v="1627"/>
    <n v="3"/>
    <n v="0.2"/>
    <n v="3.8843999999999999"/>
  </r>
  <r>
    <n v="1918"/>
    <x v="627"/>
    <x v="1"/>
    <x v="0"/>
    <d v="2012-11-14T00:00:00"/>
    <n v="6"/>
    <x v="1"/>
    <s v="Helen Abelman"/>
    <x v="0"/>
    <s v="United States"/>
    <s v="Franklin"/>
    <s v="Massachusetts"/>
    <s v="East"/>
    <x v="1"/>
    <x v="6"/>
    <s v="American Pencil"/>
    <x v="1628"/>
    <n v="5"/>
    <n v="0"/>
    <n v="3.3784999999999998"/>
  </r>
  <r>
    <n v="1919"/>
    <x v="628"/>
    <x v="1"/>
    <x v="2"/>
    <d v="2012-11-01T00:00:00"/>
    <n v="2"/>
    <x v="0"/>
    <s v="Cathy Hwang"/>
    <x v="2"/>
    <s v="United States"/>
    <s v="Detroit"/>
    <s v="Michigan"/>
    <s v="Central"/>
    <x v="2"/>
    <x v="7"/>
    <s v="Panasonic KX T7736-B Digital phone"/>
    <x v="1629"/>
    <n v="2"/>
    <n v="0"/>
    <n v="74.974999999999994"/>
  </r>
  <r>
    <n v="1920"/>
    <x v="629"/>
    <x v="3"/>
    <x v="6"/>
    <d v="2014-08-20T00:00:00"/>
    <n v="2"/>
    <x v="2"/>
    <s v="Edward Hooks"/>
    <x v="1"/>
    <s v="United States"/>
    <s v="Watertown"/>
    <s v="New York"/>
    <s v="East"/>
    <x v="1"/>
    <x v="8"/>
    <s v="GBC DocuBind TL200 Manual Binding Machine"/>
    <x v="1630"/>
    <n v="5"/>
    <n v="0.2"/>
    <n v="302.37299999999999"/>
  </r>
  <r>
    <n v="1921"/>
    <x v="629"/>
    <x v="3"/>
    <x v="6"/>
    <d v="2014-08-20T00:00:00"/>
    <n v="2"/>
    <x v="2"/>
    <s v="Edward Hooks"/>
    <x v="1"/>
    <s v="United States"/>
    <s v="Watertown"/>
    <s v="New York"/>
    <s v="East"/>
    <x v="0"/>
    <x v="1"/>
    <s v="Global Commerce Series Low-Back Swivel/Tilt Chairs"/>
    <x v="1631"/>
    <n v="2"/>
    <n v="0.1"/>
    <n v="97.6524"/>
  </r>
  <r>
    <n v="1922"/>
    <x v="292"/>
    <x v="1"/>
    <x v="2"/>
    <d v="2012-10-09T00:00:00"/>
    <n v="6"/>
    <x v="1"/>
    <s v="Mary Zewe"/>
    <x v="1"/>
    <s v="United States"/>
    <s v="Reading"/>
    <s v="Pennsylvania"/>
    <s v="East"/>
    <x v="1"/>
    <x v="4"/>
    <s v="Staples"/>
    <x v="1632"/>
    <n v="2"/>
    <n v="0.2"/>
    <n v="1.5007999999999999"/>
  </r>
  <r>
    <n v="1923"/>
    <x v="630"/>
    <x v="0"/>
    <x v="7"/>
    <d v="2013-07-11T00:00:00"/>
    <n v="2"/>
    <x v="0"/>
    <s v="Scot Coram"/>
    <x v="1"/>
    <s v="United States"/>
    <s v="Arlington"/>
    <s v="Texas"/>
    <s v="Central"/>
    <x v="2"/>
    <x v="7"/>
    <s v="Cisco SPA 502G IP Phone"/>
    <x v="1633"/>
    <n v="9"/>
    <n v="0.2"/>
    <n v="107.955"/>
  </r>
  <r>
    <n v="1924"/>
    <x v="630"/>
    <x v="0"/>
    <x v="7"/>
    <d v="2013-07-11T00:00:00"/>
    <n v="2"/>
    <x v="0"/>
    <s v="Scot Coram"/>
    <x v="1"/>
    <s v="United States"/>
    <s v="Arlington"/>
    <s v="Texas"/>
    <s v="Central"/>
    <x v="1"/>
    <x v="6"/>
    <s v="Newell 345"/>
    <x v="1634"/>
    <n v="3"/>
    <n v="0.2"/>
    <n v="3.5712000000000002"/>
  </r>
  <r>
    <n v="1925"/>
    <x v="256"/>
    <x v="3"/>
    <x v="4"/>
    <d v="2014-12-08T00:00:00"/>
    <n v="2"/>
    <x v="0"/>
    <s v="Naresj Patel"/>
    <x v="0"/>
    <s v="United States"/>
    <s v="San Diego"/>
    <s v="California"/>
    <s v="West"/>
    <x v="1"/>
    <x v="10"/>
    <s v="Xerox 1960"/>
    <x v="1635"/>
    <n v="3"/>
    <n v="0"/>
    <n v="41.823"/>
  </r>
  <r>
    <n v="1926"/>
    <x v="631"/>
    <x v="3"/>
    <x v="10"/>
    <d v="2014-03-14T00:00:00"/>
    <n v="4"/>
    <x v="1"/>
    <s v="Lindsay Williams"/>
    <x v="1"/>
    <s v="United States"/>
    <s v="San Francisco"/>
    <s v="California"/>
    <s v="West"/>
    <x v="2"/>
    <x v="11"/>
    <s v="Logitech Wireless Headset h800"/>
    <x v="1636"/>
    <n v="2"/>
    <n v="0"/>
    <n v="69.992999999999995"/>
  </r>
  <r>
    <n v="1927"/>
    <x v="632"/>
    <x v="0"/>
    <x v="1"/>
    <d v="2013-06-16T00:00:00"/>
    <n v="6"/>
    <x v="1"/>
    <s v="Greg Matthias"/>
    <x v="0"/>
    <s v="United States"/>
    <s v="Los Angeles"/>
    <s v="California"/>
    <s v="West"/>
    <x v="2"/>
    <x v="7"/>
    <s v="Avaya 4621SW VoIP phone"/>
    <x v="1637"/>
    <n v="3"/>
    <n v="0.2"/>
    <n v="19.9665"/>
  </r>
  <r>
    <n v="1928"/>
    <x v="354"/>
    <x v="3"/>
    <x v="0"/>
    <d v="2014-12-02T00:00:00"/>
    <n v="3"/>
    <x v="2"/>
    <s v="Rick Hansen"/>
    <x v="0"/>
    <s v="United States"/>
    <s v="Denver"/>
    <s v="Colorado"/>
    <s v="West"/>
    <x v="1"/>
    <x v="10"/>
    <s v="Eaton Premium Continuous-Feed Paper, 25% Cotton, Letter Size, White, 1000 Shts/Box"/>
    <x v="1638"/>
    <n v="2"/>
    <n v="0.2"/>
    <n v="31.0688"/>
  </r>
  <r>
    <n v="1929"/>
    <x v="633"/>
    <x v="3"/>
    <x v="10"/>
    <d v="2014-03-19T00:00:00"/>
    <n v="2"/>
    <x v="0"/>
    <s v="Valerie Mitchum"/>
    <x v="2"/>
    <s v="United States"/>
    <s v="Seattle"/>
    <s v="Washington"/>
    <s v="West"/>
    <x v="1"/>
    <x v="10"/>
    <s v="Xerox 214"/>
    <x v="90"/>
    <n v="1"/>
    <n v="0"/>
    <n v="3.1103999999999998"/>
  </r>
  <r>
    <n v="1930"/>
    <x v="633"/>
    <x v="3"/>
    <x v="10"/>
    <d v="2014-03-19T00:00:00"/>
    <n v="2"/>
    <x v="0"/>
    <s v="Valerie Mitchum"/>
    <x v="2"/>
    <s v="United States"/>
    <s v="Seattle"/>
    <s v="Washington"/>
    <s v="West"/>
    <x v="1"/>
    <x v="4"/>
    <s v="Safco Commercial Shelving"/>
    <x v="1639"/>
    <n v="1"/>
    <n v="0"/>
    <n v="1.8604000000000001"/>
  </r>
  <r>
    <n v="1931"/>
    <x v="633"/>
    <x v="3"/>
    <x v="10"/>
    <d v="2014-03-19T00:00:00"/>
    <n v="2"/>
    <x v="0"/>
    <s v="Valerie Mitchum"/>
    <x v="2"/>
    <s v="United States"/>
    <s v="Seattle"/>
    <s v="Washington"/>
    <s v="West"/>
    <x v="2"/>
    <x v="7"/>
    <s v="Mitel MiVoice 5330e IP Phone"/>
    <x v="1640"/>
    <n v="3"/>
    <n v="0.2"/>
    <n v="49.498199999999997"/>
  </r>
  <r>
    <n v="1932"/>
    <x v="581"/>
    <x v="0"/>
    <x v="0"/>
    <d v="2013-11-30T00:00:00"/>
    <n v="2"/>
    <x v="0"/>
    <s v="Craig Carreira"/>
    <x v="0"/>
    <s v="United States"/>
    <s v="Scottsdale"/>
    <s v="Arizona"/>
    <s v="West"/>
    <x v="2"/>
    <x v="7"/>
    <s v="Motorola Moto X"/>
    <x v="1641"/>
    <n v="1"/>
    <n v="0.2"/>
    <n v="23.799299999999999"/>
  </r>
  <r>
    <n v="1933"/>
    <x v="634"/>
    <x v="3"/>
    <x v="6"/>
    <d v="2014-08-11T00:00:00"/>
    <n v="4"/>
    <x v="0"/>
    <s v="Seth Vernon"/>
    <x v="0"/>
    <s v="United States"/>
    <s v="Lafayette"/>
    <s v="Louisiana"/>
    <s v="South"/>
    <x v="0"/>
    <x v="0"/>
    <s v="O'Sullivan 2-Shelf Heavy-Duty Bookcases"/>
    <x v="1642"/>
    <n v="3"/>
    <n v="0"/>
    <n v="23.3184"/>
  </r>
  <r>
    <n v="1934"/>
    <x v="634"/>
    <x v="3"/>
    <x v="6"/>
    <d v="2014-08-11T00:00:00"/>
    <n v="4"/>
    <x v="0"/>
    <s v="Seth Vernon"/>
    <x v="0"/>
    <s v="United States"/>
    <s v="Lafayette"/>
    <s v="Louisiana"/>
    <s v="South"/>
    <x v="0"/>
    <x v="5"/>
    <s v="Longer-Life Soft White Bulbs"/>
    <x v="1643"/>
    <n v="5"/>
    <n v="0"/>
    <n v="7.3920000000000003"/>
  </r>
  <r>
    <n v="1935"/>
    <x v="344"/>
    <x v="3"/>
    <x v="0"/>
    <d v="2014-12-04T00:00:00"/>
    <n v="6"/>
    <x v="1"/>
    <s v="Lindsay Williams"/>
    <x v="1"/>
    <s v="United States"/>
    <s v="San Francisco"/>
    <s v="California"/>
    <s v="West"/>
    <x v="1"/>
    <x v="10"/>
    <s v="Tops White Computer Printout Paper"/>
    <x v="1644"/>
    <n v="5"/>
    <n v="0"/>
    <n v="114.9385"/>
  </r>
  <r>
    <n v="1936"/>
    <x v="344"/>
    <x v="3"/>
    <x v="0"/>
    <d v="2014-12-04T00:00:00"/>
    <n v="6"/>
    <x v="1"/>
    <s v="Lindsay Williams"/>
    <x v="1"/>
    <s v="United States"/>
    <s v="San Francisco"/>
    <s v="California"/>
    <s v="West"/>
    <x v="2"/>
    <x v="11"/>
    <s v="Enermax Briskie RF Wireless Keyboard and Mouse Combo"/>
    <x v="1645"/>
    <n v="8"/>
    <n v="0"/>
    <n v="59.817599999999999"/>
  </r>
  <r>
    <n v="1937"/>
    <x v="442"/>
    <x v="1"/>
    <x v="5"/>
    <d v="2012-05-27T00:00:00"/>
    <n v="2"/>
    <x v="0"/>
    <s v="Nora Pelletier"/>
    <x v="2"/>
    <s v="United States"/>
    <s v="San Francisco"/>
    <s v="California"/>
    <s v="West"/>
    <x v="0"/>
    <x v="5"/>
    <s v="Ultra Door Push Plate"/>
    <x v="1646"/>
    <n v="3"/>
    <n v="0"/>
    <n v="4.8609"/>
  </r>
  <r>
    <n v="1938"/>
    <x v="630"/>
    <x v="0"/>
    <x v="7"/>
    <d v="2013-07-13T00:00:00"/>
    <n v="4"/>
    <x v="1"/>
    <s v="Joe Elijah"/>
    <x v="0"/>
    <s v="United States"/>
    <s v="Broomfield"/>
    <s v="Colorado"/>
    <s v="West"/>
    <x v="1"/>
    <x v="8"/>
    <s v="GBC Twin Loop Wire Binding Elements"/>
    <x v="1647"/>
    <n v="2"/>
    <n v="0.7"/>
    <n v="-13.311999999999999"/>
  </r>
  <r>
    <n v="1939"/>
    <x v="630"/>
    <x v="0"/>
    <x v="7"/>
    <d v="2013-07-13T00:00:00"/>
    <n v="4"/>
    <x v="1"/>
    <s v="Joe Elijah"/>
    <x v="0"/>
    <s v="United States"/>
    <s v="Broomfield"/>
    <s v="Colorado"/>
    <s v="West"/>
    <x v="1"/>
    <x v="4"/>
    <s v="Perma STOR-ALL Hanging File Box, 13 1/8&quot;W x 12 1/4&quot;D x 10 1/2&quot;H"/>
    <x v="1383"/>
    <n v="7"/>
    <n v="0.2"/>
    <n v="-1.2558"/>
  </r>
  <r>
    <n v="1940"/>
    <x v="630"/>
    <x v="0"/>
    <x v="7"/>
    <d v="2013-07-13T00:00:00"/>
    <n v="4"/>
    <x v="1"/>
    <s v="Joe Elijah"/>
    <x v="0"/>
    <s v="United States"/>
    <s v="Broomfield"/>
    <s v="Colorado"/>
    <s v="West"/>
    <x v="1"/>
    <x v="8"/>
    <s v="Wilson Jones Active Use Binders"/>
    <x v="1648"/>
    <n v="4"/>
    <n v="0.7"/>
    <n v="-6.1151999999999997"/>
  </r>
  <r>
    <n v="1941"/>
    <x v="630"/>
    <x v="0"/>
    <x v="7"/>
    <d v="2013-07-13T00:00:00"/>
    <n v="4"/>
    <x v="1"/>
    <s v="Joe Elijah"/>
    <x v="0"/>
    <s v="United States"/>
    <s v="Broomfield"/>
    <s v="Colorado"/>
    <s v="West"/>
    <x v="0"/>
    <x v="1"/>
    <s v="SAFCO Arco Folding Chair"/>
    <x v="1649"/>
    <n v="3"/>
    <n v="0.2"/>
    <n v="74.573999999999998"/>
  </r>
  <r>
    <n v="1942"/>
    <x v="635"/>
    <x v="3"/>
    <x v="6"/>
    <d v="2014-09-02T00:00:00"/>
    <n v="3"/>
    <x v="2"/>
    <s v="Cathy Prescott"/>
    <x v="1"/>
    <s v="United States"/>
    <s v="Quincy"/>
    <s v="Illinois"/>
    <s v="Central"/>
    <x v="1"/>
    <x v="2"/>
    <s v="Avery 505"/>
    <x v="655"/>
    <n v="4"/>
    <n v="0.2"/>
    <n v="17.760000000000002"/>
  </r>
  <r>
    <n v="1943"/>
    <x v="635"/>
    <x v="3"/>
    <x v="6"/>
    <d v="2014-09-02T00:00:00"/>
    <n v="3"/>
    <x v="2"/>
    <s v="Cathy Prescott"/>
    <x v="1"/>
    <s v="United States"/>
    <s v="Quincy"/>
    <s v="Illinois"/>
    <s v="Central"/>
    <x v="1"/>
    <x v="4"/>
    <s v="Advantus Rolling Storage Box"/>
    <x v="1180"/>
    <n v="2"/>
    <n v="0.2"/>
    <n v="2.4009999999999998"/>
  </r>
  <r>
    <n v="1944"/>
    <x v="635"/>
    <x v="3"/>
    <x v="6"/>
    <d v="2014-09-02T00:00:00"/>
    <n v="3"/>
    <x v="2"/>
    <s v="Cathy Prescott"/>
    <x v="1"/>
    <s v="United States"/>
    <s v="Quincy"/>
    <s v="Illinois"/>
    <s v="Central"/>
    <x v="1"/>
    <x v="8"/>
    <s v="Wilson Jones Easy Flow II Sheet Lifters"/>
    <x v="1650"/>
    <n v="9"/>
    <n v="0.8"/>
    <n v="-5.1840000000000002"/>
  </r>
  <r>
    <n v="1945"/>
    <x v="23"/>
    <x v="0"/>
    <x v="1"/>
    <d v="2013-06-27T00:00:00"/>
    <n v="6"/>
    <x v="1"/>
    <s v="Erin Ashbrook"/>
    <x v="1"/>
    <s v="United States"/>
    <s v="Carrollton"/>
    <s v="Texas"/>
    <s v="Central"/>
    <x v="2"/>
    <x v="11"/>
    <s v="Logitech Trackman Marble Mouse"/>
    <x v="1651"/>
    <n v="4"/>
    <n v="0.2"/>
    <n v="26.391200000000001"/>
  </r>
  <r>
    <n v="1946"/>
    <x v="23"/>
    <x v="0"/>
    <x v="1"/>
    <d v="2013-06-27T00:00:00"/>
    <n v="6"/>
    <x v="1"/>
    <s v="Erin Ashbrook"/>
    <x v="1"/>
    <s v="United States"/>
    <s v="Carrollton"/>
    <s v="Texas"/>
    <s v="Central"/>
    <x v="1"/>
    <x v="10"/>
    <s v="Xerox 206"/>
    <x v="559"/>
    <n v="2"/>
    <n v="0.2"/>
    <n v="3.6288"/>
  </r>
  <r>
    <n v="1947"/>
    <x v="264"/>
    <x v="3"/>
    <x v="8"/>
    <d v="2014-09-07T00:00:00"/>
    <n v="4"/>
    <x v="1"/>
    <s v="Ann Chong"/>
    <x v="1"/>
    <s v="United States"/>
    <s v="New York City"/>
    <s v="New York"/>
    <s v="East"/>
    <x v="1"/>
    <x v="6"/>
    <s v="Newell 324"/>
    <x v="789"/>
    <n v="2"/>
    <n v="0"/>
    <n v="6.468"/>
  </r>
  <r>
    <n v="1948"/>
    <x v="264"/>
    <x v="3"/>
    <x v="8"/>
    <d v="2014-09-07T00:00:00"/>
    <n v="4"/>
    <x v="1"/>
    <s v="Ann Chong"/>
    <x v="1"/>
    <s v="United States"/>
    <s v="New York City"/>
    <s v="New York"/>
    <s v="East"/>
    <x v="0"/>
    <x v="5"/>
    <s v="DAX Cubicle Frames - 8x10"/>
    <x v="1034"/>
    <n v="2"/>
    <n v="0"/>
    <n v="3.4620000000000002"/>
  </r>
  <r>
    <n v="1949"/>
    <x v="264"/>
    <x v="3"/>
    <x v="8"/>
    <d v="2014-09-07T00:00:00"/>
    <n v="4"/>
    <x v="1"/>
    <s v="Ann Chong"/>
    <x v="1"/>
    <s v="United States"/>
    <s v="New York City"/>
    <s v="New York"/>
    <s v="East"/>
    <x v="0"/>
    <x v="3"/>
    <s v="Bush Advantage Collection Racetrack Conference Table"/>
    <x v="1652"/>
    <n v="1"/>
    <n v="0.4"/>
    <n v="-93.3262"/>
  </r>
  <r>
    <n v="1950"/>
    <x v="264"/>
    <x v="3"/>
    <x v="8"/>
    <d v="2014-09-07T00:00:00"/>
    <n v="4"/>
    <x v="1"/>
    <s v="Ann Chong"/>
    <x v="1"/>
    <s v="United States"/>
    <s v="New York City"/>
    <s v="New York"/>
    <s v="East"/>
    <x v="1"/>
    <x v="9"/>
    <s v="Fellowes Basic Home/Office Series Surge Protectors"/>
    <x v="1653"/>
    <n v="1"/>
    <n v="0"/>
    <n v="3.7642000000000002"/>
  </r>
  <r>
    <n v="1951"/>
    <x v="264"/>
    <x v="3"/>
    <x v="8"/>
    <d v="2014-09-07T00:00:00"/>
    <n v="4"/>
    <x v="1"/>
    <s v="Ann Chong"/>
    <x v="1"/>
    <s v="United States"/>
    <s v="New York City"/>
    <s v="New York"/>
    <s v="East"/>
    <x v="1"/>
    <x v="8"/>
    <s v="ACCOHIDE 3-Ring Binder, Blue, 1&quot;"/>
    <x v="1654"/>
    <n v="8"/>
    <n v="0.2"/>
    <n v="8.9207999999999998"/>
  </r>
  <r>
    <n v="1952"/>
    <x v="264"/>
    <x v="3"/>
    <x v="8"/>
    <d v="2014-09-07T00:00:00"/>
    <n v="4"/>
    <x v="1"/>
    <s v="Ann Chong"/>
    <x v="1"/>
    <s v="United States"/>
    <s v="New York City"/>
    <s v="New York"/>
    <s v="East"/>
    <x v="2"/>
    <x v="7"/>
    <s v="Cisco SPA508G"/>
    <x v="925"/>
    <n v="3"/>
    <n v="0"/>
    <n v="57.411299999999997"/>
  </r>
  <r>
    <n v="1953"/>
    <x v="264"/>
    <x v="3"/>
    <x v="8"/>
    <d v="2014-09-07T00:00:00"/>
    <n v="4"/>
    <x v="1"/>
    <s v="Ann Chong"/>
    <x v="1"/>
    <s v="United States"/>
    <s v="New York City"/>
    <s v="New York"/>
    <s v="East"/>
    <x v="1"/>
    <x v="2"/>
    <s v="Avery 518"/>
    <x v="1365"/>
    <n v="6"/>
    <n v="0"/>
    <n v="9.0719999999999992"/>
  </r>
  <r>
    <n v="1954"/>
    <x v="264"/>
    <x v="3"/>
    <x v="8"/>
    <d v="2014-09-07T00:00:00"/>
    <n v="4"/>
    <x v="1"/>
    <s v="Ann Chong"/>
    <x v="1"/>
    <s v="United States"/>
    <s v="New York City"/>
    <s v="New York"/>
    <s v="East"/>
    <x v="0"/>
    <x v="1"/>
    <s v="Global Commerce Series High-Back Swivel/Tilt Chairs"/>
    <x v="1655"/>
    <n v="5"/>
    <n v="0.1"/>
    <n v="213.73500000000001"/>
  </r>
  <r>
    <n v="1955"/>
    <x v="264"/>
    <x v="3"/>
    <x v="8"/>
    <d v="2014-09-07T00:00:00"/>
    <n v="4"/>
    <x v="1"/>
    <s v="Ann Chong"/>
    <x v="1"/>
    <s v="United States"/>
    <s v="New York City"/>
    <s v="New York"/>
    <s v="East"/>
    <x v="1"/>
    <x v="6"/>
    <s v="BIC Brite Liner Grip Highlighters"/>
    <x v="1656"/>
    <n v="3"/>
    <n v="0"/>
    <n v="2.214"/>
  </r>
  <r>
    <n v="1956"/>
    <x v="264"/>
    <x v="3"/>
    <x v="8"/>
    <d v="2014-09-07T00:00:00"/>
    <n v="4"/>
    <x v="1"/>
    <s v="Ann Chong"/>
    <x v="1"/>
    <s v="United States"/>
    <s v="New York City"/>
    <s v="New York"/>
    <s v="East"/>
    <x v="2"/>
    <x v="11"/>
    <s v="WD My Passport Ultra 2TB Portable External Hard Drive"/>
    <x v="1657"/>
    <n v="2"/>
    <n v="0"/>
    <n v="38.08"/>
  </r>
  <r>
    <n v="1957"/>
    <x v="264"/>
    <x v="3"/>
    <x v="8"/>
    <d v="2014-09-07T00:00:00"/>
    <n v="4"/>
    <x v="1"/>
    <s v="Ann Chong"/>
    <x v="1"/>
    <s v="United States"/>
    <s v="New York City"/>
    <s v="New York"/>
    <s v="East"/>
    <x v="2"/>
    <x v="11"/>
    <s v="Sony Micro Vault Click 16 GB USB 2.0 Flash Drive"/>
    <x v="761"/>
    <n v="3"/>
    <n v="0"/>
    <n v="40.312800000000003"/>
  </r>
  <r>
    <n v="1958"/>
    <x v="264"/>
    <x v="3"/>
    <x v="8"/>
    <d v="2014-09-07T00:00:00"/>
    <n v="4"/>
    <x v="1"/>
    <s v="Ann Chong"/>
    <x v="1"/>
    <s v="United States"/>
    <s v="New York City"/>
    <s v="New York"/>
    <s v="East"/>
    <x v="1"/>
    <x v="10"/>
    <s v="Xerox 1962"/>
    <x v="854"/>
    <n v="4"/>
    <n v="0"/>
    <n v="7.7039999999999997"/>
  </r>
  <r>
    <n v="1959"/>
    <x v="18"/>
    <x v="3"/>
    <x v="8"/>
    <d v="2014-09-16T00:00:00"/>
    <n v="5"/>
    <x v="0"/>
    <s v="Robert Waldorf"/>
    <x v="0"/>
    <s v="United States"/>
    <s v="Springfield"/>
    <s v="Missouri"/>
    <s v="Central"/>
    <x v="1"/>
    <x v="8"/>
    <s v="3M Organizer Strips"/>
    <x v="1658"/>
    <n v="3"/>
    <n v="0"/>
    <n v="7.7759999999999998"/>
  </r>
  <r>
    <n v="1960"/>
    <x v="18"/>
    <x v="3"/>
    <x v="8"/>
    <d v="2014-09-16T00:00:00"/>
    <n v="5"/>
    <x v="0"/>
    <s v="Robert Waldorf"/>
    <x v="0"/>
    <s v="United States"/>
    <s v="Springfield"/>
    <s v="Missouri"/>
    <s v="Central"/>
    <x v="1"/>
    <x v="9"/>
    <s v="Holmes Replacement Filter for HEPA Air Cleaner, Medium Room"/>
    <x v="1659"/>
    <n v="3"/>
    <n v="0"/>
    <n v="14.6157"/>
  </r>
  <r>
    <n v="1961"/>
    <x v="18"/>
    <x v="3"/>
    <x v="8"/>
    <d v="2014-09-16T00:00:00"/>
    <n v="5"/>
    <x v="0"/>
    <s v="Robert Waldorf"/>
    <x v="0"/>
    <s v="United States"/>
    <s v="Springfield"/>
    <s v="Missouri"/>
    <s v="Central"/>
    <x v="2"/>
    <x v="11"/>
    <s v="Logitech G105 Gaming Keyboard"/>
    <x v="1660"/>
    <n v="5"/>
    <n v="0"/>
    <n v="53.433"/>
  </r>
  <r>
    <n v="1962"/>
    <x v="18"/>
    <x v="3"/>
    <x v="8"/>
    <d v="2014-09-16T00:00:00"/>
    <n v="5"/>
    <x v="0"/>
    <s v="Robert Waldorf"/>
    <x v="0"/>
    <s v="United States"/>
    <s v="Springfield"/>
    <s v="Missouri"/>
    <s v="Central"/>
    <x v="2"/>
    <x v="11"/>
    <s v="Imation Clip USB flash drive - 8 GB"/>
    <x v="1661"/>
    <n v="6"/>
    <n v="0"/>
    <n v="6.7679999999999998"/>
  </r>
  <r>
    <n v="1963"/>
    <x v="18"/>
    <x v="3"/>
    <x v="8"/>
    <d v="2014-09-16T00:00:00"/>
    <n v="5"/>
    <x v="0"/>
    <s v="Robert Waldorf"/>
    <x v="0"/>
    <s v="United States"/>
    <s v="Springfield"/>
    <s v="Missouri"/>
    <s v="Central"/>
    <x v="1"/>
    <x v="8"/>
    <s v="Newell 3-Hole Punched Plastic Slotted Magazine Holders for Binders"/>
    <x v="1662"/>
    <n v="3"/>
    <n v="0"/>
    <n v="6.5808"/>
  </r>
  <r>
    <n v="1964"/>
    <x v="18"/>
    <x v="3"/>
    <x v="8"/>
    <d v="2014-09-16T00:00:00"/>
    <n v="5"/>
    <x v="0"/>
    <s v="Robert Waldorf"/>
    <x v="0"/>
    <s v="United States"/>
    <s v="Springfield"/>
    <s v="Missouri"/>
    <s v="Central"/>
    <x v="1"/>
    <x v="10"/>
    <s v="Xerox 1970"/>
    <x v="1663"/>
    <n v="5"/>
    <n v="0"/>
    <n v="11.702999999999999"/>
  </r>
  <r>
    <n v="1965"/>
    <x v="18"/>
    <x v="3"/>
    <x v="8"/>
    <d v="2014-09-16T00:00:00"/>
    <n v="5"/>
    <x v="0"/>
    <s v="Robert Waldorf"/>
    <x v="0"/>
    <s v="United States"/>
    <s v="Springfield"/>
    <s v="Missouri"/>
    <s v="Central"/>
    <x v="1"/>
    <x v="4"/>
    <s v="Fellowes Stor/Drawer Steel Plus Storage Drawers"/>
    <x v="1664"/>
    <n v="3"/>
    <n v="0"/>
    <n v="17.177399999999999"/>
  </r>
  <r>
    <n v="1966"/>
    <x v="18"/>
    <x v="3"/>
    <x v="8"/>
    <d v="2014-09-16T00:00:00"/>
    <n v="5"/>
    <x v="0"/>
    <s v="Robert Waldorf"/>
    <x v="0"/>
    <s v="United States"/>
    <s v="Springfield"/>
    <s v="Missouri"/>
    <s v="Central"/>
    <x v="1"/>
    <x v="9"/>
    <s v="Acco 6 Outlet Guardian Standard Surge Suppressor"/>
    <x v="1665"/>
    <n v="2"/>
    <n v="0"/>
    <n v="7.2539999999999996"/>
  </r>
  <r>
    <n v="1967"/>
    <x v="202"/>
    <x v="3"/>
    <x v="4"/>
    <d v="2014-12-29T00:00:00"/>
    <n v="7"/>
    <x v="1"/>
    <s v="Dean Braden"/>
    <x v="0"/>
    <s v="United States"/>
    <s v="Paterson"/>
    <s v="New Jersey"/>
    <s v="East"/>
    <x v="2"/>
    <x v="7"/>
    <s v="Jabra SPEAK 410"/>
    <x v="1666"/>
    <n v="3"/>
    <n v="0"/>
    <n v="78.951599999999999"/>
  </r>
  <r>
    <n v="1968"/>
    <x v="202"/>
    <x v="3"/>
    <x v="4"/>
    <d v="2014-12-29T00:00:00"/>
    <n v="7"/>
    <x v="1"/>
    <s v="Dean Braden"/>
    <x v="0"/>
    <s v="United States"/>
    <s v="Paterson"/>
    <s v="New Jersey"/>
    <s v="East"/>
    <x v="1"/>
    <x v="14"/>
    <s v="Acme Hot Forged Carbon Steel Scissors with Nickel-Plated Handles, 3 7/8&quot; Cut, 8&quot;L"/>
    <x v="1667"/>
    <n v="5"/>
    <n v="0"/>
    <n v="20.155000000000001"/>
  </r>
  <r>
    <n v="1969"/>
    <x v="202"/>
    <x v="3"/>
    <x v="4"/>
    <d v="2014-12-29T00:00:00"/>
    <n v="7"/>
    <x v="1"/>
    <s v="Dean Braden"/>
    <x v="0"/>
    <s v="United States"/>
    <s v="Paterson"/>
    <s v="New Jersey"/>
    <s v="East"/>
    <x v="1"/>
    <x v="10"/>
    <s v="Xerox 1913"/>
    <x v="1668"/>
    <n v="3"/>
    <n v="0"/>
    <n v="79.891199999999998"/>
  </r>
  <r>
    <n v="1970"/>
    <x v="397"/>
    <x v="3"/>
    <x v="8"/>
    <d v="2014-09-30T00:00:00"/>
    <n v="6"/>
    <x v="1"/>
    <s v="Bill Donatelli"/>
    <x v="0"/>
    <s v="United States"/>
    <s v="Tulsa"/>
    <s v="Oklahoma"/>
    <s v="Central"/>
    <x v="2"/>
    <x v="11"/>
    <s v="Imation Secure+ Hardware Encrypted USB 2.0 Flash Drive; 16GB"/>
    <x v="407"/>
    <n v="4"/>
    <n v="0"/>
    <n v="102.18600000000001"/>
  </r>
  <r>
    <n v="1971"/>
    <x v="636"/>
    <x v="3"/>
    <x v="5"/>
    <d v="2014-05-12T00:00:00"/>
    <n v="5"/>
    <x v="1"/>
    <s v="Max Ludwig"/>
    <x v="2"/>
    <s v="United States"/>
    <s v="Chicago"/>
    <s v="Illinois"/>
    <s v="Central"/>
    <x v="1"/>
    <x v="6"/>
    <s v="Blackstonian Pencils"/>
    <x v="1669"/>
    <n v="3"/>
    <n v="0.2"/>
    <n v="0.64080000000000004"/>
  </r>
  <r>
    <n v="1972"/>
    <x v="636"/>
    <x v="3"/>
    <x v="5"/>
    <d v="2014-05-12T00:00:00"/>
    <n v="5"/>
    <x v="1"/>
    <s v="Max Ludwig"/>
    <x v="2"/>
    <s v="United States"/>
    <s v="Chicago"/>
    <s v="Illinois"/>
    <s v="Central"/>
    <x v="2"/>
    <x v="11"/>
    <s v="Imation Secure+ Hardware Encrypted USB 2.0 Flash Drive; 16GB"/>
    <x v="177"/>
    <n v="7"/>
    <n v="0.2"/>
    <n v="76.639499999999998"/>
  </r>
  <r>
    <n v="1973"/>
    <x v="637"/>
    <x v="2"/>
    <x v="4"/>
    <d v="2011-12-19T00:00:00"/>
    <n v="5"/>
    <x v="1"/>
    <s v="Joy Daniels"/>
    <x v="0"/>
    <s v="United States"/>
    <s v="Chicago"/>
    <s v="Illinois"/>
    <s v="Central"/>
    <x v="1"/>
    <x v="8"/>
    <s v="Avery Heavy-Duty EZD View Binder with Locking Rings"/>
    <x v="1670"/>
    <n v="4"/>
    <n v="0.8"/>
    <n v="-8.6768000000000001"/>
  </r>
  <r>
    <n v="1974"/>
    <x v="637"/>
    <x v="2"/>
    <x v="4"/>
    <d v="2011-12-19T00:00:00"/>
    <n v="5"/>
    <x v="1"/>
    <s v="Joy Daniels"/>
    <x v="0"/>
    <s v="United States"/>
    <s v="Chicago"/>
    <s v="Illinois"/>
    <s v="Central"/>
    <x v="1"/>
    <x v="13"/>
    <s v="Assorted Color Push Pins"/>
    <x v="1671"/>
    <n v="2"/>
    <n v="0.2"/>
    <n v="0.47060000000000002"/>
  </r>
  <r>
    <n v="1975"/>
    <x v="637"/>
    <x v="2"/>
    <x v="4"/>
    <d v="2011-12-19T00:00:00"/>
    <n v="5"/>
    <x v="1"/>
    <s v="Joy Daniels"/>
    <x v="0"/>
    <s v="United States"/>
    <s v="Chicago"/>
    <s v="Illinois"/>
    <s v="Central"/>
    <x v="2"/>
    <x v="11"/>
    <s v="Belkin Standard 104 key USB Keyboard"/>
    <x v="1672"/>
    <n v="3"/>
    <n v="0.2"/>
    <n v="-2.1884999999999999"/>
  </r>
  <r>
    <n v="1976"/>
    <x v="638"/>
    <x v="2"/>
    <x v="2"/>
    <d v="2011-10-20T00:00:00"/>
    <n v="2"/>
    <x v="0"/>
    <s v="Alan Schoenberger"/>
    <x v="1"/>
    <s v="United States"/>
    <s v="Montgomery"/>
    <s v="Alabama"/>
    <s v="South"/>
    <x v="1"/>
    <x v="4"/>
    <s v="Gould Plastics 18-Pocket Panel Bin, 34w x 5-1/4d x 20-1/2h"/>
    <x v="1673"/>
    <n v="3"/>
    <n v="0"/>
    <n v="11.0388"/>
  </r>
  <r>
    <n v="1977"/>
    <x v="638"/>
    <x v="2"/>
    <x v="2"/>
    <d v="2011-10-20T00:00:00"/>
    <n v="2"/>
    <x v="0"/>
    <s v="Alan Schoenberger"/>
    <x v="1"/>
    <s v="United States"/>
    <s v="Montgomery"/>
    <s v="Alabama"/>
    <s v="South"/>
    <x v="2"/>
    <x v="7"/>
    <s v="Avaya IP Phone 1140E VoIP phone"/>
    <x v="1674"/>
    <n v="5"/>
    <n v="0"/>
    <n v="362.68700000000001"/>
  </r>
  <r>
    <n v="1978"/>
    <x v="638"/>
    <x v="2"/>
    <x v="2"/>
    <d v="2011-10-20T00:00:00"/>
    <n v="2"/>
    <x v="0"/>
    <s v="Alan Schoenberger"/>
    <x v="1"/>
    <s v="United States"/>
    <s v="Montgomery"/>
    <s v="Alabama"/>
    <s v="South"/>
    <x v="0"/>
    <x v="1"/>
    <s v="Global Wood Trimmed Manager's Task Chair, Khaki"/>
    <x v="1675"/>
    <n v="6"/>
    <n v="0"/>
    <n v="70.964399999999998"/>
  </r>
  <r>
    <n v="1979"/>
    <x v="412"/>
    <x v="1"/>
    <x v="5"/>
    <d v="2012-05-12T00:00:00"/>
    <n v="4"/>
    <x v="1"/>
    <s v="Allen Armold"/>
    <x v="0"/>
    <s v="United States"/>
    <s v="Salem"/>
    <s v="Oregon"/>
    <s v="West"/>
    <x v="1"/>
    <x v="6"/>
    <s v="Newell 321"/>
    <x v="791"/>
    <n v="2"/>
    <n v="0.2"/>
    <n v="0.59040000000000004"/>
  </r>
  <r>
    <n v="1980"/>
    <x v="167"/>
    <x v="0"/>
    <x v="3"/>
    <d v="2013-04-15T00:00:00"/>
    <n v="0"/>
    <x v="3"/>
    <s v="Kean Takahito"/>
    <x v="0"/>
    <s v="United States"/>
    <s v="Glendale"/>
    <s v="Arizona"/>
    <s v="West"/>
    <x v="0"/>
    <x v="1"/>
    <s v="Hon 4070 Series Pagoda Armless Upholstered Stacking Chairs"/>
    <x v="1676"/>
    <n v="4"/>
    <n v="0.2"/>
    <n v="105.0228"/>
  </r>
  <r>
    <n v="1981"/>
    <x v="167"/>
    <x v="0"/>
    <x v="3"/>
    <d v="2013-04-15T00:00:00"/>
    <n v="0"/>
    <x v="3"/>
    <s v="Kean Takahito"/>
    <x v="0"/>
    <s v="United States"/>
    <s v="Glendale"/>
    <s v="Arizona"/>
    <s v="West"/>
    <x v="1"/>
    <x v="4"/>
    <s v="Fellowes Personal Hanging Folder Files, Navy"/>
    <x v="1677"/>
    <n v="4"/>
    <n v="0.2"/>
    <n v="4.2976000000000001"/>
  </r>
  <r>
    <n v="1982"/>
    <x v="639"/>
    <x v="1"/>
    <x v="4"/>
    <d v="2012-12-16T00:00:00"/>
    <n v="2"/>
    <x v="0"/>
    <s v="Muhammed MacIntyre"/>
    <x v="1"/>
    <s v="United States"/>
    <s v="Columbus"/>
    <s v="Georgia"/>
    <s v="South"/>
    <x v="1"/>
    <x v="8"/>
    <s v="Staples"/>
    <x v="1053"/>
    <n v="2"/>
    <n v="0"/>
    <n v="1.8048"/>
  </r>
  <r>
    <n v="1983"/>
    <x v="640"/>
    <x v="2"/>
    <x v="4"/>
    <d v="2011-12-09T00:00:00"/>
    <n v="6"/>
    <x v="1"/>
    <s v="Nathan Gelder"/>
    <x v="0"/>
    <s v="United States"/>
    <s v="Oklahoma City"/>
    <s v="Oklahoma"/>
    <s v="Central"/>
    <x v="2"/>
    <x v="7"/>
    <s v="Jabra Supreme Plus Driver Edition Headset"/>
    <x v="1678"/>
    <n v="4"/>
    <n v="0"/>
    <n v="134.3888"/>
  </r>
  <r>
    <n v="1984"/>
    <x v="641"/>
    <x v="2"/>
    <x v="0"/>
    <d v="2011-11-27T00:00:00"/>
    <n v="2"/>
    <x v="0"/>
    <s v="Laurel Workman"/>
    <x v="1"/>
    <s v="United States"/>
    <s v="Brentwood"/>
    <s v="California"/>
    <s v="West"/>
    <x v="1"/>
    <x v="9"/>
    <s v="Belkin F9G930V10-GRY 9 Outlet Surge"/>
    <x v="1679"/>
    <n v="6"/>
    <n v="0"/>
    <n v="93.055199999999999"/>
  </r>
  <r>
    <n v="1985"/>
    <x v="641"/>
    <x v="2"/>
    <x v="0"/>
    <d v="2011-11-27T00:00:00"/>
    <n v="2"/>
    <x v="0"/>
    <s v="Laurel Workman"/>
    <x v="1"/>
    <s v="United States"/>
    <s v="Brentwood"/>
    <s v="California"/>
    <s v="West"/>
    <x v="0"/>
    <x v="5"/>
    <s v="Staples"/>
    <x v="1680"/>
    <n v="3"/>
    <n v="0"/>
    <n v="10.507199999999999"/>
  </r>
  <r>
    <n v="1986"/>
    <x v="641"/>
    <x v="2"/>
    <x v="0"/>
    <d v="2011-11-27T00:00:00"/>
    <n v="2"/>
    <x v="0"/>
    <s v="Laurel Workman"/>
    <x v="1"/>
    <s v="United States"/>
    <s v="Brentwood"/>
    <s v="California"/>
    <s v="West"/>
    <x v="1"/>
    <x v="10"/>
    <s v="Wirebound Message Books, Four 2 3/4 x 5 White Forms per Page"/>
    <x v="1681"/>
    <n v="4"/>
    <n v="0"/>
    <n v="12.3096"/>
  </r>
  <r>
    <n v="1987"/>
    <x v="197"/>
    <x v="0"/>
    <x v="7"/>
    <d v="2013-07-28T00:00:00"/>
    <n v="2"/>
    <x v="2"/>
    <s v="Christy Brittain"/>
    <x v="0"/>
    <s v="United States"/>
    <s v="Columbus"/>
    <s v="Ohio"/>
    <s v="East"/>
    <x v="2"/>
    <x v="16"/>
    <s v="Hewlett Packard LaserJet 3310 Copier"/>
    <x v="1682"/>
    <n v="4"/>
    <n v="0.4"/>
    <n v="191.99680000000001"/>
  </r>
  <r>
    <n v="1988"/>
    <x v="529"/>
    <x v="1"/>
    <x v="0"/>
    <d v="2012-11-13T00:00:00"/>
    <n v="4"/>
    <x v="1"/>
    <s v="Adam Shillingsburg"/>
    <x v="0"/>
    <s v="United States"/>
    <s v="Springfield"/>
    <s v="Missouri"/>
    <s v="Central"/>
    <x v="1"/>
    <x v="8"/>
    <s v="Binder Posts"/>
    <x v="1683"/>
    <n v="3"/>
    <n v="0"/>
    <n v="7.9211999999999998"/>
  </r>
  <r>
    <n v="1989"/>
    <x v="529"/>
    <x v="1"/>
    <x v="0"/>
    <d v="2012-11-13T00:00:00"/>
    <n v="4"/>
    <x v="1"/>
    <s v="Adam Shillingsburg"/>
    <x v="0"/>
    <s v="United States"/>
    <s v="Springfield"/>
    <s v="Missouri"/>
    <s v="Central"/>
    <x v="0"/>
    <x v="3"/>
    <s v="Bevis Round Conference Table Top &amp; Single Column Base"/>
    <x v="1684"/>
    <n v="7"/>
    <n v="0"/>
    <n v="215.1198"/>
  </r>
  <r>
    <n v="1990"/>
    <x v="529"/>
    <x v="1"/>
    <x v="0"/>
    <d v="2012-11-13T00:00:00"/>
    <n v="4"/>
    <x v="1"/>
    <s v="Adam Shillingsburg"/>
    <x v="0"/>
    <s v="United States"/>
    <s v="Springfield"/>
    <s v="Missouri"/>
    <s v="Central"/>
    <x v="1"/>
    <x v="12"/>
    <s v="#10- 4 1/8&quot; x 9 1/2&quot; Recycled Envelopes"/>
    <x v="1685"/>
    <n v="3"/>
    <n v="0"/>
    <n v="12.323399999999999"/>
  </r>
  <r>
    <n v="1991"/>
    <x v="529"/>
    <x v="1"/>
    <x v="0"/>
    <d v="2012-11-13T00:00:00"/>
    <n v="4"/>
    <x v="1"/>
    <s v="Adam Shillingsburg"/>
    <x v="0"/>
    <s v="United States"/>
    <s v="Springfield"/>
    <s v="Missouri"/>
    <s v="Central"/>
    <x v="1"/>
    <x v="10"/>
    <s v="Xerox 1978"/>
    <x v="1686"/>
    <n v="3"/>
    <n v="0"/>
    <n v="8.4966000000000008"/>
  </r>
  <r>
    <n v="1992"/>
    <x v="642"/>
    <x v="3"/>
    <x v="11"/>
    <d v="2014-03-01T00:00:00"/>
    <n v="4"/>
    <x v="1"/>
    <s v="Christy Brittain"/>
    <x v="0"/>
    <s v="United States"/>
    <s v="Philadelphia"/>
    <s v="Pennsylvania"/>
    <s v="East"/>
    <x v="1"/>
    <x v="8"/>
    <s v="ACCOHIDE 3-Ring Binder, Blue, 1&quot;"/>
    <x v="1687"/>
    <n v="4"/>
    <n v="0.7"/>
    <n v="-3.7995999999999999"/>
  </r>
  <r>
    <n v="1993"/>
    <x v="643"/>
    <x v="3"/>
    <x v="1"/>
    <d v="2014-07-03T00:00:00"/>
    <n v="7"/>
    <x v="1"/>
    <s v="Max Ludwig"/>
    <x v="2"/>
    <s v="United States"/>
    <s v="Springfield"/>
    <s v="Oregon"/>
    <s v="West"/>
    <x v="1"/>
    <x v="2"/>
    <s v="Alphabetical Labels for Top Tab Filing"/>
    <x v="1688"/>
    <n v="6"/>
    <n v="0.2"/>
    <n v="26.64"/>
  </r>
  <r>
    <n v="1994"/>
    <x v="643"/>
    <x v="3"/>
    <x v="1"/>
    <d v="2014-07-03T00:00:00"/>
    <n v="7"/>
    <x v="1"/>
    <s v="Max Ludwig"/>
    <x v="2"/>
    <s v="United States"/>
    <s v="Springfield"/>
    <s v="Oregon"/>
    <s v="West"/>
    <x v="1"/>
    <x v="6"/>
    <s v="Eldon Spacemaker Box, Quick-Snap Lid, Clear"/>
    <x v="752"/>
    <n v="2"/>
    <n v="0.2"/>
    <n v="0.73480000000000001"/>
  </r>
  <r>
    <n v="1995"/>
    <x v="643"/>
    <x v="3"/>
    <x v="1"/>
    <d v="2014-07-03T00:00:00"/>
    <n v="7"/>
    <x v="1"/>
    <s v="Max Ludwig"/>
    <x v="2"/>
    <s v="United States"/>
    <s v="Springfield"/>
    <s v="Oregon"/>
    <s v="West"/>
    <x v="1"/>
    <x v="13"/>
    <s v="Plymouth Boxed Rubber Bands by Plymouth"/>
    <x v="1689"/>
    <n v="3"/>
    <n v="0.2"/>
    <n v="-2.1194999999999999"/>
  </r>
  <r>
    <n v="1996"/>
    <x v="574"/>
    <x v="3"/>
    <x v="4"/>
    <d v="2014-12-05T00:00:00"/>
    <n v="2"/>
    <x v="0"/>
    <s v="Joy Smith"/>
    <x v="0"/>
    <s v="United States"/>
    <s v="Houston"/>
    <s v="Texas"/>
    <s v="Central"/>
    <x v="1"/>
    <x v="9"/>
    <s v="3.6 Cubic Foot Counter Height Office Refrigerator"/>
    <x v="1690"/>
    <n v="5"/>
    <n v="0.8"/>
    <n v="-766.01199999999994"/>
  </r>
  <r>
    <n v="1997"/>
    <x v="574"/>
    <x v="3"/>
    <x v="4"/>
    <d v="2014-12-05T00:00:00"/>
    <n v="2"/>
    <x v="0"/>
    <s v="Joy Smith"/>
    <x v="0"/>
    <s v="United States"/>
    <s v="Houston"/>
    <s v="Texas"/>
    <s v="Central"/>
    <x v="0"/>
    <x v="5"/>
    <s v="Advantus Panel Wall Acrylic Frame"/>
    <x v="1691"/>
    <n v="4"/>
    <n v="0.6"/>
    <n v="-3.7195999999999998"/>
  </r>
  <r>
    <n v="1998"/>
    <x v="644"/>
    <x v="2"/>
    <x v="11"/>
    <d v="2011-02-10T00:00:00"/>
    <n v="3"/>
    <x v="2"/>
    <s v="Neil Ducich"/>
    <x v="1"/>
    <s v="United States"/>
    <s v="Chesapeake"/>
    <s v="Virginia"/>
    <s v="South"/>
    <x v="1"/>
    <x v="2"/>
    <s v="Avery 480"/>
    <x v="1692"/>
    <n v="4"/>
    <n v="0"/>
    <n v="7.2"/>
  </r>
  <r>
    <n v="1999"/>
    <x v="644"/>
    <x v="2"/>
    <x v="11"/>
    <d v="2011-02-10T00:00:00"/>
    <n v="3"/>
    <x v="2"/>
    <s v="Neil Ducich"/>
    <x v="1"/>
    <s v="United States"/>
    <s v="Chesapeake"/>
    <s v="Virginia"/>
    <s v="South"/>
    <x v="2"/>
    <x v="7"/>
    <s v="Aastra 57i VoIP phone"/>
    <x v="1693"/>
    <n v="1"/>
    <n v="0"/>
    <n v="42.018599999999999"/>
  </r>
  <r>
    <n v="2000"/>
    <x v="644"/>
    <x v="2"/>
    <x v="11"/>
    <d v="2011-02-10T00:00:00"/>
    <n v="3"/>
    <x v="2"/>
    <s v="Neil Ducich"/>
    <x v="1"/>
    <s v="United States"/>
    <s v="Chesapeake"/>
    <s v="Virginia"/>
    <s v="South"/>
    <x v="2"/>
    <x v="7"/>
    <s v="AT&amp;T CL82213"/>
    <x v="1694"/>
    <n v="5"/>
    <n v="0"/>
    <n v="42.035499999999999"/>
  </r>
  <r>
    <n v="2001"/>
    <x v="645"/>
    <x v="3"/>
    <x v="3"/>
    <d v="2014-04-19T00:00:00"/>
    <n v="7"/>
    <x v="1"/>
    <s v="Luke Weiss"/>
    <x v="0"/>
    <s v="United States"/>
    <s v="Pasadena"/>
    <s v="California"/>
    <s v="West"/>
    <x v="2"/>
    <x v="11"/>
    <s v="SanDisk Ultra 64 GB MicroSDHC Class 10 Memory Card"/>
    <x v="1695"/>
    <n v="5"/>
    <n v="0"/>
    <n v="21.994499999999999"/>
  </r>
  <r>
    <n v="2002"/>
    <x v="645"/>
    <x v="3"/>
    <x v="3"/>
    <d v="2014-04-19T00:00:00"/>
    <n v="7"/>
    <x v="1"/>
    <s v="Luke Weiss"/>
    <x v="0"/>
    <s v="United States"/>
    <s v="Pasadena"/>
    <s v="California"/>
    <s v="West"/>
    <x v="1"/>
    <x v="6"/>
    <s v="Dixon Ticonderoga Erasable Colored Pencil Set, 12-Color"/>
    <x v="1075"/>
    <n v="7"/>
    <n v="0"/>
    <n v="14.2324"/>
  </r>
  <r>
    <n v="2003"/>
    <x v="53"/>
    <x v="3"/>
    <x v="4"/>
    <d v="2014-12-29T00:00:00"/>
    <n v="3"/>
    <x v="0"/>
    <s v="Joni Wasserman"/>
    <x v="0"/>
    <s v="United States"/>
    <s v="Louisville"/>
    <s v="Kentucky"/>
    <s v="South"/>
    <x v="1"/>
    <x v="4"/>
    <s v="Fellowes Bankers Box Stor/Drawer Steel Plus"/>
    <x v="1429"/>
    <n v="3"/>
    <n v="0"/>
    <n v="9.5939999999999994"/>
  </r>
  <r>
    <n v="2004"/>
    <x v="53"/>
    <x v="3"/>
    <x v="4"/>
    <d v="2014-12-29T00:00:00"/>
    <n v="3"/>
    <x v="0"/>
    <s v="Joni Wasserman"/>
    <x v="0"/>
    <s v="United States"/>
    <s v="Louisville"/>
    <s v="Kentucky"/>
    <s v="South"/>
    <x v="0"/>
    <x v="1"/>
    <s v="Global Value Mid-Back Manager's Chair, Gray"/>
    <x v="1696"/>
    <n v="5"/>
    <n v="0"/>
    <n v="76.112499999999997"/>
  </r>
  <r>
    <n v="2005"/>
    <x v="645"/>
    <x v="3"/>
    <x v="3"/>
    <d v="2014-04-19T00:00:00"/>
    <n v="7"/>
    <x v="1"/>
    <s v="Sample Company A"/>
    <x v="2"/>
    <s v="United States"/>
    <s v="Lubbock"/>
    <s v="Texas"/>
    <s v="Central"/>
    <x v="1"/>
    <x v="8"/>
    <s v="Flexible Leather- Look Classic Collection Ring Binder"/>
    <x v="520"/>
    <n v="3"/>
    <n v="0.8"/>
    <n v="-17.045999999999999"/>
  </r>
  <r>
    <n v="2006"/>
    <x v="520"/>
    <x v="2"/>
    <x v="4"/>
    <d v="2012-01-04T00:00:00"/>
    <n v="4"/>
    <x v="1"/>
    <s v="Rob Williams"/>
    <x v="1"/>
    <s v="United States"/>
    <s v="Columbia"/>
    <s v="Missouri"/>
    <s v="Central"/>
    <x v="1"/>
    <x v="6"/>
    <s v="BIC Brite Liner Grip Highlighters, Assorted, 5/Pack"/>
    <x v="1697"/>
    <n v="7"/>
    <n v="0"/>
    <n v="11.575200000000001"/>
  </r>
  <r>
    <n v="2007"/>
    <x v="520"/>
    <x v="2"/>
    <x v="4"/>
    <d v="2012-01-04T00:00:00"/>
    <n v="4"/>
    <x v="1"/>
    <s v="Rob Williams"/>
    <x v="1"/>
    <s v="United States"/>
    <s v="Columbia"/>
    <s v="Missouri"/>
    <s v="Central"/>
    <x v="2"/>
    <x v="11"/>
    <s v="Sabrent 4-Port USB 2.0 Hub"/>
    <x v="1698"/>
    <n v="7"/>
    <n v="0"/>
    <n v="16.1602"/>
  </r>
  <r>
    <n v="2008"/>
    <x v="646"/>
    <x v="3"/>
    <x v="6"/>
    <d v="2014-08-05T00:00:00"/>
    <n v="1"/>
    <x v="2"/>
    <s v="Charlotte Melton"/>
    <x v="0"/>
    <s v="United States"/>
    <s v="Chicago"/>
    <s v="Illinois"/>
    <s v="Central"/>
    <x v="0"/>
    <x v="0"/>
    <s v="O'Sullivan Elevations Bookcase, Cherry Finish"/>
    <x v="1699"/>
    <n v="2"/>
    <n v="0.3"/>
    <n v="-36.674399999999999"/>
  </r>
  <r>
    <n v="2009"/>
    <x v="647"/>
    <x v="2"/>
    <x v="0"/>
    <d v="2011-11-21T00:00:00"/>
    <n v="6"/>
    <x v="1"/>
    <s v="Jamie Frazer"/>
    <x v="0"/>
    <s v="United States"/>
    <s v="Johnson City"/>
    <s v="Tennessee"/>
    <s v="South"/>
    <x v="1"/>
    <x v="6"/>
    <s v="Newell 310"/>
    <x v="1700"/>
    <n v="3"/>
    <n v="0.2"/>
    <n v="0.47520000000000001"/>
  </r>
  <r>
    <n v="2010"/>
    <x v="647"/>
    <x v="2"/>
    <x v="0"/>
    <d v="2011-11-21T00:00:00"/>
    <n v="6"/>
    <x v="1"/>
    <s v="Jamie Frazer"/>
    <x v="0"/>
    <s v="United States"/>
    <s v="Johnson City"/>
    <s v="Tennessee"/>
    <s v="South"/>
    <x v="1"/>
    <x v="9"/>
    <s v="1.7 Cubic Foot Compact &quot;Cube&quot; Office Refrigerators"/>
    <x v="1701"/>
    <n v="2"/>
    <n v="0.2"/>
    <n v="29.142399999999999"/>
  </r>
  <r>
    <n v="2011"/>
    <x v="647"/>
    <x v="2"/>
    <x v="0"/>
    <d v="2011-11-21T00:00:00"/>
    <n v="6"/>
    <x v="1"/>
    <s v="Jamie Frazer"/>
    <x v="0"/>
    <s v="United States"/>
    <s v="Johnson City"/>
    <s v="Tennessee"/>
    <s v="South"/>
    <x v="1"/>
    <x v="10"/>
    <s v="Southworth 100% Résumé Paper, 24lb."/>
    <x v="1702"/>
    <n v="4"/>
    <n v="0.2"/>
    <n v="7.78"/>
  </r>
  <r>
    <n v="2012"/>
    <x v="555"/>
    <x v="1"/>
    <x v="4"/>
    <d v="2012-12-11T00:00:00"/>
    <n v="0"/>
    <x v="3"/>
    <s v="Stuart Calhoun"/>
    <x v="0"/>
    <s v="United States"/>
    <s v="Houston"/>
    <s v="Texas"/>
    <s v="Central"/>
    <x v="2"/>
    <x v="11"/>
    <s v="Logitech Wireless Performance Mouse MX for PC and Mac"/>
    <x v="1290"/>
    <n v="2"/>
    <n v="0.2"/>
    <n v="35.996400000000001"/>
  </r>
  <r>
    <n v="2013"/>
    <x v="555"/>
    <x v="1"/>
    <x v="4"/>
    <d v="2012-12-11T00:00:00"/>
    <n v="0"/>
    <x v="3"/>
    <s v="Stuart Calhoun"/>
    <x v="0"/>
    <s v="United States"/>
    <s v="Houston"/>
    <s v="Texas"/>
    <s v="Central"/>
    <x v="1"/>
    <x v="4"/>
    <s v="Eldon ProFile File 'N Store Portable File Tub Letter/Legal Size Black"/>
    <x v="1703"/>
    <n v="3"/>
    <n v="0.2"/>
    <n v="4.6344000000000003"/>
  </r>
  <r>
    <n v="2014"/>
    <x v="31"/>
    <x v="0"/>
    <x v="8"/>
    <d v="2013-09-24T00:00:00"/>
    <n v="5"/>
    <x v="1"/>
    <s v="Anne McFarland"/>
    <x v="0"/>
    <s v="United States"/>
    <s v="Auburn"/>
    <s v="Alabama"/>
    <s v="South"/>
    <x v="0"/>
    <x v="1"/>
    <s v="Office Star - Professional Matrix Back Chair with 2-to-1 Synchro Tilt and Mesh Fabric Seat"/>
    <x v="1704"/>
    <n v="1"/>
    <n v="0"/>
    <n v="84.235200000000006"/>
  </r>
  <r>
    <n v="2015"/>
    <x v="31"/>
    <x v="0"/>
    <x v="8"/>
    <d v="2013-09-24T00:00:00"/>
    <n v="5"/>
    <x v="1"/>
    <s v="Anne McFarland"/>
    <x v="0"/>
    <s v="United States"/>
    <s v="Auburn"/>
    <s v="Alabama"/>
    <s v="South"/>
    <x v="1"/>
    <x v="10"/>
    <s v="Southworth Parchment Paper &amp; Envelopes"/>
    <x v="1705"/>
    <n v="2"/>
    <n v="0"/>
    <n v="6.0167999999999999"/>
  </r>
  <r>
    <n v="2016"/>
    <x v="31"/>
    <x v="0"/>
    <x v="8"/>
    <d v="2013-09-24T00:00:00"/>
    <n v="5"/>
    <x v="1"/>
    <s v="Anne McFarland"/>
    <x v="0"/>
    <s v="United States"/>
    <s v="Auburn"/>
    <s v="Alabama"/>
    <s v="South"/>
    <x v="1"/>
    <x v="4"/>
    <s v="Tennsco Double-Tier Lockers"/>
    <x v="1706"/>
    <n v="4"/>
    <n v="0"/>
    <n v="117.0104"/>
  </r>
  <r>
    <n v="2017"/>
    <x v="531"/>
    <x v="1"/>
    <x v="10"/>
    <d v="2012-03-23T00:00:00"/>
    <n v="4"/>
    <x v="1"/>
    <s v="Berenike Kampe"/>
    <x v="0"/>
    <s v="United States"/>
    <s v="San Bernardino"/>
    <s v="California"/>
    <s v="West"/>
    <x v="1"/>
    <x v="8"/>
    <s v="GBC Imprintable Covers"/>
    <x v="679"/>
    <n v="2"/>
    <n v="0.2"/>
    <n v="6.3684000000000003"/>
  </r>
  <r>
    <n v="2018"/>
    <x v="531"/>
    <x v="1"/>
    <x v="10"/>
    <d v="2012-03-23T00:00:00"/>
    <n v="4"/>
    <x v="1"/>
    <s v="Berenike Kampe"/>
    <x v="0"/>
    <s v="United States"/>
    <s v="San Bernardino"/>
    <s v="California"/>
    <s v="West"/>
    <x v="1"/>
    <x v="2"/>
    <s v="Self-Adhesive Address Labels for Typewriters by Universal"/>
    <x v="2"/>
    <n v="2"/>
    <n v="0"/>
    <n v="6.8714000000000004"/>
  </r>
  <r>
    <n v="2019"/>
    <x v="531"/>
    <x v="1"/>
    <x v="10"/>
    <d v="2012-03-23T00:00:00"/>
    <n v="4"/>
    <x v="1"/>
    <s v="Berenike Kampe"/>
    <x v="0"/>
    <s v="United States"/>
    <s v="San Bernardino"/>
    <s v="California"/>
    <s v="West"/>
    <x v="1"/>
    <x v="14"/>
    <s v="Acme Elite Stainless Steel Scissors"/>
    <x v="1707"/>
    <n v="4"/>
    <n v="0"/>
    <n v="8.6736000000000004"/>
  </r>
  <r>
    <n v="2020"/>
    <x v="531"/>
    <x v="1"/>
    <x v="10"/>
    <d v="2012-03-23T00:00:00"/>
    <n v="4"/>
    <x v="1"/>
    <s v="Berenike Kampe"/>
    <x v="0"/>
    <s v="United States"/>
    <s v="San Bernardino"/>
    <s v="California"/>
    <s v="West"/>
    <x v="1"/>
    <x v="10"/>
    <s v="Wirebound Message Books, 5-1/2 x 4 Forms, 2 or 4 Forms per Page"/>
    <x v="1708"/>
    <n v="6"/>
    <n v="0"/>
    <n v="19.668600000000001"/>
  </r>
  <r>
    <n v="2021"/>
    <x v="251"/>
    <x v="0"/>
    <x v="8"/>
    <d v="2013-09-22T00:00:00"/>
    <n v="2"/>
    <x v="2"/>
    <s v="Rick Huthwaite"/>
    <x v="2"/>
    <s v="United States"/>
    <s v="Providence"/>
    <s v="Rhode Island"/>
    <s v="East"/>
    <x v="1"/>
    <x v="4"/>
    <s v="Hot File 7-Pocket, Floor Stand"/>
    <x v="1709"/>
    <n v="9"/>
    <n v="0"/>
    <n v="481.86900000000003"/>
  </r>
  <r>
    <n v="2022"/>
    <x v="251"/>
    <x v="0"/>
    <x v="8"/>
    <d v="2013-09-22T00:00:00"/>
    <n v="2"/>
    <x v="2"/>
    <s v="Rick Huthwaite"/>
    <x v="2"/>
    <s v="United States"/>
    <s v="Providence"/>
    <s v="Rhode Island"/>
    <s v="East"/>
    <x v="1"/>
    <x v="10"/>
    <s v="Adams Telephone Message Book W/Dividers/Space For Phone Numbers, 5 1/4&quot;X8 1/2&quot;, 200/Messages"/>
    <x v="339"/>
    <n v="3"/>
    <n v="0"/>
    <n v="7.6680000000000001"/>
  </r>
  <r>
    <n v="2023"/>
    <x v="251"/>
    <x v="0"/>
    <x v="8"/>
    <d v="2013-09-22T00:00:00"/>
    <n v="2"/>
    <x v="2"/>
    <s v="Rick Huthwaite"/>
    <x v="2"/>
    <s v="United States"/>
    <s v="Providence"/>
    <s v="Rhode Island"/>
    <s v="East"/>
    <x v="1"/>
    <x v="8"/>
    <s v="JM Magazine Binder"/>
    <x v="1710"/>
    <n v="3"/>
    <n v="0"/>
    <n v="23.7744"/>
  </r>
  <r>
    <n v="2024"/>
    <x v="251"/>
    <x v="0"/>
    <x v="8"/>
    <d v="2013-09-22T00:00:00"/>
    <n v="2"/>
    <x v="2"/>
    <s v="Rick Huthwaite"/>
    <x v="2"/>
    <s v="United States"/>
    <s v="Providence"/>
    <s v="Rhode Island"/>
    <s v="East"/>
    <x v="0"/>
    <x v="1"/>
    <s v="Lifetime Advantage Folding Chairs, 4/Carton"/>
    <x v="1711"/>
    <n v="4"/>
    <n v="0"/>
    <n v="244.24959999999999"/>
  </r>
  <r>
    <n v="2025"/>
    <x v="648"/>
    <x v="3"/>
    <x v="6"/>
    <d v="2014-08-23T00:00:00"/>
    <n v="2"/>
    <x v="0"/>
    <s v="Gene McClure"/>
    <x v="0"/>
    <s v="United States"/>
    <s v="Fresno"/>
    <s v="California"/>
    <s v="West"/>
    <x v="1"/>
    <x v="8"/>
    <s v="GBC Recycled Regency Composition Covers"/>
    <x v="1712"/>
    <n v="5"/>
    <n v="0.2"/>
    <n v="77.713999999999999"/>
  </r>
  <r>
    <n v="2026"/>
    <x v="649"/>
    <x v="1"/>
    <x v="10"/>
    <d v="2012-03-15T00:00:00"/>
    <n v="2"/>
    <x v="2"/>
    <s v="Marc Crier"/>
    <x v="0"/>
    <s v="United States"/>
    <s v="Seattle"/>
    <s v="Washington"/>
    <s v="West"/>
    <x v="0"/>
    <x v="0"/>
    <s v="Safco Value Mate Series Steel Bookcases, Baked Enamel Finish on Steel, Gray"/>
    <x v="1713"/>
    <n v="2"/>
    <n v="0"/>
    <n v="39.748800000000003"/>
  </r>
  <r>
    <n v="2027"/>
    <x v="162"/>
    <x v="0"/>
    <x v="8"/>
    <d v="2013-09-11T00:00:00"/>
    <n v="2"/>
    <x v="0"/>
    <s v="Valerie Mitchum"/>
    <x v="2"/>
    <s v="United States"/>
    <s v="Lancaster"/>
    <s v="California"/>
    <s v="West"/>
    <x v="1"/>
    <x v="8"/>
    <s v="Square Ring Data Binders, Rigid 75 Pt. Covers, 11&quot; x 14-7/8&quot;"/>
    <x v="1714"/>
    <n v="2"/>
    <n v="0.2"/>
    <n v="11.558400000000001"/>
  </r>
  <r>
    <n v="2028"/>
    <x v="162"/>
    <x v="0"/>
    <x v="8"/>
    <d v="2013-09-11T00:00:00"/>
    <n v="2"/>
    <x v="0"/>
    <s v="Valerie Mitchum"/>
    <x v="2"/>
    <s v="United States"/>
    <s v="Lancaster"/>
    <s v="California"/>
    <s v="West"/>
    <x v="1"/>
    <x v="8"/>
    <s v="Premium Transparent Presentation Covers by GBC"/>
    <x v="1715"/>
    <n v="4"/>
    <n v="0.2"/>
    <n v="23.497599999999998"/>
  </r>
  <r>
    <n v="2029"/>
    <x v="650"/>
    <x v="1"/>
    <x v="0"/>
    <d v="2012-11-30T00:00:00"/>
    <n v="4"/>
    <x v="1"/>
    <s v="Guy Phonely"/>
    <x v="1"/>
    <s v="United States"/>
    <s v="Leominster"/>
    <s v="Massachusetts"/>
    <s v="East"/>
    <x v="1"/>
    <x v="8"/>
    <s v="Pressboard Covers with Storage Hooks, 9 1/2&quot; x 11&quot;, Light Blue"/>
    <x v="1646"/>
    <n v="3"/>
    <n v="0"/>
    <n v="6.9230999999999998"/>
  </r>
  <r>
    <n v="2030"/>
    <x v="650"/>
    <x v="1"/>
    <x v="0"/>
    <d v="2012-11-30T00:00:00"/>
    <n v="4"/>
    <x v="1"/>
    <s v="Guy Phonely"/>
    <x v="1"/>
    <s v="United States"/>
    <s v="Leominster"/>
    <s v="Massachusetts"/>
    <s v="East"/>
    <x v="1"/>
    <x v="4"/>
    <s v="Tennsco Lockers, Sand"/>
    <x v="1716"/>
    <n v="5"/>
    <n v="0"/>
    <n v="25.175999999999998"/>
  </r>
  <r>
    <n v="2031"/>
    <x v="650"/>
    <x v="1"/>
    <x v="0"/>
    <d v="2012-11-30T00:00:00"/>
    <n v="4"/>
    <x v="1"/>
    <s v="Guy Phonely"/>
    <x v="1"/>
    <s v="United States"/>
    <s v="Leominster"/>
    <s v="Massachusetts"/>
    <s v="East"/>
    <x v="1"/>
    <x v="8"/>
    <s v="Aluminum Screw Posts"/>
    <x v="1717"/>
    <n v="4"/>
    <n v="0"/>
    <n v="30.52"/>
  </r>
  <r>
    <n v="2032"/>
    <x v="650"/>
    <x v="1"/>
    <x v="0"/>
    <d v="2012-11-30T00:00:00"/>
    <n v="4"/>
    <x v="1"/>
    <s v="Guy Phonely"/>
    <x v="1"/>
    <s v="United States"/>
    <s v="Leominster"/>
    <s v="Massachusetts"/>
    <s v="East"/>
    <x v="1"/>
    <x v="10"/>
    <s v="Loose Memo Sheets"/>
    <x v="1023"/>
    <n v="3"/>
    <n v="0"/>
    <n v="5.1464999999999996"/>
  </r>
  <r>
    <n v="2033"/>
    <x v="10"/>
    <x v="0"/>
    <x v="4"/>
    <d v="2013-12-14T00:00:00"/>
    <n v="4"/>
    <x v="1"/>
    <s v="George Bell"/>
    <x v="1"/>
    <s v="United States"/>
    <s v="Fort Worth"/>
    <s v="Texas"/>
    <s v="Central"/>
    <x v="1"/>
    <x v="10"/>
    <s v="Things To Do Today Pad"/>
    <x v="1718"/>
    <n v="2"/>
    <n v="0.2"/>
    <n v="3.2871999999999999"/>
  </r>
  <r>
    <n v="2034"/>
    <x v="10"/>
    <x v="0"/>
    <x v="4"/>
    <d v="2013-12-14T00:00:00"/>
    <n v="4"/>
    <x v="1"/>
    <s v="George Bell"/>
    <x v="1"/>
    <s v="United States"/>
    <s v="Fort Worth"/>
    <s v="Texas"/>
    <s v="Central"/>
    <x v="1"/>
    <x v="6"/>
    <s v="Hunt BOSTON Vista Battery-Operated Pencil Sharpener, Black"/>
    <x v="1719"/>
    <n v="1"/>
    <n v="0.2"/>
    <n v="0.81620000000000004"/>
  </r>
  <r>
    <n v="2035"/>
    <x v="145"/>
    <x v="3"/>
    <x v="8"/>
    <d v="2014-09-30T00:00:00"/>
    <n v="4"/>
    <x v="1"/>
    <s v="Carol Triggs"/>
    <x v="0"/>
    <s v="United States"/>
    <s v="Rochester"/>
    <s v="Minnesota"/>
    <s v="Central"/>
    <x v="1"/>
    <x v="8"/>
    <s v="ACCOHIDE Binder by Acco"/>
    <x v="338"/>
    <n v="2"/>
    <n v="0"/>
    <n v="3.8822000000000001"/>
  </r>
  <r>
    <n v="2036"/>
    <x v="145"/>
    <x v="3"/>
    <x v="8"/>
    <d v="2014-09-30T00:00:00"/>
    <n v="4"/>
    <x v="1"/>
    <s v="Carol Triggs"/>
    <x v="0"/>
    <s v="United States"/>
    <s v="Rochester"/>
    <s v="Minnesota"/>
    <s v="Central"/>
    <x v="0"/>
    <x v="1"/>
    <s v="Global Leather Task Chair, Black"/>
    <x v="1720"/>
    <n v="3"/>
    <n v="0"/>
    <n v="51.2943"/>
  </r>
  <r>
    <n v="2037"/>
    <x v="651"/>
    <x v="1"/>
    <x v="9"/>
    <d v="2012-01-27T00:00:00"/>
    <n v="4"/>
    <x v="1"/>
    <s v="Carl Weiss"/>
    <x v="2"/>
    <s v="United States"/>
    <s v="Bozeman"/>
    <s v="Montana"/>
    <s v="West"/>
    <x v="1"/>
    <x v="10"/>
    <s v="Wirebound Service Call Books, 5 1/2&quot; x 4&quot;"/>
    <x v="1721"/>
    <n v="3"/>
    <n v="0"/>
    <n v="13.9392"/>
  </r>
  <r>
    <n v="2038"/>
    <x v="651"/>
    <x v="1"/>
    <x v="9"/>
    <d v="2012-01-27T00:00:00"/>
    <n v="4"/>
    <x v="1"/>
    <s v="Carl Weiss"/>
    <x v="2"/>
    <s v="United States"/>
    <s v="Bozeman"/>
    <s v="Montana"/>
    <s v="West"/>
    <x v="1"/>
    <x v="2"/>
    <s v="Avery 500"/>
    <x v="2"/>
    <n v="2"/>
    <n v="0"/>
    <n v="6.8714000000000004"/>
  </r>
  <r>
    <n v="2039"/>
    <x v="652"/>
    <x v="1"/>
    <x v="1"/>
    <d v="2012-06-23T00:00:00"/>
    <n v="5"/>
    <x v="1"/>
    <s v="Skye Norling"/>
    <x v="2"/>
    <s v="United States"/>
    <s v="Peoria"/>
    <s v="Arizona"/>
    <s v="West"/>
    <x v="1"/>
    <x v="10"/>
    <s v="Xerox 1922"/>
    <x v="1627"/>
    <n v="3"/>
    <n v="0.2"/>
    <n v="4.3326000000000002"/>
  </r>
  <r>
    <n v="2040"/>
    <x v="652"/>
    <x v="1"/>
    <x v="1"/>
    <d v="2012-06-23T00:00:00"/>
    <n v="5"/>
    <x v="1"/>
    <s v="Skye Norling"/>
    <x v="2"/>
    <s v="United States"/>
    <s v="Peoria"/>
    <s v="Arizona"/>
    <s v="West"/>
    <x v="1"/>
    <x v="8"/>
    <s v="Peel &amp; Stick Add-On Corner Pockets"/>
    <x v="1722"/>
    <n v="7"/>
    <n v="0.7"/>
    <n v="-3.3264"/>
  </r>
  <r>
    <n v="2041"/>
    <x v="652"/>
    <x v="1"/>
    <x v="1"/>
    <d v="2012-06-23T00:00:00"/>
    <n v="5"/>
    <x v="1"/>
    <s v="Skye Norling"/>
    <x v="2"/>
    <s v="United States"/>
    <s v="Peoria"/>
    <s v="Arizona"/>
    <s v="West"/>
    <x v="1"/>
    <x v="8"/>
    <s v="Aluminum Screw Posts"/>
    <x v="1723"/>
    <n v="2"/>
    <n v="0.7"/>
    <n v="-6.1040000000000001"/>
  </r>
  <r>
    <n v="2042"/>
    <x v="652"/>
    <x v="1"/>
    <x v="1"/>
    <d v="2012-06-23T00:00:00"/>
    <n v="5"/>
    <x v="1"/>
    <s v="Skye Norling"/>
    <x v="2"/>
    <s v="United States"/>
    <s v="Peoria"/>
    <s v="Arizona"/>
    <s v="West"/>
    <x v="0"/>
    <x v="5"/>
    <s v="Flat Face Poster Frame"/>
    <x v="1724"/>
    <n v="5"/>
    <n v="0.2"/>
    <n v="20.724"/>
  </r>
  <r>
    <n v="2043"/>
    <x v="653"/>
    <x v="1"/>
    <x v="2"/>
    <d v="2012-10-08T00:00:00"/>
    <n v="6"/>
    <x v="1"/>
    <s v="Ed Braxton"/>
    <x v="1"/>
    <s v="United States"/>
    <s v="San Diego"/>
    <s v="California"/>
    <s v="West"/>
    <x v="1"/>
    <x v="8"/>
    <s v="GBC Personal VeloBind Strips"/>
    <x v="1725"/>
    <n v="6"/>
    <n v="0.2"/>
    <n v="20.1264"/>
  </r>
  <r>
    <n v="2044"/>
    <x v="551"/>
    <x v="3"/>
    <x v="0"/>
    <d v="2014-11-24T00:00:00"/>
    <n v="5"/>
    <x v="1"/>
    <s v="Jane Waco"/>
    <x v="1"/>
    <s v="United States"/>
    <s v="Lakewood"/>
    <s v="Ohio"/>
    <s v="East"/>
    <x v="1"/>
    <x v="6"/>
    <s v="BIC Liqua Brite Liner"/>
    <x v="1726"/>
    <n v="7"/>
    <n v="0.2"/>
    <n v="7.7728000000000002"/>
  </r>
  <r>
    <n v="2045"/>
    <x v="654"/>
    <x v="2"/>
    <x v="6"/>
    <d v="2011-08-23T00:00:00"/>
    <n v="6"/>
    <x v="1"/>
    <s v="Ken Black"/>
    <x v="1"/>
    <s v="United States"/>
    <s v="Houston"/>
    <s v="Texas"/>
    <s v="Central"/>
    <x v="1"/>
    <x v="10"/>
    <s v="Xerox 203"/>
    <x v="12"/>
    <n v="3"/>
    <n v="0.2"/>
    <n v="5.4432"/>
  </r>
  <r>
    <n v="2046"/>
    <x v="19"/>
    <x v="0"/>
    <x v="7"/>
    <d v="2013-07-22T00:00:00"/>
    <n v="4"/>
    <x v="1"/>
    <s v="Matt Collister"/>
    <x v="1"/>
    <s v="United States"/>
    <s v="Perth Amboy"/>
    <s v="New Jersey"/>
    <s v="East"/>
    <x v="1"/>
    <x v="9"/>
    <s v="Kensington 4 Outlet MasterPiece Compact Power Control Center"/>
    <x v="1727"/>
    <n v="2"/>
    <n v="0"/>
    <n v="45.539200000000001"/>
  </r>
  <r>
    <n v="2047"/>
    <x v="19"/>
    <x v="0"/>
    <x v="7"/>
    <d v="2013-07-22T00:00:00"/>
    <n v="4"/>
    <x v="1"/>
    <s v="Matt Collister"/>
    <x v="1"/>
    <s v="United States"/>
    <s v="Perth Amboy"/>
    <s v="New Jersey"/>
    <s v="East"/>
    <x v="2"/>
    <x v="7"/>
    <s v="Bose SoundLink Bluetooth Speaker"/>
    <x v="1728"/>
    <n v="3"/>
    <n v="0"/>
    <n v="280.58999999999997"/>
  </r>
  <r>
    <n v="2048"/>
    <x v="19"/>
    <x v="0"/>
    <x v="7"/>
    <d v="2013-07-22T00:00:00"/>
    <n v="4"/>
    <x v="1"/>
    <s v="Matt Collister"/>
    <x v="1"/>
    <s v="United States"/>
    <s v="Perth Amboy"/>
    <s v="New Jersey"/>
    <s v="East"/>
    <x v="1"/>
    <x v="10"/>
    <s v="Eaton Premium Continuous-Feed Paper, 25% Cotton, Letter Size, White, 1000 Shts/Box"/>
    <x v="444"/>
    <n v="1"/>
    <n v="0"/>
    <n v="26.630400000000002"/>
  </r>
  <r>
    <n v="2049"/>
    <x v="655"/>
    <x v="1"/>
    <x v="7"/>
    <d v="2012-07-13T00:00:00"/>
    <n v="2"/>
    <x v="2"/>
    <s v="Clytie Kelty"/>
    <x v="0"/>
    <s v="United States"/>
    <s v="Philadelphia"/>
    <s v="Pennsylvania"/>
    <s v="East"/>
    <x v="0"/>
    <x v="5"/>
    <s v="Howard Miller 13-3/4&quot; Diameter Brushed Chrome Round Wall Clock"/>
    <x v="1729"/>
    <n v="7"/>
    <n v="0.2"/>
    <n v="36.225000000000001"/>
  </r>
  <r>
    <n v="2050"/>
    <x v="655"/>
    <x v="1"/>
    <x v="7"/>
    <d v="2012-07-13T00:00:00"/>
    <n v="2"/>
    <x v="2"/>
    <s v="Clytie Kelty"/>
    <x v="0"/>
    <s v="United States"/>
    <s v="Philadelphia"/>
    <s v="Pennsylvania"/>
    <s v="East"/>
    <x v="1"/>
    <x v="8"/>
    <s v="Acco Suede Grain Vinyl Round Ring Binder"/>
    <x v="1278"/>
    <n v="3"/>
    <n v="0.7"/>
    <n v="-2.0015999999999998"/>
  </r>
  <r>
    <n v="2051"/>
    <x v="655"/>
    <x v="1"/>
    <x v="7"/>
    <d v="2012-07-13T00:00:00"/>
    <n v="2"/>
    <x v="2"/>
    <s v="Clytie Kelty"/>
    <x v="0"/>
    <s v="United States"/>
    <s v="Philadelphia"/>
    <s v="Pennsylvania"/>
    <s v="East"/>
    <x v="1"/>
    <x v="8"/>
    <s v="3M Organizer Strips"/>
    <x v="90"/>
    <n v="4"/>
    <n v="0.7"/>
    <n v="-4.7519999999999998"/>
  </r>
  <r>
    <n v="2052"/>
    <x v="655"/>
    <x v="1"/>
    <x v="7"/>
    <d v="2012-07-13T00:00:00"/>
    <n v="2"/>
    <x v="2"/>
    <s v="Clytie Kelty"/>
    <x v="0"/>
    <s v="United States"/>
    <s v="Philadelphia"/>
    <s v="Pennsylvania"/>
    <s v="East"/>
    <x v="0"/>
    <x v="1"/>
    <s v="Novimex Fabric Task Chair"/>
    <x v="1730"/>
    <n v="8"/>
    <n v="0.3"/>
    <n v="-73.176000000000002"/>
  </r>
  <r>
    <n v="2053"/>
    <x v="655"/>
    <x v="1"/>
    <x v="7"/>
    <d v="2012-07-13T00:00:00"/>
    <n v="2"/>
    <x v="2"/>
    <s v="Clytie Kelty"/>
    <x v="0"/>
    <s v="United States"/>
    <s v="Philadelphia"/>
    <s v="Pennsylvania"/>
    <s v="East"/>
    <x v="1"/>
    <x v="6"/>
    <s v="Newell 333"/>
    <x v="1731"/>
    <n v="5"/>
    <n v="0.2"/>
    <n v="0.83399999999999996"/>
  </r>
  <r>
    <n v="2054"/>
    <x v="655"/>
    <x v="1"/>
    <x v="7"/>
    <d v="2012-07-13T00:00:00"/>
    <n v="2"/>
    <x v="2"/>
    <s v="Clytie Kelty"/>
    <x v="0"/>
    <s v="United States"/>
    <s v="Philadelphia"/>
    <s v="Pennsylvania"/>
    <s v="East"/>
    <x v="0"/>
    <x v="5"/>
    <s v="Master Big Foot Doorstop, Beige"/>
    <x v="863"/>
    <n v="6"/>
    <n v="0.2"/>
    <n v="3.4847999999999999"/>
  </r>
  <r>
    <n v="2055"/>
    <x v="49"/>
    <x v="0"/>
    <x v="4"/>
    <d v="2013-12-08T00:00:00"/>
    <n v="6"/>
    <x v="1"/>
    <s v="Rick Duston"/>
    <x v="0"/>
    <s v="United States"/>
    <s v="Richmond"/>
    <s v="Indiana"/>
    <s v="Central"/>
    <x v="0"/>
    <x v="5"/>
    <s v="DAX Cubicle Frames - 8x10"/>
    <x v="1732"/>
    <n v="3"/>
    <n v="0"/>
    <n v="5.1929999999999996"/>
  </r>
  <r>
    <n v="2056"/>
    <x v="66"/>
    <x v="3"/>
    <x v="4"/>
    <d v="2014-12-26T00:00:00"/>
    <n v="3"/>
    <x v="2"/>
    <s v="Theone Pippenger"/>
    <x v="0"/>
    <s v="United States"/>
    <s v="Detroit"/>
    <s v="Michigan"/>
    <s v="Central"/>
    <x v="2"/>
    <x v="11"/>
    <s v="Microsoft Wireless Mobile Mouse 4000"/>
    <x v="1695"/>
    <n v="5"/>
    <n v="0"/>
    <n v="63.984000000000002"/>
  </r>
  <r>
    <n v="2057"/>
    <x v="66"/>
    <x v="3"/>
    <x v="4"/>
    <d v="2014-12-26T00:00:00"/>
    <n v="3"/>
    <x v="2"/>
    <s v="Theone Pippenger"/>
    <x v="0"/>
    <s v="United States"/>
    <s v="Detroit"/>
    <s v="Michigan"/>
    <s v="Central"/>
    <x v="0"/>
    <x v="1"/>
    <s v="Hon GuestStacker Chair"/>
    <x v="1733"/>
    <n v="7"/>
    <n v="0"/>
    <n v="412.5394"/>
  </r>
  <r>
    <n v="2058"/>
    <x v="66"/>
    <x v="3"/>
    <x v="4"/>
    <d v="2014-12-26T00:00:00"/>
    <n v="3"/>
    <x v="2"/>
    <s v="Theone Pippenger"/>
    <x v="0"/>
    <s v="United States"/>
    <s v="Detroit"/>
    <s v="Michigan"/>
    <s v="Central"/>
    <x v="2"/>
    <x v="11"/>
    <s v="Logitech Gaming G510s - Keyboard"/>
    <x v="1734"/>
    <n v="1"/>
    <n v="0"/>
    <n v="30.596399999999999"/>
  </r>
  <r>
    <n v="2059"/>
    <x v="66"/>
    <x v="3"/>
    <x v="4"/>
    <d v="2014-12-26T00:00:00"/>
    <n v="3"/>
    <x v="2"/>
    <s v="Theone Pippenger"/>
    <x v="0"/>
    <s v="United States"/>
    <s v="Detroit"/>
    <s v="Michigan"/>
    <s v="Central"/>
    <x v="0"/>
    <x v="3"/>
    <s v="Bevis 44 x 96 Conference Tables"/>
    <x v="1735"/>
    <n v="2"/>
    <n v="0"/>
    <n v="70.006"/>
  </r>
  <r>
    <n v="2060"/>
    <x v="656"/>
    <x v="2"/>
    <x v="2"/>
    <d v="2011-11-04T00:00:00"/>
    <n v="4"/>
    <x v="1"/>
    <s v="Greg Guthrie"/>
    <x v="1"/>
    <s v="United States"/>
    <s v="Los Angeles"/>
    <s v="California"/>
    <s v="West"/>
    <x v="1"/>
    <x v="13"/>
    <s v="Staples"/>
    <x v="1176"/>
    <n v="3"/>
    <n v="0"/>
    <n v="5.2164000000000001"/>
  </r>
  <r>
    <n v="2061"/>
    <x v="656"/>
    <x v="2"/>
    <x v="2"/>
    <d v="2011-11-04T00:00:00"/>
    <n v="4"/>
    <x v="1"/>
    <s v="Greg Guthrie"/>
    <x v="1"/>
    <s v="United States"/>
    <s v="Los Angeles"/>
    <s v="California"/>
    <s v="West"/>
    <x v="1"/>
    <x v="4"/>
    <s v="Letter/Legal File Tote with Clear Snap-On Lid, Black Granite"/>
    <x v="1736"/>
    <n v="5"/>
    <n v="0"/>
    <n v="20.878"/>
  </r>
  <r>
    <n v="2062"/>
    <x v="656"/>
    <x v="2"/>
    <x v="2"/>
    <d v="2011-11-04T00:00:00"/>
    <n v="4"/>
    <x v="1"/>
    <s v="Greg Guthrie"/>
    <x v="1"/>
    <s v="United States"/>
    <s v="Los Angeles"/>
    <s v="California"/>
    <s v="West"/>
    <x v="1"/>
    <x v="8"/>
    <s v="Avery Framed View Binder, EZD Ring (Locking), Navy, 1 1/2&quot;"/>
    <x v="1737"/>
    <n v="2"/>
    <n v="0.2"/>
    <n v="5.3891999999999998"/>
  </r>
  <r>
    <n v="2063"/>
    <x v="656"/>
    <x v="2"/>
    <x v="2"/>
    <d v="2011-11-04T00:00:00"/>
    <n v="4"/>
    <x v="1"/>
    <s v="Greg Guthrie"/>
    <x v="1"/>
    <s v="United States"/>
    <s v="Los Angeles"/>
    <s v="California"/>
    <s v="West"/>
    <x v="1"/>
    <x v="10"/>
    <s v="Xerox 1952"/>
    <x v="1738"/>
    <n v="13"/>
    <n v="0"/>
    <n v="30.427800000000001"/>
  </r>
  <r>
    <n v="2064"/>
    <x v="656"/>
    <x v="2"/>
    <x v="2"/>
    <d v="2011-11-04T00:00:00"/>
    <n v="4"/>
    <x v="1"/>
    <s v="Greg Guthrie"/>
    <x v="1"/>
    <s v="United States"/>
    <s v="Los Angeles"/>
    <s v="California"/>
    <s v="West"/>
    <x v="1"/>
    <x v="8"/>
    <s v="Fellowes Twister Kit, Gray/Clear, 3/pkg"/>
    <x v="1739"/>
    <n v="3"/>
    <n v="0.2"/>
    <n v="6.03"/>
  </r>
  <r>
    <n v="2065"/>
    <x v="656"/>
    <x v="2"/>
    <x v="2"/>
    <d v="2011-11-04T00:00:00"/>
    <n v="4"/>
    <x v="1"/>
    <s v="Greg Guthrie"/>
    <x v="1"/>
    <s v="United States"/>
    <s v="Los Angeles"/>
    <s v="California"/>
    <s v="West"/>
    <x v="1"/>
    <x v="4"/>
    <s v="Tennsco Regal Shelving Units"/>
    <x v="1740"/>
    <n v="4"/>
    <n v="0"/>
    <n v="12.1692"/>
  </r>
  <r>
    <n v="2066"/>
    <x v="656"/>
    <x v="2"/>
    <x v="2"/>
    <d v="2011-11-04T00:00:00"/>
    <n v="4"/>
    <x v="1"/>
    <s v="Greg Guthrie"/>
    <x v="1"/>
    <s v="United States"/>
    <s v="Los Angeles"/>
    <s v="California"/>
    <s v="West"/>
    <x v="0"/>
    <x v="1"/>
    <s v="Novimex Fabric Task Chair"/>
    <x v="1741"/>
    <n v="3"/>
    <n v="0.2"/>
    <n v="-9.1470000000000002"/>
  </r>
  <r>
    <n v="2067"/>
    <x v="656"/>
    <x v="2"/>
    <x v="2"/>
    <d v="2011-11-04T00:00:00"/>
    <n v="4"/>
    <x v="1"/>
    <s v="Greg Guthrie"/>
    <x v="1"/>
    <s v="United States"/>
    <s v="Los Angeles"/>
    <s v="California"/>
    <s v="West"/>
    <x v="2"/>
    <x v="11"/>
    <s v="Maxell LTO Ultrium - 800 GB"/>
    <x v="1742"/>
    <n v="9"/>
    <n v="0"/>
    <n v="47.862900000000003"/>
  </r>
  <r>
    <n v="2068"/>
    <x v="656"/>
    <x v="2"/>
    <x v="2"/>
    <d v="2011-11-04T00:00:00"/>
    <n v="4"/>
    <x v="1"/>
    <s v="Greg Guthrie"/>
    <x v="1"/>
    <s v="United States"/>
    <s v="Los Angeles"/>
    <s v="California"/>
    <s v="West"/>
    <x v="1"/>
    <x v="6"/>
    <s v="Newell 325"/>
    <x v="708"/>
    <n v="3"/>
    <n v="0"/>
    <n v="3.7170000000000001"/>
  </r>
  <r>
    <n v="2069"/>
    <x v="657"/>
    <x v="1"/>
    <x v="3"/>
    <d v="2012-04-19T00:00:00"/>
    <n v="6"/>
    <x v="1"/>
    <s v="Zuschuss Carroll"/>
    <x v="0"/>
    <s v="United States"/>
    <s v="Pomona"/>
    <s v="California"/>
    <s v="West"/>
    <x v="2"/>
    <x v="11"/>
    <s v="Plantronics Audio 478 Stereo USB Headset"/>
    <x v="1743"/>
    <n v="4"/>
    <n v="0"/>
    <n v="69.986000000000004"/>
  </r>
  <r>
    <n v="2070"/>
    <x v="657"/>
    <x v="1"/>
    <x v="3"/>
    <d v="2012-04-19T00:00:00"/>
    <n v="6"/>
    <x v="1"/>
    <s v="Zuschuss Carroll"/>
    <x v="0"/>
    <s v="United States"/>
    <s v="Pomona"/>
    <s v="California"/>
    <s v="West"/>
    <x v="0"/>
    <x v="3"/>
    <s v="Hon 94000 Series Round Tables"/>
    <x v="1744"/>
    <n v="3"/>
    <n v="0.2"/>
    <n v="-97.739400000000003"/>
  </r>
  <r>
    <n v="2071"/>
    <x v="658"/>
    <x v="0"/>
    <x v="7"/>
    <d v="2013-07-24T00:00:00"/>
    <n v="2"/>
    <x v="0"/>
    <s v="Corey Catlett"/>
    <x v="1"/>
    <s v="United States"/>
    <s v="Philadelphia"/>
    <s v="Pennsylvania"/>
    <s v="East"/>
    <x v="1"/>
    <x v="8"/>
    <s v="GBC Instant Report Kit"/>
    <x v="1745"/>
    <n v="1"/>
    <n v="0.7"/>
    <n v="-1.294"/>
  </r>
  <r>
    <n v="2072"/>
    <x v="225"/>
    <x v="3"/>
    <x v="0"/>
    <d v="2014-11-26T00:00:00"/>
    <n v="5"/>
    <x v="1"/>
    <s v="Kelly Andreada"/>
    <x v="0"/>
    <s v="United States"/>
    <s v="Ontario"/>
    <s v="California"/>
    <s v="West"/>
    <x v="0"/>
    <x v="1"/>
    <s v="Novimex High-Tech Fabric Mesh Task Chair"/>
    <x v="510"/>
    <n v="5"/>
    <n v="0.2"/>
    <n v="-46.137"/>
  </r>
  <r>
    <n v="2073"/>
    <x v="491"/>
    <x v="0"/>
    <x v="0"/>
    <d v="2013-12-03T00:00:00"/>
    <n v="6"/>
    <x v="1"/>
    <s v="Tamara Chand"/>
    <x v="1"/>
    <s v="United States"/>
    <s v="Seattle"/>
    <s v="Washington"/>
    <s v="West"/>
    <x v="1"/>
    <x v="8"/>
    <s v="Newell 3-Hole Punched Plastic Slotted Magazine Holders for Binders"/>
    <x v="1746"/>
    <n v="2"/>
    <n v="0.2"/>
    <n v="2.5592000000000001"/>
  </r>
  <r>
    <n v="2074"/>
    <x v="659"/>
    <x v="3"/>
    <x v="0"/>
    <d v="2014-11-13T00:00:00"/>
    <n v="5"/>
    <x v="0"/>
    <s v="Deborah Brumfield"/>
    <x v="2"/>
    <s v="United States"/>
    <s v="Brentwood"/>
    <s v="California"/>
    <s v="West"/>
    <x v="2"/>
    <x v="11"/>
    <s v="Anker Ultra-Slim Mini Bluetooth 3.0 Wireless Keyboard"/>
    <x v="127"/>
    <n v="3"/>
    <n v="0"/>
    <n v="13.793100000000001"/>
  </r>
  <r>
    <n v="2075"/>
    <x v="659"/>
    <x v="3"/>
    <x v="0"/>
    <d v="2014-11-13T00:00:00"/>
    <n v="5"/>
    <x v="0"/>
    <s v="Deborah Brumfield"/>
    <x v="2"/>
    <s v="United States"/>
    <s v="Brentwood"/>
    <s v="California"/>
    <s v="West"/>
    <x v="2"/>
    <x v="7"/>
    <s v="Plantronics CS 50-USB - headset - Convertible, Monaural"/>
    <x v="1747"/>
    <n v="7"/>
    <n v="0.2"/>
    <n v="66.635099999999994"/>
  </r>
  <r>
    <n v="2076"/>
    <x v="588"/>
    <x v="2"/>
    <x v="4"/>
    <d v="2011-12-05T00:00:00"/>
    <n v="4"/>
    <x v="1"/>
    <s v="Toby Ritter"/>
    <x v="0"/>
    <s v="United States"/>
    <s v="San Francisco"/>
    <s v="California"/>
    <s v="West"/>
    <x v="0"/>
    <x v="5"/>
    <s v="Floodlight Indoor Halogen Bulbs, 1 Bulb per Pack, 60 Watts"/>
    <x v="1748"/>
    <n v="3"/>
    <n v="0"/>
    <n v="28.518000000000001"/>
  </r>
  <r>
    <n v="2077"/>
    <x v="510"/>
    <x v="3"/>
    <x v="8"/>
    <d v="2014-09-16T00:00:00"/>
    <n v="3"/>
    <x v="2"/>
    <s v="Bart Folk"/>
    <x v="0"/>
    <s v="United States"/>
    <s v="Baltimore"/>
    <s v="Maryland"/>
    <s v="East"/>
    <x v="1"/>
    <x v="10"/>
    <s v="Adams Telephone Message Book w/Frequently-Called Numbers Space, 400 Messages per Book"/>
    <x v="1749"/>
    <n v="5"/>
    <n v="0"/>
    <n v="19.95"/>
  </r>
  <r>
    <n v="2078"/>
    <x v="510"/>
    <x v="3"/>
    <x v="8"/>
    <d v="2014-09-16T00:00:00"/>
    <n v="3"/>
    <x v="2"/>
    <s v="Bart Folk"/>
    <x v="0"/>
    <s v="United States"/>
    <s v="Baltimore"/>
    <s v="Maryland"/>
    <s v="East"/>
    <x v="1"/>
    <x v="9"/>
    <s v="Fellowes Basic Home/Office Series Surge Protectors"/>
    <x v="1750"/>
    <n v="7"/>
    <n v="0"/>
    <n v="26.349399999999999"/>
  </r>
  <r>
    <n v="2079"/>
    <x v="510"/>
    <x v="3"/>
    <x v="8"/>
    <d v="2014-09-16T00:00:00"/>
    <n v="3"/>
    <x v="2"/>
    <s v="Bart Folk"/>
    <x v="0"/>
    <s v="United States"/>
    <s v="Baltimore"/>
    <s v="Maryland"/>
    <s v="East"/>
    <x v="1"/>
    <x v="10"/>
    <s v="Xerox 1939"/>
    <x v="450"/>
    <n v="5"/>
    <n v="0"/>
    <n v="45.527999999999999"/>
  </r>
  <r>
    <n v="2080"/>
    <x v="100"/>
    <x v="1"/>
    <x v="4"/>
    <d v="2012-12-29T00:00:00"/>
    <n v="5"/>
    <x v="1"/>
    <s v="Maribeth Schnelling"/>
    <x v="0"/>
    <s v="United States"/>
    <s v="Phoenix"/>
    <s v="Arizona"/>
    <s v="West"/>
    <x v="1"/>
    <x v="10"/>
    <s v="Computer Printout Paper with Letter-Trim Perforations"/>
    <x v="1751"/>
    <n v="7"/>
    <n v="0.2"/>
    <n v="37.181199999999997"/>
  </r>
  <r>
    <n v="2081"/>
    <x v="100"/>
    <x v="1"/>
    <x v="4"/>
    <d v="2012-12-29T00:00:00"/>
    <n v="5"/>
    <x v="1"/>
    <s v="Maribeth Schnelling"/>
    <x v="0"/>
    <s v="United States"/>
    <s v="Phoenix"/>
    <s v="Arizona"/>
    <s v="West"/>
    <x v="2"/>
    <x v="7"/>
    <s v="ClearSounds CSC500 Amplified Spirit Phone Corded phone"/>
    <x v="1752"/>
    <n v="2"/>
    <n v="0.2"/>
    <n v="11.198399999999999"/>
  </r>
  <r>
    <n v="2082"/>
    <x v="100"/>
    <x v="1"/>
    <x v="4"/>
    <d v="2012-12-29T00:00:00"/>
    <n v="5"/>
    <x v="1"/>
    <s v="Maribeth Schnelling"/>
    <x v="0"/>
    <s v="United States"/>
    <s v="Phoenix"/>
    <s v="Arizona"/>
    <s v="West"/>
    <x v="0"/>
    <x v="5"/>
    <s v="Magna Visual Magnetic Picture Hangers"/>
    <x v="323"/>
    <n v="2"/>
    <n v="0.2"/>
    <n v="1.7352000000000001"/>
  </r>
  <r>
    <n v="2083"/>
    <x v="660"/>
    <x v="3"/>
    <x v="11"/>
    <d v="2014-03-02T00:00:00"/>
    <n v="6"/>
    <x v="1"/>
    <s v="Clytie Kelty"/>
    <x v="0"/>
    <s v="United States"/>
    <s v="Los Angeles"/>
    <s v="California"/>
    <s v="West"/>
    <x v="1"/>
    <x v="10"/>
    <s v="Ampad Phone Message Book, Recycled, 400 Message Capacity, 5 ¾” x 11”"/>
    <x v="776"/>
    <n v="6"/>
    <n v="0"/>
    <n v="16.847999999999999"/>
  </r>
  <r>
    <n v="2084"/>
    <x v="533"/>
    <x v="2"/>
    <x v="0"/>
    <d v="2011-11-29T00:00:00"/>
    <n v="6"/>
    <x v="1"/>
    <s v="Emily Ducich"/>
    <x v="2"/>
    <s v="United States"/>
    <s v="Houston"/>
    <s v="Texas"/>
    <s v="Central"/>
    <x v="1"/>
    <x v="2"/>
    <s v="Alphabetical Labels for Top Tab Filing"/>
    <x v="208"/>
    <n v="2"/>
    <n v="0.2"/>
    <n v="8.8800000000000008"/>
  </r>
  <r>
    <n v="2085"/>
    <x v="661"/>
    <x v="0"/>
    <x v="1"/>
    <d v="2013-06-29T00:00:00"/>
    <n v="5"/>
    <x v="1"/>
    <s v="Irene Maddox"/>
    <x v="0"/>
    <s v="United States"/>
    <s v="New York City"/>
    <s v="New York"/>
    <s v="East"/>
    <x v="1"/>
    <x v="2"/>
    <s v="Avery 4027 File Folder Labels for Dot Matrix Printers, 5000 Labels per Box, White"/>
    <x v="1164"/>
    <n v="4"/>
    <n v="0"/>
    <n v="56.175199999999997"/>
  </r>
  <r>
    <n v="2086"/>
    <x v="661"/>
    <x v="0"/>
    <x v="1"/>
    <d v="2013-06-29T00:00:00"/>
    <n v="5"/>
    <x v="1"/>
    <s v="Irene Maddox"/>
    <x v="0"/>
    <s v="United States"/>
    <s v="New York City"/>
    <s v="New York"/>
    <s v="East"/>
    <x v="1"/>
    <x v="2"/>
    <s v="Avery 52"/>
    <x v="1753"/>
    <n v="5"/>
    <n v="0"/>
    <n v="8.6715"/>
  </r>
  <r>
    <n v="2087"/>
    <x v="661"/>
    <x v="0"/>
    <x v="1"/>
    <d v="2013-06-29T00:00:00"/>
    <n v="5"/>
    <x v="1"/>
    <s v="Irene Maddox"/>
    <x v="0"/>
    <s v="United States"/>
    <s v="New York City"/>
    <s v="New York"/>
    <s v="East"/>
    <x v="1"/>
    <x v="4"/>
    <s v="Fellowes Bankers Box Staxonsteel Drawer File/Stacking System"/>
    <x v="1754"/>
    <n v="5"/>
    <n v="0"/>
    <n v="38.988"/>
  </r>
  <r>
    <n v="2088"/>
    <x v="661"/>
    <x v="0"/>
    <x v="1"/>
    <d v="2013-06-29T00:00:00"/>
    <n v="5"/>
    <x v="1"/>
    <s v="Irene Maddox"/>
    <x v="0"/>
    <s v="United States"/>
    <s v="New York City"/>
    <s v="New York"/>
    <s v="East"/>
    <x v="1"/>
    <x v="10"/>
    <s v="Tops White Computer Printout Paper"/>
    <x v="64"/>
    <n v="3"/>
    <n v="0"/>
    <n v="68.963099999999997"/>
  </r>
  <r>
    <n v="2089"/>
    <x v="661"/>
    <x v="0"/>
    <x v="1"/>
    <d v="2013-06-29T00:00:00"/>
    <n v="5"/>
    <x v="1"/>
    <s v="Irene Maddox"/>
    <x v="0"/>
    <s v="United States"/>
    <s v="New York City"/>
    <s v="New York"/>
    <s v="East"/>
    <x v="1"/>
    <x v="13"/>
    <s v="Translucent Push Pins by OIC"/>
    <x v="532"/>
    <n v="2"/>
    <n v="0"/>
    <n v="1.4652000000000001"/>
  </r>
  <r>
    <n v="2090"/>
    <x v="662"/>
    <x v="1"/>
    <x v="2"/>
    <d v="2012-10-30T00:00:00"/>
    <n v="4"/>
    <x v="1"/>
    <s v="Maribeth Yedwab"/>
    <x v="1"/>
    <s v="United States"/>
    <s v="Rancho Cucamonga"/>
    <s v="California"/>
    <s v="West"/>
    <x v="1"/>
    <x v="2"/>
    <s v="Avery 507"/>
    <x v="1755"/>
    <n v="2"/>
    <n v="0"/>
    <n v="2.6496"/>
  </r>
  <r>
    <n v="2091"/>
    <x v="663"/>
    <x v="3"/>
    <x v="7"/>
    <d v="2014-07-20T00:00:00"/>
    <n v="4"/>
    <x v="1"/>
    <s v="Magdelene Morse"/>
    <x v="0"/>
    <s v="United States"/>
    <s v="Wilmington"/>
    <s v="Delaware"/>
    <s v="East"/>
    <x v="1"/>
    <x v="8"/>
    <s v="GBC Standard Plastic Binding Systems Combs"/>
    <x v="1756"/>
    <n v="3"/>
    <n v="0"/>
    <n v="13.009499999999999"/>
  </r>
  <r>
    <n v="2092"/>
    <x v="663"/>
    <x v="3"/>
    <x v="7"/>
    <d v="2014-07-20T00:00:00"/>
    <n v="4"/>
    <x v="1"/>
    <s v="Magdelene Morse"/>
    <x v="0"/>
    <s v="United States"/>
    <s v="Wilmington"/>
    <s v="Delaware"/>
    <s v="East"/>
    <x v="0"/>
    <x v="3"/>
    <s v="Hon 2111 Invitation Series Straight Table"/>
    <x v="1757"/>
    <n v="3"/>
    <n v="0.3"/>
    <n v="-48.783900000000003"/>
  </r>
  <r>
    <n v="2093"/>
    <x v="664"/>
    <x v="2"/>
    <x v="0"/>
    <d v="2011-11-21T00:00:00"/>
    <n v="4"/>
    <x v="1"/>
    <s v="Mark Packer"/>
    <x v="2"/>
    <s v="United States"/>
    <s v="Moorhead"/>
    <s v="Minnesota"/>
    <s v="Central"/>
    <x v="0"/>
    <x v="1"/>
    <s v="Global Super Steno Chair"/>
    <x v="1758"/>
    <n v="5"/>
    <n v="0"/>
    <n v="81.582999999999998"/>
  </r>
  <r>
    <n v="2094"/>
    <x v="657"/>
    <x v="1"/>
    <x v="3"/>
    <d v="2012-04-15T00:00:00"/>
    <n v="2"/>
    <x v="0"/>
    <s v="Anthony Witt"/>
    <x v="0"/>
    <s v="United States"/>
    <s v="Farmington"/>
    <s v="New Mexico"/>
    <s v="West"/>
    <x v="1"/>
    <x v="14"/>
    <s v="Martin-Yale Premier Letter Opener"/>
    <x v="1759"/>
    <n v="1"/>
    <n v="0"/>
    <n v="0.38640000000000002"/>
  </r>
  <r>
    <n v="2095"/>
    <x v="665"/>
    <x v="1"/>
    <x v="0"/>
    <d v="2012-11-29T00:00:00"/>
    <n v="4"/>
    <x v="1"/>
    <s v="Sandra Flanagan"/>
    <x v="0"/>
    <s v="United States"/>
    <s v="Wilmington"/>
    <s v="North Carolina"/>
    <s v="South"/>
    <x v="1"/>
    <x v="6"/>
    <s v="Newell 349"/>
    <x v="1317"/>
    <n v="5"/>
    <n v="0.2"/>
    <n v="1.476"/>
  </r>
  <r>
    <n v="2096"/>
    <x v="666"/>
    <x v="0"/>
    <x v="5"/>
    <d v="2013-05-21T00:00:00"/>
    <n v="5"/>
    <x v="1"/>
    <s v="Steve Nguyen"/>
    <x v="2"/>
    <s v="United States"/>
    <s v="Jackson"/>
    <s v="Mississippi"/>
    <s v="South"/>
    <x v="1"/>
    <x v="8"/>
    <s v="GBC DocuBind P50 Personal Binding Machine"/>
    <x v="1760"/>
    <n v="8"/>
    <n v="0"/>
    <n v="240.56479999999999"/>
  </r>
  <r>
    <n v="2097"/>
    <x v="666"/>
    <x v="0"/>
    <x v="5"/>
    <d v="2013-05-21T00:00:00"/>
    <n v="5"/>
    <x v="1"/>
    <s v="Steve Nguyen"/>
    <x v="2"/>
    <s v="United States"/>
    <s v="Jackson"/>
    <s v="Mississippi"/>
    <s v="South"/>
    <x v="1"/>
    <x v="6"/>
    <s v="Boston KS Multi-Size Manual Pencil Sharpener"/>
    <x v="1361"/>
    <n v="4"/>
    <n v="0"/>
    <n v="25.748799999999999"/>
  </r>
  <r>
    <n v="2098"/>
    <x v="666"/>
    <x v="0"/>
    <x v="5"/>
    <d v="2013-05-21T00:00:00"/>
    <n v="5"/>
    <x v="1"/>
    <s v="Steve Nguyen"/>
    <x v="2"/>
    <s v="United States"/>
    <s v="Jackson"/>
    <s v="Mississippi"/>
    <s v="South"/>
    <x v="1"/>
    <x v="6"/>
    <s v="Newell 344"/>
    <x v="480"/>
    <n v="3"/>
    <n v="0"/>
    <n v="2.1684000000000001"/>
  </r>
  <r>
    <n v="2099"/>
    <x v="210"/>
    <x v="3"/>
    <x v="8"/>
    <d v="2014-09-13T00:00:00"/>
    <n v="5"/>
    <x v="1"/>
    <s v="Ruben Dartt"/>
    <x v="0"/>
    <s v="United States"/>
    <s v="Portland"/>
    <s v="Oregon"/>
    <s v="West"/>
    <x v="1"/>
    <x v="4"/>
    <s v="Hanging Personal Folder File"/>
    <x v="1015"/>
    <n v="3"/>
    <n v="0.2"/>
    <n v="2.355"/>
  </r>
  <r>
    <n v="2100"/>
    <x v="210"/>
    <x v="3"/>
    <x v="8"/>
    <d v="2014-09-13T00:00:00"/>
    <n v="5"/>
    <x v="1"/>
    <s v="Ruben Dartt"/>
    <x v="0"/>
    <s v="United States"/>
    <s v="Portland"/>
    <s v="Oregon"/>
    <s v="West"/>
    <x v="2"/>
    <x v="11"/>
    <s v="Logitech Wireless Marathon Mouse M705"/>
    <x v="1761"/>
    <n v="7"/>
    <n v="0.2"/>
    <n v="80.483900000000006"/>
  </r>
  <r>
    <n v="2101"/>
    <x v="418"/>
    <x v="2"/>
    <x v="10"/>
    <d v="2011-03-17T00:00:00"/>
    <n v="7"/>
    <x v="1"/>
    <s v="Kean Thornton"/>
    <x v="0"/>
    <s v="United States"/>
    <s v="Denver"/>
    <s v="Colorado"/>
    <s v="West"/>
    <x v="1"/>
    <x v="4"/>
    <s v="Tennsco 6- and 18-Compartment Lockers"/>
    <x v="1762"/>
    <n v="3"/>
    <n v="0.2"/>
    <n v="-15.9102"/>
  </r>
  <r>
    <n v="2102"/>
    <x v="418"/>
    <x v="2"/>
    <x v="10"/>
    <d v="2011-03-17T00:00:00"/>
    <n v="7"/>
    <x v="1"/>
    <s v="Kean Thornton"/>
    <x v="0"/>
    <s v="United States"/>
    <s v="Denver"/>
    <s v="Colorado"/>
    <s v="West"/>
    <x v="1"/>
    <x v="6"/>
    <s v="BOSTON Ranger #55 Pencil Sharpener, Black"/>
    <x v="1763"/>
    <n v="4"/>
    <n v="0.2"/>
    <n v="9.3564000000000007"/>
  </r>
  <r>
    <n v="2103"/>
    <x v="667"/>
    <x v="2"/>
    <x v="7"/>
    <d v="2011-07-18T00:00:00"/>
    <n v="0"/>
    <x v="3"/>
    <s v="Adrian Hane"/>
    <x v="2"/>
    <s v="United States"/>
    <s v="Tucson"/>
    <s v="Arizona"/>
    <s v="West"/>
    <x v="0"/>
    <x v="1"/>
    <s v="Office Star - Ergonomically Designed Knee Chair"/>
    <x v="1764"/>
    <n v="4"/>
    <n v="0.2"/>
    <n v="-25.913599999999999"/>
  </r>
  <r>
    <n v="2104"/>
    <x v="668"/>
    <x v="3"/>
    <x v="10"/>
    <d v="2014-03-29T00:00:00"/>
    <n v="4"/>
    <x v="0"/>
    <s v="Brian Moss"/>
    <x v="1"/>
    <s v="United States"/>
    <s v="New York City"/>
    <s v="New York"/>
    <s v="East"/>
    <x v="1"/>
    <x v="10"/>
    <s v="Xerox 1888"/>
    <x v="1765"/>
    <n v="4"/>
    <n v="0"/>
    <n v="106.52160000000001"/>
  </r>
  <r>
    <n v="2105"/>
    <x v="668"/>
    <x v="3"/>
    <x v="10"/>
    <d v="2014-03-29T00:00:00"/>
    <n v="4"/>
    <x v="0"/>
    <s v="Brian Moss"/>
    <x v="1"/>
    <s v="United States"/>
    <s v="New York City"/>
    <s v="New York"/>
    <s v="East"/>
    <x v="2"/>
    <x v="11"/>
    <s v="Memorex Micro Travel Drive 8 GB"/>
    <x v="1766"/>
    <n v="2"/>
    <n v="0"/>
    <n v="11.7"/>
  </r>
  <r>
    <n v="2106"/>
    <x v="587"/>
    <x v="2"/>
    <x v="8"/>
    <d v="2011-10-05T00:00:00"/>
    <n v="5"/>
    <x v="1"/>
    <s v="Ben Wallace"/>
    <x v="0"/>
    <s v="United States"/>
    <s v="Boynton Beach"/>
    <s v="Florida"/>
    <s v="South"/>
    <x v="1"/>
    <x v="10"/>
    <s v="Xerox 217"/>
    <x v="12"/>
    <n v="3"/>
    <n v="0.2"/>
    <n v="5.4432"/>
  </r>
  <r>
    <n v="2107"/>
    <x v="467"/>
    <x v="2"/>
    <x v="8"/>
    <d v="2011-09-26T00:00:00"/>
    <n v="0"/>
    <x v="3"/>
    <s v="Henry Goldwyn"/>
    <x v="1"/>
    <s v="United States"/>
    <s v="Mesquite"/>
    <s v="Texas"/>
    <s v="Central"/>
    <x v="1"/>
    <x v="8"/>
    <s v="Acco 3-Hole Punch"/>
    <x v="1767"/>
    <n v="1"/>
    <n v="0.8"/>
    <n v="-1.4016"/>
  </r>
  <r>
    <n v="2108"/>
    <x v="89"/>
    <x v="1"/>
    <x v="2"/>
    <d v="2012-10-31T00:00:00"/>
    <n v="0"/>
    <x v="3"/>
    <s v="Sandra Glassco"/>
    <x v="0"/>
    <s v="United States"/>
    <s v="Redlands"/>
    <s v="California"/>
    <s v="West"/>
    <x v="1"/>
    <x v="10"/>
    <s v="Xerox 191"/>
    <x v="1016"/>
    <n v="1"/>
    <n v="0"/>
    <n v="9.3905999999999992"/>
  </r>
  <r>
    <n v="2109"/>
    <x v="89"/>
    <x v="1"/>
    <x v="2"/>
    <d v="2012-10-31T00:00:00"/>
    <n v="0"/>
    <x v="3"/>
    <s v="Sandra Glassco"/>
    <x v="0"/>
    <s v="United States"/>
    <s v="Redlands"/>
    <s v="California"/>
    <s v="West"/>
    <x v="1"/>
    <x v="8"/>
    <s v="GBC DocuBind P100 Manual Binding Machine"/>
    <x v="1104"/>
    <n v="3"/>
    <n v="0.2"/>
    <n v="124.485"/>
  </r>
  <r>
    <n v="2110"/>
    <x v="89"/>
    <x v="1"/>
    <x v="2"/>
    <d v="2012-10-31T00:00:00"/>
    <n v="0"/>
    <x v="3"/>
    <s v="Sandra Glassco"/>
    <x v="0"/>
    <s v="United States"/>
    <s v="Redlands"/>
    <s v="California"/>
    <s v="West"/>
    <x v="1"/>
    <x v="6"/>
    <s v="Newell 308"/>
    <x v="1310"/>
    <n v="3"/>
    <n v="0"/>
    <n v="1.26"/>
  </r>
  <r>
    <n v="2111"/>
    <x v="89"/>
    <x v="1"/>
    <x v="2"/>
    <d v="2012-10-31T00:00:00"/>
    <n v="0"/>
    <x v="3"/>
    <s v="Sandra Glassco"/>
    <x v="0"/>
    <s v="United States"/>
    <s v="Redlands"/>
    <s v="California"/>
    <s v="West"/>
    <x v="1"/>
    <x v="13"/>
    <s v="OIC Bulk Pack Metal Binder Clips"/>
    <x v="1768"/>
    <n v="5"/>
    <n v="0"/>
    <n v="8.0269999999999992"/>
  </r>
  <r>
    <n v="2112"/>
    <x v="89"/>
    <x v="1"/>
    <x v="2"/>
    <d v="2012-10-31T00:00:00"/>
    <n v="0"/>
    <x v="3"/>
    <s v="Sandra Glassco"/>
    <x v="0"/>
    <s v="United States"/>
    <s v="Redlands"/>
    <s v="California"/>
    <s v="West"/>
    <x v="0"/>
    <x v="1"/>
    <s v="Global Fabric Manager's Chair, Dark Gray"/>
    <x v="825"/>
    <n v="4"/>
    <n v="0.2"/>
    <n v="20.196000000000002"/>
  </r>
  <r>
    <n v="2113"/>
    <x v="89"/>
    <x v="1"/>
    <x v="2"/>
    <d v="2012-10-31T00:00:00"/>
    <n v="0"/>
    <x v="3"/>
    <s v="Sandra Glassco"/>
    <x v="0"/>
    <s v="United States"/>
    <s v="Redlands"/>
    <s v="California"/>
    <s v="West"/>
    <x v="1"/>
    <x v="14"/>
    <s v="Acme Tagit Stainless Steel Antibacterial Scissors"/>
    <x v="1271"/>
    <n v="3"/>
    <n v="0"/>
    <n v="8.0190000000000001"/>
  </r>
  <r>
    <n v="2114"/>
    <x v="89"/>
    <x v="1"/>
    <x v="2"/>
    <d v="2012-10-31T00:00:00"/>
    <n v="0"/>
    <x v="3"/>
    <s v="Sandra Glassco"/>
    <x v="0"/>
    <s v="United States"/>
    <s v="Redlands"/>
    <s v="California"/>
    <s v="West"/>
    <x v="2"/>
    <x v="7"/>
    <s v="Polycom SoundStation2 EX Conference phone"/>
    <x v="1769"/>
    <n v="4"/>
    <n v="0.2"/>
    <n v="145.78200000000001"/>
  </r>
  <r>
    <n v="2115"/>
    <x v="89"/>
    <x v="1"/>
    <x v="2"/>
    <d v="2012-10-31T00:00:00"/>
    <n v="0"/>
    <x v="3"/>
    <s v="Sandra Glassco"/>
    <x v="0"/>
    <s v="United States"/>
    <s v="Redlands"/>
    <s v="California"/>
    <s v="West"/>
    <x v="1"/>
    <x v="4"/>
    <s v="Mobile Personal File Cube"/>
    <x v="1770"/>
    <n v="2"/>
    <n v="0"/>
    <n v="12.646800000000001"/>
  </r>
  <r>
    <n v="2116"/>
    <x v="89"/>
    <x v="1"/>
    <x v="2"/>
    <d v="2012-10-31T00:00:00"/>
    <n v="0"/>
    <x v="3"/>
    <s v="Sandra Glassco"/>
    <x v="0"/>
    <s v="United States"/>
    <s v="Redlands"/>
    <s v="California"/>
    <s v="West"/>
    <x v="0"/>
    <x v="0"/>
    <s v="DMI Eclipse Executive Suite Bookcases"/>
    <x v="1771"/>
    <n v="1"/>
    <n v="0.15"/>
    <n v="20.039200000000001"/>
  </r>
  <r>
    <n v="2117"/>
    <x v="88"/>
    <x v="1"/>
    <x v="2"/>
    <d v="2012-10-17T00:00:00"/>
    <n v="5"/>
    <x v="0"/>
    <s v="Ralph Kennedy"/>
    <x v="0"/>
    <s v="United States"/>
    <s v="Rochester"/>
    <s v="New York"/>
    <s v="East"/>
    <x v="0"/>
    <x v="3"/>
    <s v="SAFCO PlanMaster Heigh-Adjustable Drafting Table Base, 43w x 30d x 30-37h, Black"/>
    <x v="1772"/>
    <n v="1"/>
    <n v="0.4"/>
    <n v="-13.978"/>
  </r>
  <r>
    <n v="2118"/>
    <x v="251"/>
    <x v="0"/>
    <x v="8"/>
    <d v="2013-09-24T00:00:00"/>
    <n v="4"/>
    <x v="1"/>
    <s v="Scot Wooten"/>
    <x v="0"/>
    <s v="United States"/>
    <s v="Stockton"/>
    <s v="California"/>
    <s v="West"/>
    <x v="1"/>
    <x v="10"/>
    <s v="Xerox Color Copier Paper, 11&quot; x 17&quot;, Ream"/>
    <x v="1773"/>
    <n v="7"/>
    <n v="0"/>
    <n v="73.544799999999995"/>
  </r>
  <r>
    <n v="2119"/>
    <x v="669"/>
    <x v="3"/>
    <x v="3"/>
    <d v="2014-04-16T00:00:00"/>
    <n v="2"/>
    <x v="2"/>
    <s v="Rob Williams"/>
    <x v="1"/>
    <s v="United States"/>
    <s v="Seattle"/>
    <s v="Washington"/>
    <s v="West"/>
    <x v="1"/>
    <x v="10"/>
    <s v="Xerox 4200 Series MultiUse Premium Copy Paper (20Lb. and 84 Bright)"/>
    <x v="266"/>
    <n v="1"/>
    <n v="0"/>
    <n v="2.3759999999999999"/>
  </r>
  <r>
    <n v="2120"/>
    <x v="669"/>
    <x v="3"/>
    <x v="3"/>
    <d v="2014-04-16T00:00:00"/>
    <n v="2"/>
    <x v="2"/>
    <s v="Rob Williams"/>
    <x v="1"/>
    <s v="United States"/>
    <s v="Seattle"/>
    <s v="Washington"/>
    <s v="West"/>
    <x v="1"/>
    <x v="8"/>
    <s v="GBC DocuBind TL200 Manual Binding Machine"/>
    <x v="1630"/>
    <n v="5"/>
    <n v="0.2"/>
    <n v="302.37299999999999"/>
  </r>
  <r>
    <n v="2121"/>
    <x v="363"/>
    <x v="3"/>
    <x v="9"/>
    <d v="2014-01-14T00:00:00"/>
    <n v="6"/>
    <x v="1"/>
    <s v="Thais Sissman"/>
    <x v="0"/>
    <s v="United States"/>
    <s v="Ormond Beach"/>
    <s v="Florida"/>
    <s v="South"/>
    <x v="1"/>
    <x v="8"/>
    <s v="Zipper Ring Binder Pockets"/>
    <x v="1774"/>
    <n v="3"/>
    <n v="0.7"/>
    <n v="-1.9656"/>
  </r>
  <r>
    <n v="2122"/>
    <x v="45"/>
    <x v="3"/>
    <x v="0"/>
    <d v="2014-11-12T00:00:00"/>
    <n v="2"/>
    <x v="2"/>
    <s v="Jennifer Braxton"/>
    <x v="1"/>
    <s v="United States"/>
    <s v="Sunnyvale"/>
    <s v="California"/>
    <s v="West"/>
    <x v="0"/>
    <x v="1"/>
    <s v="Global Leather Task Chair, Black"/>
    <x v="1775"/>
    <n v="3"/>
    <n v="0.2"/>
    <n v="-2.6997"/>
  </r>
  <r>
    <n v="2123"/>
    <x v="585"/>
    <x v="3"/>
    <x v="8"/>
    <d v="2014-09-25T00:00:00"/>
    <n v="2"/>
    <x v="0"/>
    <s v="Erica Hernandez"/>
    <x v="2"/>
    <s v="United States"/>
    <s v="Lansing"/>
    <s v="Michigan"/>
    <s v="Central"/>
    <x v="0"/>
    <x v="0"/>
    <s v="O'Sullivan 4-Shelf Bookcase in Odessa Pine"/>
    <x v="1776"/>
    <n v="2"/>
    <n v="0"/>
    <n v="41.133200000000002"/>
  </r>
  <r>
    <n v="2124"/>
    <x v="585"/>
    <x v="3"/>
    <x v="8"/>
    <d v="2014-09-25T00:00:00"/>
    <n v="2"/>
    <x v="0"/>
    <s v="Erica Hernandez"/>
    <x v="2"/>
    <s v="United States"/>
    <s v="Lansing"/>
    <s v="Michigan"/>
    <s v="Central"/>
    <x v="1"/>
    <x v="2"/>
    <s v="Avery 511"/>
    <x v="1777"/>
    <n v="9"/>
    <n v="0"/>
    <n v="13.3056"/>
  </r>
  <r>
    <n v="2125"/>
    <x v="96"/>
    <x v="3"/>
    <x v="4"/>
    <d v="2014-12-06T00:00:00"/>
    <n v="4"/>
    <x v="1"/>
    <s v="Erica Hernandez"/>
    <x v="2"/>
    <s v="United States"/>
    <s v="Philadelphia"/>
    <s v="Pennsylvania"/>
    <s v="East"/>
    <x v="1"/>
    <x v="12"/>
    <s v="Quality Park Security Envelopes"/>
    <x v="1778"/>
    <n v="5"/>
    <n v="0.2"/>
    <n v="35.329500000000003"/>
  </r>
  <r>
    <n v="2126"/>
    <x v="96"/>
    <x v="3"/>
    <x v="4"/>
    <d v="2014-12-06T00:00:00"/>
    <n v="4"/>
    <x v="1"/>
    <s v="Erica Hernandez"/>
    <x v="2"/>
    <s v="United States"/>
    <s v="Philadelphia"/>
    <s v="Pennsylvania"/>
    <s v="East"/>
    <x v="2"/>
    <x v="7"/>
    <s v="Belkin SportFit Armband For iPhone 5s/5c, Fuchsia"/>
    <x v="1557"/>
    <n v="7"/>
    <n v="0.4"/>
    <n v="9.4436999999999998"/>
  </r>
  <r>
    <n v="2127"/>
    <x v="670"/>
    <x v="2"/>
    <x v="1"/>
    <d v="2011-06-28T00:00:00"/>
    <n v="5"/>
    <x v="1"/>
    <s v="Brian Stugart"/>
    <x v="0"/>
    <s v="United States"/>
    <s v="Philadelphia"/>
    <s v="Pennsylvania"/>
    <s v="East"/>
    <x v="2"/>
    <x v="11"/>
    <s v="Sony 64GB Class 10 Micro SDHC R40 Memory Card"/>
    <x v="1779"/>
    <n v="3"/>
    <n v="0.2"/>
    <n v="1.0797000000000001"/>
  </r>
  <r>
    <n v="2128"/>
    <x v="242"/>
    <x v="1"/>
    <x v="2"/>
    <d v="2012-10-09T00:00:00"/>
    <n v="5"/>
    <x v="1"/>
    <s v="Julie Kriz"/>
    <x v="2"/>
    <s v="United States"/>
    <s v="Philadelphia"/>
    <s v="Pennsylvania"/>
    <s v="East"/>
    <x v="0"/>
    <x v="5"/>
    <s v="DataProducts Ampli Magnifier Task Lamp, Black,"/>
    <x v="1780"/>
    <n v="3"/>
    <n v="0.2"/>
    <n v="6.4943999999999997"/>
  </r>
  <r>
    <n v="2129"/>
    <x v="242"/>
    <x v="1"/>
    <x v="2"/>
    <d v="2012-10-09T00:00:00"/>
    <n v="5"/>
    <x v="1"/>
    <s v="Julie Kriz"/>
    <x v="2"/>
    <s v="United States"/>
    <s v="Philadelphia"/>
    <s v="Pennsylvania"/>
    <s v="East"/>
    <x v="1"/>
    <x v="10"/>
    <s v="Xerox 1946"/>
    <x v="557"/>
    <n v="4"/>
    <n v="0.2"/>
    <n v="7.2576000000000001"/>
  </r>
  <r>
    <n v="2130"/>
    <x v="671"/>
    <x v="2"/>
    <x v="5"/>
    <d v="2011-05-22T00:00:00"/>
    <n v="2"/>
    <x v="0"/>
    <s v="Randy Ferguson"/>
    <x v="1"/>
    <s v="United States"/>
    <s v="Dover"/>
    <s v="New Hampshire"/>
    <s v="East"/>
    <x v="1"/>
    <x v="9"/>
    <s v="Acco 6 Outlet Guardian Basic Surge Suppressor"/>
    <x v="1781"/>
    <n v="4"/>
    <n v="0"/>
    <n v="9.3184000000000005"/>
  </r>
  <r>
    <n v="2131"/>
    <x v="671"/>
    <x v="2"/>
    <x v="5"/>
    <d v="2011-05-22T00:00:00"/>
    <n v="2"/>
    <x v="0"/>
    <s v="Randy Ferguson"/>
    <x v="1"/>
    <s v="United States"/>
    <s v="Dover"/>
    <s v="New Hampshire"/>
    <s v="East"/>
    <x v="1"/>
    <x v="6"/>
    <s v="Sanford Colorific Scented Colored Pencils, 12/Pack"/>
    <x v="1782"/>
    <n v="9"/>
    <n v="0"/>
    <n v="11.9412"/>
  </r>
  <r>
    <n v="2132"/>
    <x v="671"/>
    <x v="2"/>
    <x v="5"/>
    <d v="2011-05-22T00:00:00"/>
    <n v="2"/>
    <x v="0"/>
    <s v="Randy Ferguson"/>
    <x v="1"/>
    <s v="United States"/>
    <s v="Dover"/>
    <s v="New Hampshire"/>
    <s v="East"/>
    <x v="0"/>
    <x v="5"/>
    <s v="24-Hour Round Wall Clock"/>
    <x v="392"/>
    <n v="7"/>
    <n v="0"/>
    <n v="60.139800000000001"/>
  </r>
  <r>
    <n v="2133"/>
    <x v="312"/>
    <x v="1"/>
    <x v="0"/>
    <d v="2012-11-26T00:00:00"/>
    <n v="6"/>
    <x v="1"/>
    <s v="Dan Lawera"/>
    <x v="0"/>
    <s v="United States"/>
    <s v="New York City"/>
    <s v="New York"/>
    <s v="East"/>
    <x v="1"/>
    <x v="10"/>
    <s v="Message Book, Phone, Wirebound Standard Line Memo, 2 3/4&quot; X 5&quot;"/>
    <x v="1783"/>
    <n v="3"/>
    <n v="0"/>
    <n v="9.0389999999999997"/>
  </r>
  <r>
    <n v="2134"/>
    <x v="672"/>
    <x v="1"/>
    <x v="0"/>
    <d v="2012-12-04T00:00:00"/>
    <n v="4"/>
    <x v="1"/>
    <s v="William Brown"/>
    <x v="0"/>
    <s v="United States"/>
    <s v="Philadelphia"/>
    <s v="Pennsylvania"/>
    <s v="East"/>
    <x v="1"/>
    <x v="8"/>
    <s v="Fellowes PB200 Plastic Comb Binding Machine"/>
    <x v="1784"/>
    <n v="3"/>
    <n v="0.7"/>
    <n v="-122.39279999999999"/>
  </r>
  <r>
    <n v="2135"/>
    <x v="672"/>
    <x v="1"/>
    <x v="0"/>
    <d v="2012-12-04T00:00:00"/>
    <n v="4"/>
    <x v="1"/>
    <s v="William Brown"/>
    <x v="0"/>
    <s v="United States"/>
    <s v="Philadelphia"/>
    <s v="Pennsylvania"/>
    <s v="East"/>
    <x v="1"/>
    <x v="13"/>
    <s v="Revere Boxed Rubber Bands by Revere"/>
    <x v="1785"/>
    <n v="7"/>
    <n v="0.2"/>
    <n v="-2.3814000000000002"/>
  </r>
  <r>
    <n v="2136"/>
    <x v="672"/>
    <x v="1"/>
    <x v="0"/>
    <d v="2012-12-04T00:00:00"/>
    <n v="4"/>
    <x v="1"/>
    <s v="William Brown"/>
    <x v="0"/>
    <s v="United States"/>
    <s v="Philadelphia"/>
    <s v="Pennsylvania"/>
    <s v="East"/>
    <x v="2"/>
    <x v="7"/>
    <s v="Motorla HX550 Universal Bluetooth Headset"/>
    <x v="1786"/>
    <n v="4"/>
    <n v="0.4"/>
    <n v="15.82"/>
  </r>
  <r>
    <n v="2137"/>
    <x v="620"/>
    <x v="1"/>
    <x v="4"/>
    <d v="2013-01-05T00:00:00"/>
    <n v="5"/>
    <x v="1"/>
    <s v="Trudy Brown"/>
    <x v="0"/>
    <s v="United States"/>
    <s v="Grand Prairie"/>
    <s v="Texas"/>
    <s v="Central"/>
    <x v="0"/>
    <x v="5"/>
    <s v="Eldon Expressions Wood Desk Accessories, Oak"/>
    <x v="1787"/>
    <n v="5"/>
    <n v="0.6"/>
    <n v="-11.439"/>
  </r>
  <r>
    <n v="2138"/>
    <x v="620"/>
    <x v="1"/>
    <x v="4"/>
    <d v="2013-01-05T00:00:00"/>
    <n v="5"/>
    <x v="1"/>
    <s v="Trudy Brown"/>
    <x v="0"/>
    <s v="United States"/>
    <s v="Grand Prairie"/>
    <s v="Texas"/>
    <s v="Central"/>
    <x v="1"/>
    <x v="8"/>
    <s v="Newell 3-Hole Punched Plastic Slotted Magazine Holders for Binders"/>
    <x v="1788"/>
    <n v="4"/>
    <n v="0.8"/>
    <n v="-5.8495999999999997"/>
  </r>
  <r>
    <n v="2139"/>
    <x v="673"/>
    <x v="3"/>
    <x v="0"/>
    <d v="2014-11-17T00:00:00"/>
    <n v="0"/>
    <x v="3"/>
    <s v="Christy Brittain"/>
    <x v="0"/>
    <s v="United States"/>
    <s v="New York City"/>
    <s v="New York"/>
    <s v="East"/>
    <x v="1"/>
    <x v="10"/>
    <s v="Tops Green Bar Computer Printout Paper"/>
    <x v="674"/>
    <n v="3"/>
    <n v="0"/>
    <n v="73.41"/>
  </r>
  <r>
    <n v="2140"/>
    <x v="571"/>
    <x v="2"/>
    <x v="1"/>
    <d v="2011-06-11T00:00:00"/>
    <n v="5"/>
    <x v="1"/>
    <s v="Grant Thornton"/>
    <x v="1"/>
    <s v="United States"/>
    <s v="Long Beach"/>
    <s v="New York"/>
    <s v="East"/>
    <x v="1"/>
    <x v="8"/>
    <s v="Wilson Jones Century Plastic Molded Ring Binders"/>
    <x v="1789"/>
    <n v="9"/>
    <n v="0.2"/>
    <n v="50.4711"/>
  </r>
  <r>
    <n v="2141"/>
    <x v="571"/>
    <x v="2"/>
    <x v="1"/>
    <d v="2011-06-11T00:00:00"/>
    <n v="5"/>
    <x v="1"/>
    <s v="Grant Thornton"/>
    <x v="1"/>
    <s v="United States"/>
    <s v="Long Beach"/>
    <s v="New York"/>
    <s v="East"/>
    <x v="1"/>
    <x v="14"/>
    <s v="Acme Office Executive Series Stainless Steel Trimmers"/>
    <x v="1790"/>
    <n v="2"/>
    <n v="0"/>
    <n v="4.4564000000000004"/>
  </r>
  <r>
    <n v="2142"/>
    <x v="571"/>
    <x v="2"/>
    <x v="1"/>
    <d v="2011-06-11T00:00:00"/>
    <n v="5"/>
    <x v="1"/>
    <s v="Grant Thornton"/>
    <x v="1"/>
    <s v="United States"/>
    <s v="Long Beach"/>
    <s v="New York"/>
    <s v="East"/>
    <x v="0"/>
    <x v="3"/>
    <s v="Chromcraft Bull-Nose Wood 48&quot; x 96&quot; Rectangular Conference Tables"/>
    <x v="1791"/>
    <n v="3"/>
    <n v="0.4"/>
    <n v="-347.11739999999998"/>
  </r>
  <r>
    <n v="2143"/>
    <x v="142"/>
    <x v="0"/>
    <x v="8"/>
    <d v="2013-09-06T00:00:00"/>
    <n v="4"/>
    <x v="1"/>
    <s v="Dean Katz"/>
    <x v="1"/>
    <s v="United States"/>
    <s v="Philadelphia"/>
    <s v="Pennsylvania"/>
    <s v="East"/>
    <x v="1"/>
    <x v="10"/>
    <s v="Telephone Message Books with Fax/Mobile Section, 5 1/2&quot; x 3 3/16&quot;"/>
    <x v="426"/>
    <n v="6"/>
    <n v="0.2"/>
    <n v="9.9060000000000006"/>
  </r>
  <r>
    <n v="2144"/>
    <x v="142"/>
    <x v="0"/>
    <x v="8"/>
    <d v="2013-09-06T00:00:00"/>
    <n v="4"/>
    <x v="1"/>
    <s v="Dean Katz"/>
    <x v="1"/>
    <s v="United States"/>
    <s v="Philadelphia"/>
    <s v="Pennsylvania"/>
    <s v="East"/>
    <x v="2"/>
    <x v="7"/>
    <s v="Anker 36W 4-Port USB Wall Charger Travel Power Adapter for iPhone 5s 5c 5"/>
    <x v="1792"/>
    <n v="2"/>
    <n v="0.4"/>
    <n v="-4.7976000000000001"/>
  </r>
  <r>
    <n v="2145"/>
    <x v="142"/>
    <x v="0"/>
    <x v="8"/>
    <d v="2013-09-06T00:00:00"/>
    <n v="4"/>
    <x v="1"/>
    <s v="Dean Katz"/>
    <x v="1"/>
    <s v="United States"/>
    <s v="Philadelphia"/>
    <s v="Pennsylvania"/>
    <s v="East"/>
    <x v="1"/>
    <x v="13"/>
    <s v="Staples"/>
    <x v="1793"/>
    <n v="7"/>
    <n v="0.2"/>
    <n v="5.4236000000000004"/>
  </r>
  <r>
    <n v="2146"/>
    <x v="674"/>
    <x v="0"/>
    <x v="1"/>
    <d v="2013-06-30T00:00:00"/>
    <n v="4"/>
    <x v="1"/>
    <s v="Theresa Swint"/>
    <x v="1"/>
    <s v="United States"/>
    <s v="York"/>
    <s v="Pennsylvania"/>
    <s v="East"/>
    <x v="0"/>
    <x v="1"/>
    <s v="Global Leather Highback Executive Chair with Pneumatic Height Adjustment, Black"/>
    <x v="1794"/>
    <n v="3"/>
    <n v="0.3"/>
    <n v="-18.088200000000001"/>
  </r>
  <r>
    <n v="2147"/>
    <x v="674"/>
    <x v="0"/>
    <x v="1"/>
    <d v="2013-06-30T00:00:00"/>
    <n v="4"/>
    <x v="1"/>
    <s v="Theresa Swint"/>
    <x v="1"/>
    <s v="United States"/>
    <s v="York"/>
    <s v="Pennsylvania"/>
    <s v="East"/>
    <x v="1"/>
    <x v="8"/>
    <s v="GBC Wire Binding Strips"/>
    <x v="1795"/>
    <n v="4"/>
    <n v="0.7"/>
    <n v="-27.9312"/>
  </r>
  <r>
    <n v="2148"/>
    <x v="674"/>
    <x v="0"/>
    <x v="1"/>
    <d v="2013-06-30T00:00:00"/>
    <n v="4"/>
    <x v="1"/>
    <s v="Theresa Swint"/>
    <x v="1"/>
    <s v="United States"/>
    <s v="York"/>
    <s v="Pennsylvania"/>
    <s v="East"/>
    <x v="1"/>
    <x v="4"/>
    <s v="Gould Plastics 9-Pocket Panel Bin, 18-3/8w x 5-1/4d x 20-1/2h, Black"/>
    <x v="1796"/>
    <n v="6"/>
    <n v="0.2"/>
    <n v="-50.870399999999997"/>
  </r>
  <r>
    <n v="2149"/>
    <x v="432"/>
    <x v="2"/>
    <x v="4"/>
    <d v="2011-12-17T00:00:00"/>
    <n v="5"/>
    <x v="1"/>
    <s v="William Brown"/>
    <x v="0"/>
    <s v="United States"/>
    <s v="Concord"/>
    <s v="California"/>
    <s v="West"/>
    <x v="0"/>
    <x v="5"/>
    <s v="Eldon Advantage Chair Mats for Low to Medium Pile Carpets"/>
    <x v="1797"/>
    <n v="1"/>
    <n v="0"/>
    <n v="4.3310000000000004"/>
  </r>
  <r>
    <n v="2150"/>
    <x v="185"/>
    <x v="3"/>
    <x v="3"/>
    <d v="2014-04-06T00:00:00"/>
    <n v="5"/>
    <x v="1"/>
    <s v="Denny Ordway"/>
    <x v="0"/>
    <s v="United States"/>
    <s v="New York City"/>
    <s v="New York"/>
    <s v="East"/>
    <x v="2"/>
    <x v="7"/>
    <s v="Spigen Samsung Galaxy S5 Case Wallet"/>
    <x v="1798"/>
    <n v="5"/>
    <n v="0"/>
    <n v="22.087"/>
  </r>
  <r>
    <n v="2151"/>
    <x v="123"/>
    <x v="3"/>
    <x v="0"/>
    <d v="2014-11-27T00:00:00"/>
    <n v="7"/>
    <x v="1"/>
    <s v="Art Ferguson"/>
    <x v="0"/>
    <s v="United States"/>
    <s v="College Station"/>
    <s v="Texas"/>
    <s v="Central"/>
    <x v="0"/>
    <x v="1"/>
    <s v="Office Star Flex Back Scooter Chair with White Frame"/>
    <x v="1799"/>
    <n v="3"/>
    <n v="0.3"/>
    <n v="-53.270400000000002"/>
  </r>
  <r>
    <n v="2152"/>
    <x v="156"/>
    <x v="2"/>
    <x v="0"/>
    <d v="2011-11-29T00:00:00"/>
    <n v="5"/>
    <x v="0"/>
    <s v="Richard Bierner"/>
    <x v="0"/>
    <s v="United States"/>
    <s v="Saint Louis"/>
    <s v="Missouri"/>
    <s v="Central"/>
    <x v="2"/>
    <x v="11"/>
    <s v="Memorex Mini Travel Drive 16 GB USB 2.0 Flash Drive"/>
    <x v="1800"/>
    <n v="7"/>
    <n v="0"/>
    <n v="43.598100000000002"/>
  </r>
  <r>
    <n v="2153"/>
    <x v="6"/>
    <x v="1"/>
    <x v="0"/>
    <d v="2012-11-26T00:00:00"/>
    <n v="4"/>
    <x v="1"/>
    <s v="Andy Reiter"/>
    <x v="0"/>
    <s v="United States"/>
    <s v="Quincy"/>
    <s v="Massachusetts"/>
    <s v="East"/>
    <x v="1"/>
    <x v="10"/>
    <s v="Xerox 1970"/>
    <x v="1801"/>
    <n v="3"/>
    <n v="0"/>
    <n v="7.0217999999999998"/>
  </r>
  <r>
    <n v="2154"/>
    <x v="216"/>
    <x v="0"/>
    <x v="7"/>
    <d v="2013-07-19T00:00:00"/>
    <n v="4"/>
    <x v="1"/>
    <s v="Dan Reichenbach"/>
    <x v="1"/>
    <s v="United States"/>
    <s v="New York City"/>
    <s v="New York"/>
    <s v="East"/>
    <x v="1"/>
    <x v="8"/>
    <s v="GBC Standard Plastic Binding Systems Combs"/>
    <x v="1802"/>
    <n v="2"/>
    <n v="0.2"/>
    <n v="5.133"/>
  </r>
  <r>
    <n v="2155"/>
    <x v="567"/>
    <x v="0"/>
    <x v="5"/>
    <d v="2013-05-06T00:00:00"/>
    <n v="5"/>
    <x v="1"/>
    <s v="Ben Ferrer"/>
    <x v="2"/>
    <s v="United States"/>
    <s v="Dallas"/>
    <s v="Texas"/>
    <s v="Central"/>
    <x v="0"/>
    <x v="5"/>
    <s v="Flat Face Poster Frame"/>
    <x v="1803"/>
    <n v="3"/>
    <n v="0.6"/>
    <n v="-10.1736"/>
  </r>
  <r>
    <n v="2156"/>
    <x v="197"/>
    <x v="0"/>
    <x v="7"/>
    <d v="2013-07-28T00:00:00"/>
    <n v="2"/>
    <x v="0"/>
    <s v="Larry Blacks"/>
    <x v="0"/>
    <s v="United States"/>
    <s v="Los Angeles"/>
    <s v="California"/>
    <s v="West"/>
    <x v="1"/>
    <x v="13"/>
    <s v="OIC Binder Clips"/>
    <x v="1369"/>
    <n v="6"/>
    <n v="0"/>
    <n v="10.74"/>
  </r>
  <r>
    <n v="2157"/>
    <x v="169"/>
    <x v="2"/>
    <x v="1"/>
    <d v="2011-06-24T00:00:00"/>
    <n v="2"/>
    <x v="2"/>
    <s v="Dianna Vittorini"/>
    <x v="0"/>
    <s v="United States"/>
    <s v="Minneapolis"/>
    <s v="Minnesota"/>
    <s v="Central"/>
    <x v="1"/>
    <x v="4"/>
    <s v="Office Impressions Heavy Duty Welded Shelving &amp; Multimedia Storage Drawers"/>
    <x v="875"/>
    <n v="3"/>
    <n v="0"/>
    <n v="0"/>
  </r>
  <r>
    <n v="2158"/>
    <x v="169"/>
    <x v="2"/>
    <x v="1"/>
    <d v="2011-06-24T00:00:00"/>
    <n v="2"/>
    <x v="2"/>
    <s v="Dianna Vittorini"/>
    <x v="0"/>
    <s v="United States"/>
    <s v="Minneapolis"/>
    <s v="Minnesota"/>
    <s v="Central"/>
    <x v="1"/>
    <x v="4"/>
    <s v="Fellowes Bankers Box Recycled Super Stor/Drawer"/>
    <x v="424"/>
    <n v="3"/>
    <n v="0"/>
    <n v="9.7164000000000001"/>
  </r>
  <r>
    <n v="2159"/>
    <x v="208"/>
    <x v="3"/>
    <x v="2"/>
    <d v="2014-10-27T00:00:00"/>
    <n v="5"/>
    <x v="1"/>
    <s v="Neil Knudson"/>
    <x v="2"/>
    <s v="United States"/>
    <s v="Deltona"/>
    <s v="Florida"/>
    <s v="South"/>
    <x v="1"/>
    <x v="6"/>
    <s v="Newell 33"/>
    <x v="326"/>
    <n v="4"/>
    <n v="0.2"/>
    <n v="2.0087999999999999"/>
  </r>
  <r>
    <n v="2160"/>
    <x v="323"/>
    <x v="0"/>
    <x v="8"/>
    <d v="2013-09-10T00:00:00"/>
    <n v="6"/>
    <x v="1"/>
    <s v="Carlos Soltero"/>
    <x v="0"/>
    <s v="United States"/>
    <s v="Chicago"/>
    <s v="Illinois"/>
    <s v="Central"/>
    <x v="1"/>
    <x v="8"/>
    <s v="XtraLife ClearVue Slant-D Ring Binder, White, 3&quot;"/>
    <x v="1804"/>
    <n v="3"/>
    <n v="0.8"/>
    <n v="-14.973599999999999"/>
  </r>
  <r>
    <n v="2161"/>
    <x v="675"/>
    <x v="0"/>
    <x v="5"/>
    <d v="2013-05-15T00:00:00"/>
    <n v="0"/>
    <x v="3"/>
    <s v="Logan Haushalter"/>
    <x v="0"/>
    <s v="United States"/>
    <s v="Cincinnati"/>
    <s v="Ohio"/>
    <s v="East"/>
    <x v="0"/>
    <x v="5"/>
    <s v="GE 48&quot; Fluorescent Tube, Cool White Energy Saver, 34 Watts, 30/Box"/>
    <x v="1805"/>
    <n v="1"/>
    <n v="0.2"/>
    <n v="29.768999999999998"/>
  </r>
  <r>
    <n v="2162"/>
    <x v="676"/>
    <x v="0"/>
    <x v="9"/>
    <d v="2013-01-12T00:00:00"/>
    <n v="5"/>
    <x v="1"/>
    <s v="Dianna Wilson"/>
    <x v="2"/>
    <s v="United States"/>
    <s v="Oakland"/>
    <s v="California"/>
    <s v="West"/>
    <x v="1"/>
    <x v="6"/>
    <s v="Panasonic KP-350BK Electric Pencil Sharpener with Auto Stop"/>
    <x v="722"/>
    <n v="1"/>
    <n v="0"/>
    <n v="10.0282"/>
  </r>
  <r>
    <n v="2163"/>
    <x v="677"/>
    <x v="3"/>
    <x v="10"/>
    <d v="2014-03-20T00:00:00"/>
    <n v="6"/>
    <x v="1"/>
    <s v="Karen Ferguson"/>
    <x v="2"/>
    <s v="United States"/>
    <s v="Manteca"/>
    <s v="California"/>
    <s v="West"/>
    <x v="1"/>
    <x v="10"/>
    <s v="Multicolor Computer Printout Paper"/>
    <x v="1806"/>
    <n v="3"/>
    <n v="0"/>
    <n v="150.98400000000001"/>
  </r>
  <r>
    <n v="2164"/>
    <x v="63"/>
    <x v="0"/>
    <x v="2"/>
    <d v="2013-10-20T00:00:00"/>
    <n v="6"/>
    <x v="1"/>
    <s v="Helen Andreada"/>
    <x v="0"/>
    <s v="United States"/>
    <s v="Laredo"/>
    <s v="Texas"/>
    <s v="Central"/>
    <x v="2"/>
    <x v="11"/>
    <s v="Razer Kraken PRO Over Ear PC and Music Headset"/>
    <x v="1807"/>
    <n v="3"/>
    <n v="0.2"/>
    <n v="23.997"/>
  </r>
  <r>
    <n v="2165"/>
    <x v="63"/>
    <x v="0"/>
    <x v="2"/>
    <d v="2013-10-20T00:00:00"/>
    <n v="6"/>
    <x v="1"/>
    <s v="Helen Andreada"/>
    <x v="0"/>
    <s v="United States"/>
    <s v="Laredo"/>
    <s v="Texas"/>
    <s v="Central"/>
    <x v="1"/>
    <x v="10"/>
    <s v="Array Memo Cubes"/>
    <x v="1808"/>
    <n v="2"/>
    <n v="0.2"/>
    <n v="3.0044"/>
  </r>
  <r>
    <n v="2166"/>
    <x v="63"/>
    <x v="0"/>
    <x v="2"/>
    <d v="2013-10-20T00:00:00"/>
    <n v="6"/>
    <x v="1"/>
    <s v="Helen Andreada"/>
    <x v="0"/>
    <s v="United States"/>
    <s v="Laredo"/>
    <s v="Texas"/>
    <s v="Central"/>
    <x v="0"/>
    <x v="5"/>
    <s v="Tenex &quot;The Solids&quot; Textured Chair Mats"/>
    <x v="1809"/>
    <n v="5"/>
    <n v="0.6"/>
    <n v="-150.41399999999999"/>
  </r>
  <r>
    <n v="2167"/>
    <x v="63"/>
    <x v="0"/>
    <x v="2"/>
    <d v="2013-10-20T00:00:00"/>
    <n v="6"/>
    <x v="1"/>
    <s v="Helen Andreada"/>
    <x v="0"/>
    <s v="United States"/>
    <s v="Laredo"/>
    <s v="Texas"/>
    <s v="Central"/>
    <x v="1"/>
    <x v="6"/>
    <s v="Newell 334"/>
    <x v="1810"/>
    <n v="1"/>
    <n v="0.2"/>
    <n v="1.1903999999999999"/>
  </r>
  <r>
    <n v="2168"/>
    <x v="63"/>
    <x v="0"/>
    <x v="2"/>
    <d v="2013-10-20T00:00:00"/>
    <n v="6"/>
    <x v="1"/>
    <s v="Helen Andreada"/>
    <x v="0"/>
    <s v="United States"/>
    <s v="Laredo"/>
    <s v="Texas"/>
    <s v="Central"/>
    <x v="1"/>
    <x v="8"/>
    <s v="Avery Non-Stick Binders"/>
    <x v="1811"/>
    <n v="7"/>
    <n v="0.8"/>
    <n v="-11.000500000000001"/>
  </r>
  <r>
    <n v="2169"/>
    <x v="678"/>
    <x v="3"/>
    <x v="9"/>
    <d v="2014-01-31T00:00:00"/>
    <n v="3"/>
    <x v="0"/>
    <s v="John Huston"/>
    <x v="0"/>
    <s v="United States"/>
    <s v="Kent"/>
    <s v="Ohio"/>
    <s v="East"/>
    <x v="1"/>
    <x v="6"/>
    <s v="Newell 312"/>
    <x v="260"/>
    <n v="3"/>
    <n v="0.2"/>
    <n v="1.752"/>
  </r>
  <r>
    <n v="2170"/>
    <x v="678"/>
    <x v="3"/>
    <x v="9"/>
    <d v="2014-01-31T00:00:00"/>
    <n v="3"/>
    <x v="0"/>
    <s v="John Huston"/>
    <x v="0"/>
    <s v="United States"/>
    <s v="Kent"/>
    <s v="Ohio"/>
    <s v="East"/>
    <x v="2"/>
    <x v="11"/>
    <s v="Anker Ultrathin Bluetooth Wireless Keyboard Aluminum Cover with Stand "/>
    <x v="973"/>
    <n v="3"/>
    <n v="0.2"/>
    <n v="-8.9969999999999999"/>
  </r>
  <r>
    <n v="2171"/>
    <x v="678"/>
    <x v="3"/>
    <x v="9"/>
    <d v="2014-01-31T00:00:00"/>
    <n v="3"/>
    <x v="0"/>
    <s v="John Huston"/>
    <x v="0"/>
    <s v="United States"/>
    <s v="Kent"/>
    <s v="Ohio"/>
    <s v="East"/>
    <x v="2"/>
    <x v="7"/>
    <s v="JBL Micro Wireless Portable Bluetooth Speaker"/>
    <x v="709"/>
    <n v="3"/>
    <n v="0.4"/>
    <n v="-26.9955"/>
  </r>
  <r>
    <n v="2172"/>
    <x v="123"/>
    <x v="3"/>
    <x v="0"/>
    <d v="2014-11-26T00:00:00"/>
    <n v="6"/>
    <x v="1"/>
    <s v="Linda Cazamias"/>
    <x v="1"/>
    <s v="United States"/>
    <s v="San Angelo"/>
    <s v="Texas"/>
    <s v="Central"/>
    <x v="0"/>
    <x v="1"/>
    <s v="Lifetime Advantage Folding Chairs, 4/Carton"/>
    <x v="1812"/>
    <n v="2"/>
    <n v="0.3"/>
    <n v="-8.7232000000000003"/>
  </r>
  <r>
    <n v="2173"/>
    <x v="601"/>
    <x v="2"/>
    <x v="6"/>
    <d v="2011-08-03T00:00:00"/>
    <n v="2"/>
    <x v="2"/>
    <s v="Ivan Liston"/>
    <x v="0"/>
    <s v="United States"/>
    <s v="San Francisco"/>
    <s v="California"/>
    <s v="West"/>
    <x v="1"/>
    <x v="8"/>
    <s v="Wilson Jones data.warehouse D-Ring Binders with DublLock"/>
    <x v="1813"/>
    <n v="3"/>
    <n v="0.2"/>
    <n v="6.9131999999999998"/>
  </r>
  <r>
    <n v="2174"/>
    <x v="679"/>
    <x v="0"/>
    <x v="7"/>
    <d v="2013-08-05T00:00:00"/>
    <n v="5"/>
    <x v="1"/>
    <s v="Lindsay Shagiari"/>
    <x v="2"/>
    <s v="United States"/>
    <s v="Houston"/>
    <s v="Texas"/>
    <s v="Central"/>
    <x v="1"/>
    <x v="8"/>
    <s v="GBC VeloBind Cover Sets"/>
    <x v="1814"/>
    <n v="3"/>
    <n v="0.8"/>
    <n v="-13.896000000000001"/>
  </r>
  <r>
    <n v="2175"/>
    <x v="117"/>
    <x v="1"/>
    <x v="7"/>
    <d v="2012-08-03T00:00:00"/>
    <n v="4"/>
    <x v="0"/>
    <s v="Corey Catlett"/>
    <x v="1"/>
    <s v="United States"/>
    <s v="Houston"/>
    <s v="Texas"/>
    <s v="Central"/>
    <x v="1"/>
    <x v="4"/>
    <s v="Eldon ProFile File 'N Store Portable File Tub Letter/Legal Size Black"/>
    <x v="1815"/>
    <n v="4"/>
    <n v="0.2"/>
    <n v="6.1791999999999998"/>
  </r>
  <r>
    <n v="2176"/>
    <x v="680"/>
    <x v="0"/>
    <x v="2"/>
    <d v="2013-10-22T00:00:00"/>
    <n v="6"/>
    <x v="1"/>
    <s v="Patrick Bzostek"/>
    <x v="2"/>
    <s v="United States"/>
    <s v="Salt Lake City"/>
    <s v="Utah"/>
    <s v="West"/>
    <x v="1"/>
    <x v="10"/>
    <s v="Xerox 1982"/>
    <x v="1816"/>
    <n v="2"/>
    <n v="0"/>
    <n v="21.012799999999999"/>
  </r>
  <r>
    <n v="2177"/>
    <x v="680"/>
    <x v="0"/>
    <x v="2"/>
    <d v="2013-10-22T00:00:00"/>
    <n v="6"/>
    <x v="1"/>
    <s v="Patrick Bzostek"/>
    <x v="2"/>
    <s v="United States"/>
    <s v="Salt Lake City"/>
    <s v="Utah"/>
    <s v="West"/>
    <x v="1"/>
    <x v="10"/>
    <s v="Xerox 1986"/>
    <x v="1817"/>
    <n v="9"/>
    <n v="0"/>
    <n v="28.857600000000001"/>
  </r>
  <r>
    <n v="2178"/>
    <x v="680"/>
    <x v="0"/>
    <x v="2"/>
    <d v="2013-10-22T00:00:00"/>
    <n v="6"/>
    <x v="1"/>
    <s v="Patrick Bzostek"/>
    <x v="2"/>
    <s v="United States"/>
    <s v="Salt Lake City"/>
    <s v="Utah"/>
    <s v="West"/>
    <x v="1"/>
    <x v="8"/>
    <s v="Acco Data Flex Cable Posts For Top &amp; Bottom Load Binders, 6&quot; Capacity"/>
    <x v="1818"/>
    <n v="5"/>
    <n v="0.2"/>
    <n v="13.0375"/>
  </r>
  <r>
    <n v="2179"/>
    <x v="680"/>
    <x v="0"/>
    <x v="2"/>
    <d v="2013-10-22T00:00:00"/>
    <n v="6"/>
    <x v="1"/>
    <s v="Patrick Bzostek"/>
    <x v="2"/>
    <s v="United States"/>
    <s v="Salt Lake City"/>
    <s v="Utah"/>
    <s v="West"/>
    <x v="1"/>
    <x v="10"/>
    <s v="Recycled Desk Saver Line &quot;While You Were Out&quot; Book, 5 1/2&quot; X 4&quot;"/>
    <x v="1819"/>
    <n v="8"/>
    <n v="0"/>
    <n v="32.936"/>
  </r>
  <r>
    <n v="2180"/>
    <x v="681"/>
    <x v="0"/>
    <x v="5"/>
    <d v="2013-05-12T00:00:00"/>
    <n v="4"/>
    <x v="1"/>
    <s v="Caroline Jumper"/>
    <x v="0"/>
    <s v="United States"/>
    <s v="New York City"/>
    <s v="New York"/>
    <s v="East"/>
    <x v="1"/>
    <x v="8"/>
    <s v="GBC Twin Loop Wire Binding Elements, 9/16&quot; Spine, Black"/>
    <x v="1820"/>
    <n v="7"/>
    <n v="0.2"/>
    <n v="30.896599999999999"/>
  </r>
  <r>
    <n v="2181"/>
    <x v="681"/>
    <x v="0"/>
    <x v="5"/>
    <d v="2013-05-12T00:00:00"/>
    <n v="4"/>
    <x v="1"/>
    <s v="Caroline Jumper"/>
    <x v="0"/>
    <s v="United States"/>
    <s v="New York City"/>
    <s v="New York"/>
    <s v="East"/>
    <x v="1"/>
    <x v="2"/>
    <s v="Alphabetical Labels for Top Tab Filing"/>
    <x v="1821"/>
    <n v="3"/>
    <n v="0"/>
    <n v="22.2"/>
  </r>
  <r>
    <n v="2182"/>
    <x v="681"/>
    <x v="0"/>
    <x v="5"/>
    <d v="2013-05-12T00:00:00"/>
    <n v="4"/>
    <x v="1"/>
    <s v="Caroline Jumper"/>
    <x v="0"/>
    <s v="United States"/>
    <s v="New York City"/>
    <s v="New York"/>
    <s v="East"/>
    <x v="0"/>
    <x v="1"/>
    <s v="Hon Mobius Operator's Chair"/>
    <x v="1822"/>
    <n v="4"/>
    <n v="0.1"/>
    <n v="59.035200000000003"/>
  </r>
  <r>
    <n v="2183"/>
    <x v="681"/>
    <x v="0"/>
    <x v="5"/>
    <d v="2013-05-12T00:00:00"/>
    <n v="4"/>
    <x v="1"/>
    <s v="Caroline Jumper"/>
    <x v="0"/>
    <s v="United States"/>
    <s v="New York City"/>
    <s v="New York"/>
    <s v="East"/>
    <x v="2"/>
    <x v="15"/>
    <s v="Bady BDG101FRU Card Printer"/>
    <x v="1823"/>
    <n v="5"/>
    <n v="0"/>
    <n v="1159.9855"/>
  </r>
  <r>
    <n v="2184"/>
    <x v="681"/>
    <x v="0"/>
    <x v="5"/>
    <d v="2013-05-12T00:00:00"/>
    <n v="4"/>
    <x v="1"/>
    <s v="Caroline Jumper"/>
    <x v="0"/>
    <s v="United States"/>
    <s v="New York City"/>
    <s v="New York"/>
    <s v="East"/>
    <x v="2"/>
    <x v="11"/>
    <s v="SanDisk Ultra 64 GB MicroSDHC Class 10 Memory Card"/>
    <x v="1695"/>
    <n v="5"/>
    <n v="0"/>
    <n v="21.994499999999999"/>
  </r>
  <r>
    <n v="2185"/>
    <x v="681"/>
    <x v="0"/>
    <x v="5"/>
    <d v="2013-05-12T00:00:00"/>
    <n v="4"/>
    <x v="1"/>
    <s v="Caroline Jumper"/>
    <x v="0"/>
    <s v="United States"/>
    <s v="New York City"/>
    <s v="New York"/>
    <s v="East"/>
    <x v="0"/>
    <x v="5"/>
    <s v="Staples"/>
    <x v="1824"/>
    <n v="8"/>
    <n v="0"/>
    <n v="28.019200000000001"/>
  </r>
  <r>
    <n v="2186"/>
    <x v="378"/>
    <x v="3"/>
    <x v="6"/>
    <d v="2014-08-05T00:00:00"/>
    <n v="3"/>
    <x v="0"/>
    <s v="Heather Kirkland"/>
    <x v="1"/>
    <s v="United States"/>
    <s v="Salinas"/>
    <s v="California"/>
    <s v="West"/>
    <x v="1"/>
    <x v="8"/>
    <s v="GBC Prestige Therm-A-Bind Covers"/>
    <x v="1825"/>
    <n v="2"/>
    <n v="0.2"/>
    <n v="18.5274"/>
  </r>
  <r>
    <n v="2187"/>
    <x v="216"/>
    <x v="0"/>
    <x v="7"/>
    <d v="2013-07-15T00:00:00"/>
    <n v="0"/>
    <x v="3"/>
    <s v="Rob Haberlin"/>
    <x v="0"/>
    <s v="United States"/>
    <s v="Huntsville"/>
    <s v="Alabama"/>
    <s v="South"/>
    <x v="2"/>
    <x v="11"/>
    <s v="HP Standard 104 key PS/2 Keyboard"/>
    <x v="180"/>
    <n v="2"/>
    <n v="0"/>
    <n v="7.25"/>
  </r>
  <r>
    <n v="2188"/>
    <x v="682"/>
    <x v="3"/>
    <x v="6"/>
    <d v="2014-08-16T00:00:00"/>
    <n v="5"/>
    <x v="1"/>
    <s v="Ivan Liston"/>
    <x v="0"/>
    <s v="United States"/>
    <s v="Columbus"/>
    <s v="Indiana"/>
    <s v="Central"/>
    <x v="1"/>
    <x v="12"/>
    <s v="Staples"/>
    <x v="1826"/>
    <n v="6"/>
    <n v="0"/>
    <n v="35.04"/>
  </r>
  <r>
    <n v="2189"/>
    <x v="682"/>
    <x v="3"/>
    <x v="6"/>
    <d v="2014-08-16T00:00:00"/>
    <n v="5"/>
    <x v="1"/>
    <s v="Ivan Liston"/>
    <x v="0"/>
    <s v="United States"/>
    <s v="Columbus"/>
    <s v="Indiana"/>
    <s v="Central"/>
    <x v="0"/>
    <x v="5"/>
    <s v="Tenex Traditional Chairmats for Medium Pile Carpet, Standard Lip, 36&quot; x 48&quot;"/>
    <x v="1827"/>
    <n v="2"/>
    <n v="0"/>
    <n v="25.472999999999999"/>
  </r>
  <r>
    <n v="2190"/>
    <x v="682"/>
    <x v="3"/>
    <x v="6"/>
    <d v="2014-08-16T00:00:00"/>
    <n v="5"/>
    <x v="1"/>
    <s v="Ivan Liston"/>
    <x v="0"/>
    <s v="United States"/>
    <s v="Columbus"/>
    <s v="Indiana"/>
    <s v="Central"/>
    <x v="2"/>
    <x v="7"/>
    <s v="Aastra 57i VoIP phone"/>
    <x v="1828"/>
    <n v="9"/>
    <n v="0"/>
    <n v="378.16739999999999"/>
  </r>
  <r>
    <n v="2191"/>
    <x v="674"/>
    <x v="0"/>
    <x v="1"/>
    <d v="2013-06-30T00:00:00"/>
    <n v="4"/>
    <x v="1"/>
    <s v="Alan Shonely"/>
    <x v="0"/>
    <s v="United States"/>
    <s v="Los Angeles"/>
    <s v="California"/>
    <s v="West"/>
    <x v="1"/>
    <x v="9"/>
    <s v="Fellowes Mighty 8 Compact Surge Protector"/>
    <x v="1829"/>
    <n v="3"/>
    <n v="0"/>
    <n v="17.026800000000001"/>
  </r>
  <r>
    <n v="2192"/>
    <x v="107"/>
    <x v="0"/>
    <x v="4"/>
    <d v="2013-12-18T00:00:00"/>
    <n v="7"/>
    <x v="1"/>
    <s v="Arthur Prichep"/>
    <x v="0"/>
    <s v="United States"/>
    <s v="Seattle"/>
    <s v="Washington"/>
    <s v="West"/>
    <x v="1"/>
    <x v="8"/>
    <s v="GBC DocuBind P50 Personal Binding Machine"/>
    <x v="1830"/>
    <n v="3"/>
    <n v="0.2"/>
    <n v="51.823799999999999"/>
  </r>
  <r>
    <n v="2193"/>
    <x v="107"/>
    <x v="0"/>
    <x v="4"/>
    <d v="2013-12-18T00:00:00"/>
    <n v="7"/>
    <x v="1"/>
    <s v="Arthur Prichep"/>
    <x v="0"/>
    <s v="United States"/>
    <s v="Seattle"/>
    <s v="Washington"/>
    <s v="West"/>
    <x v="1"/>
    <x v="9"/>
    <s v="Holmes HEPA Air Purifier"/>
    <x v="1831"/>
    <n v="3"/>
    <n v="0"/>
    <n v="22.869"/>
  </r>
  <r>
    <n v="2194"/>
    <x v="107"/>
    <x v="0"/>
    <x v="4"/>
    <d v="2013-12-18T00:00:00"/>
    <n v="7"/>
    <x v="1"/>
    <s v="Arthur Prichep"/>
    <x v="0"/>
    <s v="United States"/>
    <s v="Seattle"/>
    <s v="Washington"/>
    <s v="West"/>
    <x v="1"/>
    <x v="10"/>
    <s v="Xerox 1988"/>
    <x v="1832"/>
    <n v="4"/>
    <n v="0"/>
    <n v="55.764000000000003"/>
  </r>
  <r>
    <n v="2195"/>
    <x v="107"/>
    <x v="0"/>
    <x v="4"/>
    <d v="2013-12-18T00:00:00"/>
    <n v="7"/>
    <x v="1"/>
    <s v="Arthur Prichep"/>
    <x v="0"/>
    <s v="United States"/>
    <s v="Seattle"/>
    <s v="Washington"/>
    <s v="West"/>
    <x v="1"/>
    <x v="9"/>
    <s v="Harmony HEPA Quiet Air Purifiers"/>
    <x v="1833"/>
    <n v="3"/>
    <n v="0"/>
    <n v="12.285"/>
  </r>
  <r>
    <n v="2196"/>
    <x v="107"/>
    <x v="0"/>
    <x v="4"/>
    <d v="2013-12-18T00:00:00"/>
    <n v="7"/>
    <x v="1"/>
    <s v="Arthur Prichep"/>
    <x v="0"/>
    <s v="United States"/>
    <s v="Seattle"/>
    <s v="Washington"/>
    <s v="West"/>
    <x v="2"/>
    <x v="11"/>
    <s v="Kingston Digital DataTraveler 16GB USB 2.0"/>
    <x v="908"/>
    <n v="5"/>
    <n v="0"/>
    <n v="8.5024999999999995"/>
  </r>
  <r>
    <n v="2197"/>
    <x v="49"/>
    <x v="0"/>
    <x v="4"/>
    <d v="2013-12-07T00:00:00"/>
    <n v="5"/>
    <x v="1"/>
    <s v="Allen Goldenen"/>
    <x v="0"/>
    <s v="United States"/>
    <s v="Knoxville"/>
    <s v="Tennessee"/>
    <s v="South"/>
    <x v="1"/>
    <x v="6"/>
    <s v="Newell 343"/>
    <x v="1834"/>
    <n v="2"/>
    <n v="0.2"/>
    <n v="0.41160000000000002"/>
  </r>
  <r>
    <n v="2198"/>
    <x v="683"/>
    <x v="2"/>
    <x v="0"/>
    <d v="2011-12-04T00:00:00"/>
    <n v="6"/>
    <x v="1"/>
    <s v="Bart Folk"/>
    <x v="0"/>
    <s v="United States"/>
    <s v="Montgomery"/>
    <s v="Alabama"/>
    <s v="South"/>
    <x v="1"/>
    <x v="6"/>
    <s v="Newell 331"/>
    <x v="1835"/>
    <n v="3"/>
    <n v="0"/>
    <n v="3.9609000000000001"/>
  </r>
  <r>
    <n v="2199"/>
    <x v="262"/>
    <x v="1"/>
    <x v="10"/>
    <d v="2012-04-02T00:00:00"/>
    <n v="5"/>
    <x v="1"/>
    <s v="Chloris Kastensmidt"/>
    <x v="0"/>
    <s v="United States"/>
    <s v="Philadelphia"/>
    <s v="Pennsylvania"/>
    <s v="East"/>
    <x v="1"/>
    <x v="10"/>
    <s v="Xerox 1999"/>
    <x v="12"/>
    <n v="3"/>
    <n v="0.2"/>
    <n v="5.4432"/>
  </r>
  <r>
    <n v="2200"/>
    <x v="262"/>
    <x v="1"/>
    <x v="10"/>
    <d v="2012-04-02T00:00:00"/>
    <n v="5"/>
    <x v="1"/>
    <s v="Chloris Kastensmidt"/>
    <x v="0"/>
    <s v="United States"/>
    <s v="Philadelphia"/>
    <s v="Pennsylvania"/>
    <s v="East"/>
    <x v="1"/>
    <x v="10"/>
    <s v="Southworth Parchment Paper &amp; Envelopes"/>
    <x v="1836"/>
    <n v="1"/>
    <n v="0.2"/>
    <n v="1.7003999999999999"/>
  </r>
  <r>
    <n v="2201"/>
    <x v="106"/>
    <x v="2"/>
    <x v="1"/>
    <d v="2011-06-06T00:00:00"/>
    <n v="5"/>
    <x v="1"/>
    <s v="Liz Thompson"/>
    <x v="0"/>
    <s v="United States"/>
    <s v="Little Rock"/>
    <s v="Arkansas"/>
    <s v="South"/>
    <x v="0"/>
    <x v="5"/>
    <s v="3M Hangers With Command Adhesive"/>
    <x v="496"/>
    <n v="6"/>
    <n v="0"/>
    <n v="9.1020000000000003"/>
  </r>
  <r>
    <n v="2202"/>
    <x v="106"/>
    <x v="2"/>
    <x v="1"/>
    <d v="2011-06-06T00:00:00"/>
    <n v="5"/>
    <x v="1"/>
    <s v="Liz Thompson"/>
    <x v="0"/>
    <s v="United States"/>
    <s v="Little Rock"/>
    <s v="Arkansas"/>
    <s v="South"/>
    <x v="2"/>
    <x v="7"/>
    <s v="Adtran 1202752G1"/>
    <x v="1837"/>
    <n v="7"/>
    <n v="0"/>
    <n v="229.30179999999999"/>
  </r>
  <r>
    <n v="2203"/>
    <x v="684"/>
    <x v="1"/>
    <x v="8"/>
    <d v="2012-09-12T00:00:00"/>
    <n v="6"/>
    <x v="1"/>
    <s v="Beth Thompson"/>
    <x v="2"/>
    <s v="United States"/>
    <s v="Seattle"/>
    <s v="Washington"/>
    <s v="West"/>
    <x v="1"/>
    <x v="8"/>
    <s v="Acco Hanging Data Binders"/>
    <x v="855"/>
    <n v="2"/>
    <n v="0.2"/>
    <n v="2.1335999999999999"/>
  </r>
  <r>
    <n v="2204"/>
    <x v="684"/>
    <x v="1"/>
    <x v="8"/>
    <d v="2012-09-12T00:00:00"/>
    <n v="6"/>
    <x v="1"/>
    <s v="Beth Thompson"/>
    <x v="2"/>
    <s v="United States"/>
    <s v="Seattle"/>
    <s v="Washington"/>
    <s v="West"/>
    <x v="0"/>
    <x v="5"/>
    <s v="Howard Miller 16&quot; Diameter Gallery Wall Clock"/>
    <x v="1838"/>
    <n v="3"/>
    <n v="0"/>
    <n v="74.809799999999996"/>
  </r>
  <r>
    <n v="2205"/>
    <x v="685"/>
    <x v="1"/>
    <x v="1"/>
    <d v="2012-07-05T00:00:00"/>
    <n v="6"/>
    <x v="1"/>
    <s v="Steven Cartwright"/>
    <x v="0"/>
    <s v="United States"/>
    <s v="Lancaster"/>
    <s v="Pennsylvania"/>
    <s v="East"/>
    <x v="0"/>
    <x v="5"/>
    <s v="Eldon Executive Woodline II Desk Accessories, Mahogany"/>
    <x v="1839"/>
    <n v="1"/>
    <n v="0.2"/>
    <n v="1.7591000000000001"/>
  </r>
  <r>
    <n v="2206"/>
    <x v="545"/>
    <x v="0"/>
    <x v="8"/>
    <d v="2013-09-13T00:00:00"/>
    <n v="2"/>
    <x v="0"/>
    <s v="Catherine Glotzbach"/>
    <x v="2"/>
    <s v="United States"/>
    <s v="Bristol"/>
    <s v="Tennessee"/>
    <s v="South"/>
    <x v="1"/>
    <x v="6"/>
    <s v="Boston Model 1800 Electric Pencil Sharpener, Gray"/>
    <x v="1840"/>
    <n v="3"/>
    <n v="0.2"/>
    <n v="8.4450000000000003"/>
  </r>
  <r>
    <n v="2207"/>
    <x v="686"/>
    <x v="2"/>
    <x v="7"/>
    <d v="2011-07-20T00:00:00"/>
    <n v="6"/>
    <x v="1"/>
    <s v="Arthur Wiediger"/>
    <x v="2"/>
    <s v="United States"/>
    <s v="Aurora"/>
    <s v="Illinois"/>
    <s v="Central"/>
    <x v="1"/>
    <x v="8"/>
    <s v="Acco D-Ring Binder w/DublLock"/>
    <x v="1841"/>
    <n v="7"/>
    <n v="0.8"/>
    <n v="-46.394599999999997"/>
  </r>
  <r>
    <n v="2208"/>
    <x v="686"/>
    <x v="2"/>
    <x v="7"/>
    <d v="2011-07-20T00:00:00"/>
    <n v="6"/>
    <x v="1"/>
    <s v="Arthur Wiediger"/>
    <x v="2"/>
    <s v="United States"/>
    <s v="Aurora"/>
    <s v="Illinois"/>
    <s v="Central"/>
    <x v="2"/>
    <x v="7"/>
    <s v="I Need's 3d Hello Kitty Hybrid Silicone Case Cover for HTC One X 4g with 3d Hello Kitty Stylus Pen Green/pink"/>
    <x v="1842"/>
    <n v="4"/>
    <n v="0.2"/>
    <n v="3.8271999999999999"/>
  </r>
  <r>
    <n v="2209"/>
    <x v="421"/>
    <x v="1"/>
    <x v="6"/>
    <d v="2012-08-26T00:00:00"/>
    <n v="4"/>
    <x v="1"/>
    <s v="Roger Barcio"/>
    <x v="2"/>
    <s v="United States"/>
    <s v="New York City"/>
    <s v="New York"/>
    <s v="East"/>
    <x v="1"/>
    <x v="6"/>
    <s v="Newell Chalk Holder"/>
    <x v="1045"/>
    <n v="4"/>
    <n v="0"/>
    <n v="7.5991999999999997"/>
  </r>
  <r>
    <n v="2210"/>
    <x v="687"/>
    <x v="2"/>
    <x v="0"/>
    <d v="2011-11-16T00:00:00"/>
    <n v="2"/>
    <x v="0"/>
    <s v="Maris LaWare"/>
    <x v="0"/>
    <s v="United States"/>
    <s v="Fairfield"/>
    <s v="Connecticut"/>
    <s v="East"/>
    <x v="2"/>
    <x v="7"/>
    <s v="Polycom SoundPoint Pro SE-225 Corded phone"/>
    <x v="1843"/>
    <n v="7"/>
    <n v="0"/>
    <n v="233.22040000000001"/>
  </r>
  <r>
    <n v="2211"/>
    <x v="687"/>
    <x v="2"/>
    <x v="0"/>
    <d v="2011-11-16T00:00:00"/>
    <n v="2"/>
    <x v="0"/>
    <s v="Maris LaWare"/>
    <x v="0"/>
    <s v="United States"/>
    <s v="Fairfield"/>
    <s v="Connecticut"/>
    <s v="East"/>
    <x v="1"/>
    <x v="8"/>
    <s v="Acco 3-Hole Punch"/>
    <x v="1844"/>
    <n v="10"/>
    <n v="0"/>
    <n v="21.024000000000001"/>
  </r>
  <r>
    <n v="2212"/>
    <x v="581"/>
    <x v="0"/>
    <x v="0"/>
    <d v="2013-12-01T00:00:00"/>
    <n v="3"/>
    <x v="2"/>
    <s v="Victoria Brennan"/>
    <x v="1"/>
    <s v="United States"/>
    <s v="Lincoln Park"/>
    <s v="Michigan"/>
    <s v="Central"/>
    <x v="1"/>
    <x v="9"/>
    <s v="Euro-Pro Shark Turbo Vacuum"/>
    <x v="1845"/>
    <n v="6"/>
    <n v="0.1"/>
    <n v="29.7408"/>
  </r>
  <r>
    <n v="2213"/>
    <x v="610"/>
    <x v="3"/>
    <x v="0"/>
    <d v="2014-11-26T00:00:00"/>
    <n v="4"/>
    <x v="1"/>
    <s v="Scott Williamson"/>
    <x v="0"/>
    <s v="United States"/>
    <s v="New York City"/>
    <s v="New York"/>
    <s v="East"/>
    <x v="0"/>
    <x v="5"/>
    <s v="Howard Miller Distant Time Traveler Alarm Clock"/>
    <x v="1846"/>
    <n v="1"/>
    <n v="0"/>
    <n v="11.2422"/>
  </r>
  <r>
    <n v="2214"/>
    <x v="172"/>
    <x v="3"/>
    <x v="2"/>
    <d v="2014-10-03T00:00:00"/>
    <n v="1"/>
    <x v="2"/>
    <s v="Neola Schneider"/>
    <x v="0"/>
    <s v="United States"/>
    <s v="San Jose"/>
    <s v="California"/>
    <s v="West"/>
    <x v="1"/>
    <x v="8"/>
    <s v="Wilson Jones Easy Flow II Sheet Lifters"/>
    <x v="1847"/>
    <n v="1"/>
    <n v="0.2"/>
    <n v="0.504"/>
  </r>
  <r>
    <n v="2215"/>
    <x v="172"/>
    <x v="3"/>
    <x v="2"/>
    <d v="2014-10-03T00:00:00"/>
    <n v="1"/>
    <x v="2"/>
    <s v="Neola Schneider"/>
    <x v="0"/>
    <s v="United States"/>
    <s v="San Jose"/>
    <s v="California"/>
    <s v="West"/>
    <x v="1"/>
    <x v="8"/>
    <s v="Storex Dura Pro Binders"/>
    <x v="1848"/>
    <n v="13"/>
    <n v="0.2"/>
    <n v="20.849399999999999"/>
  </r>
  <r>
    <n v="2216"/>
    <x v="172"/>
    <x v="3"/>
    <x v="2"/>
    <d v="2014-10-03T00:00:00"/>
    <n v="1"/>
    <x v="2"/>
    <s v="Neola Schneider"/>
    <x v="0"/>
    <s v="United States"/>
    <s v="San Jose"/>
    <s v="California"/>
    <s v="West"/>
    <x v="1"/>
    <x v="9"/>
    <s v="Belkin 325VA UPS Surge Protector, 6'"/>
    <x v="1776"/>
    <n v="2"/>
    <n v="0"/>
    <n v="60.49"/>
  </r>
  <r>
    <n v="2217"/>
    <x v="172"/>
    <x v="3"/>
    <x v="2"/>
    <d v="2014-10-03T00:00:00"/>
    <n v="1"/>
    <x v="2"/>
    <s v="Neola Schneider"/>
    <x v="0"/>
    <s v="United States"/>
    <s v="San Jose"/>
    <s v="California"/>
    <s v="West"/>
    <x v="0"/>
    <x v="1"/>
    <s v="Metal Folding Chairs, Beige, 4/Carton"/>
    <x v="1849"/>
    <n v="4"/>
    <n v="0.2"/>
    <n v="9.5031999999999996"/>
  </r>
  <r>
    <n v="2218"/>
    <x v="59"/>
    <x v="2"/>
    <x v="8"/>
    <d v="2011-09-25T00:00:00"/>
    <n v="5"/>
    <x v="1"/>
    <s v="Dorothy Badders"/>
    <x v="1"/>
    <s v="United States"/>
    <s v="Jacksonville"/>
    <s v="Florida"/>
    <s v="South"/>
    <x v="1"/>
    <x v="6"/>
    <s v="Nontoxic Chalk"/>
    <x v="1850"/>
    <n v="2"/>
    <n v="0.2"/>
    <n v="0.98560000000000003"/>
  </r>
  <r>
    <n v="2219"/>
    <x v="688"/>
    <x v="3"/>
    <x v="7"/>
    <d v="2014-08-02T00:00:00"/>
    <n v="4"/>
    <x v="1"/>
    <s v="Matt Hagelstein"/>
    <x v="1"/>
    <s v="United States"/>
    <s v="San Francisco"/>
    <s v="California"/>
    <s v="West"/>
    <x v="1"/>
    <x v="8"/>
    <s v="Zipper Ring Binder Pockets"/>
    <x v="1851"/>
    <n v="4"/>
    <n v="0.2"/>
    <n v="3.6192000000000002"/>
  </r>
  <r>
    <n v="2220"/>
    <x v="688"/>
    <x v="3"/>
    <x v="7"/>
    <d v="2014-08-02T00:00:00"/>
    <n v="4"/>
    <x v="1"/>
    <s v="Matt Hagelstein"/>
    <x v="1"/>
    <s v="United States"/>
    <s v="San Francisco"/>
    <s v="California"/>
    <s v="West"/>
    <x v="1"/>
    <x v="4"/>
    <s v="Super Decoflex Portable Personal File"/>
    <x v="1852"/>
    <n v="1"/>
    <n v="0"/>
    <n v="4.1943999999999999"/>
  </r>
  <r>
    <n v="2221"/>
    <x v="688"/>
    <x v="3"/>
    <x v="7"/>
    <d v="2014-08-02T00:00:00"/>
    <n v="4"/>
    <x v="1"/>
    <s v="Matt Hagelstein"/>
    <x v="1"/>
    <s v="United States"/>
    <s v="San Francisco"/>
    <s v="California"/>
    <s v="West"/>
    <x v="2"/>
    <x v="7"/>
    <s v="Wilson Electronics DB Pro Signal Booster"/>
    <x v="1853"/>
    <n v="4"/>
    <n v="0.2"/>
    <n v="100.24"/>
  </r>
  <r>
    <n v="2222"/>
    <x v="401"/>
    <x v="1"/>
    <x v="4"/>
    <d v="2012-12-06T00:00:00"/>
    <n v="0"/>
    <x v="3"/>
    <s v="Dennis Kane"/>
    <x v="0"/>
    <s v="United States"/>
    <s v="Marion"/>
    <s v="Ohio"/>
    <s v="East"/>
    <x v="2"/>
    <x v="7"/>
    <s v="Polycom SoundStation2 EX Conference phone"/>
    <x v="1854"/>
    <n v="2"/>
    <n v="0.4"/>
    <n v="-89.088999999999999"/>
  </r>
  <r>
    <n v="2223"/>
    <x v="401"/>
    <x v="1"/>
    <x v="4"/>
    <d v="2012-12-06T00:00:00"/>
    <n v="0"/>
    <x v="3"/>
    <s v="Dennis Kane"/>
    <x v="0"/>
    <s v="United States"/>
    <s v="Marion"/>
    <s v="Ohio"/>
    <s v="East"/>
    <x v="1"/>
    <x v="6"/>
    <s v="Newell 312"/>
    <x v="1855"/>
    <n v="8"/>
    <n v="0.2"/>
    <n v="4.6719999999999997"/>
  </r>
  <r>
    <n v="2224"/>
    <x v="401"/>
    <x v="1"/>
    <x v="4"/>
    <d v="2012-12-06T00:00:00"/>
    <n v="0"/>
    <x v="3"/>
    <s v="Dennis Kane"/>
    <x v="0"/>
    <s v="United States"/>
    <s v="Marion"/>
    <s v="Ohio"/>
    <s v="East"/>
    <x v="0"/>
    <x v="1"/>
    <s v="Global Low Back Tilter Chair"/>
    <x v="1856"/>
    <n v="1"/>
    <n v="0.3"/>
    <n v="-24.235199999999999"/>
  </r>
  <r>
    <n v="2225"/>
    <x v="689"/>
    <x v="3"/>
    <x v="6"/>
    <d v="2014-08-06T00:00:00"/>
    <n v="5"/>
    <x v="1"/>
    <s v="Erin Ashbrook"/>
    <x v="1"/>
    <s v="United States"/>
    <s v="Philadelphia"/>
    <s v="Pennsylvania"/>
    <s v="East"/>
    <x v="1"/>
    <x v="10"/>
    <s v="Xerox 1991"/>
    <x v="1548"/>
    <n v="3"/>
    <n v="0.2"/>
    <n v="17.815200000000001"/>
  </r>
  <r>
    <n v="2226"/>
    <x v="690"/>
    <x v="0"/>
    <x v="10"/>
    <d v="2013-03-22T00:00:00"/>
    <n v="2"/>
    <x v="0"/>
    <s v="Bobby Trafton"/>
    <x v="0"/>
    <s v="United States"/>
    <s v="Littleton"/>
    <s v="Colorado"/>
    <s v="West"/>
    <x v="0"/>
    <x v="0"/>
    <s v="Atlantic Metals Mobile 2-Shelf Bookcases, Custom Colors"/>
    <x v="1857"/>
    <n v="1"/>
    <n v="0.7"/>
    <n v="-98.8018"/>
  </r>
  <r>
    <n v="2227"/>
    <x v="570"/>
    <x v="3"/>
    <x v="7"/>
    <d v="2014-08-04T00:00:00"/>
    <n v="5"/>
    <x v="1"/>
    <s v="Laura Armstrong"/>
    <x v="1"/>
    <s v="United States"/>
    <s v="Austin"/>
    <s v="Texas"/>
    <s v="Central"/>
    <x v="1"/>
    <x v="13"/>
    <s v="Assorted Color Push Pins"/>
    <x v="1671"/>
    <n v="2"/>
    <n v="0.2"/>
    <n v="0.47060000000000002"/>
  </r>
  <r>
    <n v="2228"/>
    <x v="570"/>
    <x v="3"/>
    <x v="7"/>
    <d v="2014-08-04T00:00:00"/>
    <n v="5"/>
    <x v="1"/>
    <s v="Laura Armstrong"/>
    <x v="1"/>
    <s v="United States"/>
    <s v="Austin"/>
    <s v="Texas"/>
    <s v="Central"/>
    <x v="2"/>
    <x v="7"/>
    <s v="Cisco SPA301"/>
    <x v="1858"/>
    <n v="1"/>
    <n v="0.2"/>
    <n v="15.599"/>
  </r>
  <r>
    <n v="2229"/>
    <x v="393"/>
    <x v="0"/>
    <x v="2"/>
    <d v="2013-10-06T00:00:00"/>
    <n v="4"/>
    <x v="1"/>
    <s v="Greg Matthias"/>
    <x v="0"/>
    <s v="United States"/>
    <s v="New York City"/>
    <s v="New York"/>
    <s v="East"/>
    <x v="0"/>
    <x v="3"/>
    <s v="Chromcraft Bull-Nose Wood 48&quot; x 96&quot; Rectangular Conference Tables"/>
    <x v="1859"/>
    <n v="1"/>
    <n v="0.4"/>
    <n v="-115.7058"/>
  </r>
  <r>
    <n v="2230"/>
    <x v="691"/>
    <x v="2"/>
    <x v="10"/>
    <d v="2011-04-05T00:00:00"/>
    <n v="5"/>
    <x v="1"/>
    <s v="Alex Avila"/>
    <x v="0"/>
    <s v="United States"/>
    <s v="San Francisco"/>
    <s v="California"/>
    <s v="West"/>
    <x v="1"/>
    <x v="8"/>
    <s v="GBC DocuBind 200 Manual Binding Machine"/>
    <x v="1860"/>
    <n v="2"/>
    <n v="0.2"/>
    <n v="252.58799999999999"/>
  </r>
  <r>
    <n v="2231"/>
    <x v="691"/>
    <x v="2"/>
    <x v="10"/>
    <d v="2011-04-05T00:00:00"/>
    <n v="5"/>
    <x v="1"/>
    <s v="Alex Avila"/>
    <x v="0"/>
    <s v="United States"/>
    <s v="San Francisco"/>
    <s v="California"/>
    <s v="West"/>
    <x v="1"/>
    <x v="9"/>
    <s v="Fellowes Advanced Computer Series Surge Protectors"/>
    <x v="1861"/>
    <n v="2"/>
    <n v="0"/>
    <n v="14.8344"/>
  </r>
  <r>
    <n v="2232"/>
    <x v="335"/>
    <x v="3"/>
    <x v="1"/>
    <d v="2014-07-02T00:00:00"/>
    <n v="5"/>
    <x v="1"/>
    <s v="Denny Blanton"/>
    <x v="0"/>
    <s v="United States"/>
    <s v="La Porte"/>
    <s v="Indiana"/>
    <s v="Central"/>
    <x v="0"/>
    <x v="5"/>
    <s v="Eldon Antistatic Chair Mats for Low to Medium Pile Carpets"/>
    <x v="1862"/>
    <n v="5"/>
    <n v="0"/>
    <n v="31.587"/>
  </r>
  <r>
    <n v="2233"/>
    <x v="362"/>
    <x v="3"/>
    <x v="7"/>
    <d v="2014-07-15T00:00:00"/>
    <n v="5"/>
    <x v="1"/>
    <s v="John Huston"/>
    <x v="0"/>
    <s v="United States"/>
    <s v="Chicago"/>
    <s v="Illinois"/>
    <s v="Central"/>
    <x v="1"/>
    <x v="4"/>
    <s v="Recycled Steel Personal File for Hanging File Folders"/>
    <x v="1863"/>
    <n v="5"/>
    <n v="0.2"/>
    <n v="14.307499999999999"/>
  </r>
  <r>
    <n v="2234"/>
    <x v="639"/>
    <x v="1"/>
    <x v="4"/>
    <d v="2012-12-16T00:00:00"/>
    <n v="2"/>
    <x v="0"/>
    <s v="Doug Jacobs"/>
    <x v="0"/>
    <s v="United States"/>
    <s v="Portland"/>
    <s v="Oregon"/>
    <s v="West"/>
    <x v="2"/>
    <x v="7"/>
    <s v="HTC One"/>
    <x v="1864"/>
    <n v="4"/>
    <n v="0.2"/>
    <n v="35.996400000000001"/>
  </r>
  <r>
    <n v="2235"/>
    <x v="256"/>
    <x v="3"/>
    <x v="4"/>
    <d v="2014-12-11T00:00:00"/>
    <n v="5"/>
    <x v="1"/>
    <s v="Quincy Jones"/>
    <x v="1"/>
    <s v="United States"/>
    <s v="Burlington"/>
    <s v="Vermont"/>
    <s v="East"/>
    <x v="2"/>
    <x v="11"/>
    <s v="Logitech ClearChat Comfort/USB Headset H390"/>
    <x v="1865"/>
    <n v="7"/>
    <n v="0"/>
    <n v="67.659899999999993"/>
  </r>
  <r>
    <n v="2236"/>
    <x v="426"/>
    <x v="1"/>
    <x v="8"/>
    <d v="2012-09-17T00:00:00"/>
    <n v="2"/>
    <x v="0"/>
    <s v="Carol Triggs"/>
    <x v="0"/>
    <s v="United States"/>
    <s v="Indianapolis"/>
    <s v="Indiana"/>
    <s v="Central"/>
    <x v="1"/>
    <x v="4"/>
    <s v="Fellowes Stor/Drawer Steel Plus Storage Drawers"/>
    <x v="1866"/>
    <n v="2"/>
    <n v="0"/>
    <n v="11.451599999999999"/>
  </r>
  <r>
    <n v="2237"/>
    <x v="426"/>
    <x v="1"/>
    <x v="8"/>
    <d v="2012-09-17T00:00:00"/>
    <n v="2"/>
    <x v="0"/>
    <s v="Carol Triggs"/>
    <x v="0"/>
    <s v="United States"/>
    <s v="Indianapolis"/>
    <s v="Indiana"/>
    <s v="Central"/>
    <x v="1"/>
    <x v="6"/>
    <s v="Manco Dry-Lighter Erasable Highlighter"/>
    <x v="1867"/>
    <n v="8"/>
    <n v="0"/>
    <n v="8.2688000000000006"/>
  </r>
  <r>
    <n v="2238"/>
    <x v="692"/>
    <x v="0"/>
    <x v="7"/>
    <d v="2013-07-22T00:00:00"/>
    <n v="6"/>
    <x v="1"/>
    <s v="Rick Huthwaite"/>
    <x v="2"/>
    <s v="United States"/>
    <s v="Provo"/>
    <s v="Utah"/>
    <s v="West"/>
    <x v="1"/>
    <x v="14"/>
    <s v="Fiskars Home &amp; Office Scissors"/>
    <x v="1821"/>
    <n v="5"/>
    <n v="0"/>
    <n v="12.432"/>
  </r>
  <r>
    <n v="2239"/>
    <x v="693"/>
    <x v="3"/>
    <x v="3"/>
    <d v="2014-04-27T00:00:00"/>
    <n v="6"/>
    <x v="1"/>
    <s v="Sanjit Jacobs"/>
    <x v="2"/>
    <s v="United States"/>
    <s v="Chicago"/>
    <s v="Illinois"/>
    <s v="Central"/>
    <x v="0"/>
    <x v="5"/>
    <s v="Eldon Cleatmat Chair Mats for Medium Pile Carpets"/>
    <x v="1821"/>
    <n v="2"/>
    <n v="0.6"/>
    <n v="-52.17"/>
  </r>
  <r>
    <n v="2240"/>
    <x v="625"/>
    <x v="0"/>
    <x v="0"/>
    <d v="2013-11-18T00:00:00"/>
    <n v="2"/>
    <x v="0"/>
    <s v="Toby Gnade"/>
    <x v="0"/>
    <s v="United States"/>
    <s v="Los Angeles"/>
    <s v="California"/>
    <s v="West"/>
    <x v="1"/>
    <x v="8"/>
    <s v="Fellowes PB500 Electric Punch Plastic Comb Binding Machine with Manual Bind"/>
    <x v="1868"/>
    <n v="1"/>
    <n v="0.2"/>
    <n v="381.29700000000003"/>
  </r>
  <r>
    <n v="2241"/>
    <x v="625"/>
    <x v="0"/>
    <x v="0"/>
    <d v="2013-11-18T00:00:00"/>
    <n v="2"/>
    <x v="0"/>
    <s v="Toby Gnade"/>
    <x v="0"/>
    <s v="United States"/>
    <s v="Los Angeles"/>
    <s v="California"/>
    <s v="West"/>
    <x v="1"/>
    <x v="8"/>
    <s v="Avery Self-Adhesive Photo Pockets for Polaroid Photos"/>
    <x v="1869"/>
    <n v="7"/>
    <n v="0.2"/>
    <n v="13.3476"/>
  </r>
  <r>
    <n v="2242"/>
    <x v="491"/>
    <x v="0"/>
    <x v="0"/>
    <d v="2013-12-02T00:00:00"/>
    <n v="5"/>
    <x v="1"/>
    <s v="Carol Triggs"/>
    <x v="0"/>
    <s v="United States"/>
    <s v="Philadelphia"/>
    <s v="Pennsylvania"/>
    <s v="East"/>
    <x v="2"/>
    <x v="7"/>
    <s v="Mitel MiVoice 5330e IP Phone"/>
    <x v="1870"/>
    <n v="3"/>
    <n v="0.4"/>
    <n v="-115.4958"/>
  </r>
  <r>
    <n v="2243"/>
    <x v="610"/>
    <x v="3"/>
    <x v="0"/>
    <d v="2014-11-26T00:00:00"/>
    <n v="4"/>
    <x v="1"/>
    <s v="Barry Franz"/>
    <x v="2"/>
    <s v="United States"/>
    <s v="Pasadena"/>
    <s v="California"/>
    <s v="West"/>
    <x v="1"/>
    <x v="4"/>
    <s v="Eldon Portable Mobile Manager"/>
    <x v="400"/>
    <n v="2"/>
    <n v="0"/>
    <n v="15.2712"/>
  </r>
  <r>
    <n v="2244"/>
    <x v="610"/>
    <x v="3"/>
    <x v="0"/>
    <d v="2014-11-26T00:00:00"/>
    <n v="4"/>
    <x v="1"/>
    <s v="Barry Franz"/>
    <x v="2"/>
    <s v="United States"/>
    <s v="Pasadena"/>
    <s v="California"/>
    <s v="West"/>
    <x v="1"/>
    <x v="6"/>
    <s v="Newell 344"/>
    <x v="345"/>
    <n v="2"/>
    <n v="0"/>
    <n v="1.4456"/>
  </r>
  <r>
    <n v="2245"/>
    <x v="610"/>
    <x v="3"/>
    <x v="0"/>
    <d v="2014-11-26T00:00:00"/>
    <n v="4"/>
    <x v="1"/>
    <s v="Barry Franz"/>
    <x v="2"/>
    <s v="United States"/>
    <s v="Pasadena"/>
    <s v="California"/>
    <s v="West"/>
    <x v="1"/>
    <x v="13"/>
    <s v="Advantus T-Pin Paper Clips"/>
    <x v="1871"/>
    <n v="2"/>
    <n v="0"/>
    <n v="3.5177999999999998"/>
  </r>
  <r>
    <n v="2246"/>
    <x v="610"/>
    <x v="3"/>
    <x v="0"/>
    <d v="2014-11-26T00:00:00"/>
    <n v="4"/>
    <x v="1"/>
    <s v="Barry Franz"/>
    <x v="2"/>
    <s v="United States"/>
    <s v="Pasadena"/>
    <s v="California"/>
    <s v="West"/>
    <x v="1"/>
    <x v="9"/>
    <s v="Acco Six-Outlet Power Strip, 4' Cord Length"/>
    <x v="1872"/>
    <n v="1"/>
    <n v="0"/>
    <n v="2.2412000000000001"/>
  </r>
  <r>
    <n v="2247"/>
    <x v="610"/>
    <x v="3"/>
    <x v="0"/>
    <d v="2014-11-26T00:00:00"/>
    <n v="4"/>
    <x v="1"/>
    <s v="Barry Franz"/>
    <x v="2"/>
    <s v="United States"/>
    <s v="Pasadena"/>
    <s v="California"/>
    <s v="West"/>
    <x v="2"/>
    <x v="7"/>
    <s v="Mitel MiVoice 5330e IP Phone"/>
    <x v="1640"/>
    <n v="3"/>
    <n v="0.2"/>
    <n v="49.498199999999997"/>
  </r>
  <r>
    <n v="2248"/>
    <x v="586"/>
    <x v="1"/>
    <x v="11"/>
    <d v="2012-02-18T00:00:00"/>
    <n v="3"/>
    <x v="0"/>
    <s v="Justin MacKendrick"/>
    <x v="0"/>
    <s v="United States"/>
    <s v="Los Angeles"/>
    <s v="California"/>
    <s v="West"/>
    <x v="1"/>
    <x v="10"/>
    <s v="Xerox 1959"/>
    <x v="518"/>
    <n v="2"/>
    <n v="0"/>
    <n v="6.4127999999999998"/>
  </r>
  <r>
    <n v="2249"/>
    <x v="586"/>
    <x v="1"/>
    <x v="11"/>
    <d v="2012-02-18T00:00:00"/>
    <n v="3"/>
    <x v="0"/>
    <s v="Justin MacKendrick"/>
    <x v="0"/>
    <s v="United States"/>
    <s v="Los Angeles"/>
    <s v="California"/>
    <s v="West"/>
    <x v="1"/>
    <x v="8"/>
    <s v="Acco Data Flex Cable Posts For Top &amp; Bottom Load Binders, 6&quot; Capacity"/>
    <x v="1818"/>
    <n v="5"/>
    <n v="0.2"/>
    <n v="13.0375"/>
  </r>
  <r>
    <n v="2250"/>
    <x v="586"/>
    <x v="1"/>
    <x v="11"/>
    <d v="2012-02-18T00:00:00"/>
    <n v="3"/>
    <x v="0"/>
    <s v="Justin MacKendrick"/>
    <x v="0"/>
    <s v="United States"/>
    <s v="Los Angeles"/>
    <s v="California"/>
    <s v="West"/>
    <x v="1"/>
    <x v="8"/>
    <s v="Avery Durable Binders"/>
    <x v="132"/>
    <n v="5"/>
    <n v="0.2"/>
    <n v="4.1760000000000002"/>
  </r>
  <r>
    <n v="2251"/>
    <x v="586"/>
    <x v="1"/>
    <x v="11"/>
    <d v="2012-02-18T00:00:00"/>
    <n v="3"/>
    <x v="0"/>
    <s v="Justin MacKendrick"/>
    <x v="0"/>
    <s v="United States"/>
    <s v="Los Angeles"/>
    <s v="California"/>
    <s v="West"/>
    <x v="1"/>
    <x v="9"/>
    <s v="Kensington 6 Outlet MasterPiece HOMEOFFICE Power Control Center"/>
    <x v="1873"/>
    <n v="6"/>
    <n v="0"/>
    <n v="157.01759999999999"/>
  </r>
  <r>
    <n v="2252"/>
    <x v="586"/>
    <x v="1"/>
    <x v="11"/>
    <d v="2012-02-18T00:00:00"/>
    <n v="3"/>
    <x v="0"/>
    <s v="Justin MacKendrick"/>
    <x v="0"/>
    <s v="United States"/>
    <s v="Los Angeles"/>
    <s v="California"/>
    <s v="West"/>
    <x v="1"/>
    <x v="10"/>
    <s v="Xerox 22"/>
    <x v="537"/>
    <n v="3"/>
    <n v="0"/>
    <n v="9.3312000000000008"/>
  </r>
  <r>
    <n v="2253"/>
    <x v="173"/>
    <x v="0"/>
    <x v="3"/>
    <d v="2013-04-18T00:00:00"/>
    <n v="2"/>
    <x v="0"/>
    <s v="Julie Kriz"/>
    <x v="2"/>
    <s v="United States"/>
    <s v="San Diego"/>
    <s v="California"/>
    <s v="West"/>
    <x v="1"/>
    <x v="10"/>
    <s v="Xerox 1911"/>
    <x v="140"/>
    <n v="3"/>
    <n v="0"/>
    <n v="68.975999999999999"/>
  </r>
  <r>
    <n v="2254"/>
    <x v="694"/>
    <x v="1"/>
    <x v="8"/>
    <d v="2012-10-01T00:00:00"/>
    <n v="3"/>
    <x v="2"/>
    <s v="Henry Goldwyn"/>
    <x v="1"/>
    <s v="United States"/>
    <s v="San Francisco"/>
    <s v="California"/>
    <s v="West"/>
    <x v="1"/>
    <x v="9"/>
    <s v="Holmes Odor Grabber"/>
    <x v="1874"/>
    <n v="3"/>
    <n v="0"/>
    <n v="14.2758"/>
  </r>
  <r>
    <n v="2255"/>
    <x v="694"/>
    <x v="1"/>
    <x v="8"/>
    <d v="2012-10-01T00:00:00"/>
    <n v="3"/>
    <x v="2"/>
    <s v="Henry Goldwyn"/>
    <x v="1"/>
    <s v="United States"/>
    <s v="San Francisco"/>
    <s v="California"/>
    <s v="West"/>
    <x v="1"/>
    <x v="9"/>
    <s v="Holmes HEPA Air Purifier"/>
    <x v="1875"/>
    <n v="2"/>
    <n v="0"/>
    <n v="15.246"/>
  </r>
  <r>
    <n v="2256"/>
    <x v="42"/>
    <x v="0"/>
    <x v="8"/>
    <d v="2013-09-23T00:00:00"/>
    <n v="5"/>
    <x v="1"/>
    <s v="Laura Armstrong"/>
    <x v="1"/>
    <s v="United States"/>
    <s v="Bangor"/>
    <s v="Maine"/>
    <s v="East"/>
    <x v="2"/>
    <x v="7"/>
    <s v="Wi-Ex zBoost YX540 Cellular Phone Signal Booster"/>
    <x v="1876"/>
    <n v="3"/>
    <n v="0"/>
    <n v="131.35499999999999"/>
  </r>
  <r>
    <n v="2257"/>
    <x v="42"/>
    <x v="0"/>
    <x v="8"/>
    <d v="2013-09-23T00:00:00"/>
    <n v="5"/>
    <x v="1"/>
    <s v="Laura Armstrong"/>
    <x v="1"/>
    <s v="United States"/>
    <s v="Bangor"/>
    <s v="Maine"/>
    <s v="East"/>
    <x v="0"/>
    <x v="5"/>
    <s v="C-Line Cubicle Keepers Polyproplyene Holder w/Velcro Back, 8-1/2x11, 25/Bx"/>
    <x v="1041"/>
    <n v="2"/>
    <n v="0"/>
    <n v="33.938800000000001"/>
  </r>
  <r>
    <n v="2258"/>
    <x v="114"/>
    <x v="3"/>
    <x v="1"/>
    <d v="2014-06-20T00:00:00"/>
    <n v="3"/>
    <x v="2"/>
    <s v="Troy Staebel"/>
    <x v="0"/>
    <s v="United States"/>
    <s v="San Francisco"/>
    <s v="California"/>
    <s v="West"/>
    <x v="0"/>
    <x v="1"/>
    <s v="Hon Multipurpose Stacking Arm Chairs"/>
    <x v="1877"/>
    <n v="7"/>
    <n v="0.2"/>
    <n v="90.971999999999994"/>
  </r>
  <r>
    <n v="2259"/>
    <x v="114"/>
    <x v="3"/>
    <x v="1"/>
    <d v="2014-06-20T00:00:00"/>
    <n v="3"/>
    <x v="2"/>
    <s v="Troy Staebel"/>
    <x v="0"/>
    <s v="United States"/>
    <s v="San Francisco"/>
    <s v="California"/>
    <s v="West"/>
    <x v="1"/>
    <x v="10"/>
    <s v="Wirebound Message Books, Four 2 3/4&quot; x 5&quot; Forms per Page, 600 Sets per Book"/>
    <x v="1878"/>
    <n v="2"/>
    <n v="0"/>
    <n v="8.7138000000000009"/>
  </r>
  <r>
    <n v="2260"/>
    <x v="627"/>
    <x v="1"/>
    <x v="0"/>
    <d v="2012-11-10T00:00:00"/>
    <n v="2"/>
    <x v="0"/>
    <s v="Maria Zettner"/>
    <x v="2"/>
    <s v="United States"/>
    <s v="San Diego"/>
    <s v="California"/>
    <s v="West"/>
    <x v="1"/>
    <x v="13"/>
    <s v="Advantus Plastic Paper Clips"/>
    <x v="1879"/>
    <n v="1"/>
    <n v="0"/>
    <n v="2.4"/>
  </r>
  <r>
    <n v="2261"/>
    <x v="627"/>
    <x v="1"/>
    <x v="0"/>
    <d v="2012-11-10T00:00:00"/>
    <n v="2"/>
    <x v="0"/>
    <s v="Maria Zettner"/>
    <x v="2"/>
    <s v="United States"/>
    <s v="San Diego"/>
    <s v="California"/>
    <s v="West"/>
    <x v="2"/>
    <x v="11"/>
    <s v="Logitech G19 Programmable Gaming Keyboard"/>
    <x v="804"/>
    <n v="3"/>
    <n v="0"/>
    <n v="66.954599999999999"/>
  </r>
  <r>
    <n v="2262"/>
    <x v="217"/>
    <x v="1"/>
    <x v="4"/>
    <d v="2012-12-18T00:00:00"/>
    <n v="0"/>
    <x v="3"/>
    <s v="Mitch Webber"/>
    <x v="0"/>
    <s v="United States"/>
    <s v="New York City"/>
    <s v="New York"/>
    <s v="East"/>
    <x v="2"/>
    <x v="11"/>
    <s v="Imation Bio 8GB USB Flash Drive Imation Corp"/>
    <x v="652"/>
    <n v="1"/>
    <n v="0"/>
    <n v="24.936"/>
  </r>
  <r>
    <n v="2263"/>
    <x v="695"/>
    <x v="3"/>
    <x v="11"/>
    <d v="2014-02-10T00:00:00"/>
    <n v="3"/>
    <x v="2"/>
    <s v="Mark Van Huff"/>
    <x v="0"/>
    <s v="United States"/>
    <s v="Arlington"/>
    <s v="Virginia"/>
    <s v="South"/>
    <x v="0"/>
    <x v="0"/>
    <s v="Bush Andora Bookcase, Maple/Graphite Gray Finish"/>
    <x v="1880"/>
    <n v="3"/>
    <n v="0"/>
    <n v="79.193399999999997"/>
  </r>
  <r>
    <n v="2264"/>
    <x v="696"/>
    <x v="0"/>
    <x v="0"/>
    <d v="2013-11-17T00:00:00"/>
    <n v="2"/>
    <x v="0"/>
    <s v="Allen Armold"/>
    <x v="0"/>
    <s v="United States"/>
    <s v="Atlanta"/>
    <s v="Georgia"/>
    <s v="South"/>
    <x v="2"/>
    <x v="11"/>
    <s v="Logitech diNovo Edge Keyboard"/>
    <x v="1881"/>
    <n v="2"/>
    <n v="0"/>
    <n v="114.9954"/>
  </r>
  <r>
    <n v="2265"/>
    <x v="696"/>
    <x v="0"/>
    <x v="0"/>
    <d v="2013-11-17T00:00:00"/>
    <n v="2"/>
    <x v="0"/>
    <s v="Allen Armold"/>
    <x v="0"/>
    <s v="United States"/>
    <s v="Atlanta"/>
    <s v="Georgia"/>
    <s v="South"/>
    <x v="1"/>
    <x v="10"/>
    <s v="Xerox 4200 Series MultiUse Premium Copy Paper (20Lb. and 84 Bright)"/>
    <x v="266"/>
    <n v="1"/>
    <n v="0"/>
    <n v="2.3759999999999999"/>
  </r>
  <r>
    <n v="2266"/>
    <x v="696"/>
    <x v="0"/>
    <x v="0"/>
    <d v="2013-11-17T00:00:00"/>
    <n v="2"/>
    <x v="0"/>
    <s v="Allen Armold"/>
    <x v="0"/>
    <s v="United States"/>
    <s v="Atlanta"/>
    <s v="Georgia"/>
    <s v="South"/>
    <x v="1"/>
    <x v="8"/>
    <s v="ACCOHIDE 3-Ring Binder, Blue, 1&quot;"/>
    <x v="338"/>
    <n v="2"/>
    <n v="0"/>
    <n v="3.8822000000000001"/>
  </r>
  <r>
    <n v="2267"/>
    <x v="386"/>
    <x v="3"/>
    <x v="2"/>
    <d v="2014-10-13T00:00:00"/>
    <n v="0"/>
    <x v="3"/>
    <s v="Sean Miller"/>
    <x v="2"/>
    <s v="United States"/>
    <s v="Monroe"/>
    <s v="North Carolina"/>
    <s v="South"/>
    <x v="1"/>
    <x v="10"/>
    <s v="Xerox 1989"/>
    <x v="885"/>
    <n v="2"/>
    <n v="0.2"/>
    <n v="2.6892"/>
  </r>
  <r>
    <n v="2268"/>
    <x v="697"/>
    <x v="3"/>
    <x v="8"/>
    <d v="2014-09-18T00:00:00"/>
    <n v="0"/>
    <x v="3"/>
    <s v="Tom Prescott"/>
    <x v="0"/>
    <s v="United States"/>
    <s v="Seattle"/>
    <s v="Washington"/>
    <s v="West"/>
    <x v="1"/>
    <x v="10"/>
    <s v="Xerox 1984"/>
    <x v="91"/>
    <n v="2"/>
    <n v="0"/>
    <n v="6.3503999999999996"/>
  </r>
  <r>
    <n v="2269"/>
    <x v="698"/>
    <x v="3"/>
    <x v="4"/>
    <d v="2014-12-27T00:00:00"/>
    <n v="6"/>
    <x v="1"/>
    <s v="Dean Katz"/>
    <x v="1"/>
    <s v="United States"/>
    <s v="Rochester"/>
    <s v="New York"/>
    <s v="East"/>
    <x v="1"/>
    <x v="10"/>
    <s v="Xerox 227"/>
    <x v="90"/>
    <n v="1"/>
    <n v="0"/>
    <n v="3.1103999999999998"/>
  </r>
  <r>
    <n v="2270"/>
    <x v="698"/>
    <x v="3"/>
    <x v="4"/>
    <d v="2014-12-27T00:00:00"/>
    <n v="6"/>
    <x v="1"/>
    <s v="Dean Katz"/>
    <x v="1"/>
    <s v="United States"/>
    <s v="Rochester"/>
    <s v="New York"/>
    <s v="East"/>
    <x v="1"/>
    <x v="8"/>
    <s v="Wilson Jones Leather-Like Binders with DublLock Round Rings"/>
    <x v="1882"/>
    <n v="1"/>
    <n v="0.2"/>
    <n v="2.3571"/>
  </r>
  <r>
    <n v="2271"/>
    <x v="574"/>
    <x v="3"/>
    <x v="4"/>
    <d v="2014-12-08T00:00:00"/>
    <n v="5"/>
    <x v="1"/>
    <s v="Michael Kennedy"/>
    <x v="1"/>
    <s v="United States"/>
    <s v="Miami"/>
    <s v="Florida"/>
    <s v="South"/>
    <x v="1"/>
    <x v="6"/>
    <s v="Bulldog Vacuum Base Pencil Sharpener"/>
    <x v="1883"/>
    <n v="5"/>
    <n v="0.2"/>
    <n v="4.1965000000000003"/>
  </r>
  <r>
    <n v="2272"/>
    <x v="481"/>
    <x v="1"/>
    <x v="8"/>
    <d v="2012-09-27T00:00:00"/>
    <n v="6"/>
    <x v="1"/>
    <s v="Chad Sievert"/>
    <x v="0"/>
    <s v="United States"/>
    <s v="Seattle"/>
    <s v="Washington"/>
    <s v="West"/>
    <x v="1"/>
    <x v="4"/>
    <s v="Fellowes Bases and Tops For Staxonsteel/High-Stak Systems"/>
    <x v="1884"/>
    <n v="6"/>
    <n v="0"/>
    <n v="47.937600000000003"/>
  </r>
  <r>
    <n v="2273"/>
    <x v="699"/>
    <x v="1"/>
    <x v="10"/>
    <d v="2012-03-11T00:00:00"/>
    <n v="5"/>
    <x v="1"/>
    <s v="John Lucas"/>
    <x v="0"/>
    <s v="United States"/>
    <s v="San Francisco"/>
    <s v="California"/>
    <s v="West"/>
    <x v="0"/>
    <x v="5"/>
    <s v="Deflect-o Glass Clear Studded Chair Mats"/>
    <x v="1885"/>
    <n v="7"/>
    <n v="0"/>
    <n v="95.757199999999997"/>
  </r>
  <r>
    <n v="2274"/>
    <x v="699"/>
    <x v="1"/>
    <x v="10"/>
    <d v="2012-03-11T00:00:00"/>
    <n v="5"/>
    <x v="1"/>
    <s v="John Lucas"/>
    <x v="0"/>
    <s v="United States"/>
    <s v="San Francisco"/>
    <s v="California"/>
    <s v="West"/>
    <x v="2"/>
    <x v="16"/>
    <s v="Canon PC1060 Personal Laser Copier"/>
    <x v="1886"/>
    <n v="2"/>
    <n v="0.2"/>
    <n v="377.99459999999999"/>
  </r>
  <r>
    <n v="2275"/>
    <x v="462"/>
    <x v="2"/>
    <x v="2"/>
    <d v="2011-10-08T00:00:00"/>
    <n v="5"/>
    <x v="0"/>
    <s v="Allen Rosenblatt"/>
    <x v="1"/>
    <s v="United States"/>
    <s v="Los Angeles"/>
    <s v="California"/>
    <s v="West"/>
    <x v="0"/>
    <x v="3"/>
    <s v="Bevis Round Conference Room Tables and Bases"/>
    <x v="1887"/>
    <n v="1"/>
    <n v="0.2"/>
    <n v="3.5857999999999999"/>
  </r>
  <r>
    <n v="2276"/>
    <x v="462"/>
    <x v="2"/>
    <x v="2"/>
    <d v="2011-10-08T00:00:00"/>
    <n v="5"/>
    <x v="0"/>
    <s v="Allen Rosenblatt"/>
    <x v="1"/>
    <s v="United States"/>
    <s v="Los Angeles"/>
    <s v="California"/>
    <s v="West"/>
    <x v="0"/>
    <x v="1"/>
    <s v="Global Deluxe Stacking Chair, Gray"/>
    <x v="1888"/>
    <n v="3"/>
    <n v="0.2"/>
    <n v="13.7646"/>
  </r>
  <r>
    <n v="2277"/>
    <x v="700"/>
    <x v="2"/>
    <x v="1"/>
    <d v="2011-07-01T00:00:00"/>
    <n v="4"/>
    <x v="1"/>
    <s v="Liz MacKendrick"/>
    <x v="0"/>
    <s v="United States"/>
    <s v="Southaven"/>
    <s v="Mississippi"/>
    <s v="South"/>
    <x v="1"/>
    <x v="4"/>
    <s v="SAFCO Commercial Wire Shelving, 72h"/>
    <x v="1889"/>
    <n v="5"/>
    <n v="0"/>
    <n v="0"/>
  </r>
  <r>
    <n v="2278"/>
    <x v="700"/>
    <x v="2"/>
    <x v="1"/>
    <d v="2011-07-01T00:00:00"/>
    <n v="4"/>
    <x v="1"/>
    <s v="Liz MacKendrick"/>
    <x v="0"/>
    <s v="United States"/>
    <s v="Southaven"/>
    <s v="Mississippi"/>
    <s v="South"/>
    <x v="0"/>
    <x v="3"/>
    <s v="KI Adjustable-Height Table"/>
    <x v="1890"/>
    <n v="1"/>
    <n v="0"/>
    <n v="22.354800000000001"/>
  </r>
  <r>
    <n v="2279"/>
    <x v="700"/>
    <x v="2"/>
    <x v="1"/>
    <d v="2011-07-01T00:00:00"/>
    <n v="4"/>
    <x v="1"/>
    <s v="Liz MacKendrick"/>
    <x v="0"/>
    <s v="United States"/>
    <s v="Southaven"/>
    <s v="Mississippi"/>
    <s v="South"/>
    <x v="2"/>
    <x v="11"/>
    <s v="Sony Micro Vault Click 16 GB USB 2.0 Flash Drive"/>
    <x v="1891"/>
    <n v="4"/>
    <n v="0"/>
    <n v="53.750399999999999"/>
  </r>
  <r>
    <n v="2280"/>
    <x v="505"/>
    <x v="3"/>
    <x v="2"/>
    <d v="2014-11-03T00:00:00"/>
    <n v="3"/>
    <x v="2"/>
    <s v="Jim Karlsson"/>
    <x v="0"/>
    <s v="United States"/>
    <s v="Seattle"/>
    <s v="Washington"/>
    <s v="West"/>
    <x v="0"/>
    <x v="1"/>
    <s v="Novimex Fabric Task Chair"/>
    <x v="1892"/>
    <n v="2"/>
    <n v="0.2"/>
    <n v="-6.0979999999999999"/>
  </r>
  <r>
    <n v="2281"/>
    <x v="505"/>
    <x v="3"/>
    <x v="2"/>
    <d v="2014-11-03T00:00:00"/>
    <n v="3"/>
    <x v="2"/>
    <s v="Jim Karlsson"/>
    <x v="0"/>
    <s v="United States"/>
    <s v="Seattle"/>
    <s v="Washington"/>
    <s v="West"/>
    <x v="0"/>
    <x v="1"/>
    <s v="Global Super Steno Chair"/>
    <x v="1893"/>
    <n v="8"/>
    <n v="0.2"/>
    <n v="-23.0352"/>
  </r>
  <r>
    <n v="2282"/>
    <x v="505"/>
    <x v="3"/>
    <x v="2"/>
    <d v="2014-11-03T00:00:00"/>
    <n v="3"/>
    <x v="2"/>
    <s v="Jim Karlsson"/>
    <x v="0"/>
    <s v="United States"/>
    <s v="Seattle"/>
    <s v="Washington"/>
    <s v="West"/>
    <x v="0"/>
    <x v="0"/>
    <s v="Bestar Classic Bookcase"/>
    <x v="1636"/>
    <n v="2"/>
    <n v="0"/>
    <n v="37.996200000000002"/>
  </r>
  <r>
    <n v="2283"/>
    <x v="323"/>
    <x v="0"/>
    <x v="8"/>
    <d v="2013-09-06T00:00:00"/>
    <n v="2"/>
    <x v="2"/>
    <s v="Filia McAdams"/>
    <x v="1"/>
    <s v="United States"/>
    <s v="Middletown"/>
    <s v="Connecticut"/>
    <s v="East"/>
    <x v="1"/>
    <x v="10"/>
    <s v="Adams Phone Message Book, 200 Message Capacity, 8 1/16” x 11”"/>
    <x v="1894"/>
    <n v="7"/>
    <n v="0"/>
    <n v="22.153600000000001"/>
  </r>
  <r>
    <n v="2284"/>
    <x v="616"/>
    <x v="1"/>
    <x v="10"/>
    <d v="2012-03-09T00:00:00"/>
    <n v="4"/>
    <x v="1"/>
    <s v="Sarah Foster"/>
    <x v="0"/>
    <s v="United States"/>
    <s v="New Castle"/>
    <s v="Indiana"/>
    <s v="Central"/>
    <x v="2"/>
    <x v="7"/>
    <s v="I Need's 3d Hello Kitty Hybrid Silicone Case Cover for HTC One X 4g with 3d Hello Kitty Stylus Pen Green/pink"/>
    <x v="100"/>
    <n v="2"/>
    <n v="0"/>
    <n v="6.6976000000000004"/>
  </r>
  <r>
    <n v="2285"/>
    <x v="616"/>
    <x v="1"/>
    <x v="10"/>
    <d v="2012-03-09T00:00:00"/>
    <n v="4"/>
    <x v="1"/>
    <s v="Sarah Foster"/>
    <x v="0"/>
    <s v="United States"/>
    <s v="New Castle"/>
    <s v="Indiana"/>
    <s v="Central"/>
    <x v="1"/>
    <x v="9"/>
    <s v="Staples"/>
    <x v="1895"/>
    <n v="7"/>
    <n v="0"/>
    <n v="16.386299999999999"/>
  </r>
  <r>
    <n v="2286"/>
    <x v="465"/>
    <x v="0"/>
    <x v="5"/>
    <d v="2013-05-09T00:00:00"/>
    <n v="3"/>
    <x v="2"/>
    <s v="Patrick Jones"/>
    <x v="1"/>
    <s v="United States"/>
    <s v="Murfreesboro"/>
    <s v="Tennessee"/>
    <s v="South"/>
    <x v="1"/>
    <x v="10"/>
    <s v="Xerox 1965"/>
    <x v="642"/>
    <n v="3"/>
    <n v="0.2"/>
    <n v="5.2026000000000003"/>
  </r>
  <r>
    <n v="2287"/>
    <x v="701"/>
    <x v="3"/>
    <x v="0"/>
    <d v="2014-11-24T00:00:00"/>
    <n v="6"/>
    <x v="1"/>
    <s v="Christine Sundaresam"/>
    <x v="0"/>
    <s v="United States"/>
    <s v="Salem"/>
    <s v="Virginia"/>
    <s v="South"/>
    <x v="1"/>
    <x v="9"/>
    <s v="Bionaire 99.97% HEPA Air Cleaner"/>
    <x v="1896"/>
    <n v="2"/>
    <n v="0"/>
    <n v="12.263999999999999"/>
  </r>
  <r>
    <n v="2288"/>
    <x v="702"/>
    <x v="3"/>
    <x v="1"/>
    <d v="2014-06-06T00:00:00"/>
    <n v="4"/>
    <x v="0"/>
    <s v="Barry Blumstein"/>
    <x v="1"/>
    <s v="United States"/>
    <s v="Toledo"/>
    <s v="Ohio"/>
    <s v="East"/>
    <x v="1"/>
    <x v="9"/>
    <s v="Eureka Sanitaire  Multi-Pro Heavy-Duty Upright, Disposable Bags"/>
    <x v="1897"/>
    <n v="5"/>
    <n v="0.2"/>
    <n v="1.3109999999999999"/>
  </r>
  <r>
    <n v="2289"/>
    <x v="193"/>
    <x v="3"/>
    <x v="1"/>
    <d v="2014-06-14T00:00:00"/>
    <n v="3"/>
    <x v="2"/>
    <s v="Ben Wallace"/>
    <x v="0"/>
    <s v="United States"/>
    <s v="Los Angeles"/>
    <s v="California"/>
    <s v="West"/>
    <x v="1"/>
    <x v="6"/>
    <s v="Newell 351"/>
    <x v="1220"/>
    <n v="5"/>
    <n v="0"/>
    <n v="4.7560000000000002"/>
  </r>
  <r>
    <n v="2290"/>
    <x v="703"/>
    <x v="3"/>
    <x v="9"/>
    <d v="2014-01-12T00:00:00"/>
    <n v="3"/>
    <x v="2"/>
    <s v="Ricardo Sperren"/>
    <x v="1"/>
    <s v="United States"/>
    <s v="Seattle"/>
    <s v="Washington"/>
    <s v="West"/>
    <x v="0"/>
    <x v="3"/>
    <s v="Balt Solid Wood Round Tables"/>
    <x v="1898"/>
    <n v="2"/>
    <n v="0"/>
    <n v="80.368200000000002"/>
  </r>
  <r>
    <n v="2291"/>
    <x v="704"/>
    <x v="1"/>
    <x v="3"/>
    <d v="2012-04-25T00:00:00"/>
    <n v="5"/>
    <x v="1"/>
    <s v="Theresa Swint"/>
    <x v="1"/>
    <s v="United States"/>
    <s v="Columbus"/>
    <s v="Georgia"/>
    <s v="South"/>
    <x v="2"/>
    <x v="7"/>
    <s v="Pyle PMP37LED"/>
    <x v="1158"/>
    <n v="3"/>
    <n v="0"/>
    <n v="77.751900000000006"/>
  </r>
  <r>
    <n v="2292"/>
    <x v="704"/>
    <x v="1"/>
    <x v="3"/>
    <d v="2012-04-25T00:00:00"/>
    <n v="5"/>
    <x v="1"/>
    <s v="Theresa Swint"/>
    <x v="1"/>
    <s v="United States"/>
    <s v="Columbus"/>
    <s v="Georgia"/>
    <s v="South"/>
    <x v="0"/>
    <x v="5"/>
    <s v="GE 48&quot; Fluorescent Tube, Cool White Energy Saver, 34 Watts, 30/Box"/>
    <x v="1899"/>
    <n v="6"/>
    <n v="0"/>
    <n v="297.69"/>
  </r>
  <r>
    <n v="2293"/>
    <x v="704"/>
    <x v="1"/>
    <x v="3"/>
    <d v="2012-04-25T00:00:00"/>
    <n v="5"/>
    <x v="1"/>
    <s v="Theresa Swint"/>
    <x v="1"/>
    <s v="United States"/>
    <s v="Columbus"/>
    <s v="Georgia"/>
    <s v="South"/>
    <x v="1"/>
    <x v="10"/>
    <s v="Xerox 2"/>
    <x v="91"/>
    <n v="2"/>
    <n v="0"/>
    <n v="6.2207999999999997"/>
  </r>
  <r>
    <n v="2294"/>
    <x v="549"/>
    <x v="1"/>
    <x v="0"/>
    <d v="2012-11-06T00:00:00"/>
    <n v="5"/>
    <x v="1"/>
    <s v="Quincy Jones"/>
    <x v="1"/>
    <s v="United States"/>
    <s v="New York City"/>
    <s v="New York"/>
    <s v="East"/>
    <x v="2"/>
    <x v="7"/>
    <s v="Cush Cases Heavy Duty Rugged Cover Case for Samsung Galaxy S5 - Purple"/>
    <x v="1900"/>
    <n v="1"/>
    <n v="0"/>
    <n v="1.3365"/>
  </r>
  <r>
    <n v="2295"/>
    <x v="331"/>
    <x v="3"/>
    <x v="4"/>
    <d v="2014-12-28T00:00:00"/>
    <n v="4"/>
    <x v="1"/>
    <s v="Filia McAdams"/>
    <x v="1"/>
    <s v="United States"/>
    <s v="Middletown"/>
    <s v="Connecticut"/>
    <s v="East"/>
    <x v="0"/>
    <x v="5"/>
    <s v="Tenex Traditional Chairmats for Medium Pile Carpet, Standard Lip, 36&quot; x 48&quot;"/>
    <x v="1901"/>
    <n v="3"/>
    <n v="0"/>
    <n v="38.209499999999998"/>
  </r>
  <r>
    <n v="2296"/>
    <x v="549"/>
    <x v="1"/>
    <x v="0"/>
    <d v="2012-11-05T00:00:00"/>
    <n v="4"/>
    <x v="1"/>
    <s v="Valerie Dominguez"/>
    <x v="0"/>
    <s v="United States"/>
    <s v="New York City"/>
    <s v="New York"/>
    <s v="East"/>
    <x v="1"/>
    <x v="10"/>
    <s v="Avoid Verbal Orders Carbonless Minifold Book"/>
    <x v="1902"/>
    <n v="4"/>
    <n v="0"/>
    <n v="6.2191999999999998"/>
  </r>
  <r>
    <n v="2297"/>
    <x v="549"/>
    <x v="1"/>
    <x v="0"/>
    <d v="2012-11-05T00:00:00"/>
    <n v="4"/>
    <x v="1"/>
    <s v="Valerie Dominguez"/>
    <x v="0"/>
    <s v="United States"/>
    <s v="New York City"/>
    <s v="New York"/>
    <s v="East"/>
    <x v="0"/>
    <x v="5"/>
    <s v="Howard Miller 11-1/2&quot; Diameter Ridgewood Wall Clock"/>
    <x v="1903"/>
    <n v="5"/>
    <n v="0"/>
    <n v="106.477"/>
  </r>
  <r>
    <n v="2298"/>
    <x v="549"/>
    <x v="1"/>
    <x v="0"/>
    <d v="2012-11-05T00:00:00"/>
    <n v="4"/>
    <x v="1"/>
    <s v="Valerie Dominguez"/>
    <x v="0"/>
    <s v="United States"/>
    <s v="New York City"/>
    <s v="New York"/>
    <s v="East"/>
    <x v="2"/>
    <x v="7"/>
    <s v="Plantronics MX500i Earset"/>
    <x v="1904"/>
    <n v="1"/>
    <n v="0"/>
    <n v="1.2885"/>
  </r>
  <r>
    <n v="2299"/>
    <x v="549"/>
    <x v="1"/>
    <x v="0"/>
    <d v="2012-11-05T00:00:00"/>
    <n v="4"/>
    <x v="1"/>
    <s v="Valerie Dominguez"/>
    <x v="0"/>
    <s v="United States"/>
    <s v="New York City"/>
    <s v="New York"/>
    <s v="East"/>
    <x v="2"/>
    <x v="11"/>
    <s v="Razer Tiamat Over Ear 7.1 Surround Sound PC Gaming Headset"/>
    <x v="751"/>
    <n v="7"/>
    <n v="0"/>
    <n v="601.96990000000005"/>
  </r>
  <r>
    <n v="2300"/>
    <x v="549"/>
    <x v="1"/>
    <x v="0"/>
    <d v="2012-11-05T00:00:00"/>
    <n v="4"/>
    <x v="1"/>
    <s v="Valerie Dominguez"/>
    <x v="0"/>
    <s v="United States"/>
    <s v="New York City"/>
    <s v="New York"/>
    <s v="East"/>
    <x v="2"/>
    <x v="7"/>
    <s v="Xblue XB-1670-86 X16 Small Office Telephone - Titanium"/>
    <x v="178"/>
    <n v="4"/>
    <n v="0"/>
    <n v="125.99"/>
  </r>
  <r>
    <n v="2301"/>
    <x v="687"/>
    <x v="2"/>
    <x v="0"/>
    <d v="2011-11-18T00:00:00"/>
    <n v="4"/>
    <x v="1"/>
    <s v="Jeremy Lonsdale"/>
    <x v="0"/>
    <s v="United States"/>
    <s v="Midland"/>
    <s v="Michigan"/>
    <s v="Central"/>
    <x v="1"/>
    <x v="8"/>
    <s v="Storex DuraTech Recycled Plastic Frosted Binders"/>
    <x v="1905"/>
    <n v="3"/>
    <n v="0"/>
    <n v="6.36"/>
  </r>
  <r>
    <n v="2302"/>
    <x v="687"/>
    <x v="2"/>
    <x v="0"/>
    <d v="2011-11-18T00:00:00"/>
    <n v="4"/>
    <x v="1"/>
    <s v="Jeremy Lonsdale"/>
    <x v="0"/>
    <s v="United States"/>
    <s v="Midland"/>
    <s v="Michigan"/>
    <s v="Central"/>
    <x v="1"/>
    <x v="8"/>
    <s v="Avery Durable Binders"/>
    <x v="132"/>
    <n v="4"/>
    <n v="0"/>
    <n v="5.6448"/>
  </r>
  <r>
    <n v="2303"/>
    <x v="327"/>
    <x v="0"/>
    <x v="9"/>
    <d v="2013-01-21T00:00:00"/>
    <n v="4"/>
    <x v="1"/>
    <s v="Dionis Lloyd"/>
    <x v="1"/>
    <s v="United States"/>
    <s v="Columbus"/>
    <s v="Georgia"/>
    <s v="South"/>
    <x v="2"/>
    <x v="11"/>
    <s v="First Data FD10 PIN Pad"/>
    <x v="613"/>
    <n v="4"/>
    <n v="0"/>
    <n v="31.6"/>
  </r>
  <r>
    <n v="2304"/>
    <x v="697"/>
    <x v="3"/>
    <x v="8"/>
    <d v="2014-09-23T00:00:00"/>
    <n v="5"/>
    <x v="0"/>
    <s v="Meg O'Connel"/>
    <x v="2"/>
    <s v="United States"/>
    <s v="Roswell"/>
    <s v="Georgia"/>
    <s v="South"/>
    <x v="0"/>
    <x v="1"/>
    <s v="Global Ergonomic Managers Chair"/>
    <x v="1906"/>
    <n v="4"/>
    <n v="0"/>
    <n v="188.2192"/>
  </r>
  <r>
    <n v="2305"/>
    <x v="697"/>
    <x v="3"/>
    <x v="8"/>
    <d v="2014-09-23T00:00:00"/>
    <n v="5"/>
    <x v="0"/>
    <s v="Meg O'Connel"/>
    <x v="2"/>
    <s v="United States"/>
    <s v="Roswell"/>
    <s v="Georgia"/>
    <s v="South"/>
    <x v="1"/>
    <x v="10"/>
    <s v="Staples"/>
    <x v="1907"/>
    <n v="3"/>
    <n v="0"/>
    <n v="49.970399999999998"/>
  </r>
  <r>
    <n v="2306"/>
    <x v="443"/>
    <x v="0"/>
    <x v="4"/>
    <d v="2013-12-25T00:00:00"/>
    <n v="1"/>
    <x v="2"/>
    <s v="Ben Peterman"/>
    <x v="1"/>
    <s v="United States"/>
    <s v="Chicago"/>
    <s v="Illinois"/>
    <s v="Central"/>
    <x v="0"/>
    <x v="0"/>
    <s v="Bush Westfield Collection Bookcases, Fully Assembled"/>
    <x v="1078"/>
    <n v="2"/>
    <n v="0.3"/>
    <n v="-14.1372"/>
  </r>
  <r>
    <n v="2307"/>
    <x v="705"/>
    <x v="1"/>
    <x v="6"/>
    <d v="2012-08-08T00:00:00"/>
    <n v="2"/>
    <x v="2"/>
    <s v="Michael Stewart"/>
    <x v="1"/>
    <s v="United States"/>
    <s v="Houston"/>
    <s v="Texas"/>
    <s v="Central"/>
    <x v="1"/>
    <x v="10"/>
    <s v="Xerox 188"/>
    <x v="1908"/>
    <n v="3"/>
    <n v="0.2"/>
    <n v="9.8658000000000001"/>
  </r>
  <r>
    <n v="2308"/>
    <x v="60"/>
    <x v="3"/>
    <x v="0"/>
    <d v="2014-11-10T00:00:00"/>
    <n v="4"/>
    <x v="1"/>
    <s v="Susan Vittorini"/>
    <x v="0"/>
    <s v="United States"/>
    <s v="New York City"/>
    <s v="New York"/>
    <s v="East"/>
    <x v="2"/>
    <x v="11"/>
    <s v="Enermax Aurora Lite Keyboard"/>
    <x v="1909"/>
    <n v="5"/>
    <n v="0"/>
    <n v="171.93"/>
  </r>
  <r>
    <n v="2309"/>
    <x v="532"/>
    <x v="3"/>
    <x v="1"/>
    <d v="2014-06-13T00:00:00"/>
    <n v="1"/>
    <x v="2"/>
    <s v="Becky Castell"/>
    <x v="2"/>
    <s v="United States"/>
    <s v="Peoria"/>
    <s v="Arizona"/>
    <s v="West"/>
    <x v="0"/>
    <x v="1"/>
    <s v="Global Leather Executive Chair"/>
    <x v="1910"/>
    <n v="1"/>
    <n v="0.2"/>
    <n v="35.098999999999997"/>
  </r>
  <r>
    <n v="2310"/>
    <x v="532"/>
    <x v="3"/>
    <x v="1"/>
    <d v="2014-06-13T00:00:00"/>
    <n v="1"/>
    <x v="2"/>
    <s v="Becky Castell"/>
    <x v="2"/>
    <s v="United States"/>
    <s v="Peoria"/>
    <s v="Arizona"/>
    <s v="West"/>
    <x v="1"/>
    <x v="4"/>
    <s v="Sortfiler Multipurpose Personal File Organizer, Black"/>
    <x v="1911"/>
    <n v="4"/>
    <n v="0.2"/>
    <n v="7.7004000000000001"/>
  </r>
  <r>
    <n v="2311"/>
    <x v="532"/>
    <x v="3"/>
    <x v="1"/>
    <d v="2014-06-13T00:00:00"/>
    <n v="1"/>
    <x v="2"/>
    <s v="Becky Castell"/>
    <x v="2"/>
    <s v="United States"/>
    <s v="Peoria"/>
    <s v="Arizona"/>
    <s v="West"/>
    <x v="1"/>
    <x v="6"/>
    <s v="Boston 16801 Nautilus Battery Pencil Sharpener"/>
    <x v="1912"/>
    <n v="5"/>
    <n v="0.2"/>
    <n v="6.6029999999999998"/>
  </r>
  <r>
    <n v="2312"/>
    <x v="532"/>
    <x v="3"/>
    <x v="1"/>
    <d v="2014-06-13T00:00:00"/>
    <n v="1"/>
    <x v="2"/>
    <s v="Becky Castell"/>
    <x v="2"/>
    <s v="United States"/>
    <s v="Peoria"/>
    <s v="Arizona"/>
    <s v="West"/>
    <x v="1"/>
    <x v="6"/>
    <s v="Newell 319"/>
    <x v="1810"/>
    <n v="1"/>
    <n v="0.2"/>
    <n v="1.984"/>
  </r>
  <r>
    <n v="2313"/>
    <x v="532"/>
    <x v="3"/>
    <x v="1"/>
    <d v="2014-06-13T00:00:00"/>
    <n v="1"/>
    <x v="2"/>
    <s v="Becky Castell"/>
    <x v="2"/>
    <s v="United States"/>
    <s v="Peoria"/>
    <s v="Arizona"/>
    <s v="West"/>
    <x v="1"/>
    <x v="4"/>
    <s v="Fellowes Officeware Wire Shelving"/>
    <x v="1913"/>
    <n v="3"/>
    <n v="0.2"/>
    <n v="-48.508200000000002"/>
  </r>
  <r>
    <n v="2314"/>
    <x v="228"/>
    <x v="3"/>
    <x v="7"/>
    <d v="2014-07-26T00:00:00"/>
    <n v="5"/>
    <x v="1"/>
    <s v="Elizabeth Moffitt"/>
    <x v="1"/>
    <s v="United States"/>
    <s v="Sioux Falls"/>
    <s v="South Dakota"/>
    <s v="Central"/>
    <x v="1"/>
    <x v="2"/>
    <s v="Avery 486"/>
    <x v="2"/>
    <n v="2"/>
    <n v="0"/>
    <n v="6.8714000000000004"/>
  </r>
  <r>
    <n v="2315"/>
    <x v="228"/>
    <x v="3"/>
    <x v="7"/>
    <d v="2014-07-26T00:00:00"/>
    <n v="5"/>
    <x v="1"/>
    <s v="Elizabeth Moffitt"/>
    <x v="1"/>
    <s v="United States"/>
    <s v="Sioux Falls"/>
    <s v="South Dakota"/>
    <s v="Central"/>
    <x v="1"/>
    <x v="9"/>
    <s v="1.7 Cubic Foot Compact &quot;Cube&quot; Office Refrigerators"/>
    <x v="1914"/>
    <n v="2"/>
    <n v="0"/>
    <n v="112.4064"/>
  </r>
  <r>
    <n v="2316"/>
    <x v="228"/>
    <x v="3"/>
    <x v="7"/>
    <d v="2014-07-26T00:00:00"/>
    <n v="5"/>
    <x v="1"/>
    <s v="Elizabeth Moffitt"/>
    <x v="1"/>
    <s v="United States"/>
    <s v="Sioux Falls"/>
    <s v="South Dakota"/>
    <s v="Central"/>
    <x v="1"/>
    <x v="8"/>
    <s v="Avery Printable Repositionable Plastic Tabs"/>
    <x v="1915"/>
    <n v="5"/>
    <n v="0"/>
    <n v="20.21"/>
  </r>
  <r>
    <n v="2317"/>
    <x v="228"/>
    <x v="3"/>
    <x v="7"/>
    <d v="2014-07-26T00:00:00"/>
    <n v="5"/>
    <x v="1"/>
    <s v="Elizabeth Moffitt"/>
    <x v="1"/>
    <s v="United States"/>
    <s v="Sioux Falls"/>
    <s v="South Dakota"/>
    <s v="Central"/>
    <x v="0"/>
    <x v="1"/>
    <s v="Novimex Fabric Task Chair"/>
    <x v="1091"/>
    <n v="3"/>
    <n v="0"/>
    <n v="27.440999999999999"/>
  </r>
  <r>
    <n v="2318"/>
    <x v="228"/>
    <x v="3"/>
    <x v="7"/>
    <d v="2014-07-26T00:00:00"/>
    <n v="5"/>
    <x v="1"/>
    <s v="Elizabeth Moffitt"/>
    <x v="1"/>
    <s v="United States"/>
    <s v="Sioux Falls"/>
    <s v="South Dakota"/>
    <s v="Central"/>
    <x v="1"/>
    <x v="8"/>
    <s v="Cardinal Slant-D Ring Binders"/>
    <x v="1916"/>
    <n v="7"/>
    <n v="0"/>
    <n v="30.414999999999999"/>
  </r>
  <r>
    <n v="2319"/>
    <x v="228"/>
    <x v="3"/>
    <x v="7"/>
    <d v="2014-07-26T00:00:00"/>
    <n v="5"/>
    <x v="1"/>
    <s v="Elizabeth Moffitt"/>
    <x v="1"/>
    <s v="United States"/>
    <s v="Sioux Falls"/>
    <s v="South Dakota"/>
    <s v="Central"/>
    <x v="2"/>
    <x v="11"/>
    <s v="Logitech G35 7.1-Channel Surround Sound Headset"/>
    <x v="1917"/>
    <n v="3"/>
    <n v="0"/>
    <n v="132.5898"/>
  </r>
  <r>
    <n v="2320"/>
    <x v="706"/>
    <x v="1"/>
    <x v="4"/>
    <d v="2012-12-26T00:00:00"/>
    <n v="3"/>
    <x v="2"/>
    <s v="Bradley Drucker"/>
    <x v="0"/>
    <s v="United States"/>
    <s v="Richmond"/>
    <s v="Virginia"/>
    <s v="South"/>
    <x v="1"/>
    <x v="9"/>
    <s v="Belkin Premiere Surge Master II 8-outlet surge protector"/>
    <x v="1918"/>
    <n v="4"/>
    <n v="0"/>
    <n v="56.352800000000002"/>
  </r>
  <r>
    <n v="2321"/>
    <x v="177"/>
    <x v="3"/>
    <x v="10"/>
    <d v="2014-03-25T00:00:00"/>
    <n v="4"/>
    <x v="1"/>
    <s v="Helen Wasserman"/>
    <x v="1"/>
    <s v="United States"/>
    <s v="Seattle"/>
    <s v="Washington"/>
    <s v="West"/>
    <x v="2"/>
    <x v="11"/>
    <s v="Imation Secure Drive + Hardware Encrypted USB flash drive - 16 GB"/>
    <x v="1919"/>
    <n v="7"/>
    <n v="0"/>
    <n v="63.8232"/>
  </r>
  <r>
    <n v="2322"/>
    <x v="620"/>
    <x v="1"/>
    <x v="4"/>
    <d v="2013-01-03T00:00:00"/>
    <n v="3"/>
    <x v="0"/>
    <s v="Karen Carlisle"/>
    <x v="1"/>
    <s v="United States"/>
    <s v="Henderson"/>
    <s v="Kentucky"/>
    <s v="South"/>
    <x v="1"/>
    <x v="8"/>
    <s v="Tuf-Vin Binders"/>
    <x v="1920"/>
    <n v="3"/>
    <n v="0"/>
    <n v="44.527799999999999"/>
  </r>
  <r>
    <n v="2323"/>
    <x v="620"/>
    <x v="1"/>
    <x v="4"/>
    <d v="2013-01-03T00:00:00"/>
    <n v="3"/>
    <x v="0"/>
    <s v="Karen Carlisle"/>
    <x v="1"/>
    <s v="United States"/>
    <s v="Henderson"/>
    <s v="Kentucky"/>
    <s v="South"/>
    <x v="1"/>
    <x v="8"/>
    <s v="GBC Clear Cover, 8-1/2 x 11, unpunched, 25 covers per pack"/>
    <x v="1921"/>
    <n v="4"/>
    <n v="0"/>
    <n v="27.894400000000001"/>
  </r>
  <r>
    <n v="2324"/>
    <x v="620"/>
    <x v="1"/>
    <x v="4"/>
    <d v="2013-01-03T00:00:00"/>
    <n v="3"/>
    <x v="0"/>
    <s v="Karen Carlisle"/>
    <x v="1"/>
    <s v="United States"/>
    <s v="Henderson"/>
    <s v="Kentucky"/>
    <s v="South"/>
    <x v="1"/>
    <x v="8"/>
    <s v="Aluminum Screw Posts"/>
    <x v="1922"/>
    <n v="5"/>
    <n v="0"/>
    <n v="38.15"/>
  </r>
  <r>
    <n v="2325"/>
    <x v="620"/>
    <x v="1"/>
    <x v="4"/>
    <d v="2013-01-03T00:00:00"/>
    <n v="3"/>
    <x v="0"/>
    <s v="Karen Carlisle"/>
    <x v="1"/>
    <s v="United States"/>
    <s v="Henderson"/>
    <s v="Kentucky"/>
    <s v="South"/>
    <x v="1"/>
    <x v="8"/>
    <s v="Ibico Plastic Spiral Binding Combs"/>
    <x v="1923"/>
    <n v="12"/>
    <n v="0"/>
    <n v="167.80799999999999"/>
  </r>
  <r>
    <n v="2326"/>
    <x v="426"/>
    <x v="1"/>
    <x v="8"/>
    <d v="2012-09-19T00:00:00"/>
    <n v="4"/>
    <x v="0"/>
    <s v="Brendan Murry"/>
    <x v="1"/>
    <s v="United States"/>
    <s v="New York City"/>
    <s v="New York"/>
    <s v="East"/>
    <x v="1"/>
    <x v="8"/>
    <s v="GBC Twin Loop Wire Binding Elements"/>
    <x v="1924"/>
    <n v="3"/>
    <n v="0.2"/>
    <n v="29.952000000000002"/>
  </r>
  <r>
    <n v="2327"/>
    <x v="426"/>
    <x v="1"/>
    <x v="8"/>
    <d v="2012-09-19T00:00:00"/>
    <n v="4"/>
    <x v="0"/>
    <s v="Brendan Murry"/>
    <x v="1"/>
    <s v="United States"/>
    <s v="New York City"/>
    <s v="New York"/>
    <s v="East"/>
    <x v="0"/>
    <x v="0"/>
    <s v="Bush Westfield Collection Bookcases, Medium Cherry Finish"/>
    <x v="1925"/>
    <n v="1"/>
    <n v="0.2"/>
    <n v="1.1596"/>
  </r>
  <r>
    <n v="2328"/>
    <x v="426"/>
    <x v="1"/>
    <x v="8"/>
    <d v="2012-09-19T00:00:00"/>
    <n v="4"/>
    <x v="0"/>
    <s v="Brendan Murry"/>
    <x v="1"/>
    <s v="United States"/>
    <s v="New York City"/>
    <s v="New York"/>
    <s v="East"/>
    <x v="1"/>
    <x v="10"/>
    <s v="Xerox 1967"/>
    <x v="91"/>
    <n v="2"/>
    <n v="0"/>
    <n v="6.2207999999999997"/>
  </r>
  <r>
    <n v="2329"/>
    <x v="397"/>
    <x v="3"/>
    <x v="8"/>
    <d v="2014-09-27T00:00:00"/>
    <n v="3"/>
    <x v="2"/>
    <s v="Kristina Nunn"/>
    <x v="2"/>
    <s v="United States"/>
    <s v="Fort Collins"/>
    <s v="Colorado"/>
    <s v="West"/>
    <x v="1"/>
    <x v="12"/>
    <s v="Wausau Papers Astrobrights Colored Envelopes"/>
    <x v="642"/>
    <n v="3"/>
    <n v="0.2"/>
    <n v="5.2026000000000003"/>
  </r>
  <r>
    <n v="2330"/>
    <x v="707"/>
    <x v="1"/>
    <x v="4"/>
    <d v="2012-12-29T00:00:00"/>
    <n v="4"/>
    <x v="1"/>
    <s v="Justin Deggeller"/>
    <x v="1"/>
    <s v="United States"/>
    <s v="Philadelphia"/>
    <s v="Pennsylvania"/>
    <s v="East"/>
    <x v="0"/>
    <x v="5"/>
    <s v="Tenex Antistatic Computer Chair Mats"/>
    <x v="1926"/>
    <n v="4"/>
    <n v="0.2"/>
    <n v="-68.391999999999996"/>
  </r>
  <r>
    <n v="2331"/>
    <x v="446"/>
    <x v="0"/>
    <x v="8"/>
    <d v="2013-09-27T00:00:00"/>
    <n v="2"/>
    <x v="0"/>
    <s v="Laura Armstrong"/>
    <x v="1"/>
    <s v="United States"/>
    <s v="Los Angeles"/>
    <s v="California"/>
    <s v="West"/>
    <x v="1"/>
    <x v="4"/>
    <s v="Tennsco Lockers, Gray"/>
    <x v="108"/>
    <n v="2"/>
    <n v="0"/>
    <n v="2.9371999999999998"/>
  </r>
  <r>
    <n v="2332"/>
    <x v="446"/>
    <x v="0"/>
    <x v="8"/>
    <d v="2013-09-27T00:00:00"/>
    <n v="2"/>
    <x v="0"/>
    <s v="Laura Armstrong"/>
    <x v="1"/>
    <s v="United States"/>
    <s v="Los Angeles"/>
    <s v="California"/>
    <s v="West"/>
    <x v="1"/>
    <x v="10"/>
    <s v="REDIFORM Incoming/Outgoing Call Register, 11&quot; X 8 1/2&quot;, 100 Messages"/>
    <x v="1927"/>
    <n v="5"/>
    <n v="0"/>
    <n v="20.85"/>
  </r>
  <r>
    <n v="2333"/>
    <x v="708"/>
    <x v="3"/>
    <x v="10"/>
    <d v="2014-03-26T00:00:00"/>
    <n v="4"/>
    <x v="1"/>
    <s v="Robert Waldorf"/>
    <x v="0"/>
    <s v="United States"/>
    <s v="Lafayette"/>
    <s v="Indiana"/>
    <s v="Central"/>
    <x v="1"/>
    <x v="10"/>
    <s v="Eaton Premium Continuous-Feed Paper, 25% Cotton, Letter Size, White, 1000 Shts/Box"/>
    <x v="1928"/>
    <n v="5"/>
    <n v="0"/>
    <n v="133.15199999999999"/>
  </r>
  <r>
    <n v="2334"/>
    <x v="708"/>
    <x v="3"/>
    <x v="10"/>
    <d v="2014-03-26T00:00:00"/>
    <n v="4"/>
    <x v="1"/>
    <s v="Robert Waldorf"/>
    <x v="0"/>
    <s v="United States"/>
    <s v="Lafayette"/>
    <s v="Indiana"/>
    <s v="Central"/>
    <x v="1"/>
    <x v="10"/>
    <s v="Xerox 196"/>
    <x v="396"/>
    <n v="1"/>
    <n v="0"/>
    <n v="2.8321999999999998"/>
  </r>
  <r>
    <n v="2335"/>
    <x v="587"/>
    <x v="2"/>
    <x v="8"/>
    <d v="2011-10-04T00:00:00"/>
    <n v="4"/>
    <x v="1"/>
    <s v="Kelly Williams"/>
    <x v="0"/>
    <s v="United States"/>
    <s v="Clarksville"/>
    <s v="Tennessee"/>
    <s v="South"/>
    <x v="1"/>
    <x v="9"/>
    <s v="Holmes Odor Grabber"/>
    <x v="1929"/>
    <n v="6"/>
    <n v="0.2"/>
    <n v="11.2476"/>
  </r>
  <r>
    <n v="2336"/>
    <x v="389"/>
    <x v="3"/>
    <x v="4"/>
    <d v="2014-12-11T00:00:00"/>
    <n v="0"/>
    <x v="3"/>
    <s v="Chris Cortes"/>
    <x v="0"/>
    <s v="United States"/>
    <s v="Fairfield"/>
    <s v="Connecticut"/>
    <s v="East"/>
    <x v="1"/>
    <x v="12"/>
    <s v="Convenience Packs of Business Envelopes"/>
    <x v="139"/>
    <n v="3"/>
    <n v="0"/>
    <n v="5.1041999999999996"/>
  </r>
  <r>
    <n v="2337"/>
    <x v="389"/>
    <x v="3"/>
    <x v="4"/>
    <d v="2014-12-11T00:00:00"/>
    <n v="0"/>
    <x v="3"/>
    <s v="Chris Cortes"/>
    <x v="0"/>
    <s v="United States"/>
    <s v="Fairfield"/>
    <s v="Connecticut"/>
    <s v="East"/>
    <x v="1"/>
    <x v="9"/>
    <s v="Tripp Lite Isotel 6 Outlet Surge Protector with Fax/Modem Protection"/>
    <x v="1930"/>
    <n v="7"/>
    <n v="0"/>
    <n v="123.76909999999999"/>
  </r>
  <r>
    <n v="2338"/>
    <x v="709"/>
    <x v="2"/>
    <x v="6"/>
    <d v="2011-08-23T00:00:00"/>
    <n v="0"/>
    <x v="3"/>
    <s v="Rick Hansen"/>
    <x v="0"/>
    <s v="United States"/>
    <s v="New York City"/>
    <s v="New York"/>
    <s v="East"/>
    <x v="1"/>
    <x v="10"/>
    <s v="Xerox 1994"/>
    <x v="233"/>
    <n v="4"/>
    <n v="0"/>
    <n v="12.441599999999999"/>
  </r>
  <r>
    <n v="2339"/>
    <x v="709"/>
    <x v="2"/>
    <x v="6"/>
    <d v="2011-08-23T00:00:00"/>
    <n v="0"/>
    <x v="3"/>
    <s v="Rick Hansen"/>
    <x v="0"/>
    <s v="United States"/>
    <s v="New York City"/>
    <s v="New York"/>
    <s v="East"/>
    <x v="1"/>
    <x v="10"/>
    <s v="Personal Creations Ink Jet Cards and Labels"/>
    <x v="1931"/>
    <n v="4"/>
    <n v="0"/>
    <n v="22.500800000000002"/>
  </r>
  <r>
    <n v="2340"/>
    <x v="710"/>
    <x v="2"/>
    <x v="6"/>
    <d v="2011-08-24T00:00:00"/>
    <n v="5"/>
    <x v="1"/>
    <s v="Jim Karlsson"/>
    <x v="0"/>
    <s v="United States"/>
    <s v="Columbus"/>
    <s v="Ohio"/>
    <s v="East"/>
    <x v="1"/>
    <x v="6"/>
    <s v="Turquoise Lead Holder with Pocket Clip"/>
    <x v="1932"/>
    <n v="2"/>
    <n v="0.2"/>
    <n v="1.742"/>
  </r>
  <r>
    <n v="2341"/>
    <x v="338"/>
    <x v="0"/>
    <x v="0"/>
    <d v="2013-11-16T00:00:00"/>
    <n v="5"/>
    <x v="1"/>
    <s v="Debra Catini"/>
    <x v="0"/>
    <s v="United States"/>
    <s v="Warner Robins"/>
    <s v="Georgia"/>
    <s v="South"/>
    <x v="1"/>
    <x v="6"/>
    <s v="Newell 315"/>
    <x v="1075"/>
    <n v="7"/>
    <n v="0"/>
    <n v="10.465"/>
  </r>
  <r>
    <n v="2342"/>
    <x v="520"/>
    <x v="2"/>
    <x v="4"/>
    <d v="2012-01-03T00:00:00"/>
    <n v="3"/>
    <x v="2"/>
    <s v="Gary Mitchum"/>
    <x v="2"/>
    <s v="United States"/>
    <s v="Franklin"/>
    <s v="Massachusetts"/>
    <s v="East"/>
    <x v="0"/>
    <x v="5"/>
    <s v="Nu-Dell Executive Frame"/>
    <x v="1933"/>
    <n v="5"/>
    <n v="0"/>
    <n v="23.384"/>
  </r>
  <r>
    <n v="2343"/>
    <x v="520"/>
    <x v="2"/>
    <x v="4"/>
    <d v="2012-01-03T00:00:00"/>
    <n v="3"/>
    <x v="2"/>
    <s v="Gary Mitchum"/>
    <x v="2"/>
    <s v="United States"/>
    <s v="Franklin"/>
    <s v="Massachusetts"/>
    <s v="East"/>
    <x v="2"/>
    <x v="11"/>
    <s v="Imation Secure Drive + Hardware Encrypted USB flash drive - 16 GB"/>
    <x v="1934"/>
    <n v="3"/>
    <n v="0"/>
    <n v="27.352799999999998"/>
  </r>
  <r>
    <n v="2344"/>
    <x v="711"/>
    <x v="2"/>
    <x v="7"/>
    <d v="2011-07-30T00:00:00"/>
    <n v="4"/>
    <x v="0"/>
    <s v="Carl Ludwig"/>
    <x v="0"/>
    <s v="United States"/>
    <s v="Chicago"/>
    <s v="Illinois"/>
    <s v="Central"/>
    <x v="1"/>
    <x v="4"/>
    <s v="Belkin 19&quot; Vented Equipment Shelf, Black"/>
    <x v="1935"/>
    <n v="3"/>
    <n v="0.2"/>
    <n v="-29.343599999999999"/>
  </r>
  <r>
    <n v="2345"/>
    <x v="712"/>
    <x v="0"/>
    <x v="11"/>
    <d v="2013-02-28T00:00:00"/>
    <n v="6"/>
    <x v="1"/>
    <s v="Paul Van Hugh"/>
    <x v="2"/>
    <s v="United States"/>
    <s v="Milwaukee"/>
    <s v="Wisconsin"/>
    <s v="Central"/>
    <x v="1"/>
    <x v="9"/>
    <s v="Belkin 5 Outlet SurgeMaster Power Centers"/>
    <x v="1936"/>
    <n v="9"/>
    <n v="0"/>
    <n v="137.28960000000001"/>
  </r>
  <r>
    <n v="2346"/>
    <x v="69"/>
    <x v="0"/>
    <x v="10"/>
    <d v="2013-03-19T00:00:00"/>
    <n v="5"/>
    <x v="1"/>
    <s v="Liz Thompson"/>
    <x v="0"/>
    <s v="United States"/>
    <s v="San Antonio"/>
    <s v="Texas"/>
    <s v="Central"/>
    <x v="1"/>
    <x v="10"/>
    <s v="TOPS Carbonless Receipt Book, Four 2-3/4 x 7-1/4 Money Receipts per Page"/>
    <x v="1826"/>
    <n v="5"/>
    <n v="0.2"/>
    <n v="24.527999999999999"/>
  </r>
  <r>
    <n v="2347"/>
    <x v="69"/>
    <x v="0"/>
    <x v="10"/>
    <d v="2013-03-19T00:00:00"/>
    <n v="5"/>
    <x v="1"/>
    <s v="Liz Thompson"/>
    <x v="0"/>
    <s v="United States"/>
    <s v="San Antonio"/>
    <s v="Texas"/>
    <s v="Central"/>
    <x v="1"/>
    <x v="8"/>
    <s v="Insertable Tab Indexes For Data Binders"/>
    <x v="1937"/>
    <n v="2"/>
    <n v="0.8"/>
    <n v="-2.1623999999999999"/>
  </r>
  <r>
    <n v="2348"/>
    <x v="69"/>
    <x v="0"/>
    <x v="10"/>
    <d v="2013-03-19T00:00:00"/>
    <n v="5"/>
    <x v="1"/>
    <s v="Liz Thompson"/>
    <x v="0"/>
    <s v="United States"/>
    <s v="San Antonio"/>
    <s v="Texas"/>
    <s v="Central"/>
    <x v="0"/>
    <x v="3"/>
    <s v="Hon Non-Folding Utility Tables"/>
    <x v="1938"/>
    <n v="5"/>
    <n v="0.3"/>
    <n v="0"/>
  </r>
  <r>
    <n v="2349"/>
    <x v="574"/>
    <x v="3"/>
    <x v="4"/>
    <d v="2014-12-04T00:00:00"/>
    <n v="1"/>
    <x v="3"/>
    <s v="Alice McCarthy"/>
    <x v="1"/>
    <s v="United States"/>
    <s v="Los Angeles"/>
    <s v="California"/>
    <s v="West"/>
    <x v="1"/>
    <x v="8"/>
    <s v="Staples"/>
    <x v="1939"/>
    <n v="6"/>
    <n v="0.2"/>
    <n v="3.1583999999999999"/>
  </r>
  <r>
    <n v="2350"/>
    <x v="574"/>
    <x v="3"/>
    <x v="4"/>
    <d v="2014-12-04T00:00:00"/>
    <n v="1"/>
    <x v="3"/>
    <s v="Alice McCarthy"/>
    <x v="1"/>
    <s v="United States"/>
    <s v="Los Angeles"/>
    <s v="California"/>
    <s v="West"/>
    <x v="1"/>
    <x v="8"/>
    <s v="Satellite Sectional Post Binders"/>
    <x v="1940"/>
    <n v="2"/>
    <n v="0.2"/>
    <n v="22.5732"/>
  </r>
  <r>
    <n v="2351"/>
    <x v="574"/>
    <x v="3"/>
    <x v="4"/>
    <d v="2014-12-04T00:00:00"/>
    <n v="1"/>
    <x v="3"/>
    <s v="Alice McCarthy"/>
    <x v="1"/>
    <s v="United States"/>
    <s v="Los Angeles"/>
    <s v="California"/>
    <s v="West"/>
    <x v="1"/>
    <x v="10"/>
    <s v="Wirebound Message Book, 4 per Page"/>
    <x v="139"/>
    <n v="2"/>
    <n v="0"/>
    <n v="5.3213999999999997"/>
  </r>
  <r>
    <n v="2352"/>
    <x v="574"/>
    <x v="3"/>
    <x v="4"/>
    <d v="2014-12-04T00:00:00"/>
    <n v="1"/>
    <x v="3"/>
    <s v="Alice McCarthy"/>
    <x v="1"/>
    <s v="United States"/>
    <s v="Los Angeles"/>
    <s v="California"/>
    <s v="West"/>
    <x v="1"/>
    <x v="9"/>
    <s v="Fellowes Advanced Computer Series Surge Protectors"/>
    <x v="1941"/>
    <n v="3"/>
    <n v="0"/>
    <n v="22.2516"/>
  </r>
  <r>
    <n v="2353"/>
    <x v="574"/>
    <x v="3"/>
    <x v="4"/>
    <d v="2014-12-04T00:00:00"/>
    <n v="1"/>
    <x v="3"/>
    <s v="Alice McCarthy"/>
    <x v="1"/>
    <s v="United States"/>
    <s v="Los Angeles"/>
    <s v="California"/>
    <s v="West"/>
    <x v="1"/>
    <x v="6"/>
    <s v="Prang Dustless Chalk Sticks"/>
    <x v="1942"/>
    <n v="6"/>
    <n v="0"/>
    <n v="5.04"/>
  </r>
  <r>
    <n v="2354"/>
    <x v="284"/>
    <x v="1"/>
    <x v="6"/>
    <d v="2012-09-02T00:00:00"/>
    <n v="2"/>
    <x v="2"/>
    <s v="Scott Cohen"/>
    <x v="1"/>
    <s v="United States"/>
    <s v="San Francisco"/>
    <s v="California"/>
    <s v="West"/>
    <x v="0"/>
    <x v="0"/>
    <s v="Atlantic Metals Mobile 3-Shelf Bookcases, Custom Colors"/>
    <x v="1943"/>
    <n v="7"/>
    <n v="0.15"/>
    <n v="200.9546"/>
  </r>
  <r>
    <n v="2355"/>
    <x v="284"/>
    <x v="1"/>
    <x v="6"/>
    <d v="2012-09-02T00:00:00"/>
    <n v="2"/>
    <x v="2"/>
    <s v="Scott Cohen"/>
    <x v="1"/>
    <s v="United States"/>
    <s v="San Francisco"/>
    <s v="California"/>
    <s v="West"/>
    <x v="1"/>
    <x v="8"/>
    <s v="GBC Prestige Therm-A-Bind Covers"/>
    <x v="1944"/>
    <n v="5"/>
    <n v="0.2"/>
    <n v="46.3185"/>
  </r>
  <r>
    <n v="2356"/>
    <x v="284"/>
    <x v="1"/>
    <x v="6"/>
    <d v="2012-09-02T00:00:00"/>
    <n v="2"/>
    <x v="2"/>
    <s v="Scott Cohen"/>
    <x v="1"/>
    <s v="United States"/>
    <s v="San Francisco"/>
    <s v="California"/>
    <s v="West"/>
    <x v="2"/>
    <x v="11"/>
    <s v="Memorex Micro Travel Drive 32 GB"/>
    <x v="1945"/>
    <n v="1"/>
    <n v="0"/>
    <n v="15.699299999999999"/>
  </r>
  <r>
    <n v="2357"/>
    <x v="284"/>
    <x v="1"/>
    <x v="6"/>
    <d v="2012-09-02T00:00:00"/>
    <n v="2"/>
    <x v="2"/>
    <s v="Scott Cohen"/>
    <x v="1"/>
    <s v="United States"/>
    <s v="San Francisco"/>
    <s v="California"/>
    <s v="West"/>
    <x v="2"/>
    <x v="15"/>
    <s v="Lexmark S315 Color Inkjet Printer"/>
    <x v="1946"/>
    <n v="3"/>
    <n v="0.2"/>
    <n v="80.991900000000001"/>
  </r>
  <r>
    <n v="2358"/>
    <x v="461"/>
    <x v="2"/>
    <x v="10"/>
    <d v="2011-03-21T00:00:00"/>
    <n v="4"/>
    <x v="1"/>
    <s v="Christine Phan"/>
    <x v="1"/>
    <s v="United States"/>
    <s v="New York City"/>
    <s v="New York"/>
    <s v="East"/>
    <x v="0"/>
    <x v="3"/>
    <s v="Bretford Rectangular Conference Table Tops"/>
    <x v="1947"/>
    <n v="7"/>
    <n v="0.4"/>
    <n v="-447.59469999999999"/>
  </r>
  <r>
    <n v="2359"/>
    <x v="461"/>
    <x v="2"/>
    <x v="10"/>
    <d v="2011-03-21T00:00:00"/>
    <n v="4"/>
    <x v="1"/>
    <s v="Christine Phan"/>
    <x v="1"/>
    <s v="United States"/>
    <s v="New York City"/>
    <s v="New York"/>
    <s v="East"/>
    <x v="0"/>
    <x v="3"/>
    <s v="Balt Solid Wood Round Tables"/>
    <x v="1948"/>
    <n v="4"/>
    <n v="0.4"/>
    <n v="-553.64760000000001"/>
  </r>
  <r>
    <n v="2360"/>
    <x v="461"/>
    <x v="2"/>
    <x v="10"/>
    <d v="2011-03-21T00:00:00"/>
    <n v="4"/>
    <x v="1"/>
    <s v="Christine Phan"/>
    <x v="1"/>
    <s v="United States"/>
    <s v="New York City"/>
    <s v="New York"/>
    <s v="East"/>
    <x v="0"/>
    <x v="3"/>
    <s v="Hon 30&quot; x 60&quot; Table with Locking Drawer"/>
    <x v="1949"/>
    <n v="3"/>
    <n v="0.4"/>
    <n v="-122.7816"/>
  </r>
  <r>
    <n v="2361"/>
    <x v="461"/>
    <x v="2"/>
    <x v="10"/>
    <d v="2011-03-21T00:00:00"/>
    <n v="4"/>
    <x v="1"/>
    <s v="Christine Phan"/>
    <x v="1"/>
    <s v="United States"/>
    <s v="New York City"/>
    <s v="New York"/>
    <s v="East"/>
    <x v="1"/>
    <x v="10"/>
    <s v="Xerox 1926"/>
    <x v="1950"/>
    <n v="7"/>
    <n v="0"/>
    <n v="16.3842"/>
  </r>
  <r>
    <n v="2362"/>
    <x v="461"/>
    <x v="2"/>
    <x v="10"/>
    <d v="2011-03-21T00:00:00"/>
    <n v="4"/>
    <x v="1"/>
    <s v="Christine Phan"/>
    <x v="1"/>
    <s v="United States"/>
    <s v="New York City"/>
    <s v="New York"/>
    <s v="East"/>
    <x v="1"/>
    <x v="10"/>
    <s v="Xerox 1918"/>
    <x v="1951"/>
    <n v="4"/>
    <n v="0"/>
    <n v="75.9696"/>
  </r>
  <r>
    <n v="2363"/>
    <x v="513"/>
    <x v="3"/>
    <x v="3"/>
    <d v="2014-04-21T00:00:00"/>
    <n v="4"/>
    <x v="1"/>
    <s v="Roy Französisch"/>
    <x v="0"/>
    <s v="United States"/>
    <s v="Columbus"/>
    <s v="Ohio"/>
    <s v="East"/>
    <x v="1"/>
    <x v="8"/>
    <s v="SpineVue Locking Slant-D Ring Binders by Cardinal"/>
    <x v="1662"/>
    <n v="5"/>
    <n v="0.7"/>
    <n v="-10.054"/>
  </r>
  <r>
    <n v="2364"/>
    <x v="69"/>
    <x v="0"/>
    <x v="10"/>
    <d v="2013-03-19T00:00:00"/>
    <n v="5"/>
    <x v="1"/>
    <s v="Adam Bellavance"/>
    <x v="2"/>
    <s v="United States"/>
    <s v="Waynesboro"/>
    <s v="Virginia"/>
    <s v="South"/>
    <x v="0"/>
    <x v="5"/>
    <s v="Howard Miller 14-1/2&quot; Diameter Chrome Round Wall Clock"/>
    <x v="1952"/>
    <n v="2"/>
    <n v="0"/>
    <n v="40.921599999999998"/>
  </r>
  <r>
    <n v="2365"/>
    <x v="69"/>
    <x v="0"/>
    <x v="10"/>
    <d v="2013-03-19T00:00:00"/>
    <n v="5"/>
    <x v="1"/>
    <s v="Adam Bellavance"/>
    <x v="2"/>
    <s v="United States"/>
    <s v="Waynesboro"/>
    <s v="Virginia"/>
    <s v="South"/>
    <x v="1"/>
    <x v="9"/>
    <s v="Eureka The Boss Lite 10-Amp Upright Vacuum, Blue"/>
    <x v="1953"/>
    <n v="2"/>
    <n v="0"/>
    <n v="44.889600000000002"/>
  </r>
  <r>
    <n v="2366"/>
    <x v="69"/>
    <x v="0"/>
    <x v="10"/>
    <d v="2013-03-19T00:00:00"/>
    <n v="5"/>
    <x v="1"/>
    <s v="Adam Bellavance"/>
    <x v="2"/>
    <s v="United States"/>
    <s v="Waynesboro"/>
    <s v="Virginia"/>
    <s v="South"/>
    <x v="1"/>
    <x v="8"/>
    <s v="Ibico Covers for Plastic or Wire Binding Elements"/>
    <x v="1954"/>
    <n v="4"/>
    <n v="0"/>
    <n v="20.7"/>
  </r>
  <r>
    <n v="2367"/>
    <x v="156"/>
    <x v="2"/>
    <x v="0"/>
    <d v="2011-11-26T00:00:00"/>
    <n v="2"/>
    <x v="0"/>
    <s v="Erica Hackney"/>
    <x v="0"/>
    <s v="United States"/>
    <s v="Sacramento"/>
    <s v="California"/>
    <s v="West"/>
    <x v="0"/>
    <x v="1"/>
    <s v="Global Leather &amp; Oak Executive Chair, Burgundy"/>
    <x v="1955"/>
    <n v="1"/>
    <n v="0.2"/>
    <n v="-18.1068"/>
  </r>
  <r>
    <n v="2368"/>
    <x v="516"/>
    <x v="3"/>
    <x v="11"/>
    <d v="2014-02-14T00:00:00"/>
    <n v="3"/>
    <x v="2"/>
    <s v="Michael Nguyen"/>
    <x v="0"/>
    <s v="United States"/>
    <s v="Clinton"/>
    <s v="Maryland"/>
    <s v="East"/>
    <x v="1"/>
    <x v="10"/>
    <s v="HP Office Recycled Paper (20Lb. and 87 Bright)"/>
    <x v="1062"/>
    <n v="4"/>
    <n v="0"/>
    <n v="11.328799999999999"/>
  </r>
  <r>
    <n v="2369"/>
    <x v="713"/>
    <x v="0"/>
    <x v="8"/>
    <d v="2013-09-28T00:00:00"/>
    <n v="4"/>
    <x v="1"/>
    <s v="Kelly Lampkin"/>
    <x v="1"/>
    <s v="United States"/>
    <s v="Fairfield"/>
    <s v="Ohio"/>
    <s v="East"/>
    <x v="0"/>
    <x v="5"/>
    <s v="Rubbermaid ClusterMat Chairmats, Mat Size- 66&quot; x 60&quot;, Lip 20&quot; x 11&quot; -90 Degree Angle"/>
    <x v="1956"/>
    <n v="6"/>
    <n v="0.2"/>
    <n v="-26.635200000000001"/>
  </r>
  <r>
    <n v="2370"/>
    <x v="713"/>
    <x v="0"/>
    <x v="8"/>
    <d v="2013-09-28T00:00:00"/>
    <n v="4"/>
    <x v="1"/>
    <s v="Kelly Lampkin"/>
    <x v="1"/>
    <s v="United States"/>
    <s v="Fairfield"/>
    <s v="Ohio"/>
    <s v="East"/>
    <x v="1"/>
    <x v="6"/>
    <s v="Dixon Ticonderoga Maple Cedar Pencil, #2"/>
    <x v="1957"/>
    <n v="2"/>
    <n v="0.2"/>
    <n v="0.307"/>
  </r>
  <r>
    <n v="2371"/>
    <x v="437"/>
    <x v="3"/>
    <x v="7"/>
    <d v="2014-07-10T00:00:00"/>
    <n v="2"/>
    <x v="0"/>
    <s v="Michael Paige"/>
    <x v="1"/>
    <s v="United States"/>
    <s v="Warwick"/>
    <s v="Rhode Island"/>
    <s v="East"/>
    <x v="2"/>
    <x v="11"/>
    <s v="Hypercom P1300 Pinpad"/>
    <x v="842"/>
    <n v="4"/>
    <n v="0"/>
    <n v="93.24"/>
  </r>
  <r>
    <n v="2372"/>
    <x v="274"/>
    <x v="0"/>
    <x v="7"/>
    <d v="2013-07-12T00:00:00"/>
    <n v="4"/>
    <x v="0"/>
    <s v="Barry Französisch"/>
    <x v="1"/>
    <s v="United States"/>
    <s v="Aurora"/>
    <s v="Illinois"/>
    <s v="Central"/>
    <x v="0"/>
    <x v="5"/>
    <s v="Flat Face Poster Frame"/>
    <x v="1958"/>
    <n v="8"/>
    <n v="0.6"/>
    <n v="-27.1296"/>
  </r>
  <r>
    <n v="2373"/>
    <x v="274"/>
    <x v="0"/>
    <x v="7"/>
    <d v="2013-07-12T00:00:00"/>
    <n v="4"/>
    <x v="0"/>
    <s v="Barry Französisch"/>
    <x v="1"/>
    <s v="United States"/>
    <s v="Aurora"/>
    <s v="Illinois"/>
    <s v="Central"/>
    <x v="1"/>
    <x v="13"/>
    <s v="Acco Hot Clips Clips to Go"/>
    <x v="1959"/>
    <n v="1"/>
    <n v="0.2"/>
    <n v="0.82250000000000001"/>
  </r>
  <r>
    <n v="2374"/>
    <x v="274"/>
    <x v="0"/>
    <x v="7"/>
    <d v="2013-07-12T00:00:00"/>
    <n v="4"/>
    <x v="0"/>
    <s v="Barry Französisch"/>
    <x v="1"/>
    <s v="United States"/>
    <s v="Aurora"/>
    <s v="Illinois"/>
    <s v="Central"/>
    <x v="1"/>
    <x v="10"/>
    <s v="Tops Wirebound Message Log Books"/>
    <x v="1960"/>
    <n v="9"/>
    <n v="0.2"/>
    <n v="7.6985999999999999"/>
  </r>
  <r>
    <n v="2375"/>
    <x v="274"/>
    <x v="0"/>
    <x v="7"/>
    <d v="2013-07-12T00:00:00"/>
    <n v="4"/>
    <x v="0"/>
    <s v="Barry Französisch"/>
    <x v="1"/>
    <s v="United States"/>
    <s v="Aurora"/>
    <s v="Illinois"/>
    <s v="Central"/>
    <x v="0"/>
    <x v="1"/>
    <s v="Global Ergonomic Managers Chair"/>
    <x v="1961"/>
    <n v="2"/>
    <n v="0.3"/>
    <n v="-14.478400000000001"/>
  </r>
  <r>
    <n v="2376"/>
    <x v="714"/>
    <x v="3"/>
    <x v="9"/>
    <d v="2014-01-31T00:00:00"/>
    <n v="6"/>
    <x v="1"/>
    <s v="Theone Pippenger"/>
    <x v="0"/>
    <s v="United States"/>
    <s v="Smyrna"/>
    <s v="Georgia"/>
    <s v="South"/>
    <x v="1"/>
    <x v="13"/>
    <s v="Revere Boxed Rubber Bands by Revere"/>
    <x v="1962"/>
    <n v="3"/>
    <n v="0"/>
    <n v="0.1134"/>
  </r>
  <r>
    <n v="2377"/>
    <x v="710"/>
    <x v="2"/>
    <x v="6"/>
    <d v="2011-08-21T00:00:00"/>
    <n v="2"/>
    <x v="0"/>
    <s v="Maxwell Schwartz"/>
    <x v="0"/>
    <s v="United States"/>
    <s v="Columbus"/>
    <s v="Ohio"/>
    <s v="East"/>
    <x v="1"/>
    <x v="8"/>
    <s v="GBC DocuBind P50 Personal Binding Machine"/>
    <x v="1963"/>
    <n v="4"/>
    <n v="0.7"/>
    <n v="-58.861600000000003"/>
  </r>
  <r>
    <n v="2378"/>
    <x v="710"/>
    <x v="2"/>
    <x v="6"/>
    <d v="2011-08-21T00:00:00"/>
    <n v="2"/>
    <x v="0"/>
    <s v="Maxwell Schwartz"/>
    <x v="0"/>
    <s v="United States"/>
    <s v="Columbus"/>
    <s v="Ohio"/>
    <s v="East"/>
    <x v="1"/>
    <x v="14"/>
    <s v="Acme Kleencut Forged Steel Scissors"/>
    <x v="1964"/>
    <n v="2"/>
    <n v="0.2"/>
    <n v="1.1479999999999999"/>
  </r>
  <r>
    <n v="2379"/>
    <x v="401"/>
    <x v="1"/>
    <x v="4"/>
    <d v="2012-12-11T00:00:00"/>
    <n v="5"/>
    <x v="1"/>
    <s v="Katherine Murray"/>
    <x v="2"/>
    <s v="United States"/>
    <s v="Thousand Oaks"/>
    <s v="California"/>
    <s v="West"/>
    <x v="1"/>
    <x v="10"/>
    <s v="Message Book, Phone, Wirebound Standard Line Memo, 2 3/4&quot; X 5&quot;"/>
    <x v="1965"/>
    <n v="5"/>
    <n v="0"/>
    <n v="15.065"/>
  </r>
  <r>
    <n v="2380"/>
    <x v="715"/>
    <x v="0"/>
    <x v="5"/>
    <d v="2013-05-11T00:00:00"/>
    <n v="4"/>
    <x v="1"/>
    <s v="Brad Eason"/>
    <x v="2"/>
    <s v="United States"/>
    <s v="Lorain"/>
    <s v="Ohio"/>
    <s v="East"/>
    <x v="1"/>
    <x v="13"/>
    <s v="Advantus T-Pin Paper Clips"/>
    <x v="1966"/>
    <n v="2"/>
    <n v="0.2"/>
    <n v="1.7138"/>
  </r>
  <r>
    <n v="2381"/>
    <x v="715"/>
    <x v="0"/>
    <x v="5"/>
    <d v="2013-05-11T00:00:00"/>
    <n v="4"/>
    <x v="1"/>
    <s v="Brad Eason"/>
    <x v="2"/>
    <s v="United States"/>
    <s v="Lorain"/>
    <s v="Ohio"/>
    <s v="East"/>
    <x v="1"/>
    <x v="10"/>
    <s v="Xerox 1951"/>
    <x v="1967"/>
    <n v="2"/>
    <n v="0.2"/>
    <n v="15.49"/>
  </r>
  <r>
    <n v="2382"/>
    <x v="715"/>
    <x v="0"/>
    <x v="5"/>
    <d v="2013-05-11T00:00:00"/>
    <n v="4"/>
    <x v="1"/>
    <s v="Brad Eason"/>
    <x v="2"/>
    <s v="United States"/>
    <s v="Lorain"/>
    <s v="Ohio"/>
    <s v="East"/>
    <x v="0"/>
    <x v="5"/>
    <s v="DAX Solid Wood Frames"/>
    <x v="1968"/>
    <n v="7"/>
    <n v="0.2"/>
    <n v="11.626300000000001"/>
  </r>
  <r>
    <n v="2383"/>
    <x v="613"/>
    <x v="3"/>
    <x v="10"/>
    <d v="2014-03-27T00:00:00"/>
    <n v="1"/>
    <x v="2"/>
    <s v="Christina VanderZanden"/>
    <x v="0"/>
    <s v="United States"/>
    <s v="Fresno"/>
    <s v="California"/>
    <s v="West"/>
    <x v="1"/>
    <x v="9"/>
    <s v="Acco Smartsocket Color-Coded Six-Outlet AC Adapter Model Surge Protectors"/>
    <x v="1969"/>
    <n v="4"/>
    <n v="0"/>
    <n v="45.770400000000002"/>
  </r>
  <r>
    <n v="2384"/>
    <x v="613"/>
    <x v="3"/>
    <x v="10"/>
    <d v="2014-03-27T00:00:00"/>
    <n v="1"/>
    <x v="2"/>
    <s v="Christina VanderZanden"/>
    <x v="0"/>
    <s v="United States"/>
    <s v="Fresno"/>
    <s v="California"/>
    <s v="West"/>
    <x v="1"/>
    <x v="6"/>
    <s v="Staples"/>
    <x v="1970"/>
    <n v="9"/>
    <n v="0"/>
    <n v="4.4855999999999998"/>
  </r>
  <r>
    <n v="2385"/>
    <x v="613"/>
    <x v="3"/>
    <x v="10"/>
    <d v="2014-03-27T00:00:00"/>
    <n v="1"/>
    <x v="2"/>
    <s v="Christina VanderZanden"/>
    <x v="0"/>
    <s v="United States"/>
    <s v="Fresno"/>
    <s v="California"/>
    <s v="West"/>
    <x v="1"/>
    <x v="8"/>
    <s v="Avery Arch Ring Binders"/>
    <x v="1971"/>
    <n v="4"/>
    <n v="0.2"/>
    <n v="62.747999999999998"/>
  </r>
  <r>
    <n v="2386"/>
    <x v="613"/>
    <x v="3"/>
    <x v="10"/>
    <d v="2014-03-27T00:00:00"/>
    <n v="1"/>
    <x v="2"/>
    <s v="Christina VanderZanden"/>
    <x v="0"/>
    <s v="United States"/>
    <s v="Fresno"/>
    <s v="California"/>
    <s v="West"/>
    <x v="2"/>
    <x v="7"/>
    <s v="Clearsounds A400"/>
    <x v="1972"/>
    <n v="4"/>
    <n v="0.2"/>
    <n v="15.8376"/>
  </r>
  <r>
    <n v="2387"/>
    <x v="613"/>
    <x v="3"/>
    <x v="10"/>
    <d v="2014-03-27T00:00:00"/>
    <n v="1"/>
    <x v="2"/>
    <s v="Christina VanderZanden"/>
    <x v="0"/>
    <s v="United States"/>
    <s v="Fresno"/>
    <s v="California"/>
    <s v="West"/>
    <x v="2"/>
    <x v="16"/>
    <s v="Hewlett Packard 310 Color Digital Copier"/>
    <x v="1973"/>
    <n v="2"/>
    <n v="0.2"/>
    <n v="59.997999999999998"/>
  </r>
  <r>
    <n v="2388"/>
    <x v="295"/>
    <x v="1"/>
    <x v="4"/>
    <d v="2012-12-15T00:00:00"/>
    <n v="3"/>
    <x v="2"/>
    <s v="Dennis Kane"/>
    <x v="0"/>
    <s v="United States"/>
    <s v="San Diego"/>
    <s v="California"/>
    <s v="West"/>
    <x v="1"/>
    <x v="13"/>
    <s v="Staples"/>
    <x v="1974"/>
    <n v="2"/>
    <n v="0"/>
    <n v="3.6156000000000001"/>
  </r>
  <r>
    <n v="2389"/>
    <x v="295"/>
    <x v="1"/>
    <x v="4"/>
    <d v="2012-12-15T00:00:00"/>
    <n v="3"/>
    <x v="2"/>
    <s v="Dennis Kane"/>
    <x v="0"/>
    <s v="United States"/>
    <s v="San Diego"/>
    <s v="California"/>
    <s v="West"/>
    <x v="1"/>
    <x v="8"/>
    <s v="Recycled Premium Regency Composition Covers"/>
    <x v="667"/>
    <n v="2"/>
    <n v="0.2"/>
    <n v="8.8623999999999992"/>
  </r>
  <r>
    <n v="2390"/>
    <x v="401"/>
    <x v="1"/>
    <x v="4"/>
    <d v="2012-12-10T00:00:00"/>
    <n v="4"/>
    <x v="1"/>
    <s v="Speros Goranitis"/>
    <x v="0"/>
    <s v="United States"/>
    <s v="New York City"/>
    <s v="New York"/>
    <s v="East"/>
    <x v="1"/>
    <x v="10"/>
    <s v="Xerox 219"/>
    <x v="90"/>
    <n v="1"/>
    <n v="0"/>
    <n v="3.1103999999999998"/>
  </r>
  <r>
    <n v="2391"/>
    <x v="401"/>
    <x v="1"/>
    <x v="4"/>
    <d v="2012-12-10T00:00:00"/>
    <n v="4"/>
    <x v="1"/>
    <s v="Speros Goranitis"/>
    <x v="0"/>
    <s v="United States"/>
    <s v="New York City"/>
    <s v="New York"/>
    <s v="East"/>
    <x v="1"/>
    <x v="10"/>
    <s v="Xerox 1903"/>
    <x v="1075"/>
    <n v="7"/>
    <n v="0"/>
    <n v="20.511399999999998"/>
  </r>
  <r>
    <n v="2392"/>
    <x v="401"/>
    <x v="1"/>
    <x v="4"/>
    <d v="2012-12-10T00:00:00"/>
    <n v="4"/>
    <x v="1"/>
    <s v="Speros Goranitis"/>
    <x v="0"/>
    <s v="United States"/>
    <s v="New York City"/>
    <s v="New York"/>
    <s v="East"/>
    <x v="2"/>
    <x v="11"/>
    <s v="Logitech VX Revolution Cordless Laser Mouse for Notebooks (Black)"/>
    <x v="1975"/>
    <n v="9"/>
    <n v="0"/>
    <n v="97.194599999999994"/>
  </r>
  <r>
    <n v="2393"/>
    <x v="401"/>
    <x v="1"/>
    <x v="4"/>
    <d v="2012-12-10T00:00:00"/>
    <n v="4"/>
    <x v="1"/>
    <s v="Speros Goranitis"/>
    <x v="0"/>
    <s v="United States"/>
    <s v="New York City"/>
    <s v="New York"/>
    <s v="East"/>
    <x v="0"/>
    <x v="5"/>
    <s v="Seth Thomas 14&quot; Day/Date Wall Clock"/>
    <x v="1976"/>
    <n v="4"/>
    <n v="0"/>
    <n v="42.150399999999998"/>
  </r>
  <r>
    <n v="2394"/>
    <x v="716"/>
    <x v="0"/>
    <x v="10"/>
    <d v="2013-03-24T00:00:00"/>
    <n v="6"/>
    <x v="1"/>
    <s v="Christine Sundaresam"/>
    <x v="0"/>
    <s v="United States"/>
    <s v="Malden"/>
    <s v="Massachusetts"/>
    <s v="East"/>
    <x v="1"/>
    <x v="6"/>
    <s v="Newell 345"/>
    <x v="1977"/>
    <n v="2"/>
    <n v="0"/>
    <n v="10.316800000000001"/>
  </r>
  <r>
    <n v="2395"/>
    <x v="717"/>
    <x v="1"/>
    <x v="0"/>
    <d v="2012-11-19T00:00:00"/>
    <n v="5"/>
    <x v="1"/>
    <s v="Patrick Jones"/>
    <x v="1"/>
    <s v="United States"/>
    <s v="New York City"/>
    <s v="New York"/>
    <s v="East"/>
    <x v="2"/>
    <x v="11"/>
    <s v="Imation Clip USB flash drive - 8 GB"/>
    <x v="1978"/>
    <n v="2"/>
    <n v="0"/>
    <n v="2.2559999999999998"/>
  </r>
  <r>
    <n v="2396"/>
    <x v="717"/>
    <x v="1"/>
    <x v="0"/>
    <d v="2012-11-19T00:00:00"/>
    <n v="5"/>
    <x v="1"/>
    <s v="Patrick Jones"/>
    <x v="1"/>
    <s v="United States"/>
    <s v="New York City"/>
    <s v="New York"/>
    <s v="East"/>
    <x v="2"/>
    <x v="11"/>
    <s v="Imation 32GB Pocket Pro USB 3.0 Flash Drive - 32 GB - Black - 1 P ..."/>
    <x v="1979"/>
    <n v="2"/>
    <n v="0"/>
    <n v="23.96"/>
  </r>
  <r>
    <n v="2397"/>
    <x v="717"/>
    <x v="1"/>
    <x v="0"/>
    <d v="2012-11-19T00:00:00"/>
    <n v="5"/>
    <x v="1"/>
    <s v="Patrick Jones"/>
    <x v="1"/>
    <s v="United States"/>
    <s v="New York City"/>
    <s v="New York"/>
    <s v="East"/>
    <x v="1"/>
    <x v="10"/>
    <s v="It's Hot Message Books with Stickers, 2 3/4&quot; x 5&quot;"/>
    <x v="1980"/>
    <n v="5"/>
    <n v="0"/>
    <n v="16.649999999999999"/>
  </r>
  <r>
    <n v="2398"/>
    <x v="718"/>
    <x v="3"/>
    <x v="6"/>
    <d v="2014-08-17T00:00:00"/>
    <n v="2"/>
    <x v="0"/>
    <s v="Nora Preis"/>
    <x v="0"/>
    <s v="United States"/>
    <s v="San Francisco"/>
    <s v="California"/>
    <s v="West"/>
    <x v="1"/>
    <x v="2"/>
    <s v="Avery File Folder Labels"/>
    <x v="1755"/>
    <n v="2"/>
    <n v="0"/>
    <n v="2.8224"/>
  </r>
  <r>
    <n v="2399"/>
    <x v="718"/>
    <x v="3"/>
    <x v="6"/>
    <d v="2014-08-17T00:00:00"/>
    <n v="2"/>
    <x v="0"/>
    <s v="Nora Preis"/>
    <x v="0"/>
    <s v="United States"/>
    <s v="San Francisco"/>
    <s v="California"/>
    <s v="West"/>
    <x v="1"/>
    <x v="6"/>
    <s v="Newell 318"/>
    <x v="1438"/>
    <n v="6"/>
    <n v="0"/>
    <n v="4.3368000000000002"/>
  </r>
  <r>
    <n v="2400"/>
    <x v="428"/>
    <x v="3"/>
    <x v="8"/>
    <d v="2014-09-16T00:00:00"/>
    <n v="6"/>
    <x v="1"/>
    <s v="Sean Braxton"/>
    <x v="1"/>
    <s v="United States"/>
    <s v="Florence"/>
    <s v="South Carolina"/>
    <s v="South"/>
    <x v="1"/>
    <x v="4"/>
    <s v="Fellowes Officeware Wire Shelving"/>
    <x v="1981"/>
    <n v="7"/>
    <n v="0"/>
    <n v="12.5762"/>
  </r>
  <r>
    <n v="2401"/>
    <x v="428"/>
    <x v="3"/>
    <x v="8"/>
    <d v="2014-09-16T00:00:00"/>
    <n v="6"/>
    <x v="1"/>
    <s v="Sean Braxton"/>
    <x v="1"/>
    <s v="United States"/>
    <s v="Florence"/>
    <s v="South Carolina"/>
    <s v="South"/>
    <x v="1"/>
    <x v="4"/>
    <s v="X-Rack File for Hanging Folders"/>
    <x v="1982"/>
    <n v="5"/>
    <n v="0"/>
    <n v="14.677"/>
  </r>
  <r>
    <n v="2402"/>
    <x v="719"/>
    <x v="3"/>
    <x v="3"/>
    <d v="2014-04-05T00:00:00"/>
    <n v="3"/>
    <x v="0"/>
    <s v="Adam Shillingsburg"/>
    <x v="0"/>
    <s v="United States"/>
    <s v="Springfield"/>
    <s v="Missouri"/>
    <s v="Central"/>
    <x v="1"/>
    <x v="4"/>
    <s v="Hanging Personal Folder File"/>
    <x v="1983"/>
    <n v="6"/>
    <n v="0"/>
    <n v="23.55"/>
  </r>
  <r>
    <n v="2403"/>
    <x v="719"/>
    <x v="3"/>
    <x v="3"/>
    <d v="2014-04-05T00:00:00"/>
    <n v="3"/>
    <x v="0"/>
    <s v="Adam Shillingsburg"/>
    <x v="0"/>
    <s v="United States"/>
    <s v="Springfield"/>
    <s v="Missouri"/>
    <s v="Central"/>
    <x v="1"/>
    <x v="12"/>
    <s v="Staples"/>
    <x v="158"/>
    <n v="5"/>
    <n v="0"/>
    <n v="13.348000000000001"/>
  </r>
  <r>
    <n v="2404"/>
    <x v="720"/>
    <x v="0"/>
    <x v="8"/>
    <d v="2013-10-04T00:00:00"/>
    <n v="6"/>
    <x v="1"/>
    <s v="Harry Marie"/>
    <x v="1"/>
    <s v="United States"/>
    <s v="Huntsville"/>
    <s v="Texas"/>
    <s v="Central"/>
    <x v="0"/>
    <x v="0"/>
    <s v="O'Sullivan Plantations 2-Door Library in Landvery Oak"/>
    <x v="1984"/>
    <n v="7"/>
    <n v="0.32"/>
    <n v="-225.0976"/>
  </r>
  <r>
    <n v="2405"/>
    <x v="566"/>
    <x v="3"/>
    <x v="2"/>
    <d v="2014-10-12T00:00:00"/>
    <n v="4"/>
    <x v="1"/>
    <s v="Mike Gockenbach"/>
    <x v="0"/>
    <s v="United States"/>
    <s v="Los Angeles"/>
    <s v="California"/>
    <s v="West"/>
    <x v="2"/>
    <x v="11"/>
    <s v="Logitech G19 Programmable Gaming Keyboard"/>
    <x v="1985"/>
    <n v="9"/>
    <n v="0"/>
    <n v="200.8638"/>
  </r>
  <r>
    <n v="2406"/>
    <x v="566"/>
    <x v="3"/>
    <x v="2"/>
    <d v="2014-10-12T00:00:00"/>
    <n v="4"/>
    <x v="1"/>
    <s v="Mike Gockenbach"/>
    <x v="0"/>
    <s v="United States"/>
    <s v="Los Angeles"/>
    <s v="California"/>
    <s v="West"/>
    <x v="2"/>
    <x v="7"/>
    <s v="Motorola HK250 Universal Bluetooth Headset"/>
    <x v="1986"/>
    <n v="7"/>
    <n v="0.2"/>
    <n v="-28.967400000000001"/>
  </r>
  <r>
    <n v="2407"/>
    <x v="566"/>
    <x v="3"/>
    <x v="2"/>
    <d v="2014-10-12T00:00:00"/>
    <n v="4"/>
    <x v="1"/>
    <s v="Mike Gockenbach"/>
    <x v="0"/>
    <s v="United States"/>
    <s v="Los Angeles"/>
    <s v="California"/>
    <s v="West"/>
    <x v="2"/>
    <x v="7"/>
    <s v="Square Credit Card Reader, 4 1/2&quot; x 4 1/2&quot; x 1&quot;, White"/>
    <x v="705"/>
    <n v="10"/>
    <n v="0.2"/>
    <n v="26.972999999999999"/>
  </r>
  <r>
    <n v="2408"/>
    <x v="176"/>
    <x v="3"/>
    <x v="9"/>
    <d v="2014-01-26T00:00:00"/>
    <n v="5"/>
    <x v="1"/>
    <s v="Tamara Manning"/>
    <x v="0"/>
    <s v="United States"/>
    <s v="San Francisco"/>
    <s v="California"/>
    <s v="West"/>
    <x v="1"/>
    <x v="6"/>
    <s v="Staples"/>
    <x v="1987"/>
    <n v="5"/>
    <n v="0"/>
    <n v="7.9859999999999998"/>
  </r>
  <r>
    <n v="2409"/>
    <x v="176"/>
    <x v="3"/>
    <x v="9"/>
    <d v="2014-01-26T00:00:00"/>
    <n v="5"/>
    <x v="1"/>
    <s v="Tamara Manning"/>
    <x v="0"/>
    <s v="United States"/>
    <s v="San Francisco"/>
    <s v="California"/>
    <s v="West"/>
    <x v="2"/>
    <x v="7"/>
    <s v="Panasonic KX-TG9541B DECT 6.0 Digital 2-Line Expandable Cordless Phone With Digital Answering System"/>
    <x v="1988"/>
    <n v="3"/>
    <n v="0.2"/>
    <n v="130.4913"/>
  </r>
  <r>
    <n v="2410"/>
    <x v="721"/>
    <x v="3"/>
    <x v="10"/>
    <d v="2014-03-26T00:00:00"/>
    <n v="2"/>
    <x v="2"/>
    <s v="Bill Eplett"/>
    <x v="2"/>
    <s v="United States"/>
    <s v="San Francisco"/>
    <s v="California"/>
    <s v="West"/>
    <x v="0"/>
    <x v="5"/>
    <s v="DAX Natural Wood-Tone Poster Frame"/>
    <x v="1989"/>
    <n v="8"/>
    <n v="0"/>
    <n v="76.2624"/>
  </r>
  <r>
    <n v="2411"/>
    <x v="601"/>
    <x v="2"/>
    <x v="6"/>
    <d v="2011-08-06T00:00:00"/>
    <n v="5"/>
    <x v="1"/>
    <s v="Ann Steele"/>
    <x v="2"/>
    <s v="United States"/>
    <s v="Philadelphia"/>
    <s v="Pennsylvania"/>
    <s v="East"/>
    <x v="1"/>
    <x v="13"/>
    <s v="Acco Clips to Go Binder Clips, 24 Clips in Two Sizes"/>
    <x v="1093"/>
    <n v="2"/>
    <n v="0.2"/>
    <n v="1.917"/>
  </r>
  <r>
    <n v="2412"/>
    <x v="722"/>
    <x v="1"/>
    <x v="1"/>
    <d v="2012-06-09T00:00:00"/>
    <n v="2"/>
    <x v="0"/>
    <s v="Eleni McCrary"/>
    <x v="1"/>
    <s v="United States"/>
    <s v="Los Angeles"/>
    <s v="California"/>
    <s v="West"/>
    <x v="1"/>
    <x v="8"/>
    <s v="Staples"/>
    <x v="1990"/>
    <n v="5"/>
    <n v="0.2"/>
    <n v="2.6320000000000001"/>
  </r>
  <r>
    <n v="2413"/>
    <x v="607"/>
    <x v="2"/>
    <x v="0"/>
    <d v="2011-11-16T00:00:00"/>
    <n v="4"/>
    <x v="1"/>
    <s v="Joseph Airdo"/>
    <x v="0"/>
    <s v="United States"/>
    <s v="Los Angeles"/>
    <s v="California"/>
    <s v="West"/>
    <x v="1"/>
    <x v="10"/>
    <s v="Xerox 1974"/>
    <x v="489"/>
    <n v="2"/>
    <n v="0"/>
    <n v="5.8604000000000003"/>
  </r>
  <r>
    <n v="2414"/>
    <x v="607"/>
    <x v="2"/>
    <x v="0"/>
    <d v="2011-11-16T00:00:00"/>
    <n v="4"/>
    <x v="1"/>
    <s v="Joseph Airdo"/>
    <x v="0"/>
    <s v="United States"/>
    <s v="Los Angeles"/>
    <s v="California"/>
    <s v="West"/>
    <x v="0"/>
    <x v="3"/>
    <s v="Bevis Boat-Shaped Conference Table"/>
    <x v="1991"/>
    <n v="3"/>
    <n v="0.2"/>
    <n v="31.453199999999999"/>
  </r>
  <r>
    <n v="2415"/>
    <x v="723"/>
    <x v="0"/>
    <x v="4"/>
    <d v="2014-01-03T00:00:00"/>
    <n v="4"/>
    <x v="1"/>
    <s v="Troy Blackwell"/>
    <x v="0"/>
    <s v="United States"/>
    <s v="Milwaukee"/>
    <s v="Wisconsin"/>
    <s v="Central"/>
    <x v="0"/>
    <x v="1"/>
    <s v="Global Leather &amp; Oak Executive Chair, Burgundy"/>
    <x v="1992"/>
    <n v="5"/>
    <n v="0"/>
    <n v="60.356000000000002"/>
  </r>
  <r>
    <n v="2416"/>
    <x v="380"/>
    <x v="1"/>
    <x v="7"/>
    <d v="2012-07-11T00:00:00"/>
    <n v="5"/>
    <x v="1"/>
    <s v="Paul Prost"/>
    <x v="2"/>
    <s v="United States"/>
    <s v="Holyoke"/>
    <s v="Massachusetts"/>
    <s v="East"/>
    <x v="0"/>
    <x v="0"/>
    <s v="Bush Mission Pointe Library"/>
    <x v="85"/>
    <n v="2"/>
    <n v="0"/>
    <n v="60.392000000000003"/>
  </r>
  <r>
    <n v="2417"/>
    <x v="386"/>
    <x v="3"/>
    <x v="2"/>
    <d v="2014-10-19T00:00:00"/>
    <n v="6"/>
    <x v="1"/>
    <s v="Michelle Lonsdale"/>
    <x v="1"/>
    <s v="United States"/>
    <s v="Albuquerque"/>
    <s v="New Mexico"/>
    <s v="West"/>
    <x v="2"/>
    <x v="11"/>
    <s v="WD My Passport Ultra 2TB Portable External Hard Drive"/>
    <x v="1993"/>
    <n v="5"/>
    <n v="0"/>
    <n v="95.2"/>
  </r>
  <r>
    <n v="2418"/>
    <x v="386"/>
    <x v="3"/>
    <x v="2"/>
    <d v="2014-10-19T00:00:00"/>
    <n v="6"/>
    <x v="1"/>
    <s v="Michelle Lonsdale"/>
    <x v="1"/>
    <s v="United States"/>
    <s v="Albuquerque"/>
    <s v="New Mexico"/>
    <s v="West"/>
    <x v="1"/>
    <x v="8"/>
    <s v="GBC Twin Loop Wire Binding Elements"/>
    <x v="1924"/>
    <n v="3"/>
    <n v="0.2"/>
    <n v="29.952000000000002"/>
  </r>
  <r>
    <n v="2419"/>
    <x v="206"/>
    <x v="0"/>
    <x v="5"/>
    <d v="2013-05-29T00:00:00"/>
    <n v="7"/>
    <x v="1"/>
    <s v="Linda Cazamias"/>
    <x v="1"/>
    <s v="United States"/>
    <s v="Sparks"/>
    <s v="Nevada"/>
    <s v="West"/>
    <x v="2"/>
    <x v="15"/>
    <s v="Panasonic KX MB2061 Multifunction Printer"/>
    <x v="1994"/>
    <n v="10"/>
    <n v="0.2"/>
    <n v="179.73"/>
  </r>
  <r>
    <n v="2420"/>
    <x v="45"/>
    <x v="3"/>
    <x v="0"/>
    <d v="2014-11-15T00:00:00"/>
    <n v="5"/>
    <x v="1"/>
    <s v="Matt Collister"/>
    <x v="1"/>
    <s v="United States"/>
    <s v="Coachella"/>
    <s v="California"/>
    <s v="West"/>
    <x v="1"/>
    <x v="4"/>
    <s v="Safco Wire Cube Shelving System, For Use as 4 or 5 14&quot; Cubes, Black"/>
    <x v="1995"/>
    <n v="2"/>
    <n v="0"/>
    <n v="3.1779999999999999"/>
  </r>
  <r>
    <n v="2421"/>
    <x v="45"/>
    <x v="3"/>
    <x v="0"/>
    <d v="2014-11-15T00:00:00"/>
    <n v="5"/>
    <x v="1"/>
    <s v="Matt Collister"/>
    <x v="1"/>
    <s v="United States"/>
    <s v="Coachella"/>
    <s v="California"/>
    <s v="West"/>
    <x v="2"/>
    <x v="11"/>
    <s v="Razer Kraken 7.1 Surround Sound Over Ear USB Gaming Headset"/>
    <x v="311"/>
    <n v="1"/>
    <n v="0"/>
    <n v="43.995600000000003"/>
  </r>
  <r>
    <n v="2422"/>
    <x v="724"/>
    <x v="0"/>
    <x v="3"/>
    <d v="2013-04-24T00:00:00"/>
    <n v="5"/>
    <x v="1"/>
    <s v="Clay Rozendal"/>
    <x v="2"/>
    <s v="United States"/>
    <s v="Elmhurst"/>
    <s v="Illinois"/>
    <s v="Central"/>
    <x v="1"/>
    <x v="4"/>
    <s v="Safco Industrial Wire Shelving"/>
    <x v="84"/>
    <n v="3"/>
    <n v="0.2"/>
    <n v="-48.954900000000002"/>
  </r>
  <r>
    <n v="2423"/>
    <x v="724"/>
    <x v="0"/>
    <x v="3"/>
    <d v="2013-04-24T00:00:00"/>
    <n v="5"/>
    <x v="1"/>
    <s v="Clay Rozendal"/>
    <x v="2"/>
    <s v="United States"/>
    <s v="Elmhurst"/>
    <s v="Illinois"/>
    <s v="Central"/>
    <x v="1"/>
    <x v="10"/>
    <s v="Adams Telephone Message Books, 5 1/4” x 11”"/>
    <x v="772"/>
    <n v="2"/>
    <n v="0.2"/>
    <n v="3.2616000000000001"/>
  </r>
  <r>
    <n v="2424"/>
    <x v="53"/>
    <x v="3"/>
    <x v="4"/>
    <d v="2014-12-31T00:00:00"/>
    <n v="5"/>
    <x v="1"/>
    <s v="Susan Vittorini"/>
    <x v="0"/>
    <s v="United States"/>
    <s v="Fairfield"/>
    <s v="Ohio"/>
    <s v="East"/>
    <x v="2"/>
    <x v="11"/>
    <s v="Maxell 4.7GB DVD-R"/>
    <x v="1996"/>
    <n v="7"/>
    <n v="0.2"/>
    <n v="41.718600000000002"/>
  </r>
  <r>
    <n v="2425"/>
    <x v="53"/>
    <x v="3"/>
    <x v="4"/>
    <d v="2014-12-31T00:00:00"/>
    <n v="5"/>
    <x v="1"/>
    <s v="Susan Vittorini"/>
    <x v="0"/>
    <s v="United States"/>
    <s v="Fairfield"/>
    <s v="Ohio"/>
    <s v="East"/>
    <x v="1"/>
    <x v="8"/>
    <s v="Satellite Sectional Post Binders"/>
    <x v="1997"/>
    <n v="1"/>
    <n v="0.7"/>
    <n v="-10.4184"/>
  </r>
  <r>
    <n v="2426"/>
    <x v="53"/>
    <x v="3"/>
    <x v="4"/>
    <d v="2014-12-31T00:00:00"/>
    <n v="5"/>
    <x v="1"/>
    <s v="Susan Vittorini"/>
    <x v="0"/>
    <s v="United States"/>
    <s v="Fairfield"/>
    <s v="Ohio"/>
    <s v="East"/>
    <x v="0"/>
    <x v="3"/>
    <s v="Hon Rectangular Conference Tables"/>
    <x v="1998"/>
    <n v="2"/>
    <n v="0.4"/>
    <n v="-104.673"/>
  </r>
  <r>
    <n v="2427"/>
    <x v="53"/>
    <x v="3"/>
    <x v="4"/>
    <d v="2014-12-31T00:00:00"/>
    <n v="5"/>
    <x v="1"/>
    <s v="Susan Vittorini"/>
    <x v="0"/>
    <s v="United States"/>
    <s v="Fairfield"/>
    <s v="Ohio"/>
    <s v="East"/>
    <x v="1"/>
    <x v="13"/>
    <s v="Staples"/>
    <x v="1999"/>
    <n v="13"/>
    <n v="0.2"/>
    <n v="12.776400000000001"/>
  </r>
  <r>
    <n v="2428"/>
    <x v="725"/>
    <x v="0"/>
    <x v="1"/>
    <d v="2013-06-18T00:00:00"/>
    <n v="6"/>
    <x v="1"/>
    <s v="Mary Zewe"/>
    <x v="1"/>
    <s v="United States"/>
    <s v="Arlington"/>
    <s v="Texas"/>
    <s v="Central"/>
    <x v="1"/>
    <x v="8"/>
    <s v="Computer Printout Index Tabs"/>
    <x v="2000"/>
    <n v="4"/>
    <n v="0.8"/>
    <n v="-2.1503999999999999"/>
  </r>
  <r>
    <n v="2429"/>
    <x v="725"/>
    <x v="0"/>
    <x v="1"/>
    <d v="2013-06-18T00:00:00"/>
    <n v="6"/>
    <x v="1"/>
    <s v="Mary Zewe"/>
    <x v="1"/>
    <s v="United States"/>
    <s v="Arlington"/>
    <s v="Texas"/>
    <s v="Central"/>
    <x v="1"/>
    <x v="8"/>
    <s v="GBC Wire Binding Combs"/>
    <x v="2001"/>
    <n v="4"/>
    <n v="0.8"/>
    <n v="-13.6488"/>
  </r>
  <r>
    <n v="2430"/>
    <x v="725"/>
    <x v="0"/>
    <x v="1"/>
    <d v="2013-06-18T00:00:00"/>
    <n v="6"/>
    <x v="1"/>
    <s v="Mary Zewe"/>
    <x v="1"/>
    <s v="United States"/>
    <s v="Arlington"/>
    <s v="Texas"/>
    <s v="Central"/>
    <x v="0"/>
    <x v="5"/>
    <s v="Stacking Tray, Side-Loading, Legal, Smoke"/>
    <x v="2002"/>
    <n v="7"/>
    <n v="0.6"/>
    <n v="-9.0944000000000003"/>
  </r>
  <r>
    <n v="2431"/>
    <x v="726"/>
    <x v="3"/>
    <x v="5"/>
    <d v="2014-05-21T00:00:00"/>
    <n v="7"/>
    <x v="1"/>
    <s v="Ross Baird"/>
    <x v="2"/>
    <s v="United States"/>
    <s v="San Francisco"/>
    <s v="California"/>
    <s v="West"/>
    <x v="1"/>
    <x v="2"/>
    <s v="Self-Adhesive Address Labels for Typewriters by Universal"/>
    <x v="2003"/>
    <n v="8"/>
    <n v="0"/>
    <n v="27.485600000000002"/>
  </r>
  <r>
    <n v="2432"/>
    <x v="116"/>
    <x v="3"/>
    <x v="4"/>
    <d v="2015-01-03T00:00:00"/>
    <n v="5"/>
    <x v="1"/>
    <s v="Harry Marie"/>
    <x v="1"/>
    <s v="United States"/>
    <s v="Seattle"/>
    <s v="Washington"/>
    <s v="West"/>
    <x v="0"/>
    <x v="5"/>
    <s v="3M Hangers With Command Adhesive"/>
    <x v="2004"/>
    <n v="2"/>
    <n v="0"/>
    <n v="3.0339999999999998"/>
  </r>
  <r>
    <n v="2433"/>
    <x v="727"/>
    <x v="2"/>
    <x v="10"/>
    <d v="2011-04-01T00:00:00"/>
    <n v="7"/>
    <x v="1"/>
    <s v="Annie Zypern"/>
    <x v="0"/>
    <s v="United States"/>
    <s v="New York City"/>
    <s v="New York"/>
    <s v="East"/>
    <x v="0"/>
    <x v="1"/>
    <s v="Iceberg Nesting Folding Chair, 19w x 6d x 43h"/>
    <x v="2005"/>
    <n v="7"/>
    <n v="0.1"/>
    <n v="65.206400000000002"/>
  </r>
  <r>
    <n v="2434"/>
    <x v="39"/>
    <x v="3"/>
    <x v="5"/>
    <d v="2014-06-02T00:00:00"/>
    <n v="4"/>
    <x v="1"/>
    <s v="Jonathan Howell"/>
    <x v="0"/>
    <s v="United States"/>
    <s v="Houston"/>
    <s v="Texas"/>
    <s v="Central"/>
    <x v="2"/>
    <x v="7"/>
    <s v="Spigen Samsung Galaxy S5 Case Wallet"/>
    <x v="2006"/>
    <n v="4"/>
    <n v="0.2"/>
    <n v="4.0776000000000003"/>
  </r>
  <r>
    <n v="2435"/>
    <x v="717"/>
    <x v="1"/>
    <x v="0"/>
    <d v="2012-11-17T00:00:00"/>
    <n v="3"/>
    <x v="2"/>
    <s v="Patrick Jones"/>
    <x v="1"/>
    <s v="United States"/>
    <s v="Springfield"/>
    <s v="Virginia"/>
    <s v="South"/>
    <x v="1"/>
    <x v="12"/>
    <s v="Brown Kraft Recycled Envelopes"/>
    <x v="2007"/>
    <n v="2"/>
    <n v="0"/>
    <n v="16.98"/>
  </r>
  <r>
    <n v="2436"/>
    <x v="717"/>
    <x v="1"/>
    <x v="0"/>
    <d v="2012-11-17T00:00:00"/>
    <n v="3"/>
    <x v="2"/>
    <s v="Patrick Jones"/>
    <x v="1"/>
    <s v="United States"/>
    <s v="Springfield"/>
    <s v="Virginia"/>
    <s v="South"/>
    <x v="1"/>
    <x v="9"/>
    <s v="Honeywell Enviracaire Portable HEPA Air Cleaner for 16' x 20' Room"/>
    <x v="2008"/>
    <n v="3"/>
    <n v="0"/>
    <n v="322.18290000000002"/>
  </r>
  <r>
    <n v="2437"/>
    <x v="445"/>
    <x v="3"/>
    <x v="7"/>
    <d v="2014-07-11T00:00:00"/>
    <n v="7"/>
    <x v="1"/>
    <s v="Christina Anderson"/>
    <x v="0"/>
    <s v="United States"/>
    <s v="Farmington"/>
    <s v="New Mexico"/>
    <s v="West"/>
    <x v="0"/>
    <x v="5"/>
    <s v="Tenex Traditional Chairmats for Medium Pile Carpet, Standard Lip, 36&quot; x 48&quot;"/>
    <x v="2009"/>
    <n v="9"/>
    <n v="0"/>
    <n v="114.6285"/>
  </r>
  <r>
    <n v="2438"/>
    <x v="728"/>
    <x v="2"/>
    <x v="0"/>
    <d v="2011-11-20T00:00:00"/>
    <n v="2"/>
    <x v="0"/>
    <s v="Pierre Wener"/>
    <x v="0"/>
    <s v="United States"/>
    <s v="Louisville"/>
    <s v="Colorado"/>
    <s v="West"/>
    <x v="0"/>
    <x v="3"/>
    <s v="Bevis Rectangular Conference Tables"/>
    <x v="2010"/>
    <n v="2"/>
    <n v="0.5"/>
    <n v="-99.266400000000004"/>
  </r>
  <r>
    <n v="2439"/>
    <x v="728"/>
    <x v="2"/>
    <x v="0"/>
    <d v="2011-11-20T00:00:00"/>
    <n v="2"/>
    <x v="0"/>
    <s v="Pierre Wener"/>
    <x v="0"/>
    <s v="United States"/>
    <s v="Louisville"/>
    <s v="Colorado"/>
    <s v="West"/>
    <x v="1"/>
    <x v="10"/>
    <s v="Geographics Note Cards, Blank, White, 8 1/2&quot; x 11&quot;"/>
    <x v="2011"/>
    <n v="4"/>
    <n v="0.2"/>
    <n v="12.5328"/>
  </r>
  <r>
    <n v="2440"/>
    <x v="729"/>
    <x v="3"/>
    <x v="7"/>
    <d v="2014-07-23T00:00:00"/>
    <n v="5"/>
    <x v="1"/>
    <s v="Shaun Weien"/>
    <x v="0"/>
    <s v="United States"/>
    <s v="Tampa"/>
    <s v="Florida"/>
    <s v="South"/>
    <x v="0"/>
    <x v="5"/>
    <s v="C-Line Magnetic Cubicle Keepers, Clear Polypropylene"/>
    <x v="2012"/>
    <n v="2"/>
    <n v="0.2"/>
    <n v="2.1736"/>
  </r>
  <r>
    <n v="2441"/>
    <x v="730"/>
    <x v="0"/>
    <x v="5"/>
    <d v="2013-05-28T00:00:00"/>
    <n v="5"/>
    <x v="1"/>
    <s v="Art Ferguson"/>
    <x v="0"/>
    <s v="United States"/>
    <s v="Passaic"/>
    <s v="New Jersey"/>
    <s v="East"/>
    <x v="2"/>
    <x v="7"/>
    <s v="AT&amp;T 841000 Phone"/>
    <x v="2013"/>
    <n v="5"/>
    <n v="0"/>
    <n v="86.25"/>
  </r>
  <r>
    <n v="2442"/>
    <x v="730"/>
    <x v="0"/>
    <x v="5"/>
    <d v="2013-05-28T00:00:00"/>
    <n v="5"/>
    <x v="1"/>
    <s v="Art Ferguson"/>
    <x v="0"/>
    <s v="United States"/>
    <s v="Passaic"/>
    <s v="New Jersey"/>
    <s v="East"/>
    <x v="0"/>
    <x v="3"/>
    <s v="Bevis 36 x 72 Conference Tables"/>
    <x v="2014"/>
    <n v="2"/>
    <n v="0.3"/>
    <n v="-19.918399999999998"/>
  </r>
  <r>
    <n v="2443"/>
    <x v="730"/>
    <x v="0"/>
    <x v="5"/>
    <d v="2013-05-28T00:00:00"/>
    <n v="5"/>
    <x v="1"/>
    <s v="Art Ferguson"/>
    <x v="0"/>
    <s v="United States"/>
    <s v="Passaic"/>
    <s v="New Jersey"/>
    <s v="East"/>
    <x v="1"/>
    <x v="9"/>
    <s v="Eureka Sanitaire  Commercial Upright"/>
    <x v="2015"/>
    <n v="4"/>
    <n v="0"/>
    <n v="172.33840000000001"/>
  </r>
  <r>
    <n v="2444"/>
    <x v="730"/>
    <x v="0"/>
    <x v="5"/>
    <d v="2013-05-28T00:00:00"/>
    <n v="5"/>
    <x v="1"/>
    <s v="Art Ferguson"/>
    <x v="0"/>
    <s v="United States"/>
    <s v="Passaic"/>
    <s v="New Jersey"/>
    <s v="East"/>
    <x v="2"/>
    <x v="11"/>
    <s v="SanDisk Cruzer 32 GB USB Flash Drive"/>
    <x v="2016"/>
    <n v="5"/>
    <n v="0"/>
    <n v="30.431999999999999"/>
  </r>
  <r>
    <n v="2445"/>
    <x v="730"/>
    <x v="0"/>
    <x v="5"/>
    <d v="2013-05-28T00:00:00"/>
    <n v="5"/>
    <x v="1"/>
    <s v="Art Ferguson"/>
    <x v="0"/>
    <s v="United States"/>
    <s v="Passaic"/>
    <s v="New Jersey"/>
    <s v="East"/>
    <x v="1"/>
    <x v="12"/>
    <s v="Ampad #10 Peel &amp; Seel Holiday Envelopes"/>
    <x v="2017"/>
    <n v="6"/>
    <n v="0"/>
    <n v="12.9024"/>
  </r>
  <r>
    <n v="2446"/>
    <x v="730"/>
    <x v="0"/>
    <x v="5"/>
    <d v="2013-05-28T00:00:00"/>
    <n v="5"/>
    <x v="1"/>
    <s v="Art Ferguson"/>
    <x v="0"/>
    <s v="United States"/>
    <s v="Passaic"/>
    <s v="New Jersey"/>
    <s v="East"/>
    <x v="2"/>
    <x v="7"/>
    <s v="Digium D40 VoIP phone"/>
    <x v="2018"/>
    <n v="2"/>
    <n v="0"/>
    <n v="74.8142"/>
  </r>
  <r>
    <n v="2447"/>
    <x v="12"/>
    <x v="1"/>
    <x v="8"/>
    <d v="2012-10-01T00:00:00"/>
    <n v="6"/>
    <x v="1"/>
    <s v="Anne McFarland"/>
    <x v="0"/>
    <s v="United States"/>
    <s v="Los Angeles"/>
    <s v="California"/>
    <s v="West"/>
    <x v="1"/>
    <x v="12"/>
    <s v="#10- 4 1/8&quot; x 9 1/2&quot; Recycled Envelopes"/>
    <x v="1897"/>
    <n v="2"/>
    <n v="0"/>
    <n v="8.2156000000000002"/>
  </r>
  <r>
    <n v="2448"/>
    <x v="731"/>
    <x v="0"/>
    <x v="0"/>
    <d v="2013-11-07T00:00:00"/>
    <n v="6"/>
    <x v="1"/>
    <s v="Bill Donatelli"/>
    <x v="0"/>
    <s v="United States"/>
    <s v="Philadelphia"/>
    <s v="Pennsylvania"/>
    <s v="East"/>
    <x v="0"/>
    <x v="1"/>
    <s v="Hon Olson Stacker Stools"/>
    <x v="2019"/>
    <n v="5"/>
    <n v="0.3"/>
    <n v="-14.081"/>
  </r>
  <r>
    <n v="2449"/>
    <x v="471"/>
    <x v="1"/>
    <x v="8"/>
    <d v="2012-09-17T00:00:00"/>
    <n v="3"/>
    <x v="0"/>
    <s v="Christopher Martinez"/>
    <x v="0"/>
    <s v="United States"/>
    <s v="North Charleston"/>
    <s v="South Carolina"/>
    <s v="South"/>
    <x v="1"/>
    <x v="4"/>
    <s v="Fellowes Officeware Wire Shelving"/>
    <x v="2020"/>
    <n v="3"/>
    <n v="0"/>
    <n v="5.3898000000000001"/>
  </r>
  <r>
    <n v="2450"/>
    <x v="732"/>
    <x v="0"/>
    <x v="0"/>
    <d v="2013-11-11T00:00:00"/>
    <n v="5"/>
    <x v="1"/>
    <s v="Christopher Schild"/>
    <x v="2"/>
    <s v="United States"/>
    <s v="San Jose"/>
    <s v="California"/>
    <s v="West"/>
    <x v="1"/>
    <x v="8"/>
    <s v="Cardinal Holdit Data Disk Pockets"/>
    <x v="2021"/>
    <n v="5"/>
    <n v="0.2"/>
    <n v="9.8279999999999994"/>
  </r>
  <r>
    <n v="2451"/>
    <x v="294"/>
    <x v="3"/>
    <x v="10"/>
    <d v="2014-03-23T00:00:00"/>
    <n v="5"/>
    <x v="0"/>
    <s v="Denny Blanton"/>
    <x v="0"/>
    <s v="United States"/>
    <s v="New York City"/>
    <s v="New York"/>
    <s v="East"/>
    <x v="1"/>
    <x v="2"/>
    <s v="Avery 496"/>
    <x v="2022"/>
    <n v="5"/>
    <n v="0"/>
    <n v="9"/>
  </r>
  <r>
    <n v="2452"/>
    <x v="294"/>
    <x v="3"/>
    <x v="10"/>
    <d v="2014-03-23T00:00:00"/>
    <n v="5"/>
    <x v="0"/>
    <s v="Denny Blanton"/>
    <x v="0"/>
    <s v="United States"/>
    <s v="New York City"/>
    <s v="New York"/>
    <s v="East"/>
    <x v="2"/>
    <x v="7"/>
    <s v="Cisco SPA525G2 IP Phone - Wireless"/>
    <x v="2023"/>
    <n v="6"/>
    <n v="0"/>
    <n v="31.122"/>
  </r>
  <r>
    <n v="2453"/>
    <x v="294"/>
    <x v="3"/>
    <x v="10"/>
    <d v="2014-03-23T00:00:00"/>
    <n v="5"/>
    <x v="0"/>
    <s v="Denny Blanton"/>
    <x v="0"/>
    <s v="United States"/>
    <s v="New York City"/>
    <s v="New York"/>
    <s v="East"/>
    <x v="1"/>
    <x v="8"/>
    <s v="Acco Pressboard Covers with Storage Hooks, 9 1/2&quot; x 11&quot;, Executive Red"/>
    <x v="1073"/>
    <n v="3"/>
    <n v="0.2"/>
    <n v="3.0861000000000001"/>
  </r>
  <r>
    <n v="2454"/>
    <x v="294"/>
    <x v="3"/>
    <x v="10"/>
    <d v="2014-03-23T00:00:00"/>
    <n v="5"/>
    <x v="0"/>
    <s v="Denny Blanton"/>
    <x v="0"/>
    <s v="United States"/>
    <s v="New York City"/>
    <s v="New York"/>
    <s v="East"/>
    <x v="2"/>
    <x v="11"/>
    <s v="SanDisk Cruzer 32 GB USB Flash Drive"/>
    <x v="2024"/>
    <n v="3"/>
    <n v="0"/>
    <n v="18.2592"/>
  </r>
  <r>
    <n v="2455"/>
    <x v="294"/>
    <x v="3"/>
    <x v="10"/>
    <d v="2014-03-23T00:00:00"/>
    <n v="5"/>
    <x v="0"/>
    <s v="Denny Blanton"/>
    <x v="0"/>
    <s v="United States"/>
    <s v="New York City"/>
    <s v="New York"/>
    <s v="East"/>
    <x v="2"/>
    <x v="11"/>
    <s v="Kingston Digital DataTraveler 16GB USB 2.0"/>
    <x v="1819"/>
    <n v="8"/>
    <n v="0"/>
    <n v="13.603999999999999"/>
  </r>
  <r>
    <n v="2456"/>
    <x v="294"/>
    <x v="3"/>
    <x v="10"/>
    <d v="2014-03-23T00:00:00"/>
    <n v="5"/>
    <x v="0"/>
    <s v="Denny Blanton"/>
    <x v="0"/>
    <s v="United States"/>
    <s v="New York City"/>
    <s v="New York"/>
    <s v="East"/>
    <x v="1"/>
    <x v="4"/>
    <s v="Neat Ideas Personal Hanging Folder Files, Black"/>
    <x v="2025"/>
    <n v="8"/>
    <n v="0"/>
    <n v="27.9344"/>
  </r>
  <r>
    <n v="2457"/>
    <x v="294"/>
    <x v="3"/>
    <x v="10"/>
    <d v="2014-03-23T00:00:00"/>
    <n v="5"/>
    <x v="0"/>
    <s v="Denny Blanton"/>
    <x v="0"/>
    <s v="United States"/>
    <s v="New York City"/>
    <s v="New York"/>
    <s v="East"/>
    <x v="1"/>
    <x v="2"/>
    <s v="Avery 486"/>
    <x v="2026"/>
    <n v="1"/>
    <n v="0"/>
    <n v="3.4357000000000002"/>
  </r>
  <r>
    <n v="2458"/>
    <x v="294"/>
    <x v="3"/>
    <x v="10"/>
    <d v="2014-03-23T00:00:00"/>
    <n v="5"/>
    <x v="0"/>
    <s v="Denny Blanton"/>
    <x v="0"/>
    <s v="United States"/>
    <s v="New York City"/>
    <s v="New York"/>
    <s v="East"/>
    <x v="1"/>
    <x v="6"/>
    <s v="Lumber Crayons"/>
    <x v="2027"/>
    <n v="6"/>
    <n v="0"/>
    <n v="22.457999999999998"/>
  </r>
  <r>
    <n v="2459"/>
    <x v="294"/>
    <x v="3"/>
    <x v="10"/>
    <d v="2014-03-23T00:00:00"/>
    <n v="5"/>
    <x v="0"/>
    <s v="Denny Blanton"/>
    <x v="0"/>
    <s v="United States"/>
    <s v="New York City"/>
    <s v="New York"/>
    <s v="East"/>
    <x v="1"/>
    <x v="4"/>
    <s v="Tenex File Box, Personal Filing Tote with Lid, Black"/>
    <x v="2028"/>
    <n v="3"/>
    <n v="0"/>
    <n v="12.097799999999999"/>
  </r>
  <r>
    <n v="2460"/>
    <x v="733"/>
    <x v="3"/>
    <x v="6"/>
    <d v="2014-08-22T00:00:00"/>
    <n v="6"/>
    <x v="1"/>
    <s v="James Galang"/>
    <x v="0"/>
    <s v="United States"/>
    <s v="Plainfield"/>
    <s v="New Jersey"/>
    <s v="East"/>
    <x v="1"/>
    <x v="9"/>
    <s v="Fellowes Premier Superior Surge Suppressor, 10-Outlet, With Phone and Remote"/>
    <x v="2029"/>
    <n v="2"/>
    <n v="0"/>
    <n v="25.438400000000001"/>
  </r>
  <r>
    <n v="2461"/>
    <x v="655"/>
    <x v="1"/>
    <x v="7"/>
    <d v="2012-07-13T00:00:00"/>
    <n v="2"/>
    <x v="0"/>
    <s v="Shahid Collister"/>
    <x v="0"/>
    <s v="United States"/>
    <s v="Seattle"/>
    <s v="Washington"/>
    <s v="West"/>
    <x v="1"/>
    <x v="10"/>
    <s v="Xerox 1896"/>
    <x v="2030"/>
    <n v="3"/>
    <n v="0"/>
    <n v="13.486499999999999"/>
  </r>
  <r>
    <n v="2462"/>
    <x v="655"/>
    <x v="1"/>
    <x v="7"/>
    <d v="2012-07-13T00:00:00"/>
    <n v="2"/>
    <x v="0"/>
    <s v="Shahid Collister"/>
    <x v="0"/>
    <s v="United States"/>
    <s v="Seattle"/>
    <s v="Washington"/>
    <s v="West"/>
    <x v="1"/>
    <x v="8"/>
    <s v="Wilson Jones Ledger-Size, Piano-Hinge Binder, 2&quot;, Blue"/>
    <x v="2031"/>
    <n v="3"/>
    <n v="0.2"/>
    <n v="34.423200000000001"/>
  </r>
  <r>
    <n v="2463"/>
    <x v="734"/>
    <x v="3"/>
    <x v="4"/>
    <d v="2014-12-10T00:00:00"/>
    <n v="6"/>
    <x v="1"/>
    <s v="Chuck Sachs"/>
    <x v="0"/>
    <s v="United States"/>
    <s v="New York City"/>
    <s v="New York"/>
    <s v="East"/>
    <x v="1"/>
    <x v="8"/>
    <s v="GBC Premium Transparent Covers with Diagonal Lined Pattern"/>
    <x v="202"/>
    <n v="5"/>
    <n v="0.2"/>
    <n v="29.372"/>
  </r>
  <r>
    <n v="2464"/>
    <x v="734"/>
    <x v="3"/>
    <x v="4"/>
    <d v="2014-12-10T00:00:00"/>
    <n v="6"/>
    <x v="1"/>
    <s v="Chuck Sachs"/>
    <x v="0"/>
    <s v="United States"/>
    <s v="New York City"/>
    <s v="New York"/>
    <s v="East"/>
    <x v="1"/>
    <x v="8"/>
    <s v="SpineVue Locking Slant-D Ring Binders by Cardinal"/>
    <x v="892"/>
    <n v="2"/>
    <n v="0.2"/>
    <n v="5.1184000000000003"/>
  </r>
  <r>
    <n v="2465"/>
    <x v="734"/>
    <x v="3"/>
    <x v="4"/>
    <d v="2014-12-10T00:00:00"/>
    <n v="6"/>
    <x v="1"/>
    <s v="Chuck Sachs"/>
    <x v="0"/>
    <s v="United States"/>
    <s v="New York City"/>
    <s v="New York"/>
    <s v="East"/>
    <x v="2"/>
    <x v="7"/>
    <s v="AT&amp;T 1080 Corded phone"/>
    <x v="2032"/>
    <n v="1"/>
    <n v="0"/>
    <n v="36.987299999999998"/>
  </r>
  <r>
    <n v="2466"/>
    <x v="734"/>
    <x v="3"/>
    <x v="4"/>
    <d v="2014-12-10T00:00:00"/>
    <n v="6"/>
    <x v="1"/>
    <s v="Chuck Sachs"/>
    <x v="0"/>
    <s v="United States"/>
    <s v="New York City"/>
    <s v="New York"/>
    <s v="East"/>
    <x v="1"/>
    <x v="2"/>
    <s v="Avery 520"/>
    <x v="974"/>
    <n v="1"/>
    <n v="0"/>
    <n v="1.512"/>
  </r>
  <r>
    <n v="2467"/>
    <x v="464"/>
    <x v="3"/>
    <x v="5"/>
    <d v="2014-05-09T00:00:00"/>
    <n v="4"/>
    <x v="1"/>
    <s v="Mike Kennedy"/>
    <x v="0"/>
    <s v="United States"/>
    <s v="Newport News"/>
    <s v="Virginia"/>
    <s v="South"/>
    <x v="1"/>
    <x v="10"/>
    <s v="Black Print Carbonless Snap-Off Rapid Letter, 8 1/2&quot; x 7&quot;"/>
    <x v="2033"/>
    <n v="1"/>
    <n v="0"/>
    <n v="4.0994999999999999"/>
  </r>
  <r>
    <n v="2468"/>
    <x v="464"/>
    <x v="3"/>
    <x v="5"/>
    <d v="2014-05-09T00:00:00"/>
    <n v="4"/>
    <x v="1"/>
    <s v="Mike Kennedy"/>
    <x v="0"/>
    <s v="United States"/>
    <s v="Newport News"/>
    <s v="Virginia"/>
    <s v="South"/>
    <x v="1"/>
    <x v="4"/>
    <s v="Letter Size Cart"/>
    <x v="2034"/>
    <n v="4"/>
    <n v="0"/>
    <n v="165.7176"/>
  </r>
  <r>
    <n v="2469"/>
    <x v="464"/>
    <x v="3"/>
    <x v="5"/>
    <d v="2014-05-09T00:00:00"/>
    <n v="4"/>
    <x v="1"/>
    <s v="Mike Kennedy"/>
    <x v="0"/>
    <s v="United States"/>
    <s v="Newport News"/>
    <s v="Virginia"/>
    <s v="South"/>
    <x v="1"/>
    <x v="10"/>
    <s v="Xerox 23"/>
    <x v="56"/>
    <n v="5"/>
    <n v="0"/>
    <n v="15.552"/>
  </r>
  <r>
    <n v="2470"/>
    <x v="464"/>
    <x v="3"/>
    <x v="5"/>
    <d v="2014-05-09T00:00:00"/>
    <n v="4"/>
    <x v="1"/>
    <s v="Mike Kennedy"/>
    <x v="0"/>
    <s v="United States"/>
    <s v="Newport News"/>
    <s v="Virginia"/>
    <s v="South"/>
    <x v="1"/>
    <x v="4"/>
    <s v="Tenex Personal Self-Stacking Standard File Box, Black/Gray"/>
    <x v="2035"/>
    <n v="1"/>
    <n v="0"/>
    <n v="4.5656999999999996"/>
  </r>
  <r>
    <n v="2471"/>
    <x v="115"/>
    <x v="0"/>
    <x v="9"/>
    <d v="2013-01-28T00:00:00"/>
    <n v="6"/>
    <x v="1"/>
    <s v="Carlos Meador"/>
    <x v="0"/>
    <s v="United States"/>
    <s v="Fayetteville"/>
    <s v="North Carolina"/>
    <s v="South"/>
    <x v="0"/>
    <x v="5"/>
    <s v="Eldon Pizzaz Desk Accessories"/>
    <x v="2036"/>
    <n v="8"/>
    <n v="0.2"/>
    <n v="4.2816000000000001"/>
  </r>
  <r>
    <n v="2472"/>
    <x v="115"/>
    <x v="0"/>
    <x v="9"/>
    <d v="2013-01-28T00:00:00"/>
    <n v="6"/>
    <x v="1"/>
    <s v="Carlos Meador"/>
    <x v="0"/>
    <s v="United States"/>
    <s v="Fayetteville"/>
    <s v="North Carolina"/>
    <s v="South"/>
    <x v="0"/>
    <x v="0"/>
    <s v="Sauder Forest Hills Library, Woodland Oak Finish"/>
    <x v="2037"/>
    <n v="4"/>
    <n v="0.2"/>
    <n v="-67.670400000000001"/>
  </r>
  <r>
    <n v="2473"/>
    <x v="115"/>
    <x v="0"/>
    <x v="9"/>
    <d v="2013-01-28T00:00:00"/>
    <n v="6"/>
    <x v="1"/>
    <s v="Carlos Meador"/>
    <x v="0"/>
    <s v="United States"/>
    <s v="Fayetteville"/>
    <s v="North Carolina"/>
    <s v="South"/>
    <x v="1"/>
    <x v="9"/>
    <s v="Fellowes Mighty 8 Compact Surge Protector"/>
    <x v="2038"/>
    <n v="4"/>
    <n v="0.2"/>
    <n v="6.4863999999999997"/>
  </r>
  <r>
    <n v="2474"/>
    <x v="54"/>
    <x v="0"/>
    <x v="0"/>
    <d v="2013-11-07T00:00:00"/>
    <n v="3"/>
    <x v="2"/>
    <s v="Phillip Flathmann"/>
    <x v="0"/>
    <s v="United States"/>
    <s v="Los Angeles"/>
    <s v="California"/>
    <s v="West"/>
    <x v="0"/>
    <x v="1"/>
    <s v="Global Deluxe High-Back Office Chair in Storm"/>
    <x v="2039"/>
    <n v="2"/>
    <n v="0.2"/>
    <n v="-29.9178"/>
  </r>
  <r>
    <n v="2475"/>
    <x v="54"/>
    <x v="0"/>
    <x v="0"/>
    <d v="2013-11-07T00:00:00"/>
    <n v="3"/>
    <x v="2"/>
    <s v="Phillip Flathmann"/>
    <x v="0"/>
    <s v="United States"/>
    <s v="Los Angeles"/>
    <s v="California"/>
    <s v="West"/>
    <x v="2"/>
    <x v="11"/>
    <s v="Kensington K72356US Mouse-in-a-Box USB Desktop Mouse"/>
    <x v="2040"/>
    <n v="5"/>
    <n v="0"/>
    <n v="29.032499999999999"/>
  </r>
  <r>
    <n v="2476"/>
    <x v="54"/>
    <x v="0"/>
    <x v="0"/>
    <d v="2013-11-07T00:00:00"/>
    <n v="3"/>
    <x v="2"/>
    <s v="Phillip Flathmann"/>
    <x v="0"/>
    <s v="United States"/>
    <s v="Los Angeles"/>
    <s v="California"/>
    <s v="West"/>
    <x v="1"/>
    <x v="2"/>
    <s v="Avery 50"/>
    <x v="2041"/>
    <n v="7"/>
    <n v="0"/>
    <n v="41.223700000000001"/>
  </r>
  <r>
    <n v="2477"/>
    <x v="54"/>
    <x v="0"/>
    <x v="0"/>
    <d v="2013-11-07T00:00:00"/>
    <n v="3"/>
    <x v="2"/>
    <s v="Phillip Flathmann"/>
    <x v="0"/>
    <s v="United States"/>
    <s v="Los Angeles"/>
    <s v="California"/>
    <s v="West"/>
    <x v="1"/>
    <x v="9"/>
    <s v="Honeywell Enviracaire Portable HEPA Air Cleaner for 16' x 20' Room"/>
    <x v="2042"/>
    <n v="4"/>
    <n v="0"/>
    <n v="429.5772"/>
  </r>
  <r>
    <n v="2478"/>
    <x v="507"/>
    <x v="3"/>
    <x v="8"/>
    <d v="2014-09-09T00:00:00"/>
    <n v="4"/>
    <x v="0"/>
    <s v="Greg Maxwell"/>
    <x v="1"/>
    <s v="United States"/>
    <s v="Los Angeles"/>
    <s v="California"/>
    <s v="West"/>
    <x v="0"/>
    <x v="3"/>
    <s v="Chromcraft Bull-Nose Wood Oval Conference Tables &amp; Bases"/>
    <x v="2043"/>
    <n v="3"/>
    <n v="0.2"/>
    <n v="-99.176400000000001"/>
  </r>
  <r>
    <n v="2479"/>
    <x v="103"/>
    <x v="2"/>
    <x v="8"/>
    <d v="2011-09-19T00:00:00"/>
    <n v="6"/>
    <x v="1"/>
    <s v="Dan Campbell"/>
    <x v="0"/>
    <s v="United States"/>
    <s v="New York City"/>
    <s v="New York"/>
    <s v="East"/>
    <x v="1"/>
    <x v="6"/>
    <s v="Newell 322"/>
    <x v="1392"/>
    <n v="3"/>
    <n v="0"/>
    <n v="1.4742"/>
  </r>
  <r>
    <n v="2480"/>
    <x v="249"/>
    <x v="3"/>
    <x v="1"/>
    <d v="2014-06-26T00:00:00"/>
    <n v="6"/>
    <x v="1"/>
    <s v="Frank Olsen"/>
    <x v="0"/>
    <s v="United States"/>
    <s v="Dallas"/>
    <s v="Texas"/>
    <s v="Central"/>
    <x v="1"/>
    <x v="14"/>
    <s v="Fiskars Spring-Action Scissors"/>
    <x v="2044"/>
    <n v="1"/>
    <n v="0.2"/>
    <n v="0.83879999999999999"/>
  </r>
  <r>
    <n v="2481"/>
    <x v="249"/>
    <x v="3"/>
    <x v="1"/>
    <d v="2014-06-26T00:00:00"/>
    <n v="6"/>
    <x v="1"/>
    <s v="Frank Olsen"/>
    <x v="0"/>
    <s v="United States"/>
    <s v="Dallas"/>
    <s v="Texas"/>
    <s v="Central"/>
    <x v="1"/>
    <x v="4"/>
    <s v="Safco Industrial Wire Shelving"/>
    <x v="2045"/>
    <n v="2"/>
    <n v="0.2"/>
    <n v="-32.636600000000001"/>
  </r>
  <r>
    <n v="2482"/>
    <x v="165"/>
    <x v="3"/>
    <x v="4"/>
    <d v="2015-01-01T00:00:00"/>
    <n v="7"/>
    <x v="1"/>
    <s v="Alan Hwang"/>
    <x v="0"/>
    <s v="United States"/>
    <s v="Seattle"/>
    <s v="Washington"/>
    <s v="West"/>
    <x v="1"/>
    <x v="4"/>
    <s v="Office Impressions Heavy Duty Welded Shelving &amp; Multimedia Storage Drawers"/>
    <x v="2046"/>
    <n v="6"/>
    <n v="0"/>
    <n v="0"/>
  </r>
  <r>
    <n v="2483"/>
    <x v="735"/>
    <x v="3"/>
    <x v="6"/>
    <d v="2014-09-04T00:00:00"/>
    <n v="6"/>
    <x v="1"/>
    <s v="Kristina Nunn"/>
    <x v="2"/>
    <s v="United States"/>
    <s v="Seattle"/>
    <s v="Washington"/>
    <s v="West"/>
    <x v="2"/>
    <x v="7"/>
    <s v="Anker 24W Portable Micro USB Car Charger"/>
    <x v="200"/>
    <n v="4"/>
    <n v="0.2"/>
    <n v="11.429600000000001"/>
  </r>
  <r>
    <n v="2484"/>
    <x v="735"/>
    <x v="3"/>
    <x v="6"/>
    <d v="2014-09-04T00:00:00"/>
    <n v="6"/>
    <x v="1"/>
    <s v="Kristina Nunn"/>
    <x v="2"/>
    <s v="United States"/>
    <s v="Seattle"/>
    <s v="Washington"/>
    <s v="West"/>
    <x v="0"/>
    <x v="3"/>
    <s v="Hon Practical Foundations 30 x 60 Training Table, Light Gray/Charcoal"/>
    <x v="2047"/>
    <n v="5"/>
    <n v="0"/>
    <n v="250.30500000000001"/>
  </r>
  <r>
    <n v="2485"/>
    <x v="735"/>
    <x v="3"/>
    <x v="6"/>
    <d v="2014-09-04T00:00:00"/>
    <n v="6"/>
    <x v="1"/>
    <s v="Kristina Nunn"/>
    <x v="2"/>
    <s v="United States"/>
    <s v="Seattle"/>
    <s v="Washington"/>
    <s v="West"/>
    <x v="1"/>
    <x v="8"/>
    <s v="GBC Standard Therm-A-Bind Covers"/>
    <x v="2048"/>
    <n v="5"/>
    <n v="0.2"/>
    <n v="32.396000000000001"/>
  </r>
  <r>
    <n v="2486"/>
    <x v="735"/>
    <x v="3"/>
    <x v="6"/>
    <d v="2014-09-04T00:00:00"/>
    <n v="6"/>
    <x v="1"/>
    <s v="Kristina Nunn"/>
    <x v="2"/>
    <s v="United States"/>
    <s v="Seattle"/>
    <s v="Washington"/>
    <s v="West"/>
    <x v="1"/>
    <x v="6"/>
    <s v="Newell 344"/>
    <x v="345"/>
    <n v="2"/>
    <n v="0"/>
    <n v="1.4456"/>
  </r>
  <r>
    <n v="2487"/>
    <x v="98"/>
    <x v="1"/>
    <x v="9"/>
    <d v="2012-01-04T00:00:00"/>
    <n v="2"/>
    <x v="0"/>
    <s v="Claudia Bergmann"/>
    <x v="1"/>
    <s v="United States"/>
    <s v="Newark"/>
    <s v="Delaware"/>
    <s v="East"/>
    <x v="1"/>
    <x v="4"/>
    <s v="SAFCO Mobile Desk Side File, Wire Frame"/>
    <x v="2049"/>
    <n v="2"/>
    <n v="0"/>
    <n v="22.235199999999999"/>
  </r>
  <r>
    <n v="2488"/>
    <x v="98"/>
    <x v="1"/>
    <x v="9"/>
    <d v="2012-01-04T00:00:00"/>
    <n v="2"/>
    <x v="0"/>
    <s v="Claudia Bergmann"/>
    <x v="1"/>
    <s v="United States"/>
    <s v="Newark"/>
    <s v="Delaware"/>
    <s v="East"/>
    <x v="1"/>
    <x v="6"/>
    <s v="Newell 313"/>
    <x v="294"/>
    <n v="3"/>
    <n v="0"/>
    <n v="2.6568000000000001"/>
  </r>
  <r>
    <n v="2489"/>
    <x v="98"/>
    <x v="1"/>
    <x v="9"/>
    <d v="2012-01-04T00:00:00"/>
    <n v="2"/>
    <x v="0"/>
    <s v="Claudia Bergmann"/>
    <x v="1"/>
    <s v="United States"/>
    <s v="Newark"/>
    <s v="Delaware"/>
    <s v="East"/>
    <x v="1"/>
    <x v="10"/>
    <s v="Xerox 1959"/>
    <x v="130"/>
    <n v="3"/>
    <n v="0"/>
    <n v="9.6191999999999993"/>
  </r>
  <r>
    <n v="2490"/>
    <x v="330"/>
    <x v="1"/>
    <x v="2"/>
    <d v="2012-10-13T00:00:00"/>
    <n v="4"/>
    <x v="0"/>
    <s v="Tim Brockman"/>
    <x v="0"/>
    <s v="United States"/>
    <s v="New York City"/>
    <s v="New York"/>
    <s v="East"/>
    <x v="2"/>
    <x v="7"/>
    <s v="Jawbone JAMBOX Wireless Bluetooth Speaker"/>
    <x v="2050"/>
    <n v="4"/>
    <n v="0"/>
    <n v="303.3408"/>
  </r>
  <r>
    <n v="2491"/>
    <x v="330"/>
    <x v="1"/>
    <x v="2"/>
    <d v="2012-10-13T00:00:00"/>
    <n v="4"/>
    <x v="0"/>
    <s v="Tim Brockman"/>
    <x v="0"/>
    <s v="United States"/>
    <s v="New York City"/>
    <s v="New York"/>
    <s v="East"/>
    <x v="1"/>
    <x v="10"/>
    <s v="Xerox 1895"/>
    <x v="100"/>
    <n v="4"/>
    <n v="0"/>
    <n v="10.763999999999999"/>
  </r>
  <r>
    <n v="2492"/>
    <x v="736"/>
    <x v="2"/>
    <x v="4"/>
    <d v="2011-12-15T00:00:00"/>
    <n v="2"/>
    <x v="0"/>
    <s v="Katherine Ducich"/>
    <x v="0"/>
    <s v="United States"/>
    <s v="Los Angeles"/>
    <s v="California"/>
    <s v="West"/>
    <x v="1"/>
    <x v="10"/>
    <s v="White GlueTop Scratch Pads"/>
    <x v="2051"/>
    <n v="6"/>
    <n v="0"/>
    <n v="41.510399999999997"/>
  </r>
  <r>
    <n v="2493"/>
    <x v="84"/>
    <x v="2"/>
    <x v="0"/>
    <d v="2011-11-23T00:00:00"/>
    <n v="4"/>
    <x v="1"/>
    <s v="John Murray"/>
    <x v="0"/>
    <s v="United States"/>
    <s v="Jamestown"/>
    <s v="New York"/>
    <s v="East"/>
    <x v="2"/>
    <x v="7"/>
    <s v="Apple iPhone 5"/>
    <x v="2052"/>
    <n v="7"/>
    <n v="0"/>
    <n v="1228.1786999999999"/>
  </r>
  <r>
    <n v="2494"/>
    <x v="545"/>
    <x v="0"/>
    <x v="8"/>
    <d v="2013-09-15T00:00:00"/>
    <n v="4"/>
    <x v="0"/>
    <s v="Kean Thornton"/>
    <x v="0"/>
    <s v="United States"/>
    <s v="Houston"/>
    <s v="Texas"/>
    <s v="Central"/>
    <x v="0"/>
    <x v="3"/>
    <s v="KI Adjustable-Height Table"/>
    <x v="2053"/>
    <n v="5"/>
    <n v="0.3"/>
    <n v="-34.392000000000003"/>
  </r>
  <r>
    <n v="2495"/>
    <x v="545"/>
    <x v="0"/>
    <x v="8"/>
    <d v="2013-09-15T00:00:00"/>
    <n v="4"/>
    <x v="0"/>
    <s v="Kean Thornton"/>
    <x v="0"/>
    <s v="United States"/>
    <s v="Houston"/>
    <s v="Texas"/>
    <s v="Central"/>
    <x v="2"/>
    <x v="7"/>
    <s v="Polycom VVX 310 VoIP phone"/>
    <x v="2054"/>
    <n v="5"/>
    <n v="0.2"/>
    <n v="53.997"/>
  </r>
  <r>
    <n v="2496"/>
    <x v="737"/>
    <x v="2"/>
    <x v="1"/>
    <d v="2011-06-22T00:00:00"/>
    <n v="6"/>
    <x v="1"/>
    <s v="Sonia Cooley"/>
    <x v="0"/>
    <s v="United States"/>
    <s v="Mishawaka"/>
    <s v="Indiana"/>
    <s v="Central"/>
    <x v="0"/>
    <x v="1"/>
    <s v="Global Geo Office Task Chair, Gray"/>
    <x v="342"/>
    <n v="8"/>
    <n v="0"/>
    <n v="32.392000000000003"/>
  </r>
  <r>
    <n v="2497"/>
    <x v="120"/>
    <x v="1"/>
    <x v="8"/>
    <d v="2012-10-01T00:00:00"/>
    <n v="5"/>
    <x v="1"/>
    <s v="Bryan Spruell"/>
    <x v="2"/>
    <s v="United States"/>
    <s v="San Diego"/>
    <s v="California"/>
    <s v="West"/>
    <x v="1"/>
    <x v="4"/>
    <s v="Sortfiler Multipurpose Personal File Organizer, Black"/>
    <x v="2055"/>
    <n v="3"/>
    <n v="0"/>
    <n v="18.609300000000001"/>
  </r>
  <r>
    <n v="2498"/>
    <x v="120"/>
    <x v="1"/>
    <x v="8"/>
    <d v="2012-10-01T00:00:00"/>
    <n v="5"/>
    <x v="1"/>
    <s v="Bryan Spruell"/>
    <x v="2"/>
    <s v="United States"/>
    <s v="San Diego"/>
    <s v="California"/>
    <s v="West"/>
    <x v="1"/>
    <x v="12"/>
    <s v="Cameo Buff Policy Envelopes"/>
    <x v="2056"/>
    <n v="2"/>
    <n v="0"/>
    <n v="58.496200000000002"/>
  </r>
  <r>
    <n v="2499"/>
    <x v="288"/>
    <x v="0"/>
    <x v="5"/>
    <d v="2013-05-25T00:00:00"/>
    <n v="5"/>
    <x v="1"/>
    <s v="Bill Tyler"/>
    <x v="1"/>
    <s v="United States"/>
    <s v="San Francisco"/>
    <s v="California"/>
    <s v="West"/>
    <x v="1"/>
    <x v="8"/>
    <s v="GBC Personal VeloBind Strips"/>
    <x v="2057"/>
    <n v="1"/>
    <n v="0.2"/>
    <n v="3.3544"/>
  </r>
  <r>
    <n v="2500"/>
    <x v="738"/>
    <x v="3"/>
    <x v="1"/>
    <d v="2014-06-24T00:00:00"/>
    <n v="1"/>
    <x v="2"/>
    <s v="Dan Campbell"/>
    <x v="0"/>
    <s v="United States"/>
    <s v="Miami"/>
    <s v="Florida"/>
    <s v="South"/>
    <x v="1"/>
    <x v="12"/>
    <s v="#10 White Business Envelopes,4 1/8 x 9 1/2"/>
    <x v="2058"/>
    <n v="3"/>
    <n v="0.2"/>
    <n v="12.6927"/>
  </r>
  <r>
    <n v="2501"/>
    <x v="46"/>
    <x v="3"/>
    <x v="1"/>
    <d v="2014-06-21T00:00:00"/>
    <n v="3"/>
    <x v="2"/>
    <s v="Luke Schmidt"/>
    <x v="1"/>
    <s v="United States"/>
    <s v="Skokie"/>
    <s v="Illinois"/>
    <s v="Central"/>
    <x v="1"/>
    <x v="10"/>
    <s v="Rediform Wirebound &quot;Phone Memo&quot; Message Book, 11 x 5-3/4"/>
    <x v="2059"/>
    <n v="2"/>
    <n v="0.2"/>
    <n v="4.4311999999999996"/>
  </r>
  <r>
    <n v="2502"/>
    <x v="46"/>
    <x v="3"/>
    <x v="1"/>
    <d v="2014-06-21T00:00:00"/>
    <n v="3"/>
    <x v="2"/>
    <s v="Luke Schmidt"/>
    <x v="1"/>
    <s v="United States"/>
    <s v="Skokie"/>
    <s v="Illinois"/>
    <s v="Central"/>
    <x v="1"/>
    <x v="8"/>
    <s v="Avery Durable Binders"/>
    <x v="2060"/>
    <n v="4"/>
    <n v="0.8"/>
    <n v="-3.5712000000000002"/>
  </r>
  <r>
    <n v="2503"/>
    <x v="46"/>
    <x v="3"/>
    <x v="1"/>
    <d v="2014-06-21T00:00:00"/>
    <n v="3"/>
    <x v="2"/>
    <s v="Luke Schmidt"/>
    <x v="1"/>
    <s v="United States"/>
    <s v="Skokie"/>
    <s v="Illinois"/>
    <s v="Central"/>
    <x v="1"/>
    <x v="8"/>
    <s v="Fellowes Binding Cases"/>
    <x v="2061"/>
    <n v="4"/>
    <n v="0.8"/>
    <n v="-16.38"/>
  </r>
  <r>
    <n v="2504"/>
    <x v="696"/>
    <x v="0"/>
    <x v="0"/>
    <d v="2013-11-20T00:00:00"/>
    <n v="5"/>
    <x v="1"/>
    <s v="Ralph Ritter"/>
    <x v="0"/>
    <s v="United States"/>
    <s v="San Francisco"/>
    <s v="California"/>
    <s v="West"/>
    <x v="1"/>
    <x v="2"/>
    <s v="Avery 52"/>
    <x v="1552"/>
    <n v="2"/>
    <n v="0"/>
    <n v="3.4685999999999999"/>
  </r>
  <r>
    <n v="2505"/>
    <x v="739"/>
    <x v="2"/>
    <x v="7"/>
    <d v="2011-07-27T00:00:00"/>
    <n v="2"/>
    <x v="0"/>
    <s v="Ken Lonsdale"/>
    <x v="0"/>
    <s v="United States"/>
    <s v="San Francisco"/>
    <s v="California"/>
    <s v="West"/>
    <x v="1"/>
    <x v="4"/>
    <s v="Fellowes Personal Hanging Folder Files, Navy"/>
    <x v="2062"/>
    <n v="4"/>
    <n v="0"/>
    <n v="15.041600000000001"/>
  </r>
  <r>
    <n v="2506"/>
    <x v="739"/>
    <x v="2"/>
    <x v="7"/>
    <d v="2011-07-27T00:00:00"/>
    <n v="2"/>
    <x v="0"/>
    <s v="Ken Lonsdale"/>
    <x v="0"/>
    <s v="United States"/>
    <s v="San Francisco"/>
    <s v="California"/>
    <s v="West"/>
    <x v="1"/>
    <x v="14"/>
    <s v="High Speed Automatic Electric Letter Opener"/>
    <x v="2063"/>
    <n v="5"/>
    <n v="0"/>
    <n v="327.50599999999997"/>
  </r>
  <r>
    <n v="2507"/>
    <x v="739"/>
    <x v="2"/>
    <x v="7"/>
    <d v="2011-07-27T00:00:00"/>
    <n v="2"/>
    <x v="0"/>
    <s v="Ken Lonsdale"/>
    <x v="0"/>
    <s v="United States"/>
    <s v="San Francisco"/>
    <s v="California"/>
    <s v="West"/>
    <x v="0"/>
    <x v="5"/>
    <s v="Staples"/>
    <x v="2064"/>
    <n v="8"/>
    <n v="0"/>
    <n v="34.284799999999997"/>
  </r>
  <r>
    <n v="2508"/>
    <x v="740"/>
    <x v="1"/>
    <x v="7"/>
    <d v="2012-07-02T00:00:00"/>
    <n v="0"/>
    <x v="3"/>
    <s v="Richard Bierner"/>
    <x v="0"/>
    <s v="United States"/>
    <s v="Houston"/>
    <s v="Texas"/>
    <s v="Central"/>
    <x v="1"/>
    <x v="9"/>
    <s v="Belkin 8 Outlet Surge Protector"/>
    <x v="2065"/>
    <n v="4"/>
    <n v="0.8"/>
    <n v="-85.238399999999999"/>
  </r>
  <r>
    <n v="2509"/>
    <x v="580"/>
    <x v="3"/>
    <x v="10"/>
    <d v="2014-03-09T00:00:00"/>
    <n v="6"/>
    <x v="1"/>
    <s v="Maribeth Yedwab"/>
    <x v="1"/>
    <s v="United States"/>
    <s v="Los Angeles"/>
    <s v="California"/>
    <s v="West"/>
    <x v="2"/>
    <x v="7"/>
    <s v="Panasonic KX TS3282B Corded phone"/>
    <x v="2066"/>
    <n v="3"/>
    <n v="0.2"/>
    <n v="14.7582"/>
  </r>
  <r>
    <n v="2510"/>
    <x v="580"/>
    <x v="3"/>
    <x v="10"/>
    <d v="2014-03-09T00:00:00"/>
    <n v="6"/>
    <x v="1"/>
    <s v="Maribeth Yedwab"/>
    <x v="1"/>
    <s v="United States"/>
    <s v="Los Angeles"/>
    <s v="California"/>
    <s v="West"/>
    <x v="2"/>
    <x v="11"/>
    <s v="Logitech G13 Programmable Gameboard with LCD Display"/>
    <x v="2067"/>
    <n v="6"/>
    <n v="0"/>
    <n v="52.793399999999998"/>
  </r>
  <r>
    <n v="2511"/>
    <x v="741"/>
    <x v="0"/>
    <x v="0"/>
    <d v="2013-11-24T00:00:00"/>
    <n v="5"/>
    <x v="1"/>
    <s v="Arthur Wiediger"/>
    <x v="2"/>
    <s v="United States"/>
    <s v="Oklahoma City"/>
    <s v="Oklahoma"/>
    <s v="Central"/>
    <x v="1"/>
    <x v="4"/>
    <s v="Tennsco Snap-Together Open Shelving Units, Starter Sets and Add-On Units"/>
    <x v="2068"/>
    <n v="4"/>
    <n v="0"/>
    <n v="55.896000000000001"/>
  </r>
  <r>
    <n v="2512"/>
    <x v="24"/>
    <x v="1"/>
    <x v="3"/>
    <d v="2012-04-19T00:00:00"/>
    <n v="1"/>
    <x v="2"/>
    <s v="Kelly Williams"/>
    <x v="0"/>
    <s v="United States"/>
    <s v="Monroe"/>
    <s v="Louisiana"/>
    <s v="South"/>
    <x v="2"/>
    <x v="11"/>
    <s v="Memorex Froggy Flash Drive 8 GB"/>
    <x v="2069"/>
    <n v="6"/>
    <n v="0"/>
    <n v="41.534999999999997"/>
  </r>
  <r>
    <n v="2513"/>
    <x v="574"/>
    <x v="3"/>
    <x v="4"/>
    <d v="2014-12-07T00:00:00"/>
    <n v="4"/>
    <x v="1"/>
    <s v="Daniel Byrd"/>
    <x v="2"/>
    <s v="United States"/>
    <s v="Tampa"/>
    <s v="Florida"/>
    <s v="South"/>
    <x v="1"/>
    <x v="8"/>
    <s v="Premier Elliptical Ring Binder, Black"/>
    <x v="2070"/>
    <n v="5"/>
    <n v="0.7"/>
    <n v="-33.484000000000002"/>
  </r>
  <r>
    <n v="2514"/>
    <x v="583"/>
    <x v="0"/>
    <x v="0"/>
    <d v="2013-11-18T00:00:00"/>
    <n v="6"/>
    <x v="1"/>
    <s v="Brenda Bowman"/>
    <x v="1"/>
    <s v="United States"/>
    <s v="Chicago"/>
    <s v="Illinois"/>
    <s v="Central"/>
    <x v="2"/>
    <x v="11"/>
    <s v="Belkin F8E887 USB Wired Ergonomic Keyboard"/>
    <x v="1651"/>
    <n v="4"/>
    <n v="0.2"/>
    <n v="1.1996"/>
  </r>
  <r>
    <n v="2515"/>
    <x v="583"/>
    <x v="0"/>
    <x v="0"/>
    <d v="2013-11-18T00:00:00"/>
    <n v="6"/>
    <x v="1"/>
    <s v="Brenda Bowman"/>
    <x v="1"/>
    <s v="United States"/>
    <s v="Chicago"/>
    <s v="Illinois"/>
    <s v="Central"/>
    <x v="0"/>
    <x v="1"/>
    <s v="Global Chrome Stack Chair"/>
    <x v="1388"/>
    <n v="2"/>
    <n v="0.3"/>
    <n v="-2.0568"/>
  </r>
  <r>
    <n v="2516"/>
    <x v="742"/>
    <x v="2"/>
    <x v="8"/>
    <d v="2011-09-10T00:00:00"/>
    <n v="5"/>
    <x v="1"/>
    <s v="Nora Preis"/>
    <x v="0"/>
    <s v="United States"/>
    <s v="Bowling Green"/>
    <s v="Ohio"/>
    <s v="East"/>
    <x v="1"/>
    <x v="4"/>
    <s v="Economy Rollaway Files"/>
    <x v="2071"/>
    <n v="2"/>
    <n v="0.2"/>
    <n v="19.824000000000002"/>
  </r>
  <r>
    <n v="2517"/>
    <x v="647"/>
    <x v="2"/>
    <x v="0"/>
    <d v="2011-11-22T00:00:00"/>
    <n v="7"/>
    <x v="1"/>
    <s v="Peter Bühler"/>
    <x v="0"/>
    <s v="United States"/>
    <s v="Houston"/>
    <s v="Texas"/>
    <s v="Central"/>
    <x v="1"/>
    <x v="12"/>
    <s v="Ames Color-File Green Diamond Border X-ray Mailers"/>
    <x v="2072"/>
    <n v="9"/>
    <n v="0.2"/>
    <n v="204.07140000000001"/>
  </r>
  <r>
    <n v="2518"/>
    <x v="743"/>
    <x v="3"/>
    <x v="5"/>
    <d v="2014-05-08T00:00:00"/>
    <n v="5"/>
    <x v="1"/>
    <s v="Dorothy Wardle"/>
    <x v="1"/>
    <s v="United States"/>
    <s v="Westfield"/>
    <s v="New Jersey"/>
    <s v="East"/>
    <x v="0"/>
    <x v="5"/>
    <s v="Eldon Advantage Chair Mats for Low to Medium Pile Carpets"/>
    <x v="2073"/>
    <n v="3"/>
    <n v="0"/>
    <n v="12.993"/>
  </r>
  <r>
    <n v="2519"/>
    <x v="680"/>
    <x v="0"/>
    <x v="2"/>
    <d v="2013-10-22T00:00:00"/>
    <n v="6"/>
    <x v="1"/>
    <s v="Cynthia Delaney"/>
    <x v="2"/>
    <s v="United States"/>
    <s v="Oklahoma City"/>
    <s v="Oklahoma"/>
    <s v="Central"/>
    <x v="1"/>
    <x v="2"/>
    <s v="Avery 49"/>
    <x v="171"/>
    <n v="7"/>
    <n v="0"/>
    <n v="9.8783999999999992"/>
  </r>
  <r>
    <n v="2520"/>
    <x v="680"/>
    <x v="0"/>
    <x v="2"/>
    <d v="2013-10-22T00:00:00"/>
    <n v="6"/>
    <x v="1"/>
    <s v="Cynthia Delaney"/>
    <x v="2"/>
    <s v="United States"/>
    <s v="Oklahoma City"/>
    <s v="Oklahoma"/>
    <s v="Central"/>
    <x v="1"/>
    <x v="2"/>
    <s v="Avery 508"/>
    <x v="2074"/>
    <n v="6"/>
    <n v="0"/>
    <n v="14.4354"/>
  </r>
  <r>
    <n v="2521"/>
    <x v="680"/>
    <x v="0"/>
    <x v="2"/>
    <d v="2013-10-22T00:00:00"/>
    <n v="6"/>
    <x v="1"/>
    <s v="Cynthia Delaney"/>
    <x v="2"/>
    <s v="United States"/>
    <s v="Oklahoma City"/>
    <s v="Oklahoma"/>
    <s v="Central"/>
    <x v="1"/>
    <x v="9"/>
    <s v="Hoover Upright Vacuum With Dirt Cup"/>
    <x v="2075"/>
    <n v="3"/>
    <n v="0"/>
    <n v="251.89109999999999"/>
  </r>
  <r>
    <n v="2522"/>
    <x v="680"/>
    <x v="0"/>
    <x v="2"/>
    <d v="2013-10-22T00:00:00"/>
    <n v="6"/>
    <x v="1"/>
    <s v="Cynthia Delaney"/>
    <x v="2"/>
    <s v="United States"/>
    <s v="Oklahoma City"/>
    <s v="Oklahoma"/>
    <s v="Central"/>
    <x v="1"/>
    <x v="10"/>
    <s v="Xerox 1999"/>
    <x v="91"/>
    <n v="2"/>
    <n v="0"/>
    <n v="6.2207999999999997"/>
  </r>
  <r>
    <n v="2523"/>
    <x v="680"/>
    <x v="0"/>
    <x v="2"/>
    <d v="2013-10-22T00:00:00"/>
    <n v="6"/>
    <x v="1"/>
    <s v="Cynthia Delaney"/>
    <x v="2"/>
    <s v="United States"/>
    <s v="Oklahoma City"/>
    <s v="Oklahoma"/>
    <s v="Central"/>
    <x v="2"/>
    <x v="7"/>
    <s v="Samsung Replacement EH64AVFWE Premium Headset"/>
    <x v="2076"/>
    <n v="1"/>
    <n v="0"/>
    <n v="1.375"/>
  </r>
  <r>
    <n v="2524"/>
    <x v="680"/>
    <x v="0"/>
    <x v="2"/>
    <d v="2013-10-22T00:00:00"/>
    <n v="6"/>
    <x v="1"/>
    <s v="Cynthia Delaney"/>
    <x v="2"/>
    <s v="United States"/>
    <s v="Oklahoma City"/>
    <s v="Oklahoma"/>
    <s v="Central"/>
    <x v="1"/>
    <x v="8"/>
    <s v="Ibico Plastic Spiral Binding Combs"/>
    <x v="2077"/>
    <n v="4"/>
    <n v="0"/>
    <n v="55.936"/>
  </r>
  <r>
    <n v="2525"/>
    <x v="744"/>
    <x v="1"/>
    <x v="3"/>
    <d v="2012-04-10T00:00:00"/>
    <n v="4"/>
    <x v="1"/>
    <s v="Thomas Thornton"/>
    <x v="0"/>
    <s v="United States"/>
    <s v="Houston"/>
    <s v="Texas"/>
    <s v="Central"/>
    <x v="1"/>
    <x v="6"/>
    <s v="Newell 312"/>
    <x v="2078"/>
    <n v="9"/>
    <n v="0.2"/>
    <n v="5.2560000000000002"/>
  </r>
  <r>
    <n v="2526"/>
    <x v="744"/>
    <x v="1"/>
    <x v="3"/>
    <d v="2012-04-10T00:00:00"/>
    <n v="4"/>
    <x v="1"/>
    <s v="Thomas Thornton"/>
    <x v="0"/>
    <s v="United States"/>
    <s v="Houston"/>
    <s v="Texas"/>
    <s v="Central"/>
    <x v="2"/>
    <x v="11"/>
    <s v="Maxell 4.7GB DVD-RW 3/Pack"/>
    <x v="2079"/>
    <n v="2"/>
    <n v="0.2"/>
    <n v="4.4603999999999999"/>
  </r>
  <r>
    <n v="2527"/>
    <x v="744"/>
    <x v="1"/>
    <x v="3"/>
    <d v="2012-04-10T00:00:00"/>
    <n v="4"/>
    <x v="1"/>
    <s v="Thomas Thornton"/>
    <x v="0"/>
    <s v="United States"/>
    <s v="Houston"/>
    <s v="Texas"/>
    <s v="Central"/>
    <x v="1"/>
    <x v="8"/>
    <s v="Ibico Covers for Plastic or Wire Binding Elements"/>
    <x v="2080"/>
    <n v="3"/>
    <n v="0.8"/>
    <n v="-12.074999999999999"/>
  </r>
  <r>
    <n v="2528"/>
    <x v="744"/>
    <x v="1"/>
    <x v="3"/>
    <d v="2012-04-10T00:00:00"/>
    <n v="4"/>
    <x v="1"/>
    <s v="Thomas Thornton"/>
    <x v="0"/>
    <s v="United States"/>
    <s v="Houston"/>
    <s v="Texas"/>
    <s v="Central"/>
    <x v="1"/>
    <x v="8"/>
    <s v="Fellowes Twister Kit, Gray/Clear, 3/pkg"/>
    <x v="2081"/>
    <n v="6"/>
    <n v="0.8"/>
    <n v="-16.884"/>
  </r>
  <r>
    <n v="2529"/>
    <x v="744"/>
    <x v="1"/>
    <x v="3"/>
    <d v="2012-04-10T00:00:00"/>
    <n v="4"/>
    <x v="1"/>
    <s v="Thomas Thornton"/>
    <x v="0"/>
    <s v="United States"/>
    <s v="Houston"/>
    <s v="Texas"/>
    <s v="Central"/>
    <x v="1"/>
    <x v="10"/>
    <s v="Xerox 1949"/>
    <x v="885"/>
    <n v="2"/>
    <n v="0.2"/>
    <n v="2.8883999999999999"/>
  </r>
  <r>
    <n v="2530"/>
    <x v="745"/>
    <x v="2"/>
    <x v="2"/>
    <d v="2011-10-29T00:00:00"/>
    <n v="5"/>
    <x v="1"/>
    <s v="Daniel Byrd"/>
    <x v="2"/>
    <s v="United States"/>
    <s v="Fort Lauderdale"/>
    <s v="Florida"/>
    <s v="South"/>
    <x v="1"/>
    <x v="10"/>
    <s v="Xerox 210"/>
    <x v="559"/>
    <n v="2"/>
    <n v="0.2"/>
    <n v="3.6288"/>
  </r>
  <r>
    <n v="2531"/>
    <x v="654"/>
    <x v="2"/>
    <x v="6"/>
    <d v="2011-08-21T00:00:00"/>
    <n v="4"/>
    <x v="1"/>
    <s v="Don Jones"/>
    <x v="1"/>
    <s v="United States"/>
    <s v="Little Rock"/>
    <s v="Arkansas"/>
    <s v="South"/>
    <x v="1"/>
    <x v="10"/>
    <s v="Xerox 1929"/>
    <x v="1147"/>
    <n v="5"/>
    <n v="0"/>
    <n v="52.531999999999996"/>
  </r>
  <r>
    <n v="2532"/>
    <x v="654"/>
    <x v="2"/>
    <x v="6"/>
    <d v="2011-08-21T00:00:00"/>
    <n v="4"/>
    <x v="1"/>
    <s v="Don Jones"/>
    <x v="1"/>
    <s v="United States"/>
    <s v="Little Rock"/>
    <s v="Arkansas"/>
    <s v="South"/>
    <x v="1"/>
    <x v="8"/>
    <s v="Avery Non-Stick Binders"/>
    <x v="2082"/>
    <n v="4"/>
    <n v="0"/>
    <n v="8.2615999999999996"/>
  </r>
  <r>
    <n v="2533"/>
    <x v="654"/>
    <x v="2"/>
    <x v="6"/>
    <d v="2011-08-21T00:00:00"/>
    <n v="4"/>
    <x v="1"/>
    <s v="Don Jones"/>
    <x v="1"/>
    <s v="United States"/>
    <s v="Little Rock"/>
    <s v="Arkansas"/>
    <s v="South"/>
    <x v="1"/>
    <x v="13"/>
    <s v="Colored Push Pins"/>
    <x v="2083"/>
    <n v="7"/>
    <n v="0"/>
    <n v="4.5612000000000004"/>
  </r>
  <r>
    <n v="2534"/>
    <x v="654"/>
    <x v="2"/>
    <x v="6"/>
    <d v="2011-08-21T00:00:00"/>
    <n v="4"/>
    <x v="1"/>
    <s v="Don Jones"/>
    <x v="1"/>
    <s v="United States"/>
    <s v="Little Rock"/>
    <s v="Arkansas"/>
    <s v="South"/>
    <x v="2"/>
    <x v="11"/>
    <s v="Logitech Gaming G510s - Keyboard"/>
    <x v="107"/>
    <n v="4"/>
    <n v="0"/>
    <n v="122.3856"/>
  </r>
  <r>
    <n v="2535"/>
    <x v="733"/>
    <x v="3"/>
    <x v="6"/>
    <d v="2014-08-19T00:00:00"/>
    <n v="3"/>
    <x v="0"/>
    <s v="Dionis Lloyd"/>
    <x v="1"/>
    <s v="United States"/>
    <s v="Philadelphia"/>
    <s v="Pennsylvania"/>
    <s v="East"/>
    <x v="1"/>
    <x v="4"/>
    <s v="Tennsco Single-Tier Lockers"/>
    <x v="2084"/>
    <n v="6"/>
    <n v="0.2"/>
    <n v="-337.80599999999998"/>
  </r>
  <r>
    <n v="2536"/>
    <x v="684"/>
    <x v="1"/>
    <x v="8"/>
    <d v="2012-09-08T00:00:00"/>
    <n v="2"/>
    <x v="2"/>
    <s v="Lori Olson"/>
    <x v="1"/>
    <s v="United States"/>
    <s v="La Quinta"/>
    <s v="California"/>
    <s v="West"/>
    <x v="2"/>
    <x v="11"/>
    <s v="Memorex Mini Travel Drive 8 GB USB 2.0 Flash Drive"/>
    <x v="2085"/>
    <n v="4"/>
    <n v="0"/>
    <n v="18.064800000000002"/>
  </r>
  <r>
    <n v="2537"/>
    <x v="746"/>
    <x v="1"/>
    <x v="9"/>
    <d v="2012-01-29T00:00:00"/>
    <n v="2"/>
    <x v="0"/>
    <s v="Seth Vernon"/>
    <x v="0"/>
    <s v="United States"/>
    <s v="Cleveland"/>
    <s v="Ohio"/>
    <s v="East"/>
    <x v="0"/>
    <x v="1"/>
    <s v="High-Back Leather Manager's Chair"/>
    <x v="2086"/>
    <n v="2"/>
    <n v="0.3"/>
    <n v="-54.595799999999997"/>
  </r>
  <r>
    <n v="2538"/>
    <x v="746"/>
    <x v="1"/>
    <x v="9"/>
    <d v="2012-01-29T00:00:00"/>
    <n v="2"/>
    <x v="0"/>
    <s v="Seth Vernon"/>
    <x v="0"/>
    <s v="United States"/>
    <s v="Cleveland"/>
    <s v="Ohio"/>
    <s v="East"/>
    <x v="2"/>
    <x v="7"/>
    <s v="Polycom VVX 310 VoIP phone"/>
    <x v="2087"/>
    <n v="4"/>
    <n v="0.4"/>
    <n v="-100.7944"/>
  </r>
  <r>
    <n v="2539"/>
    <x v="746"/>
    <x v="1"/>
    <x v="9"/>
    <d v="2012-01-29T00:00:00"/>
    <n v="2"/>
    <x v="0"/>
    <s v="Seth Vernon"/>
    <x v="0"/>
    <s v="United States"/>
    <s v="Cleveland"/>
    <s v="Ohio"/>
    <s v="East"/>
    <x v="2"/>
    <x v="7"/>
    <s v="Nortel Meridian M5316 Digital phone"/>
    <x v="2088"/>
    <n v="1"/>
    <n v="0.4"/>
    <n v="-36.253"/>
  </r>
  <r>
    <n v="2540"/>
    <x v="747"/>
    <x v="1"/>
    <x v="7"/>
    <d v="2012-07-16T00:00:00"/>
    <n v="0"/>
    <x v="3"/>
    <s v="Eleni McCrary"/>
    <x v="1"/>
    <s v="United States"/>
    <s v="San Francisco"/>
    <s v="California"/>
    <s v="West"/>
    <x v="0"/>
    <x v="1"/>
    <s v="Hon 2090 “Pillow Soft” Series Mid Back Swivel/Tilt Chairs"/>
    <x v="2089"/>
    <n v="6"/>
    <n v="0.2"/>
    <n v="-219.1644"/>
  </r>
  <r>
    <n v="2541"/>
    <x v="747"/>
    <x v="1"/>
    <x v="7"/>
    <d v="2012-07-16T00:00:00"/>
    <n v="0"/>
    <x v="3"/>
    <s v="Eleni McCrary"/>
    <x v="1"/>
    <s v="United States"/>
    <s v="San Francisco"/>
    <s v="California"/>
    <s v="West"/>
    <x v="0"/>
    <x v="1"/>
    <s v="Hon 4070 Series Pagoda Armless Upholstered Stacking Chairs"/>
    <x v="2090"/>
    <n v="3"/>
    <n v="0.2"/>
    <n v="78.767099999999999"/>
  </r>
  <r>
    <n v="2542"/>
    <x v="567"/>
    <x v="0"/>
    <x v="5"/>
    <d v="2013-05-05T00:00:00"/>
    <n v="4"/>
    <x v="1"/>
    <s v="Ken Dana"/>
    <x v="1"/>
    <s v="United States"/>
    <s v="Scottsdale"/>
    <s v="Arizona"/>
    <s v="West"/>
    <x v="0"/>
    <x v="5"/>
    <s v="12-1/2 Diameter Round Wall Clock"/>
    <x v="2091"/>
    <n v="7"/>
    <n v="0.2"/>
    <n v="22.377600000000001"/>
  </r>
  <r>
    <n v="2543"/>
    <x v="467"/>
    <x v="2"/>
    <x v="8"/>
    <d v="2011-10-01T00:00:00"/>
    <n v="5"/>
    <x v="0"/>
    <s v="Nicole Brennan"/>
    <x v="1"/>
    <s v="United States"/>
    <s v="Philadelphia"/>
    <s v="Pennsylvania"/>
    <s v="East"/>
    <x v="1"/>
    <x v="9"/>
    <s v="Belkin 8 Outlet SurgeMaster II Gold Surge Protector"/>
    <x v="2092"/>
    <n v="3"/>
    <n v="0.2"/>
    <n v="14.395200000000001"/>
  </r>
  <r>
    <n v="2544"/>
    <x v="162"/>
    <x v="0"/>
    <x v="8"/>
    <d v="2013-09-15T00:00:00"/>
    <n v="6"/>
    <x v="1"/>
    <s v="Anne Pryor"/>
    <x v="2"/>
    <s v="United States"/>
    <s v="Malden"/>
    <s v="Massachusetts"/>
    <s v="East"/>
    <x v="0"/>
    <x v="0"/>
    <s v="Bush Westfield Collection Bookcases, Dark Cherry Finish"/>
    <x v="2093"/>
    <n v="3"/>
    <n v="0"/>
    <n v="13.9152"/>
  </r>
  <r>
    <n v="2545"/>
    <x v="162"/>
    <x v="0"/>
    <x v="8"/>
    <d v="2013-09-15T00:00:00"/>
    <n v="6"/>
    <x v="1"/>
    <s v="Anne Pryor"/>
    <x v="2"/>
    <s v="United States"/>
    <s v="Malden"/>
    <s v="Massachusetts"/>
    <s v="East"/>
    <x v="1"/>
    <x v="2"/>
    <s v="Avery 52"/>
    <x v="1787"/>
    <n v="4"/>
    <n v="0"/>
    <n v="6.9371999999999998"/>
  </r>
  <r>
    <n v="2546"/>
    <x v="513"/>
    <x v="3"/>
    <x v="3"/>
    <d v="2014-04-21T00:00:00"/>
    <n v="4"/>
    <x v="1"/>
    <s v="Joel Eaton"/>
    <x v="0"/>
    <s v="United States"/>
    <s v="San Jose"/>
    <s v="California"/>
    <s v="West"/>
    <x v="1"/>
    <x v="4"/>
    <s v="Belkin 19&quot; Vented Equipment Shelf, Black"/>
    <x v="2094"/>
    <n v="4"/>
    <n v="0"/>
    <n v="2.0592000000000001"/>
  </r>
  <r>
    <n v="2547"/>
    <x v="513"/>
    <x v="3"/>
    <x v="3"/>
    <d v="2014-04-21T00:00:00"/>
    <n v="4"/>
    <x v="1"/>
    <s v="Joel Eaton"/>
    <x v="0"/>
    <s v="United States"/>
    <s v="San Jose"/>
    <s v="California"/>
    <s v="West"/>
    <x v="0"/>
    <x v="0"/>
    <s v="O'Sullivan Living Dimensions 2-Shelf Bookcases"/>
    <x v="2095"/>
    <n v="1"/>
    <n v="0.15"/>
    <n v="-6.0490000000000004"/>
  </r>
  <r>
    <n v="2548"/>
    <x v="748"/>
    <x v="1"/>
    <x v="6"/>
    <d v="2012-08-22T00:00:00"/>
    <n v="6"/>
    <x v="1"/>
    <s v="John Murray"/>
    <x v="0"/>
    <s v="United States"/>
    <s v="Phoenix"/>
    <s v="Arizona"/>
    <s v="West"/>
    <x v="1"/>
    <x v="6"/>
    <s v="Newell 346"/>
    <x v="2060"/>
    <n v="1"/>
    <n v="0.2"/>
    <n v="0.25919999999999999"/>
  </r>
  <r>
    <n v="2549"/>
    <x v="748"/>
    <x v="1"/>
    <x v="6"/>
    <d v="2012-08-22T00:00:00"/>
    <n v="6"/>
    <x v="1"/>
    <s v="John Murray"/>
    <x v="0"/>
    <s v="United States"/>
    <s v="Phoenix"/>
    <s v="Arizona"/>
    <s v="West"/>
    <x v="2"/>
    <x v="7"/>
    <s v="Samsung Galaxy S4 Mini"/>
    <x v="2096"/>
    <n v="5"/>
    <n v="0.2"/>
    <n v="211.49549999999999"/>
  </r>
  <r>
    <n v="2550"/>
    <x v="748"/>
    <x v="1"/>
    <x v="6"/>
    <d v="2012-08-22T00:00:00"/>
    <n v="6"/>
    <x v="1"/>
    <s v="John Murray"/>
    <x v="0"/>
    <s v="United States"/>
    <s v="Phoenix"/>
    <s v="Arizona"/>
    <s v="West"/>
    <x v="1"/>
    <x v="10"/>
    <s v="Xerox 1891"/>
    <x v="2097"/>
    <n v="8"/>
    <n v="0.2"/>
    <n v="105.6456"/>
  </r>
  <r>
    <n v="2551"/>
    <x v="748"/>
    <x v="1"/>
    <x v="6"/>
    <d v="2012-08-22T00:00:00"/>
    <n v="6"/>
    <x v="1"/>
    <s v="John Murray"/>
    <x v="0"/>
    <s v="United States"/>
    <s v="Phoenix"/>
    <s v="Arizona"/>
    <s v="West"/>
    <x v="1"/>
    <x v="2"/>
    <s v="Avery 488"/>
    <x v="1310"/>
    <n v="2"/>
    <n v="0.2"/>
    <n v="1.764"/>
  </r>
  <r>
    <n v="2552"/>
    <x v="123"/>
    <x v="3"/>
    <x v="0"/>
    <d v="2014-11-24T00:00:00"/>
    <n v="4"/>
    <x v="1"/>
    <s v="Adrian Barton"/>
    <x v="0"/>
    <s v="United States"/>
    <s v="Henderson"/>
    <s v="Kentucky"/>
    <s v="South"/>
    <x v="0"/>
    <x v="5"/>
    <s v="3M Polarizing Task Lamp with Clamp Arm, Light Gray"/>
    <x v="2098"/>
    <n v="6"/>
    <n v="0"/>
    <n v="213.68879999999999"/>
  </r>
  <r>
    <n v="2553"/>
    <x v="123"/>
    <x v="3"/>
    <x v="0"/>
    <d v="2014-11-24T00:00:00"/>
    <n v="4"/>
    <x v="1"/>
    <s v="Adrian Barton"/>
    <x v="0"/>
    <s v="United States"/>
    <s v="Henderson"/>
    <s v="Kentucky"/>
    <s v="South"/>
    <x v="1"/>
    <x v="8"/>
    <s v="GBC Imprintable Covers"/>
    <x v="2099"/>
    <n v="2"/>
    <n v="0"/>
    <n v="10.760400000000001"/>
  </r>
  <r>
    <n v="2554"/>
    <x v="749"/>
    <x v="0"/>
    <x v="8"/>
    <d v="2013-09-19T00:00:00"/>
    <n v="4"/>
    <x v="1"/>
    <s v="Parhena Norris"/>
    <x v="2"/>
    <s v="United States"/>
    <s v="Columbia"/>
    <s v="South Carolina"/>
    <s v="South"/>
    <x v="1"/>
    <x v="10"/>
    <s v="Xerox 224"/>
    <x v="233"/>
    <n v="4"/>
    <n v="0"/>
    <n v="12.441599999999999"/>
  </r>
  <r>
    <n v="2555"/>
    <x v="243"/>
    <x v="0"/>
    <x v="6"/>
    <d v="2013-08-21T00:00:00"/>
    <n v="5"/>
    <x v="1"/>
    <s v="John Castell"/>
    <x v="0"/>
    <s v="United States"/>
    <s v="Tallahassee"/>
    <s v="Florida"/>
    <s v="South"/>
    <x v="2"/>
    <x v="7"/>
    <s v="HTC One Mini"/>
    <x v="2100"/>
    <n v="7"/>
    <n v="0.2"/>
    <n v="70.554400000000001"/>
  </r>
  <r>
    <n v="2556"/>
    <x v="120"/>
    <x v="1"/>
    <x v="8"/>
    <d v="2012-09-30T00:00:00"/>
    <n v="4"/>
    <x v="1"/>
    <s v="Philip Fox"/>
    <x v="0"/>
    <s v="United States"/>
    <s v="New York City"/>
    <s v="New York"/>
    <s v="East"/>
    <x v="2"/>
    <x v="11"/>
    <s v="Dell Slim USB Multimedia Keyboard"/>
    <x v="1406"/>
    <n v="2"/>
    <n v="0"/>
    <n v="12"/>
  </r>
  <r>
    <n v="2557"/>
    <x v="750"/>
    <x v="0"/>
    <x v="2"/>
    <d v="2013-10-15T00:00:00"/>
    <n v="6"/>
    <x v="1"/>
    <s v="Bart Watters"/>
    <x v="1"/>
    <s v="United States"/>
    <s v="Houston"/>
    <s v="Texas"/>
    <s v="Central"/>
    <x v="0"/>
    <x v="5"/>
    <s v="Contemporary Wood/Metal Frame"/>
    <x v="2101"/>
    <n v="8"/>
    <n v="0.6"/>
    <n v="-32.32"/>
  </r>
  <r>
    <n v="2558"/>
    <x v="539"/>
    <x v="1"/>
    <x v="10"/>
    <d v="2012-03-30T00:00:00"/>
    <n v="6"/>
    <x v="1"/>
    <s v="Ben Peterman"/>
    <x v="1"/>
    <s v="United States"/>
    <s v="Coral Springs"/>
    <s v="Florida"/>
    <s v="South"/>
    <x v="1"/>
    <x v="9"/>
    <s v="Eureka Sanitaire  Multi-Pro Heavy-Duty Upright, Disposable Bags"/>
    <x v="2102"/>
    <n v="2"/>
    <n v="0.2"/>
    <n v="0.52439999999999998"/>
  </r>
  <r>
    <n v="2559"/>
    <x v="70"/>
    <x v="1"/>
    <x v="5"/>
    <d v="2012-06-04T00:00:00"/>
    <n v="4"/>
    <x v="1"/>
    <s v="Tamara Manning"/>
    <x v="0"/>
    <s v="United States"/>
    <s v="Orem"/>
    <s v="Utah"/>
    <s v="West"/>
    <x v="0"/>
    <x v="0"/>
    <s v="O'Sullivan Living Dimensions 3-Shelf Bookcases"/>
    <x v="2103"/>
    <n v="7"/>
    <n v="0"/>
    <n v="140.68600000000001"/>
  </r>
  <r>
    <n v="2560"/>
    <x v="70"/>
    <x v="1"/>
    <x v="5"/>
    <d v="2012-06-04T00:00:00"/>
    <n v="4"/>
    <x v="1"/>
    <s v="Tamara Manning"/>
    <x v="0"/>
    <s v="United States"/>
    <s v="Orem"/>
    <s v="Utah"/>
    <s v="West"/>
    <x v="1"/>
    <x v="2"/>
    <s v="Self-Adhesive Removable Labels"/>
    <x v="2104"/>
    <n v="5"/>
    <n v="0"/>
    <n v="7.56"/>
  </r>
  <r>
    <n v="2561"/>
    <x v="70"/>
    <x v="1"/>
    <x v="5"/>
    <d v="2012-06-04T00:00:00"/>
    <n v="4"/>
    <x v="1"/>
    <s v="Tamara Manning"/>
    <x v="0"/>
    <s v="United States"/>
    <s v="Orem"/>
    <s v="Utah"/>
    <s v="West"/>
    <x v="1"/>
    <x v="4"/>
    <s v="Fellowes Super Stor/Drawer Files"/>
    <x v="2105"/>
    <n v="2"/>
    <n v="0"/>
    <n v="61.389000000000003"/>
  </r>
  <r>
    <n v="2562"/>
    <x v="707"/>
    <x v="1"/>
    <x v="4"/>
    <d v="2012-12-31T00:00:00"/>
    <n v="6"/>
    <x v="1"/>
    <s v="Maria Bertelson"/>
    <x v="0"/>
    <s v="United States"/>
    <s v="Nashville"/>
    <s v="Tennessee"/>
    <s v="South"/>
    <x v="1"/>
    <x v="2"/>
    <s v="Avery 474"/>
    <x v="2106"/>
    <n v="4"/>
    <n v="0.2"/>
    <n v="3.3408000000000002"/>
  </r>
  <r>
    <n v="2563"/>
    <x v="707"/>
    <x v="1"/>
    <x v="4"/>
    <d v="2012-12-31T00:00:00"/>
    <n v="6"/>
    <x v="1"/>
    <s v="Maria Bertelson"/>
    <x v="0"/>
    <s v="United States"/>
    <s v="Nashville"/>
    <s v="Tennessee"/>
    <s v="South"/>
    <x v="1"/>
    <x v="10"/>
    <s v="Xerox 227"/>
    <x v="559"/>
    <n v="2"/>
    <n v="0.2"/>
    <n v="3.6288"/>
  </r>
  <r>
    <n v="2564"/>
    <x v="751"/>
    <x v="1"/>
    <x v="10"/>
    <d v="2012-03-22T00:00:00"/>
    <n v="5"/>
    <x v="0"/>
    <s v="Harold Ryan"/>
    <x v="1"/>
    <s v="United States"/>
    <s v="New York City"/>
    <s v="New York"/>
    <s v="East"/>
    <x v="2"/>
    <x v="11"/>
    <s v="KeyTronic KT800P2 - Keyboard - Black"/>
    <x v="2107"/>
    <n v="1"/>
    <n v="0"/>
    <n v="2.7035999999999998"/>
  </r>
  <r>
    <n v="2565"/>
    <x v="751"/>
    <x v="1"/>
    <x v="10"/>
    <d v="2012-03-22T00:00:00"/>
    <n v="5"/>
    <x v="0"/>
    <s v="Harold Ryan"/>
    <x v="1"/>
    <s v="United States"/>
    <s v="New York City"/>
    <s v="New York"/>
    <s v="East"/>
    <x v="1"/>
    <x v="4"/>
    <s v="Tenex Personal Self-Stacking Standard File Box, Black/Gray"/>
    <x v="2108"/>
    <n v="2"/>
    <n v="0"/>
    <n v="9.1313999999999993"/>
  </r>
  <r>
    <n v="2566"/>
    <x v="202"/>
    <x v="3"/>
    <x v="4"/>
    <d v="2014-12-25T00:00:00"/>
    <n v="3"/>
    <x v="2"/>
    <s v="Brian Derr"/>
    <x v="0"/>
    <s v="United States"/>
    <s v="Bowling Green"/>
    <s v="Kentucky"/>
    <s v="South"/>
    <x v="2"/>
    <x v="11"/>
    <s v="Memorex Froggy Flash Drive 8 GB"/>
    <x v="2109"/>
    <n v="4"/>
    <n v="0"/>
    <n v="27.69"/>
  </r>
  <r>
    <n v="2567"/>
    <x v="752"/>
    <x v="3"/>
    <x v="0"/>
    <d v="2014-11-04T00:00:00"/>
    <n v="2"/>
    <x v="0"/>
    <s v="Sarah Foster"/>
    <x v="0"/>
    <s v="United States"/>
    <s v="Bellingham"/>
    <s v="Washington"/>
    <s v="West"/>
    <x v="1"/>
    <x v="8"/>
    <s v="GBC Standard Plastic Binding Systems' Combs"/>
    <x v="1415"/>
    <n v="5"/>
    <n v="0.2"/>
    <n v="7.85"/>
  </r>
  <r>
    <n v="2568"/>
    <x v="752"/>
    <x v="3"/>
    <x v="0"/>
    <d v="2014-11-04T00:00:00"/>
    <n v="2"/>
    <x v="0"/>
    <s v="Sarah Foster"/>
    <x v="0"/>
    <s v="United States"/>
    <s v="Bellingham"/>
    <s v="Washington"/>
    <s v="West"/>
    <x v="0"/>
    <x v="3"/>
    <s v="Hon 94000 Series Round Tables"/>
    <x v="2110"/>
    <n v="9"/>
    <n v="0"/>
    <n v="239.9058"/>
  </r>
  <r>
    <n v="2569"/>
    <x v="210"/>
    <x v="3"/>
    <x v="8"/>
    <d v="2014-09-12T00:00:00"/>
    <n v="4"/>
    <x v="1"/>
    <s v="Stefania Perrino"/>
    <x v="1"/>
    <s v="United States"/>
    <s v="New York City"/>
    <s v="New York"/>
    <s v="East"/>
    <x v="1"/>
    <x v="4"/>
    <s v="Advantus 10-Drawer Portable Organizer, Chrome Metal Frame, Smoke Drawers"/>
    <x v="2111"/>
    <n v="8"/>
    <n v="0"/>
    <n v="133.86240000000001"/>
  </r>
  <r>
    <n v="2570"/>
    <x v="753"/>
    <x v="3"/>
    <x v="4"/>
    <d v="2014-12-28T00:00:00"/>
    <n v="0"/>
    <x v="3"/>
    <s v="Dan Reichenbach"/>
    <x v="1"/>
    <s v="United States"/>
    <s v="Newark"/>
    <s v="Ohio"/>
    <s v="East"/>
    <x v="2"/>
    <x v="7"/>
    <s v="AT&amp;T 1080 Corded phone"/>
    <x v="2112"/>
    <n v="2"/>
    <n v="0.4"/>
    <n v="-35.617400000000004"/>
  </r>
  <r>
    <n v="2571"/>
    <x v="753"/>
    <x v="3"/>
    <x v="4"/>
    <d v="2014-12-28T00:00:00"/>
    <n v="0"/>
    <x v="3"/>
    <s v="Dan Reichenbach"/>
    <x v="1"/>
    <s v="United States"/>
    <s v="Newark"/>
    <s v="Ohio"/>
    <s v="East"/>
    <x v="1"/>
    <x v="6"/>
    <s v="BIC Brite Liner Highlighters"/>
    <x v="2113"/>
    <n v="4"/>
    <n v="0.2"/>
    <n v="3.6432000000000002"/>
  </r>
  <r>
    <n v="2572"/>
    <x v="11"/>
    <x v="3"/>
    <x v="7"/>
    <d v="2014-07-22T00:00:00"/>
    <n v="5"/>
    <x v="1"/>
    <s v="Valerie Mitchum"/>
    <x v="2"/>
    <s v="United States"/>
    <s v="Woodstock"/>
    <s v="Illinois"/>
    <s v="Central"/>
    <x v="1"/>
    <x v="6"/>
    <s v="Crayola Anti Dust Chalk, 12/Pack"/>
    <x v="2114"/>
    <n v="2"/>
    <n v="0.2"/>
    <n v="0.91"/>
  </r>
  <r>
    <n v="2573"/>
    <x v="399"/>
    <x v="0"/>
    <x v="6"/>
    <d v="2013-08-16T00:00:00"/>
    <n v="3"/>
    <x v="0"/>
    <s v="Chris McAfee"/>
    <x v="0"/>
    <s v="United States"/>
    <s v="Carrollton"/>
    <s v="Texas"/>
    <s v="Central"/>
    <x v="2"/>
    <x v="11"/>
    <s v="Logitech diNovo Edge Keyboard"/>
    <x v="2115"/>
    <n v="7"/>
    <n v="0.2"/>
    <n v="52.497900000000001"/>
  </r>
  <r>
    <n v="2574"/>
    <x v="362"/>
    <x v="3"/>
    <x v="7"/>
    <d v="2014-07-15T00:00:00"/>
    <n v="5"/>
    <x v="1"/>
    <s v="Sean Miller"/>
    <x v="2"/>
    <s v="United States"/>
    <s v="Lafayette"/>
    <s v="Indiana"/>
    <s v="Central"/>
    <x v="0"/>
    <x v="5"/>
    <s v="Eldon Antistatic Chair Mats for Low to Medium Pile Carpets"/>
    <x v="1862"/>
    <n v="5"/>
    <n v="0"/>
    <n v="31.587"/>
  </r>
  <r>
    <n v="2575"/>
    <x v="754"/>
    <x v="2"/>
    <x v="0"/>
    <d v="2011-11-27T00:00:00"/>
    <n v="5"/>
    <x v="1"/>
    <s v="Ruben Ausman"/>
    <x v="1"/>
    <s v="United States"/>
    <s v="Columbus"/>
    <s v="Georgia"/>
    <s v="South"/>
    <x v="1"/>
    <x v="12"/>
    <s v="Fashion Color Clasp Envelopes"/>
    <x v="2116"/>
    <n v="3"/>
    <n v="0"/>
    <n v="7.9527000000000001"/>
  </r>
  <r>
    <n v="2576"/>
    <x v="754"/>
    <x v="2"/>
    <x v="0"/>
    <d v="2011-11-27T00:00:00"/>
    <n v="5"/>
    <x v="1"/>
    <s v="Ruben Ausman"/>
    <x v="1"/>
    <s v="United States"/>
    <s v="Columbus"/>
    <s v="Georgia"/>
    <s v="South"/>
    <x v="1"/>
    <x v="8"/>
    <s v="GBC ProClick Punch Binding System"/>
    <x v="2117"/>
    <n v="5"/>
    <n v="0"/>
    <n v="156.751"/>
  </r>
  <r>
    <n v="2577"/>
    <x v="754"/>
    <x v="2"/>
    <x v="0"/>
    <d v="2011-11-27T00:00:00"/>
    <n v="5"/>
    <x v="1"/>
    <s v="Ruben Ausman"/>
    <x v="1"/>
    <s v="United States"/>
    <s v="Columbus"/>
    <s v="Georgia"/>
    <s v="South"/>
    <x v="1"/>
    <x v="12"/>
    <s v="Staples"/>
    <x v="710"/>
    <n v="2"/>
    <n v="0"/>
    <n v="5.3391999999999999"/>
  </r>
  <r>
    <n v="2578"/>
    <x v="754"/>
    <x v="2"/>
    <x v="0"/>
    <d v="2011-11-27T00:00:00"/>
    <n v="5"/>
    <x v="1"/>
    <s v="Ruben Ausman"/>
    <x v="1"/>
    <s v="United States"/>
    <s v="Columbus"/>
    <s v="Georgia"/>
    <s v="South"/>
    <x v="1"/>
    <x v="9"/>
    <s v="Holmes Harmony HEPA Air Purifier for 17 x 20 Room"/>
    <x v="2118"/>
    <n v="3"/>
    <n v="0"/>
    <n v="290.30160000000001"/>
  </r>
  <r>
    <n v="2579"/>
    <x v="755"/>
    <x v="2"/>
    <x v="9"/>
    <d v="2011-02-01T00:00:00"/>
    <n v="5"/>
    <x v="1"/>
    <s v="Shirley Daniels"/>
    <x v="2"/>
    <s v="United States"/>
    <s v="Alexandria"/>
    <s v="Virginia"/>
    <s v="South"/>
    <x v="0"/>
    <x v="5"/>
    <s v="GE General Use Halogen Bulbs, 100 Watts, 1 Bulb per Pack"/>
    <x v="2119"/>
    <n v="3"/>
    <n v="0"/>
    <n v="30.7818"/>
  </r>
  <r>
    <n v="2580"/>
    <x v="755"/>
    <x v="2"/>
    <x v="9"/>
    <d v="2011-02-01T00:00:00"/>
    <n v="5"/>
    <x v="1"/>
    <s v="Shirley Daniels"/>
    <x v="2"/>
    <s v="United States"/>
    <s v="Alexandria"/>
    <s v="Virginia"/>
    <s v="South"/>
    <x v="1"/>
    <x v="4"/>
    <s v="SAFCO Commercial Wire Shelving, 72h"/>
    <x v="2120"/>
    <n v="8"/>
    <n v="0"/>
    <n v="0"/>
  </r>
  <r>
    <n v="2581"/>
    <x v="755"/>
    <x v="2"/>
    <x v="9"/>
    <d v="2011-02-01T00:00:00"/>
    <n v="5"/>
    <x v="1"/>
    <s v="Shirley Daniels"/>
    <x v="2"/>
    <s v="United States"/>
    <s v="Alexandria"/>
    <s v="Virginia"/>
    <s v="South"/>
    <x v="1"/>
    <x v="10"/>
    <s v="Eureka Recycled Copy Paper 8 1/2&quot; x 11&quot;, Ream"/>
    <x v="537"/>
    <n v="3"/>
    <n v="0"/>
    <n v="9.3312000000000008"/>
  </r>
  <r>
    <n v="2582"/>
    <x v="755"/>
    <x v="2"/>
    <x v="9"/>
    <d v="2011-02-01T00:00:00"/>
    <n v="5"/>
    <x v="1"/>
    <s v="Shirley Daniels"/>
    <x v="2"/>
    <s v="United States"/>
    <s v="Alexandria"/>
    <s v="Virginia"/>
    <s v="South"/>
    <x v="1"/>
    <x v="10"/>
    <s v="REDIFORM Incoming/Outgoing Call Register, 11&quot; X 8 1/2&quot;, 100 Messages"/>
    <x v="1438"/>
    <n v="2"/>
    <n v="0"/>
    <n v="8.34"/>
  </r>
  <r>
    <n v="2583"/>
    <x v="755"/>
    <x v="2"/>
    <x v="9"/>
    <d v="2011-02-01T00:00:00"/>
    <n v="5"/>
    <x v="1"/>
    <s v="Shirley Daniels"/>
    <x v="2"/>
    <s v="United States"/>
    <s v="Alexandria"/>
    <s v="Virginia"/>
    <s v="South"/>
    <x v="2"/>
    <x v="7"/>
    <s v="Macally Suction Cup Mount"/>
    <x v="2121"/>
    <n v="13"/>
    <n v="0"/>
    <n v="0"/>
  </r>
  <r>
    <n v="2584"/>
    <x v="755"/>
    <x v="2"/>
    <x v="9"/>
    <d v="2011-02-01T00:00:00"/>
    <n v="5"/>
    <x v="1"/>
    <s v="Shirley Daniels"/>
    <x v="2"/>
    <s v="United States"/>
    <s v="Alexandria"/>
    <s v="Virginia"/>
    <s v="South"/>
    <x v="0"/>
    <x v="5"/>
    <s v="Eldon Image Series Black Desk Accessories"/>
    <x v="2122"/>
    <n v="3"/>
    <n v="0"/>
    <n v="4.4711999999999996"/>
  </r>
  <r>
    <n v="2585"/>
    <x v="755"/>
    <x v="2"/>
    <x v="9"/>
    <d v="2011-02-01T00:00:00"/>
    <n v="5"/>
    <x v="1"/>
    <s v="Shirley Daniels"/>
    <x v="2"/>
    <s v="United States"/>
    <s v="Alexandria"/>
    <s v="Virginia"/>
    <s v="South"/>
    <x v="2"/>
    <x v="7"/>
    <s v="Jabra SPEAK 410"/>
    <x v="2123"/>
    <n v="2"/>
    <n v="0"/>
    <n v="52.634399999999999"/>
  </r>
  <r>
    <n v="2586"/>
    <x v="502"/>
    <x v="1"/>
    <x v="0"/>
    <d v="2012-11-10T00:00:00"/>
    <n v="7"/>
    <x v="1"/>
    <s v="Chris Selesnick"/>
    <x v="1"/>
    <s v="United States"/>
    <s v="Haltom City"/>
    <s v="Texas"/>
    <s v="Central"/>
    <x v="1"/>
    <x v="12"/>
    <s v="#10 Gummed Flap White Envelopes, 100/Box"/>
    <x v="2124"/>
    <n v="2"/>
    <n v="0.2"/>
    <n v="2.1476000000000002"/>
  </r>
  <r>
    <n v="2587"/>
    <x v="160"/>
    <x v="3"/>
    <x v="7"/>
    <d v="2014-07-07T00:00:00"/>
    <n v="6"/>
    <x v="1"/>
    <s v="Ralph Arnett"/>
    <x v="0"/>
    <s v="United States"/>
    <s v="New York City"/>
    <s v="New York"/>
    <s v="East"/>
    <x v="1"/>
    <x v="4"/>
    <s v="Steel Personal Filing/Posting Tote"/>
    <x v="2125"/>
    <n v="7"/>
    <n v="0"/>
    <n v="67.113900000000001"/>
  </r>
  <r>
    <n v="2588"/>
    <x v="160"/>
    <x v="3"/>
    <x v="7"/>
    <d v="2014-07-07T00:00:00"/>
    <n v="6"/>
    <x v="1"/>
    <s v="Ralph Arnett"/>
    <x v="0"/>
    <s v="United States"/>
    <s v="New York City"/>
    <s v="New York"/>
    <s v="East"/>
    <x v="0"/>
    <x v="5"/>
    <s v="Executive Impressions 14&quot;"/>
    <x v="743"/>
    <n v="1"/>
    <n v="0"/>
    <n v="9.7812000000000001"/>
  </r>
  <r>
    <n v="2589"/>
    <x v="465"/>
    <x v="0"/>
    <x v="5"/>
    <d v="2013-05-10T00:00:00"/>
    <n v="4"/>
    <x v="1"/>
    <s v="Barry Franz"/>
    <x v="2"/>
    <s v="United States"/>
    <s v="Los Angeles"/>
    <s v="California"/>
    <s v="West"/>
    <x v="1"/>
    <x v="4"/>
    <s v="Perma STOR-ALL Hanging File Box, 13 1/8&quot;W x 12 1/4&quot;D x 10 1/2&quot;H"/>
    <x v="156"/>
    <n v="1"/>
    <n v="0"/>
    <n v="1.0165999999999999"/>
  </r>
  <r>
    <n v="2590"/>
    <x v="465"/>
    <x v="0"/>
    <x v="5"/>
    <d v="2013-05-10T00:00:00"/>
    <n v="4"/>
    <x v="1"/>
    <s v="Barry Franz"/>
    <x v="2"/>
    <s v="United States"/>
    <s v="Los Angeles"/>
    <s v="California"/>
    <s v="West"/>
    <x v="2"/>
    <x v="7"/>
    <s v="Cisco Small Business SPA 502G VoIP phone"/>
    <x v="2126"/>
    <n v="3"/>
    <n v="0.2"/>
    <n v="21.5397"/>
  </r>
  <r>
    <n v="2591"/>
    <x v="162"/>
    <x v="0"/>
    <x v="8"/>
    <d v="2013-09-15T00:00:00"/>
    <n v="6"/>
    <x v="1"/>
    <s v="Sanjit Engle"/>
    <x v="0"/>
    <s v="United States"/>
    <s v="Wheeling"/>
    <s v="Illinois"/>
    <s v="Central"/>
    <x v="0"/>
    <x v="5"/>
    <s v="Executive Impressions 12&quot; Wall Clock"/>
    <x v="2127"/>
    <n v="2"/>
    <n v="0.6"/>
    <n v="-7.7747999999999999"/>
  </r>
  <r>
    <n v="2592"/>
    <x v="162"/>
    <x v="0"/>
    <x v="8"/>
    <d v="2013-09-15T00:00:00"/>
    <n v="6"/>
    <x v="1"/>
    <s v="Sanjit Engle"/>
    <x v="0"/>
    <s v="United States"/>
    <s v="Wheeling"/>
    <s v="Illinois"/>
    <s v="Central"/>
    <x v="0"/>
    <x v="3"/>
    <s v="Bretford CR8500 Series Meeting Room Furniture"/>
    <x v="2128"/>
    <n v="3"/>
    <n v="0.5"/>
    <n v="-300.73500000000001"/>
  </r>
  <r>
    <n v="2593"/>
    <x v="221"/>
    <x v="3"/>
    <x v="0"/>
    <d v="2014-11-27T00:00:00"/>
    <n v="2"/>
    <x v="0"/>
    <s v="Roland Schwarz"/>
    <x v="1"/>
    <s v="United States"/>
    <s v="Summerville"/>
    <s v="South Carolina"/>
    <s v="South"/>
    <x v="2"/>
    <x v="7"/>
    <s v="Motorla HX550 Universal Bluetooth Headset"/>
    <x v="2129"/>
    <n v="2"/>
    <n v="0"/>
    <n v="39.549999999999997"/>
  </r>
  <r>
    <n v="2594"/>
    <x v="221"/>
    <x v="3"/>
    <x v="0"/>
    <d v="2014-11-27T00:00:00"/>
    <n v="2"/>
    <x v="0"/>
    <s v="Roland Schwarz"/>
    <x v="1"/>
    <s v="United States"/>
    <s v="Summerville"/>
    <s v="South Carolina"/>
    <s v="South"/>
    <x v="1"/>
    <x v="8"/>
    <s v="Wilson Jones Ledger-Size, Piano-Hinge Binder, 2&quot;, Blue"/>
    <x v="2130"/>
    <n v="8"/>
    <n v="0"/>
    <n v="157.36320000000001"/>
  </r>
  <r>
    <n v="2595"/>
    <x v="726"/>
    <x v="3"/>
    <x v="5"/>
    <d v="2014-05-18T00:00:00"/>
    <n v="4"/>
    <x v="1"/>
    <s v="Brian Moss"/>
    <x v="1"/>
    <s v="United States"/>
    <s v="Columbus"/>
    <s v="Indiana"/>
    <s v="Central"/>
    <x v="1"/>
    <x v="12"/>
    <s v="Tyvek Side-Opening Peel &amp; Seel Expanding Envelopes"/>
    <x v="2131"/>
    <n v="2"/>
    <n v="0"/>
    <n v="81.432000000000002"/>
  </r>
  <r>
    <n v="2596"/>
    <x v="726"/>
    <x v="3"/>
    <x v="5"/>
    <d v="2014-05-18T00:00:00"/>
    <n v="4"/>
    <x v="1"/>
    <s v="Brian Moss"/>
    <x v="1"/>
    <s v="United States"/>
    <s v="Columbus"/>
    <s v="Indiana"/>
    <s v="Central"/>
    <x v="1"/>
    <x v="8"/>
    <s v="Ibico Hi-Tech Manual Binding System"/>
    <x v="2132"/>
    <n v="3"/>
    <n v="0"/>
    <n v="411.73649999999998"/>
  </r>
  <r>
    <n v="2597"/>
    <x v="726"/>
    <x v="3"/>
    <x v="5"/>
    <d v="2014-05-18T00:00:00"/>
    <n v="4"/>
    <x v="1"/>
    <s v="Brian Moss"/>
    <x v="1"/>
    <s v="United States"/>
    <s v="Columbus"/>
    <s v="Indiana"/>
    <s v="Central"/>
    <x v="2"/>
    <x v="7"/>
    <s v="Plantronics Calisto P620-M USB Wireless Speakerphone System"/>
    <x v="2133"/>
    <n v="3"/>
    <n v="0"/>
    <n v="158.75190000000001"/>
  </r>
  <r>
    <n v="2598"/>
    <x v="726"/>
    <x v="3"/>
    <x v="5"/>
    <d v="2014-05-18T00:00:00"/>
    <n v="4"/>
    <x v="1"/>
    <s v="Brian Moss"/>
    <x v="1"/>
    <s v="United States"/>
    <s v="Columbus"/>
    <s v="Indiana"/>
    <s v="Central"/>
    <x v="1"/>
    <x v="4"/>
    <s v="Tennsco 6- and 18-Compartment Lockers"/>
    <x v="2134"/>
    <n v="2"/>
    <n v="0"/>
    <n v="95.461200000000005"/>
  </r>
  <r>
    <n v="2599"/>
    <x v="726"/>
    <x v="3"/>
    <x v="5"/>
    <d v="2014-05-18T00:00:00"/>
    <n v="4"/>
    <x v="1"/>
    <s v="Brian Moss"/>
    <x v="1"/>
    <s v="United States"/>
    <s v="Columbus"/>
    <s v="Indiana"/>
    <s v="Central"/>
    <x v="1"/>
    <x v="10"/>
    <s v="Hammermill CopyPlus Copy Paper (20Lb. and 84 Bright)"/>
    <x v="1801"/>
    <n v="3"/>
    <n v="0"/>
    <n v="7.3205999999999998"/>
  </r>
  <r>
    <n v="2600"/>
    <x v="756"/>
    <x v="3"/>
    <x v="3"/>
    <d v="2014-04-30T00:00:00"/>
    <n v="6"/>
    <x v="1"/>
    <s v="Sally Knutson"/>
    <x v="0"/>
    <s v="United States"/>
    <s v="New York City"/>
    <s v="New York"/>
    <s v="East"/>
    <x v="1"/>
    <x v="9"/>
    <s v="Tripp Lite Isotel 6 Outlet Surge Protector with Fax/Modem Protection"/>
    <x v="2135"/>
    <n v="2"/>
    <n v="0"/>
    <n v="35.3626"/>
  </r>
  <r>
    <n v="2601"/>
    <x v="756"/>
    <x v="3"/>
    <x v="3"/>
    <d v="2014-04-30T00:00:00"/>
    <n v="6"/>
    <x v="1"/>
    <s v="Sally Knutson"/>
    <x v="0"/>
    <s v="United States"/>
    <s v="New York City"/>
    <s v="New York"/>
    <s v="East"/>
    <x v="1"/>
    <x v="14"/>
    <s v="Acme 10&quot; Easy Grip Assistive Scissors"/>
    <x v="2136"/>
    <n v="7"/>
    <n v="0"/>
    <n v="36.813000000000002"/>
  </r>
  <r>
    <n v="2602"/>
    <x v="30"/>
    <x v="0"/>
    <x v="1"/>
    <d v="2013-06-05T00:00:00"/>
    <n v="0"/>
    <x v="3"/>
    <s v="Edward Nazzal"/>
    <x v="0"/>
    <s v="United States"/>
    <s v="New York City"/>
    <s v="New York"/>
    <s v="East"/>
    <x v="1"/>
    <x v="10"/>
    <s v="Staples"/>
    <x v="1801"/>
    <n v="3"/>
    <n v="0"/>
    <n v="7.0217999999999998"/>
  </r>
  <r>
    <n v="2603"/>
    <x v="30"/>
    <x v="0"/>
    <x v="1"/>
    <d v="2013-06-05T00:00:00"/>
    <n v="0"/>
    <x v="3"/>
    <s v="Edward Nazzal"/>
    <x v="0"/>
    <s v="United States"/>
    <s v="New York City"/>
    <s v="New York"/>
    <s v="East"/>
    <x v="2"/>
    <x v="15"/>
    <s v="Panasonic KX MC6040 Color Laser Multifunction Printer"/>
    <x v="2137"/>
    <n v="3"/>
    <n v="0"/>
    <n v="364.45949999999999"/>
  </r>
  <r>
    <n v="2604"/>
    <x v="30"/>
    <x v="0"/>
    <x v="1"/>
    <d v="2013-06-05T00:00:00"/>
    <n v="0"/>
    <x v="3"/>
    <s v="Edward Nazzal"/>
    <x v="0"/>
    <s v="United States"/>
    <s v="New York City"/>
    <s v="New York"/>
    <s v="East"/>
    <x v="0"/>
    <x v="0"/>
    <s v="Sauder Inglewood Library Bookcases"/>
    <x v="2138"/>
    <n v="1"/>
    <n v="0.2"/>
    <n v="5.1294000000000004"/>
  </r>
  <r>
    <n v="2605"/>
    <x v="30"/>
    <x v="0"/>
    <x v="1"/>
    <d v="2013-06-05T00:00:00"/>
    <n v="0"/>
    <x v="3"/>
    <s v="Edward Nazzal"/>
    <x v="0"/>
    <s v="United States"/>
    <s v="New York City"/>
    <s v="New York"/>
    <s v="East"/>
    <x v="0"/>
    <x v="5"/>
    <s v="Linden 10&quot; Round Wall Clock, Black"/>
    <x v="2139"/>
    <n v="4"/>
    <n v="0"/>
    <n v="20.780799999999999"/>
  </r>
  <r>
    <n v="2606"/>
    <x v="757"/>
    <x v="2"/>
    <x v="4"/>
    <d v="2011-12-21T00:00:00"/>
    <n v="5"/>
    <x v="1"/>
    <s v="Kean Nguyen"/>
    <x v="1"/>
    <s v="United States"/>
    <s v="Jacksonville"/>
    <s v="Florida"/>
    <s v="South"/>
    <x v="1"/>
    <x v="8"/>
    <s v="Avery Binder Labels"/>
    <x v="2140"/>
    <n v="1"/>
    <n v="0.7"/>
    <n v="-0.85580000000000001"/>
  </r>
  <r>
    <n v="2607"/>
    <x v="758"/>
    <x v="0"/>
    <x v="10"/>
    <d v="2013-03-11T00:00:00"/>
    <n v="6"/>
    <x v="1"/>
    <s v="Michael Granlund"/>
    <x v="2"/>
    <s v="United States"/>
    <s v="San Diego"/>
    <s v="California"/>
    <s v="West"/>
    <x v="1"/>
    <x v="6"/>
    <s v="Berol Giant Pencil Sharpener"/>
    <x v="2141"/>
    <n v="1"/>
    <n v="0"/>
    <n v="4.9271000000000003"/>
  </r>
  <r>
    <n v="2608"/>
    <x v="641"/>
    <x v="2"/>
    <x v="0"/>
    <d v="2011-11-30T00:00:00"/>
    <n v="5"/>
    <x v="1"/>
    <s v="Matt Collister"/>
    <x v="1"/>
    <s v="United States"/>
    <s v="Arlington"/>
    <s v="Texas"/>
    <s v="Central"/>
    <x v="2"/>
    <x v="11"/>
    <s v="KeyTronic KT400U2 - Keyboard - Black"/>
    <x v="1063"/>
    <n v="3"/>
    <n v="0.2"/>
    <n v="0"/>
  </r>
  <r>
    <n v="2609"/>
    <x v="641"/>
    <x v="2"/>
    <x v="0"/>
    <d v="2011-11-30T00:00:00"/>
    <n v="5"/>
    <x v="1"/>
    <s v="Matt Collister"/>
    <x v="1"/>
    <s v="United States"/>
    <s v="Arlington"/>
    <s v="Texas"/>
    <s v="Central"/>
    <x v="1"/>
    <x v="2"/>
    <s v="Avery 520"/>
    <x v="2142"/>
    <n v="1"/>
    <n v="0.2"/>
    <n v="0.88200000000000001"/>
  </r>
  <r>
    <n v="2610"/>
    <x v="641"/>
    <x v="2"/>
    <x v="0"/>
    <d v="2011-11-30T00:00:00"/>
    <n v="5"/>
    <x v="1"/>
    <s v="Matt Collister"/>
    <x v="1"/>
    <s v="United States"/>
    <s v="Arlington"/>
    <s v="Texas"/>
    <s v="Central"/>
    <x v="0"/>
    <x v="3"/>
    <s v="Bretford CR4500 Series Slim Rectangular Table"/>
    <x v="2143"/>
    <n v="5"/>
    <n v="0.3"/>
    <n v="-121.87350000000001"/>
  </r>
  <r>
    <n v="2611"/>
    <x v="641"/>
    <x v="2"/>
    <x v="0"/>
    <d v="2011-11-30T00:00:00"/>
    <n v="5"/>
    <x v="1"/>
    <s v="Matt Collister"/>
    <x v="1"/>
    <s v="United States"/>
    <s v="Arlington"/>
    <s v="Texas"/>
    <s v="Central"/>
    <x v="1"/>
    <x v="2"/>
    <s v="Avery 52"/>
    <x v="2144"/>
    <n v="2"/>
    <n v="0.2"/>
    <n v="1.9925999999999999"/>
  </r>
  <r>
    <n v="2612"/>
    <x v="641"/>
    <x v="2"/>
    <x v="0"/>
    <d v="2011-11-30T00:00:00"/>
    <n v="5"/>
    <x v="1"/>
    <s v="Matt Collister"/>
    <x v="1"/>
    <s v="United States"/>
    <s v="Arlington"/>
    <s v="Texas"/>
    <s v="Central"/>
    <x v="1"/>
    <x v="10"/>
    <s v="Southworth 25% Cotton Granite Paper &amp; Envelopes"/>
    <x v="929"/>
    <n v="3"/>
    <n v="0.2"/>
    <n v="5.1012000000000004"/>
  </r>
  <r>
    <n v="2613"/>
    <x v="641"/>
    <x v="2"/>
    <x v="0"/>
    <d v="2011-11-30T00:00:00"/>
    <n v="5"/>
    <x v="1"/>
    <s v="Matt Collister"/>
    <x v="1"/>
    <s v="United States"/>
    <s v="Arlington"/>
    <s v="Texas"/>
    <s v="Central"/>
    <x v="0"/>
    <x v="5"/>
    <s v="Master Caster Door Stop, Brown"/>
    <x v="855"/>
    <n v="3"/>
    <n v="0.6"/>
    <n v="-3.9624000000000001"/>
  </r>
  <r>
    <n v="2614"/>
    <x v="236"/>
    <x v="0"/>
    <x v="3"/>
    <d v="2013-05-06T00:00:00"/>
    <n v="7"/>
    <x v="1"/>
    <s v="Bill Overfelt"/>
    <x v="1"/>
    <s v="United States"/>
    <s v="Los Angeles"/>
    <s v="California"/>
    <s v="West"/>
    <x v="0"/>
    <x v="1"/>
    <s v="Global Stack Chair without Arms, Black"/>
    <x v="1501"/>
    <n v="2"/>
    <n v="0.2"/>
    <n v="2.5979999999999999"/>
  </r>
  <r>
    <n v="2615"/>
    <x v="759"/>
    <x v="2"/>
    <x v="3"/>
    <d v="2011-05-03T00:00:00"/>
    <n v="7"/>
    <x v="1"/>
    <s v="Aleksandra Gannaway"/>
    <x v="1"/>
    <s v="United States"/>
    <s v="Los Angeles"/>
    <s v="California"/>
    <s v="West"/>
    <x v="0"/>
    <x v="1"/>
    <s v="Bevis Steel Folding Chairs"/>
    <x v="2145"/>
    <n v="3"/>
    <n v="0.2"/>
    <n v="23.027999999999999"/>
  </r>
  <r>
    <n v="2616"/>
    <x v="759"/>
    <x v="2"/>
    <x v="3"/>
    <d v="2011-05-03T00:00:00"/>
    <n v="7"/>
    <x v="1"/>
    <s v="Aleksandra Gannaway"/>
    <x v="1"/>
    <s v="United States"/>
    <s v="Los Angeles"/>
    <s v="California"/>
    <s v="West"/>
    <x v="1"/>
    <x v="8"/>
    <s v="Acco Pressboard Covers with Storage Hooks, 14 7/8&quot; x 11&quot;, Executive Red"/>
    <x v="2146"/>
    <n v="6"/>
    <n v="0.2"/>
    <n v="5.7149999999999999"/>
  </r>
  <r>
    <n v="2617"/>
    <x v="719"/>
    <x v="3"/>
    <x v="3"/>
    <d v="2014-04-06T00:00:00"/>
    <n v="4"/>
    <x v="1"/>
    <s v="Maribeth Schnelling"/>
    <x v="0"/>
    <s v="United States"/>
    <s v="San Francisco"/>
    <s v="California"/>
    <s v="West"/>
    <x v="1"/>
    <x v="2"/>
    <s v="Avery 498"/>
    <x v="396"/>
    <n v="2"/>
    <n v="0"/>
    <n v="2.7166000000000001"/>
  </r>
  <r>
    <n v="2618"/>
    <x v="719"/>
    <x v="3"/>
    <x v="3"/>
    <d v="2014-04-06T00:00:00"/>
    <n v="4"/>
    <x v="1"/>
    <s v="Maribeth Schnelling"/>
    <x v="0"/>
    <s v="United States"/>
    <s v="San Francisco"/>
    <s v="California"/>
    <s v="West"/>
    <x v="1"/>
    <x v="8"/>
    <s v="Fellowes Binding Cases"/>
    <x v="2147"/>
    <n v="13"/>
    <n v="0.2"/>
    <n v="38.024999999999999"/>
  </r>
  <r>
    <n v="2619"/>
    <x v="66"/>
    <x v="3"/>
    <x v="4"/>
    <d v="2014-12-27T00:00:00"/>
    <n v="4"/>
    <x v="1"/>
    <s v="Jim Mitchum"/>
    <x v="1"/>
    <s v="United States"/>
    <s v="Carlsbad"/>
    <s v="New Mexico"/>
    <s v="West"/>
    <x v="1"/>
    <x v="6"/>
    <s v="Design Ebony Sketching Pencil"/>
    <x v="2148"/>
    <n v="3"/>
    <n v="0"/>
    <n v="1.0842000000000001"/>
  </r>
  <r>
    <n v="2620"/>
    <x v="66"/>
    <x v="3"/>
    <x v="4"/>
    <d v="2014-12-27T00:00:00"/>
    <n v="4"/>
    <x v="1"/>
    <s v="Jim Mitchum"/>
    <x v="1"/>
    <s v="United States"/>
    <s v="Carlsbad"/>
    <s v="New Mexico"/>
    <s v="West"/>
    <x v="2"/>
    <x v="7"/>
    <s v="iKross Bluetooth Portable Keyboard + Cell Phone Stand Holder + Brush for Apple iPhone 5S 5C 5, 4S 4"/>
    <x v="2149"/>
    <n v="4"/>
    <n v="0.2"/>
    <n v="6.7039999999999997"/>
  </r>
  <r>
    <n v="2621"/>
    <x v="66"/>
    <x v="3"/>
    <x v="4"/>
    <d v="2014-12-27T00:00:00"/>
    <n v="4"/>
    <x v="1"/>
    <s v="Jim Mitchum"/>
    <x v="1"/>
    <s v="United States"/>
    <s v="Carlsbad"/>
    <s v="New Mexico"/>
    <s v="West"/>
    <x v="1"/>
    <x v="4"/>
    <s v="Eldon Simplefile Box Office"/>
    <x v="2150"/>
    <n v="3"/>
    <n v="0"/>
    <n v="10.4496"/>
  </r>
  <r>
    <n v="2622"/>
    <x v="66"/>
    <x v="3"/>
    <x v="4"/>
    <d v="2014-12-27T00:00:00"/>
    <n v="4"/>
    <x v="1"/>
    <s v="Jim Mitchum"/>
    <x v="1"/>
    <s v="United States"/>
    <s v="Carlsbad"/>
    <s v="New Mexico"/>
    <s v="West"/>
    <x v="1"/>
    <x v="2"/>
    <s v="Avery 517"/>
    <x v="1753"/>
    <n v="5"/>
    <n v="0"/>
    <n v="8.6715"/>
  </r>
  <r>
    <n v="2623"/>
    <x v="640"/>
    <x v="2"/>
    <x v="4"/>
    <d v="2011-12-06T00:00:00"/>
    <n v="3"/>
    <x v="0"/>
    <s v="Matthew Clasen"/>
    <x v="1"/>
    <s v="United States"/>
    <s v="Saint Louis"/>
    <s v="Missouri"/>
    <s v="Central"/>
    <x v="1"/>
    <x v="10"/>
    <s v="Xerox 214"/>
    <x v="233"/>
    <n v="4"/>
    <n v="0"/>
    <n v="12.441599999999999"/>
  </r>
  <r>
    <n v="2624"/>
    <x v="760"/>
    <x v="3"/>
    <x v="2"/>
    <d v="2014-10-25T00:00:00"/>
    <n v="2"/>
    <x v="2"/>
    <s v="Tom Ashbrook"/>
    <x v="2"/>
    <s v="United States"/>
    <s v="New York City"/>
    <s v="New York"/>
    <s v="East"/>
    <x v="2"/>
    <x v="16"/>
    <s v="Canon imageCLASS 2200 Advanced Copier"/>
    <x v="2151"/>
    <n v="4"/>
    <n v="0.2"/>
    <n v="3919.9888000000001"/>
  </r>
  <r>
    <n v="2625"/>
    <x v="760"/>
    <x v="3"/>
    <x v="2"/>
    <d v="2014-10-25T00:00:00"/>
    <n v="2"/>
    <x v="2"/>
    <s v="Tom Ashbrook"/>
    <x v="2"/>
    <s v="United States"/>
    <s v="New York City"/>
    <s v="New York"/>
    <s v="East"/>
    <x v="2"/>
    <x v="7"/>
    <s v="Polycom CX600 IP Phone VoIP phone"/>
    <x v="2152"/>
    <n v="8"/>
    <n v="0"/>
    <n v="647.89200000000005"/>
  </r>
  <r>
    <n v="2626"/>
    <x v="760"/>
    <x v="3"/>
    <x v="2"/>
    <d v="2014-10-25T00:00:00"/>
    <n v="2"/>
    <x v="2"/>
    <s v="Tom Ashbrook"/>
    <x v="2"/>
    <s v="United States"/>
    <s v="New York City"/>
    <s v="New York"/>
    <s v="East"/>
    <x v="1"/>
    <x v="12"/>
    <s v="Globe Weis Peel &amp; Seel First Class Envelopes"/>
    <x v="1011"/>
    <n v="5"/>
    <n v="0"/>
    <n v="28.754999999999999"/>
  </r>
  <r>
    <n v="2627"/>
    <x v="760"/>
    <x v="3"/>
    <x v="2"/>
    <d v="2014-10-25T00:00:00"/>
    <n v="2"/>
    <x v="2"/>
    <s v="Tom Ashbrook"/>
    <x v="2"/>
    <s v="United States"/>
    <s v="New York City"/>
    <s v="New York"/>
    <s v="East"/>
    <x v="2"/>
    <x v="7"/>
    <s v="i.Sound Portable Power - 8000 mAh"/>
    <x v="2153"/>
    <n v="1"/>
    <n v="0"/>
    <n v="0.52990000000000004"/>
  </r>
  <r>
    <n v="2628"/>
    <x v="38"/>
    <x v="3"/>
    <x v="0"/>
    <d v="2014-11-16T00:00:00"/>
    <n v="2"/>
    <x v="2"/>
    <s v="Sean Braxton"/>
    <x v="1"/>
    <s v="United States"/>
    <s v="Springfield"/>
    <s v="Ohio"/>
    <s v="East"/>
    <x v="2"/>
    <x v="11"/>
    <s v="SanDisk Cruzer 32 GB USB Flash Drive"/>
    <x v="2154"/>
    <n v="4"/>
    <n v="0.2"/>
    <n v="9.1295999999999999"/>
  </r>
  <r>
    <n v="2629"/>
    <x v="38"/>
    <x v="3"/>
    <x v="0"/>
    <d v="2014-11-16T00:00:00"/>
    <n v="2"/>
    <x v="2"/>
    <s v="Sean Braxton"/>
    <x v="1"/>
    <s v="United States"/>
    <s v="Springfield"/>
    <s v="Ohio"/>
    <s v="East"/>
    <x v="2"/>
    <x v="15"/>
    <s v="Epson TM-T88V Direct Thermal Printer - Monochrome - Desktop"/>
    <x v="2155"/>
    <n v="7"/>
    <n v="0.7"/>
    <n v="-935.95950000000005"/>
  </r>
  <r>
    <n v="2630"/>
    <x v="38"/>
    <x v="3"/>
    <x v="0"/>
    <d v="2014-11-16T00:00:00"/>
    <n v="2"/>
    <x v="2"/>
    <s v="Sean Braxton"/>
    <x v="1"/>
    <s v="United States"/>
    <s v="Springfield"/>
    <s v="Ohio"/>
    <s v="East"/>
    <x v="1"/>
    <x v="8"/>
    <s v="Accohide Poly Flexible Ring Binders"/>
    <x v="2156"/>
    <n v="10"/>
    <n v="0.7"/>
    <n v="-7.48"/>
  </r>
  <r>
    <n v="2631"/>
    <x v="229"/>
    <x v="1"/>
    <x v="8"/>
    <d v="2012-09-15T00:00:00"/>
    <n v="5"/>
    <x v="1"/>
    <s v="Aimee Bixby"/>
    <x v="0"/>
    <s v="United States"/>
    <s v="Tulsa"/>
    <s v="Oklahoma"/>
    <s v="Central"/>
    <x v="1"/>
    <x v="10"/>
    <s v="Xerox 1952"/>
    <x v="1801"/>
    <n v="3"/>
    <n v="0"/>
    <n v="7.0217999999999998"/>
  </r>
  <r>
    <n v="2632"/>
    <x v="356"/>
    <x v="3"/>
    <x v="5"/>
    <d v="2014-05-21T00:00:00"/>
    <n v="5"/>
    <x v="1"/>
    <s v="Jason Fortune-"/>
    <x v="0"/>
    <s v="United States"/>
    <s v="Seattle"/>
    <s v="Washington"/>
    <s v="West"/>
    <x v="0"/>
    <x v="5"/>
    <s v="24-Hour Round Wall Clock"/>
    <x v="786"/>
    <n v="2"/>
    <n v="0"/>
    <n v="17.1828"/>
  </r>
  <r>
    <n v="2633"/>
    <x v="356"/>
    <x v="3"/>
    <x v="5"/>
    <d v="2014-05-21T00:00:00"/>
    <n v="5"/>
    <x v="1"/>
    <s v="Jason Fortune-"/>
    <x v="0"/>
    <s v="United States"/>
    <s v="Seattle"/>
    <s v="Washington"/>
    <s v="West"/>
    <x v="0"/>
    <x v="1"/>
    <s v="SAFCO Optional Arm Kit for Workspace Cribbage Stacking Chair"/>
    <x v="2157"/>
    <n v="2"/>
    <n v="0.2"/>
    <n v="4.2624000000000004"/>
  </r>
  <r>
    <n v="2634"/>
    <x v="356"/>
    <x v="3"/>
    <x v="5"/>
    <d v="2014-05-21T00:00:00"/>
    <n v="5"/>
    <x v="1"/>
    <s v="Jason Fortune-"/>
    <x v="0"/>
    <s v="United States"/>
    <s v="Seattle"/>
    <s v="Washington"/>
    <s v="West"/>
    <x v="0"/>
    <x v="1"/>
    <s v="SAFCO Arco Folding Chair"/>
    <x v="2158"/>
    <n v="1"/>
    <n v="0.2"/>
    <n v="24.858000000000001"/>
  </r>
  <r>
    <n v="2635"/>
    <x v="761"/>
    <x v="1"/>
    <x v="7"/>
    <d v="2012-07-10T00:00:00"/>
    <n v="5"/>
    <x v="0"/>
    <s v="Barbara Fisher"/>
    <x v="1"/>
    <s v="United States"/>
    <s v="Fayetteville"/>
    <s v="North Carolina"/>
    <s v="South"/>
    <x v="0"/>
    <x v="5"/>
    <s v="Stackable Trays"/>
    <x v="1253"/>
    <n v="2"/>
    <n v="0.2"/>
    <n v="0.73919999999999997"/>
  </r>
  <r>
    <n v="2636"/>
    <x v="761"/>
    <x v="1"/>
    <x v="7"/>
    <d v="2012-07-10T00:00:00"/>
    <n v="5"/>
    <x v="0"/>
    <s v="Barbara Fisher"/>
    <x v="1"/>
    <s v="United States"/>
    <s v="Fayetteville"/>
    <s v="North Carolina"/>
    <s v="South"/>
    <x v="1"/>
    <x v="8"/>
    <s v="Wilson Jones Turn Tabs Binder Tool for Ring Binders"/>
    <x v="2159"/>
    <n v="5"/>
    <n v="0.7"/>
    <n v="-5.7839999999999998"/>
  </r>
  <r>
    <n v="2637"/>
    <x v="762"/>
    <x v="1"/>
    <x v="6"/>
    <d v="2012-08-19T00:00:00"/>
    <n v="4"/>
    <x v="1"/>
    <s v="Tim Taslimi"/>
    <x v="1"/>
    <s v="United States"/>
    <s v="Los Angeles"/>
    <s v="California"/>
    <s v="West"/>
    <x v="1"/>
    <x v="4"/>
    <s v="Fellowes Super Stor/Drawer Files"/>
    <x v="2105"/>
    <n v="2"/>
    <n v="0"/>
    <n v="61.389000000000003"/>
  </r>
  <r>
    <n v="2638"/>
    <x v="492"/>
    <x v="3"/>
    <x v="1"/>
    <d v="2014-06-19T00:00:00"/>
    <n v="6"/>
    <x v="1"/>
    <s v="Sarah Bern"/>
    <x v="0"/>
    <s v="United States"/>
    <s v="New York City"/>
    <s v="New York"/>
    <s v="East"/>
    <x v="1"/>
    <x v="10"/>
    <s v="TOPS Voice Message Log Book, Flash Format"/>
    <x v="2160"/>
    <n v="4"/>
    <n v="0"/>
    <n v="9.3295999999999992"/>
  </r>
  <r>
    <n v="2639"/>
    <x v="492"/>
    <x v="3"/>
    <x v="1"/>
    <d v="2014-06-19T00:00:00"/>
    <n v="6"/>
    <x v="1"/>
    <s v="Sarah Bern"/>
    <x v="0"/>
    <s v="United States"/>
    <s v="New York City"/>
    <s v="New York"/>
    <s v="East"/>
    <x v="1"/>
    <x v="8"/>
    <s v="Angle-D Ring Binders"/>
    <x v="531"/>
    <n v="3"/>
    <n v="0.2"/>
    <n v="4.2666000000000004"/>
  </r>
  <r>
    <n v="2640"/>
    <x v="492"/>
    <x v="3"/>
    <x v="1"/>
    <d v="2014-06-19T00:00:00"/>
    <n v="6"/>
    <x v="1"/>
    <s v="Sarah Bern"/>
    <x v="0"/>
    <s v="United States"/>
    <s v="New York City"/>
    <s v="New York"/>
    <s v="East"/>
    <x v="1"/>
    <x v="6"/>
    <s v="Boston 1730 StandUp Electric Pencil Sharpener"/>
    <x v="2161"/>
    <n v="3"/>
    <n v="0"/>
    <n v="16.676400000000001"/>
  </r>
  <r>
    <n v="2641"/>
    <x v="492"/>
    <x v="3"/>
    <x v="1"/>
    <d v="2014-06-19T00:00:00"/>
    <n v="6"/>
    <x v="1"/>
    <s v="Sarah Bern"/>
    <x v="0"/>
    <s v="United States"/>
    <s v="New York City"/>
    <s v="New York"/>
    <s v="East"/>
    <x v="0"/>
    <x v="1"/>
    <s v="Safco Contoured Stacking Chairs"/>
    <x v="2162"/>
    <n v="4"/>
    <n v="0.1"/>
    <n v="143.04"/>
  </r>
  <r>
    <n v="2642"/>
    <x v="763"/>
    <x v="1"/>
    <x v="11"/>
    <d v="2012-02-25T00:00:00"/>
    <n v="5"/>
    <x v="1"/>
    <s v="Liz MacKendrick"/>
    <x v="0"/>
    <s v="United States"/>
    <s v="Hot Springs"/>
    <s v="Arkansas"/>
    <s v="South"/>
    <x v="2"/>
    <x v="11"/>
    <s v="Anker Ultrathin Bluetooth Wireless Keyboard Aluminum Cover with Stand "/>
    <x v="803"/>
    <n v="1"/>
    <n v="0"/>
    <n v="2.9990000000000001"/>
  </r>
  <r>
    <n v="2643"/>
    <x v="723"/>
    <x v="0"/>
    <x v="4"/>
    <d v="2013-12-31T00:00:00"/>
    <n v="1"/>
    <x v="2"/>
    <s v="Kelly Andreada"/>
    <x v="0"/>
    <s v="United States"/>
    <s v="Aurora"/>
    <s v="Illinois"/>
    <s v="Central"/>
    <x v="1"/>
    <x v="10"/>
    <s v="White Computer Printout Paper by Universal"/>
    <x v="775"/>
    <n v="6"/>
    <n v="0.2"/>
    <n v="67.442400000000006"/>
  </r>
  <r>
    <n v="2644"/>
    <x v="764"/>
    <x v="0"/>
    <x v="3"/>
    <d v="2013-04-22T00:00:00"/>
    <n v="4"/>
    <x v="0"/>
    <s v="Ben Ferrer"/>
    <x v="2"/>
    <s v="United States"/>
    <s v="Raleigh"/>
    <s v="North Carolina"/>
    <s v="South"/>
    <x v="2"/>
    <x v="7"/>
    <s v="Motorola L804"/>
    <x v="2163"/>
    <n v="1"/>
    <n v="0.2"/>
    <n v="4.1391"/>
  </r>
  <r>
    <n v="2645"/>
    <x v="764"/>
    <x v="0"/>
    <x v="3"/>
    <d v="2013-04-22T00:00:00"/>
    <n v="4"/>
    <x v="0"/>
    <s v="Ben Ferrer"/>
    <x v="2"/>
    <s v="United States"/>
    <s v="Raleigh"/>
    <s v="North Carolina"/>
    <s v="South"/>
    <x v="0"/>
    <x v="5"/>
    <s v="GE General Purpose, Extra Long Life, Showcase &amp; Floodlight Incandescent Bulbs"/>
    <x v="2164"/>
    <n v="8"/>
    <n v="0.2"/>
    <n v="6.2855999999999996"/>
  </r>
  <r>
    <n v="2646"/>
    <x v="557"/>
    <x v="2"/>
    <x v="8"/>
    <d v="2011-09-12T00:00:00"/>
    <n v="5"/>
    <x v="0"/>
    <s v="Tom Boeckenhauer"/>
    <x v="0"/>
    <s v="United States"/>
    <s v="Tulsa"/>
    <s v="Oklahoma"/>
    <s v="Central"/>
    <x v="0"/>
    <x v="5"/>
    <s v="Executive Impressions 13&quot; Clairmont Wall Clock"/>
    <x v="2165"/>
    <n v="3"/>
    <n v="0"/>
    <n v="23.652899999999999"/>
  </r>
  <r>
    <n v="2647"/>
    <x v="557"/>
    <x v="2"/>
    <x v="8"/>
    <d v="2011-09-12T00:00:00"/>
    <n v="5"/>
    <x v="0"/>
    <s v="Tom Boeckenhauer"/>
    <x v="0"/>
    <s v="United States"/>
    <s v="Tulsa"/>
    <s v="Oklahoma"/>
    <s v="Central"/>
    <x v="1"/>
    <x v="8"/>
    <s v="GBC Laser Imprintable Binding System Covers, Desert Sand"/>
    <x v="2166"/>
    <n v="3"/>
    <n v="0"/>
    <n v="20.120699999999999"/>
  </r>
  <r>
    <n v="2648"/>
    <x v="557"/>
    <x v="2"/>
    <x v="8"/>
    <d v="2011-09-12T00:00:00"/>
    <n v="5"/>
    <x v="0"/>
    <s v="Tom Boeckenhauer"/>
    <x v="0"/>
    <s v="United States"/>
    <s v="Tulsa"/>
    <s v="Oklahoma"/>
    <s v="Central"/>
    <x v="1"/>
    <x v="10"/>
    <s v="Xerox 2000"/>
    <x v="91"/>
    <n v="2"/>
    <n v="0"/>
    <n v="6.2207999999999997"/>
  </r>
  <r>
    <n v="2649"/>
    <x v="557"/>
    <x v="2"/>
    <x v="8"/>
    <d v="2011-09-12T00:00:00"/>
    <n v="5"/>
    <x v="0"/>
    <s v="Tom Boeckenhauer"/>
    <x v="0"/>
    <s v="United States"/>
    <s v="Tulsa"/>
    <s v="Oklahoma"/>
    <s v="Central"/>
    <x v="0"/>
    <x v="5"/>
    <s v="3M Polarizing Task Lamp with Clamp Arm, Light Gray"/>
    <x v="2098"/>
    <n v="6"/>
    <n v="0"/>
    <n v="213.68879999999999"/>
  </r>
  <r>
    <n v="2650"/>
    <x v="557"/>
    <x v="2"/>
    <x v="8"/>
    <d v="2011-09-12T00:00:00"/>
    <n v="5"/>
    <x v="0"/>
    <s v="Tom Boeckenhauer"/>
    <x v="0"/>
    <s v="United States"/>
    <s v="Tulsa"/>
    <s v="Oklahoma"/>
    <s v="Central"/>
    <x v="2"/>
    <x v="7"/>
    <s v="Plantronics Cordless Phone Headset with In-line Volume - M214C"/>
    <x v="1230"/>
    <n v="3"/>
    <n v="0"/>
    <n v="28.3095"/>
  </r>
  <r>
    <n v="2651"/>
    <x v="182"/>
    <x v="0"/>
    <x v="8"/>
    <d v="2013-10-02T00:00:00"/>
    <n v="5"/>
    <x v="1"/>
    <s v="Sally Hughsby"/>
    <x v="1"/>
    <s v="United States"/>
    <s v="Hesperia"/>
    <s v="California"/>
    <s v="West"/>
    <x v="0"/>
    <x v="0"/>
    <s v="Bestar Classic Bookcase"/>
    <x v="2167"/>
    <n v="5"/>
    <n v="0.15"/>
    <n v="19.998000000000001"/>
  </r>
  <r>
    <n v="2652"/>
    <x v="697"/>
    <x v="3"/>
    <x v="8"/>
    <d v="2014-09-22T00:00:00"/>
    <n v="4"/>
    <x v="0"/>
    <s v="Alan Schoenberger"/>
    <x v="1"/>
    <s v="United States"/>
    <s v="Provo"/>
    <s v="Utah"/>
    <s v="West"/>
    <x v="1"/>
    <x v="8"/>
    <s v="Avery Non-Stick Binders"/>
    <x v="2168"/>
    <n v="3"/>
    <n v="0.2"/>
    <n v="3.5022000000000002"/>
  </r>
  <r>
    <n v="2653"/>
    <x v="697"/>
    <x v="3"/>
    <x v="8"/>
    <d v="2014-09-22T00:00:00"/>
    <n v="4"/>
    <x v="0"/>
    <s v="Alan Schoenberger"/>
    <x v="1"/>
    <s v="United States"/>
    <s v="Provo"/>
    <s v="Utah"/>
    <s v="West"/>
    <x v="1"/>
    <x v="8"/>
    <s v="Acco Pressboard Covers with Storage Hooks, 14 7/8&quot; x 11&quot;, Light Blue"/>
    <x v="692"/>
    <n v="3"/>
    <n v="0.2"/>
    <n v="4.2717000000000001"/>
  </r>
  <r>
    <n v="2654"/>
    <x v="697"/>
    <x v="3"/>
    <x v="8"/>
    <d v="2014-09-22T00:00:00"/>
    <n v="4"/>
    <x v="0"/>
    <s v="Alan Schoenberger"/>
    <x v="1"/>
    <s v="United States"/>
    <s v="Provo"/>
    <s v="Utah"/>
    <s v="West"/>
    <x v="1"/>
    <x v="10"/>
    <s v="Green Bar Computer Printout Paper"/>
    <x v="2169"/>
    <n v="3"/>
    <n v="0"/>
    <n v="80.791200000000003"/>
  </r>
  <r>
    <n v="2655"/>
    <x v="697"/>
    <x v="3"/>
    <x v="8"/>
    <d v="2014-09-22T00:00:00"/>
    <n v="4"/>
    <x v="0"/>
    <s v="Alan Schoenberger"/>
    <x v="1"/>
    <s v="United States"/>
    <s v="Provo"/>
    <s v="Utah"/>
    <s v="West"/>
    <x v="0"/>
    <x v="0"/>
    <s v="Global Adaptabilites Bookcase, Cherry/Storm Gray Finish"/>
    <x v="2170"/>
    <n v="3"/>
    <n v="0"/>
    <n v="77.576400000000007"/>
  </r>
  <r>
    <n v="2656"/>
    <x v="697"/>
    <x v="3"/>
    <x v="8"/>
    <d v="2014-09-22T00:00:00"/>
    <n v="4"/>
    <x v="0"/>
    <s v="Alan Schoenberger"/>
    <x v="1"/>
    <s v="United States"/>
    <s v="Provo"/>
    <s v="Utah"/>
    <s v="West"/>
    <x v="1"/>
    <x v="8"/>
    <s v="GBC Pre-Punched Binding Paper, Plastic, White, 8-1/2&quot; x 11&quot;"/>
    <x v="2171"/>
    <n v="2"/>
    <n v="0.2"/>
    <n v="8.9543999999999997"/>
  </r>
  <r>
    <n v="2657"/>
    <x v="697"/>
    <x v="3"/>
    <x v="8"/>
    <d v="2014-09-22T00:00:00"/>
    <n v="4"/>
    <x v="0"/>
    <s v="Alan Schoenberger"/>
    <x v="1"/>
    <s v="United States"/>
    <s v="Provo"/>
    <s v="Utah"/>
    <s v="West"/>
    <x v="1"/>
    <x v="4"/>
    <s v="Mini 13-1/2 Capacity Data Binder Rack, Pearl"/>
    <x v="2172"/>
    <n v="2"/>
    <n v="0"/>
    <n v="65.435000000000002"/>
  </r>
  <r>
    <n v="2658"/>
    <x v="697"/>
    <x v="3"/>
    <x v="8"/>
    <d v="2014-09-22T00:00:00"/>
    <n v="4"/>
    <x v="0"/>
    <s v="Alan Schoenberger"/>
    <x v="1"/>
    <s v="United States"/>
    <s v="Provo"/>
    <s v="Utah"/>
    <s v="West"/>
    <x v="1"/>
    <x v="2"/>
    <s v="Avery 514"/>
    <x v="928"/>
    <n v="5"/>
    <n v="0"/>
    <n v="7.056"/>
  </r>
  <r>
    <n v="2659"/>
    <x v="765"/>
    <x v="0"/>
    <x v="6"/>
    <d v="2013-08-21T00:00:00"/>
    <n v="4"/>
    <x v="1"/>
    <s v="Pete Kriz"/>
    <x v="0"/>
    <s v="United States"/>
    <s v="San Francisco"/>
    <s v="California"/>
    <s v="West"/>
    <x v="1"/>
    <x v="12"/>
    <s v="Convenience Packs of Business Envelopes"/>
    <x v="139"/>
    <n v="3"/>
    <n v="0"/>
    <n v="5.1041999999999996"/>
  </r>
  <r>
    <n v="2660"/>
    <x v="100"/>
    <x v="1"/>
    <x v="4"/>
    <d v="2012-12-28T00:00:00"/>
    <n v="4"/>
    <x v="1"/>
    <s v="Harold Ryan"/>
    <x v="1"/>
    <s v="United States"/>
    <s v="Gilbert"/>
    <s v="Arizona"/>
    <s v="West"/>
    <x v="0"/>
    <x v="1"/>
    <s v="SAFCO Arco Folding Chair"/>
    <x v="2173"/>
    <n v="4"/>
    <n v="0.2"/>
    <n v="99.432000000000002"/>
  </r>
  <r>
    <n v="2661"/>
    <x v="354"/>
    <x v="3"/>
    <x v="0"/>
    <d v="2014-12-03T00:00:00"/>
    <n v="4"/>
    <x v="1"/>
    <s v="Deirdre Greer"/>
    <x v="1"/>
    <s v="United States"/>
    <s v="New York City"/>
    <s v="New York"/>
    <s v="East"/>
    <x v="2"/>
    <x v="7"/>
    <s v="Google Nexus 5"/>
    <x v="2174"/>
    <n v="11"/>
    <n v="0"/>
    <n v="494.97250000000003"/>
  </r>
  <r>
    <n v="2662"/>
    <x v="354"/>
    <x v="3"/>
    <x v="0"/>
    <d v="2014-12-03T00:00:00"/>
    <n v="4"/>
    <x v="1"/>
    <s v="Deirdre Greer"/>
    <x v="1"/>
    <s v="United States"/>
    <s v="New York City"/>
    <s v="New York"/>
    <s v="East"/>
    <x v="1"/>
    <x v="12"/>
    <s v="Blue String-Tie &amp; Button Interoffice Envelopes, 10 x 13"/>
    <x v="1095"/>
    <n v="2"/>
    <n v="0"/>
    <n v="35.981999999999999"/>
  </r>
  <r>
    <n v="2663"/>
    <x v="349"/>
    <x v="3"/>
    <x v="3"/>
    <d v="2014-04-16T00:00:00"/>
    <n v="1"/>
    <x v="2"/>
    <s v="Craig Leslie"/>
    <x v="2"/>
    <s v="United States"/>
    <s v="Springfield"/>
    <s v="Missouri"/>
    <s v="Central"/>
    <x v="1"/>
    <x v="8"/>
    <s v="Acco 3-Hole Punch"/>
    <x v="2175"/>
    <n v="2"/>
    <n v="0"/>
    <n v="4.2047999999999996"/>
  </r>
  <r>
    <n v="2664"/>
    <x v="766"/>
    <x v="0"/>
    <x v="5"/>
    <d v="2013-05-05T00:00:00"/>
    <n v="3"/>
    <x v="2"/>
    <s v="Herbert Flentye"/>
    <x v="0"/>
    <s v="United States"/>
    <s v="Memphis"/>
    <s v="Tennessee"/>
    <s v="South"/>
    <x v="1"/>
    <x v="2"/>
    <s v="Avery 499"/>
    <x v="2176"/>
    <n v="1"/>
    <n v="0.2"/>
    <n v="1.2948"/>
  </r>
  <r>
    <n v="2665"/>
    <x v="766"/>
    <x v="0"/>
    <x v="5"/>
    <d v="2013-05-05T00:00:00"/>
    <n v="3"/>
    <x v="2"/>
    <s v="Herbert Flentye"/>
    <x v="0"/>
    <s v="United States"/>
    <s v="Memphis"/>
    <s v="Tennessee"/>
    <s v="South"/>
    <x v="0"/>
    <x v="3"/>
    <s v="Bevis 44 x 96 Conference Tables"/>
    <x v="2177"/>
    <n v="3"/>
    <n v="0.4"/>
    <n v="-142.071"/>
  </r>
  <r>
    <n v="2666"/>
    <x v="766"/>
    <x v="0"/>
    <x v="5"/>
    <d v="2013-05-05T00:00:00"/>
    <n v="3"/>
    <x v="2"/>
    <s v="Herbert Flentye"/>
    <x v="0"/>
    <s v="United States"/>
    <s v="Memphis"/>
    <s v="Tennessee"/>
    <s v="South"/>
    <x v="1"/>
    <x v="8"/>
    <s v="Newell 3-Hole Punched Plastic Slotted Magazine Holders for Binders"/>
    <x v="2178"/>
    <n v="2"/>
    <n v="0.7"/>
    <n v="-2.0108000000000001"/>
  </r>
  <r>
    <n v="2667"/>
    <x v="393"/>
    <x v="0"/>
    <x v="2"/>
    <d v="2013-10-02T00:00:00"/>
    <n v="0"/>
    <x v="3"/>
    <s v="Hunter Glantz"/>
    <x v="0"/>
    <s v="United States"/>
    <s v="Amarillo"/>
    <s v="Texas"/>
    <s v="Central"/>
    <x v="2"/>
    <x v="11"/>
    <s v="Imation 16GB Mini TravelDrive USB 2.0 Flash Drive"/>
    <x v="2179"/>
    <n v="3"/>
    <n v="0.2"/>
    <n v="20.8719"/>
  </r>
  <r>
    <n v="2668"/>
    <x v="393"/>
    <x v="0"/>
    <x v="2"/>
    <d v="2013-10-02T00:00:00"/>
    <n v="0"/>
    <x v="3"/>
    <s v="Hunter Glantz"/>
    <x v="0"/>
    <s v="United States"/>
    <s v="Amarillo"/>
    <s v="Texas"/>
    <s v="Central"/>
    <x v="1"/>
    <x v="10"/>
    <s v="Staples"/>
    <x v="2180"/>
    <n v="1"/>
    <n v="0.2"/>
    <n v="9.5687999999999995"/>
  </r>
  <r>
    <n v="2669"/>
    <x v="767"/>
    <x v="1"/>
    <x v="6"/>
    <d v="2012-08-30T00:00:00"/>
    <n v="5"/>
    <x v="1"/>
    <s v="Nancy Lomonaco"/>
    <x v="2"/>
    <s v="United States"/>
    <s v="Los Angeles"/>
    <s v="California"/>
    <s v="West"/>
    <x v="0"/>
    <x v="1"/>
    <s v="Global Deluxe Stacking Chair, Gray"/>
    <x v="1573"/>
    <n v="1"/>
    <n v="0.2"/>
    <n v="4.5881999999999996"/>
  </r>
  <r>
    <n v="2670"/>
    <x v="767"/>
    <x v="1"/>
    <x v="6"/>
    <d v="2012-08-30T00:00:00"/>
    <n v="5"/>
    <x v="1"/>
    <s v="Nancy Lomonaco"/>
    <x v="2"/>
    <s v="United States"/>
    <s v="Los Angeles"/>
    <s v="California"/>
    <s v="West"/>
    <x v="1"/>
    <x v="9"/>
    <s v="Fellowes Advanced Computer Series Surge Protectors"/>
    <x v="2181"/>
    <n v="4"/>
    <n v="0"/>
    <n v="29.668800000000001"/>
  </r>
  <r>
    <n v="2671"/>
    <x v="340"/>
    <x v="2"/>
    <x v="8"/>
    <d v="2011-09-12T00:00:00"/>
    <n v="3"/>
    <x v="0"/>
    <s v="Rick Reed"/>
    <x v="1"/>
    <s v="United States"/>
    <s v="Lowell"/>
    <s v="Massachusetts"/>
    <s v="East"/>
    <x v="1"/>
    <x v="10"/>
    <s v="Xerox 1913"/>
    <x v="1668"/>
    <n v="3"/>
    <n v="0"/>
    <n v="79.891199999999998"/>
  </r>
  <r>
    <n v="2672"/>
    <x v="340"/>
    <x v="2"/>
    <x v="8"/>
    <d v="2011-09-12T00:00:00"/>
    <n v="3"/>
    <x v="0"/>
    <s v="Rick Reed"/>
    <x v="1"/>
    <s v="United States"/>
    <s v="Lowell"/>
    <s v="Massachusetts"/>
    <s v="East"/>
    <x v="0"/>
    <x v="1"/>
    <s v="Global Italian Leather Office Chair"/>
    <x v="2182"/>
    <n v="6"/>
    <n v="0"/>
    <n v="212.1876"/>
  </r>
  <r>
    <n v="2673"/>
    <x v="340"/>
    <x v="2"/>
    <x v="8"/>
    <d v="2011-09-12T00:00:00"/>
    <n v="3"/>
    <x v="0"/>
    <s v="Rick Reed"/>
    <x v="1"/>
    <s v="United States"/>
    <s v="Lowell"/>
    <s v="Massachusetts"/>
    <s v="East"/>
    <x v="1"/>
    <x v="10"/>
    <s v="Advantus Motivational Note Cards"/>
    <x v="2183"/>
    <n v="2"/>
    <n v="0"/>
    <n v="12.837999999999999"/>
  </r>
  <r>
    <n v="2674"/>
    <x v="340"/>
    <x v="2"/>
    <x v="8"/>
    <d v="2011-09-12T00:00:00"/>
    <n v="3"/>
    <x v="0"/>
    <s v="Rick Reed"/>
    <x v="1"/>
    <s v="United States"/>
    <s v="Lowell"/>
    <s v="Massachusetts"/>
    <s v="East"/>
    <x v="1"/>
    <x v="4"/>
    <s v="Tennsco 6- and 18-Compartment Lockers"/>
    <x v="2184"/>
    <n v="5"/>
    <n v="0"/>
    <n v="238.65299999999999"/>
  </r>
  <r>
    <n v="2675"/>
    <x v="734"/>
    <x v="3"/>
    <x v="4"/>
    <d v="2014-12-04T00:00:00"/>
    <n v="0"/>
    <x v="3"/>
    <s v="Toby Carlisle"/>
    <x v="0"/>
    <s v="United States"/>
    <s v="San Diego"/>
    <s v="California"/>
    <s v="West"/>
    <x v="1"/>
    <x v="10"/>
    <s v="Xerox 1888"/>
    <x v="1668"/>
    <n v="3"/>
    <n v="0"/>
    <n v="79.891199999999998"/>
  </r>
  <r>
    <n v="2676"/>
    <x v="344"/>
    <x v="3"/>
    <x v="0"/>
    <d v="2014-12-03T00:00:00"/>
    <n v="5"/>
    <x v="1"/>
    <s v="Doug Bickford"/>
    <x v="0"/>
    <s v="United States"/>
    <s v="Asheville"/>
    <s v="North Carolina"/>
    <s v="South"/>
    <x v="1"/>
    <x v="6"/>
    <s v="Pencil and Crayon Sharpener"/>
    <x v="2175"/>
    <n v="5"/>
    <n v="0.2"/>
    <n v="0.76649999999999996"/>
  </r>
  <r>
    <n v="2677"/>
    <x v="344"/>
    <x v="3"/>
    <x v="0"/>
    <d v="2014-12-03T00:00:00"/>
    <n v="5"/>
    <x v="1"/>
    <s v="Doug Bickford"/>
    <x v="0"/>
    <s v="United States"/>
    <s v="Asheville"/>
    <s v="North Carolina"/>
    <s v="South"/>
    <x v="1"/>
    <x v="9"/>
    <s v="Belkin 5 Outlet SurgeMaster Power Centers"/>
    <x v="2185"/>
    <n v="1"/>
    <n v="0.2"/>
    <n v="4.3583999999999996"/>
  </r>
  <r>
    <n v="2678"/>
    <x v="261"/>
    <x v="2"/>
    <x v="1"/>
    <d v="2011-06-21T00:00:00"/>
    <n v="0"/>
    <x v="3"/>
    <s v="Stewart Visinsky"/>
    <x v="0"/>
    <s v="United States"/>
    <s v="Pueblo"/>
    <s v="Colorado"/>
    <s v="West"/>
    <x v="1"/>
    <x v="8"/>
    <s v="Wilson Jones 1&quot; Hanging DublLock Ring Binders"/>
    <x v="2186"/>
    <n v="7"/>
    <n v="0.7"/>
    <n v="-8.1311999999999998"/>
  </r>
  <r>
    <n v="2679"/>
    <x v="261"/>
    <x v="2"/>
    <x v="1"/>
    <d v="2011-06-21T00:00:00"/>
    <n v="0"/>
    <x v="3"/>
    <s v="Stewart Visinsky"/>
    <x v="0"/>
    <s v="United States"/>
    <s v="Pueblo"/>
    <s v="Colorado"/>
    <s v="West"/>
    <x v="1"/>
    <x v="8"/>
    <s v="Avery Trapezoid Extra Heavy Duty 4&quot; Binders"/>
    <x v="2187"/>
    <n v="2"/>
    <n v="0.7"/>
    <n v="-16.776"/>
  </r>
  <r>
    <n v="2680"/>
    <x v="276"/>
    <x v="3"/>
    <x v="9"/>
    <d v="2014-01-28T00:00:00"/>
    <n v="6"/>
    <x v="1"/>
    <s v="Mick Hernandez"/>
    <x v="2"/>
    <s v="United States"/>
    <s v="Jackson"/>
    <s v="Michigan"/>
    <s v="Central"/>
    <x v="1"/>
    <x v="8"/>
    <s v="Avery Durable Binders"/>
    <x v="928"/>
    <n v="5"/>
    <n v="0"/>
    <n v="7.056"/>
  </r>
  <r>
    <n v="2681"/>
    <x v="276"/>
    <x v="3"/>
    <x v="9"/>
    <d v="2014-01-28T00:00:00"/>
    <n v="6"/>
    <x v="1"/>
    <s v="Mick Hernandez"/>
    <x v="2"/>
    <s v="United States"/>
    <s v="Jackson"/>
    <s v="Michigan"/>
    <s v="Central"/>
    <x v="2"/>
    <x v="11"/>
    <s v="Logitech G19 Programmable Gaming Keyboard"/>
    <x v="1000"/>
    <n v="5"/>
    <n v="0"/>
    <n v="111.59099999999999"/>
  </r>
  <r>
    <n v="2682"/>
    <x v="276"/>
    <x v="3"/>
    <x v="9"/>
    <d v="2014-01-28T00:00:00"/>
    <n v="6"/>
    <x v="1"/>
    <s v="Mick Hernandez"/>
    <x v="2"/>
    <s v="United States"/>
    <s v="Jackson"/>
    <s v="Michigan"/>
    <s v="Central"/>
    <x v="1"/>
    <x v="8"/>
    <s v="Avery Flip-Chart Easel Binder, Black"/>
    <x v="2188"/>
    <n v="4"/>
    <n v="0"/>
    <n v="42.074399999999997"/>
  </r>
  <r>
    <n v="2683"/>
    <x v="276"/>
    <x v="3"/>
    <x v="9"/>
    <d v="2014-01-28T00:00:00"/>
    <n v="6"/>
    <x v="1"/>
    <s v="Mick Hernandez"/>
    <x v="2"/>
    <s v="United States"/>
    <s v="Jackson"/>
    <s v="Michigan"/>
    <s v="Central"/>
    <x v="2"/>
    <x v="15"/>
    <s v="I.R.I.S IRISCard Anywhere 5 Card Scanner"/>
    <x v="2189"/>
    <n v="3"/>
    <n v="0.1"/>
    <n v="152.0883"/>
  </r>
  <r>
    <n v="2684"/>
    <x v="276"/>
    <x v="3"/>
    <x v="9"/>
    <d v="2014-01-28T00:00:00"/>
    <n v="6"/>
    <x v="1"/>
    <s v="Mick Hernandez"/>
    <x v="2"/>
    <s v="United States"/>
    <s v="Jackson"/>
    <s v="Michigan"/>
    <s v="Central"/>
    <x v="2"/>
    <x v="7"/>
    <s v="Ativa D5772 2-Line 5.8GHz Digital Expandable Corded/Cordless Phone System with Answering &amp; Caller ID/Call Waiting, Black/Silver"/>
    <x v="2190"/>
    <n v="1"/>
    <n v="0"/>
    <n v="49.497"/>
  </r>
  <r>
    <n v="2685"/>
    <x v="222"/>
    <x v="3"/>
    <x v="1"/>
    <d v="2014-07-07T00:00:00"/>
    <n v="7"/>
    <x v="1"/>
    <s v="Carol Triggs"/>
    <x v="0"/>
    <s v="United States"/>
    <s v="Los Angeles"/>
    <s v="California"/>
    <s v="West"/>
    <x v="1"/>
    <x v="8"/>
    <s v="Satellite Sectional Post Binders"/>
    <x v="2191"/>
    <n v="9"/>
    <n v="0.2"/>
    <n v="101.57940000000001"/>
  </r>
  <r>
    <n v="2686"/>
    <x v="47"/>
    <x v="0"/>
    <x v="8"/>
    <d v="2013-09-12T00:00:00"/>
    <n v="5"/>
    <x v="1"/>
    <s v="Karl Braun"/>
    <x v="0"/>
    <s v="United States"/>
    <s v="Thomasville"/>
    <s v="North Carolina"/>
    <s v="South"/>
    <x v="1"/>
    <x v="12"/>
    <s v="Blue String-Tie &amp; Button Interoffice Envelopes, 10 x 13"/>
    <x v="2192"/>
    <n v="3"/>
    <n v="0.2"/>
    <n v="29.984999999999999"/>
  </r>
  <r>
    <n v="2687"/>
    <x v="47"/>
    <x v="0"/>
    <x v="8"/>
    <d v="2013-09-12T00:00:00"/>
    <n v="5"/>
    <x v="1"/>
    <s v="Karl Braun"/>
    <x v="0"/>
    <s v="United States"/>
    <s v="Thomasville"/>
    <s v="North Carolina"/>
    <s v="South"/>
    <x v="1"/>
    <x v="8"/>
    <s v="Pressboard Data Binders by Wilson Jones"/>
    <x v="2193"/>
    <n v="2"/>
    <n v="0.7"/>
    <n v="-2.4563999999999999"/>
  </r>
  <r>
    <n v="2688"/>
    <x v="578"/>
    <x v="0"/>
    <x v="6"/>
    <d v="2013-08-06T00:00:00"/>
    <n v="1"/>
    <x v="2"/>
    <s v="Ralph Arnett"/>
    <x v="0"/>
    <s v="United States"/>
    <s v="Peoria"/>
    <s v="Illinois"/>
    <s v="Central"/>
    <x v="1"/>
    <x v="8"/>
    <s v="Ibico Presentation Index for Binding Systems"/>
    <x v="2194"/>
    <n v="5"/>
    <n v="0.8"/>
    <n v="-6.5670000000000002"/>
  </r>
  <r>
    <n v="2689"/>
    <x v="768"/>
    <x v="1"/>
    <x v="0"/>
    <d v="2012-11-14T00:00:00"/>
    <n v="2"/>
    <x v="2"/>
    <s v="Yoseph Carroll"/>
    <x v="1"/>
    <s v="United States"/>
    <s v="Los Angeles"/>
    <s v="California"/>
    <s v="West"/>
    <x v="1"/>
    <x v="10"/>
    <s v="Adams &quot;While You Were Out&quot; Message Pads"/>
    <x v="2195"/>
    <n v="5"/>
    <n v="0"/>
    <n v="7.0650000000000004"/>
  </r>
  <r>
    <n v="2690"/>
    <x v="479"/>
    <x v="2"/>
    <x v="1"/>
    <d v="2011-07-02T00:00:00"/>
    <n v="2"/>
    <x v="2"/>
    <s v="Russell Applegate"/>
    <x v="0"/>
    <s v="United States"/>
    <s v="Chicago"/>
    <s v="Illinois"/>
    <s v="Central"/>
    <x v="1"/>
    <x v="6"/>
    <s v="BIC Brite Liner Grip Highlighters"/>
    <x v="791"/>
    <n v="4"/>
    <n v="0.2"/>
    <n v="1.64"/>
  </r>
  <r>
    <n v="2691"/>
    <x v="769"/>
    <x v="3"/>
    <x v="4"/>
    <d v="2014-12-09T00:00:00"/>
    <n v="4"/>
    <x v="1"/>
    <s v="Charles McCrossin"/>
    <x v="0"/>
    <s v="United States"/>
    <s v="Philadelphia"/>
    <s v="Pennsylvania"/>
    <s v="East"/>
    <x v="1"/>
    <x v="8"/>
    <s v="Storex Dura Pro Binders"/>
    <x v="2196"/>
    <n v="3"/>
    <n v="0.7"/>
    <n v="-4.4550000000000001"/>
  </r>
  <r>
    <n v="2692"/>
    <x v="770"/>
    <x v="0"/>
    <x v="6"/>
    <d v="2013-09-03T00:00:00"/>
    <n v="5"/>
    <x v="1"/>
    <s v="Chad Sievert"/>
    <x v="0"/>
    <s v="United States"/>
    <s v="Englewood"/>
    <s v="Colorado"/>
    <s v="West"/>
    <x v="1"/>
    <x v="10"/>
    <s v="Wirebound Four 2-3/4 x 5 Forms per Page, 400 Sets per Book"/>
    <x v="1142"/>
    <n v="3"/>
    <n v="0.2"/>
    <n v="5.6115000000000004"/>
  </r>
  <r>
    <n v="2693"/>
    <x v="770"/>
    <x v="0"/>
    <x v="6"/>
    <d v="2013-09-03T00:00:00"/>
    <n v="5"/>
    <x v="1"/>
    <s v="Chad Sievert"/>
    <x v="0"/>
    <s v="United States"/>
    <s v="Englewood"/>
    <s v="Colorado"/>
    <s v="West"/>
    <x v="2"/>
    <x v="7"/>
    <s v="AT&amp;T 17929 Lendline Telephone"/>
    <x v="2197"/>
    <n v="3"/>
    <n v="0.2"/>
    <n v="8.1432000000000002"/>
  </r>
  <r>
    <n v="2694"/>
    <x v="115"/>
    <x v="0"/>
    <x v="9"/>
    <d v="2013-01-28T00:00:00"/>
    <n v="6"/>
    <x v="1"/>
    <s v="Anthony Johnson"/>
    <x v="1"/>
    <s v="United States"/>
    <s v="Seattle"/>
    <s v="Washington"/>
    <s v="West"/>
    <x v="0"/>
    <x v="5"/>
    <s v="Contract Clock, 14&quot;, Brown"/>
    <x v="2198"/>
    <n v="5"/>
    <n v="0"/>
    <n v="37.366"/>
  </r>
  <r>
    <n v="2695"/>
    <x v="771"/>
    <x v="2"/>
    <x v="2"/>
    <d v="2011-10-20T00:00:00"/>
    <n v="5"/>
    <x v="1"/>
    <s v="Dan Lawera"/>
    <x v="0"/>
    <s v="United States"/>
    <s v="Hialeah"/>
    <s v="Florida"/>
    <s v="South"/>
    <x v="0"/>
    <x v="5"/>
    <s v="Executive Impressions 13&quot; Clairmont Wall Clock"/>
    <x v="2199"/>
    <n v="1"/>
    <n v="0.2"/>
    <n v="4.0382999999999996"/>
  </r>
  <r>
    <n v="2696"/>
    <x v="569"/>
    <x v="0"/>
    <x v="11"/>
    <d v="2013-02-09T00:00:00"/>
    <n v="2"/>
    <x v="2"/>
    <s v="Bobby Elias"/>
    <x v="0"/>
    <s v="United States"/>
    <s v="Lancaster"/>
    <s v="Ohio"/>
    <s v="East"/>
    <x v="1"/>
    <x v="10"/>
    <s v="Xerox 1912"/>
    <x v="2200"/>
    <n v="2"/>
    <n v="0.2"/>
    <n v="10.623200000000001"/>
  </r>
  <r>
    <n v="2697"/>
    <x v="772"/>
    <x v="2"/>
    <x v="10"/>
    <d v="2011-03-23T00:00:00"/>
    <n v="5"/>
    <x v="1"/>
    <s v="Sean Miller"/>
    <x v="2"/>
    <s v="United States"/>
    <s v="Jacksonville"/>
    <s v="Florida"/>
    <s v="South"/>
    <x v="2"/>
    <x v="15"/>
    <s v="Hewlett-Packard Deskjet 6540 Color Inkjet Printer"/>
    <x v="2201"/>
    <n v="4"/>
    <n v="0.5"/>
    <n v="-16.425999999999998"/>
  </r>
  <r>
    <n v="2698"/>
    <x v="772"/>
    <x v="2"/>
    <x v="10"/>
    <d v="2011-03-23T00:00:00"/>
    <n v="5"/>
    <x v="1"/>
    <s v="Sean Miller"/>
    <x v="2"/>
    <s v="United States"/>
    <s v="Jacksonville"/>
    <s v="Florida"/>
    <s v="South"/>
    <x v="2"/>
    <x v="15"/>
    <s v="Cisco TelePresence System EX90 Videoconferencing Unit"/>
    <x v="2202"/>
    <n v="6"/>
    <n v="0.5"/>
    <n v="-1811.0784000000001"/>
  </r>
  <r>
    <n v="2699"/>
    <x v="772"/>
    <x v="2"/>
    <x v="10"/>
    <d v="2011-03-23T00:00:00"/>
    <n v="5"/>
    <x v="1"/>
    <s v="Sean Miller"/>
    <x v="2"/>
    <s v="United States"/>
    <s v="Jacksonville"/>
    <s v="Florida"/>
    <s v="South"/>
    <x v="1"/>
    <x v="10"/>
    <s v="Xerox 195"/>
    <x v="2203"/>
    <n v="4"/>
    <n v="0.2"/>
    <n v="7.4816000000000003"/>
  </r>
  <r>
    <n v="2700"/>
    <x v="772"/>
    <x v="2"/>
    <x v="10"/>
    <d v="2011-03-23T00:00:00"/>
    <n v="5"/>
    <x v="1"/>
    <s v="Sean Miller"/>
    <x v="2"/>
    <s v="United States"/>
    <s v="Jacksonville"/>
    <s v="Florida"/>
    <s v="South"/>
    <x v="1"/>
    <x v="6"/>
    <s v="Avery Fluorescent Highlighter Four-Color Set"/>
    <x v="2204"/>
    <n v="3"/>
    <n v="0.2"/>
    <n v="1.002"/>
  </r>
  <r>
    <n v="2701"/>
    <x v="772"/>
    <x v="2"/>
    <x v="10"/>
    <d v="2011-03-23T00:00:00"/>
    <n v="5"/>
    <x v="1"/>
    <s v="Sean Miller"/>
    <x v="2"/>
    <s v="United States"/>
    <s v="Jacksonville"/>
    <s v="Florida"/>
    <s v="South"/>
    <x v="0"/>
    <x v="5"/>
    <s v="Executive Impressions 13&quot; Clairmont Wall Clock"/>
    <x v="2205"/>
    <n v="2"/>
    <n v="0.2"/>
    <n v="8.0765999999999991"/>
  </r>
  <r>
    <n v="2702"/>
    <x v="772"/>
    <x v="2"/>
    <x v="10"/>
    <d v="2011-03-23T00:00:00"/>
    <n v="5"/>
    <x v="1"/>
    <s v="Sean Miller"/>
    <x v="2"/>
    <s v="United States"/>
    <s v="Jacksonville"/>
    <s v="Florida"/>
    <s v="South"/>
    <x v="1"/>
    <x v="13"/>
    <s v="Staples"/>
    <x v="2206"/>
    <n v="3"/>
    <n v="0.2"/>
    <n v="5.9175000000000004"/>
  </r>
  <r>
    <n v="2703"/>
    <x v="772"/>
    <x v="2"/>
    <x v="10"/>
    <d v="2011-03-23T00:00:00"/>
    <n v="5"/>
    <x v="1"/>
    <s v="Sean Miller"/>
    <x v="2"/>
    <s v="United States"/>
    <s v="Jacksonville"/>
    <s v="Florida"/>
    <s v="South"/>
    <x v="0"/>
    <x v="5"/>
    <s v="Dana Fluorescent Magnifying Lamp, White, 36&quot;"/>
    <x v="1888"/>
    <n v="3"/>
    <n v="0.2"/>
    <n v="15.294"/>
  </r>
  <r>
    <n v="2704"/>
    <x v="773"/>
    <x v="2"/>
    <x v="5"/>
    <d v="2011-05-30T00:00:00"/>
    <n v="6"/>
    <x v="1"/>
    <s v="Resi Pölking"/>
    <x v="0"/>
    <s v="United States"/>
    <s v="Baltimore"/>
    <s v="Maryland"/>
    <s v="East"/>
    <x v="1"/>
    <x v="10"/>
    <s v="Xerox 1944"/>
    <x v="2207"/>
    <n v="3"/>
    <n v="0"/>
    <n v="56.977200000000003"/>
  </r>
  <r>
    <n v="2705"/>
    <x v="497"/>
    <x v="3"/>
    <x v="7"/>
    <d v="2014-07-14T00:00:00"/>
    <n v="2"/>
    <x v="0"/>
    <s v="Joy Daniels"/>
    <x v="0"/>
    <s v="United States"/>
    <s v="New York City"/>
    <s v="New York"/>
    <s v="East"/>
    <x v="2"/>
    <x v="11"/>
    <s v="SanDisk Ultra 32 GB MicroSDHC Class 10 Memory Card"/>
    <x v="2208"/>
    <n v="6"/>
    <n v="0"/>
    <n v="17.238"/>
  </r>
  <r>
    <n v="2706"/>
    <x v="114"/>
    <x v="3"/>
    <x v="1"/>
    <d v="2014-06-22T00:00:00"/>
    <n v="5"/>
    <x v="1"/>
    <s v="Alejandro Ballentine"/>
    <x v="2"/>
    <s v="United States"/>
    <s v="Carlsbad"/>
    <s v="New Mexico"/>
    <s v="West"/>
    <x v="1"/>
    <x v="14"/>
    <s v="Acme Elite Stainless Steel Scissors"/>
    <x v="1438"/>
    <n v="2"/>
    <n v="0"/>
    <n v="4.3368000000000002"/>
  </r>
  <r>
    <n v="2707"/>
    <x v="114"/>
    <x v="3"/>
    <x v="1"/>
    <d v="2014-06-22T00:00:00"/>
    <n v="5"/>
    <x v="1"/>
    <s v="Alejandro Ballentine"/>
    <x v="2"/>
    <s v="United States"/>
    <s v="Carlsbad"/>
    <s v="New Mexico"/>
    <s v="West"/>
    <x v="1"/>
    <x v="10"/>
    <s v="Xerox 215"/>
    <x v="537"/>
    <n v="3"/>
    <n v="0"/>
    <n v="9.3312000000000008"/>
  </r>
  <r>
    <n v="2708"/>
    <x v="114"/>
    <x v="3"/>
    <x v="1"/>
    <d v="2014-06-22T00:00:00"/>
    <n v="5"/>
    <x v="1"/>
    <s v="Alejandro Ballentine"/>
    <x v="2"/>
    <s v="United States"/>
    <s v="Carlsbad"/>
    <s v="New Mexico"/>
    <s v="West"/>
    <x v="1"/>
    <x v="10"/>
    <s v="Xerox 1885"/>
    <x v="801"/>
    <n v="4"/>
    <n v="0"/>
    <n v="92.236800000000002"/>
  </r>
  <r>
    <n v="2709"/>
    <x v="564"/>
    <x v="1"/>
    <x v="9"/>
    <d v="2012-02-06T00:00:00"/>
    <n v="7"/>
    <x v="1"/>
    <s v="Charles Crestani"/>
    <x v="0"/>
    <s v="United States"/>
    <s v="Los Angeles"/>
    <s v="California"/>
    <s v="West"/>
    <x v="0"/>
    <x v="5"/>
    <s v="Computer Room Manger, 14&quot;"/>
    <x v="2209"/>
    <n v="7"/>
    <n v="0"/>
    <n v="81.849599999999995"/>
  </r>
  <r>
    <n v="2710"/>
    <x v="564"/>
    <x v="1"/>
    <x v="9"/>
    <d v="2012-02-06T00:00:00"/>
    <n v="7"/>
    <x v="1"/>
    <s v="Charles Crestani"/>
    <x v="0"/>
    <s v="United States"/>
    <s v="Los Angeles"/>
    <s v="California"/>
    <s v="West"/>
    <x v="2"/>
    <x v="15"/>
    <s v="Bady BDG101FRU Card Printer"/>
    <x v="2210"/>
    <n v="3"/>
    <n v="0.2"/>
    <n v="215.9973"/>
  </r>
  <r>
    <n v="2711"/>
    <x v="555"/>
    <x v="1"/>
    <x v="4"/>
    <d v="2012-12-15T00:00:00"/>
    <n v="4"/>
    <x v="1"/>
    <s v="Gary Hwang"/>
    <x v="0"/>
    <s v="United States"/>
    <s v="Jacksonville"/>
    <s v="Florida"/>
    <s v="South"/>
    <x v="1"/>
    <x v="8"/>
    <s v="Acco D-Ring Binder w/DublLock"/>
    <x v="2211"/>
    <n v="2"/>
    <n v="0.7"/>
    <n v="-8.9795999999999996"/>
  </r>
  <r>
    <n v="2712"/>
    <x v="449"/>
    <x v="3"/>
    <x v="2"/>
    <d v="2014-10-12T00:00:00"/>
    <n v="2"/>
    <x v="2"/>
    <s v="Cathy Prescott"/>
    <x v="1"/>
    <s v="United States"/>
    <s v="Lakewood"/>
    <s v="Ohio"/>
    <s v="East"/>
    <x v="0"/>
    <x v="5"/>
    <s v="Nu-Dell Leatherette Frames"/>
    <x v="2212"/>
    <n v="4"/>
    <n v="0.2"/>
    <n v="9.1776"/>
  </r>
  <r>
    <n v="2713"/>
    <x v="570"/>
    <x v="3"/>
    <x v="7"/>
    <d v="2014-08-02T00:00:00"/>
    <n v="3"/>
    <x v="0"/>
    <s v="Gary McGarr"/>
    <x v="0"/>
    <s v="United States"/>
    <s v="Troy"/>
    <s v="New York"/>
    <s v="East"/>
    <x v="1"/>
    <x v="6"/>
    <s v="Sanford Liquid Accent Highlighters"/>
    <x v="1817"/>
    <n v="9"/>
    <n v="0"/>
    <n v="22.244399999999999"/>
  </r>
  <r>
    <n v="2714"/>
    <x v="573"/>
    <x v="2"/>
    <x v="3"/>
    <d v="2011-04-29T00:00:00"/>
    <n v="4"/>
    <x v="1"/>
    <s v="Lena Creighton"/>
    <x v="0"/>
    <s v="United States"/>
    <s v="Wilmington"/>
    <s v="North Carolina"/>
    <s v="South"/>
    <x v="2"/>
    <x v="7"/>
    <s v="AT&amp;T CL2909"/>
    <x v="214"/>
    <n v="3"/>
    <n v="0.2"/>
    <n v="37.796999999999997"/>
  </r>
  <r>
    <n v="2715"/>
    <x v="494"/>
    <x v="1"/>
    <x v="4"/>
    <d v="2012-12-06T00:00:00"/>
    <n v="5"/>
    <x v="1"/>
    <s v="Beth Thompson"/>
    <x v="2"/>
    <s v="United States"/>
    <s v="Seattle"/>
    <s v="Washington"/>
    <s v="West"/>
    <x v="1"/>
    <x v="6"/>
    <s v="Prang Drawing Pencil Set"/>
    <x v="2213"/>
    <n v="5"/>
    <n v="0"/>
    <n v="5.56"/>
  </r>
  <r>
    <n v="2716"/>
    <x v="774"/>
    <x v="2"/>
    <x v="4"/>
    <d v="2011-12-08T00:00:00"/>
    <n v="4"/>
    <x v="1"/>
    <s v="Cathy Prescott"/>
    <x v="1"/>
    <s v="United States"/>
    <s v="New York City"/>
    <s v="New York"/>
    <s v="East"/>
    <x v="2"/>
    <x v="7"/>
    <s v="Plantronics Voyager Pro HD - Bluetooth Headset"/>
    <x v="2214"/>
    <n v="2"/>
    <n v="0"/>
    <n v="62.3904"/>
  </r>
  <r>
    <n v="2717"/>
    <x v="775"/>
    <x v="3"/>
    <x v="6"/>
    <d v="2014-09-02T00:00:00"/>
    <n v="6"/>
    <x v="1"/>
    <s v="Steve Carroll"/>
    <x v="2"/>
    <s v="United States"/>
    <s v="Columbus"/>
    <s v="Georgia"/>
    <s v="South"/>
    <x v="2"/>
    <x v="11"/>
    <s v="Sony 64GB Class 10 Micro SDHC R40 Memory Card"/>
    <x v="2215"/>
    <n v="2"/>
    <n v="0"/>
    <n v="15.1158"/>
  </r>
  <r>
    <n v="2718"/>
    <x v="557"/>
    <x v="2"/>
    <x v="8"/>
    <d v="2011-09-13T00:00:00"/>
    <n v="6"/>
    <x v="1"/>
    <s v="Dennis Kane"/>
    <x v="0"/>
    <s v="United States"/>
    <s v="New York City"/>
    <s v="New York"/>
    <s v="East"/>
    <x v="2"/>
    <x v="7"/>
    <s v="AT&amp;T EL51110 DECT"/>
    <x v="2216"/>
    <n v="3"/>
    <n v="0"/>
    <n v="109.6113"/>
  </r>
  <r>
    <n v="2719"/>
    <x v="202"/>
    <x v="3"/>
    <x v="4"/>
    <d v="2014-12-28T00:00:00"/>
    <n v="6"/>
    <x v="1"/>
    <s v="Sanjit Engle"/>
    <x v="0"/>
    <s v="United States"/>
    <s v="Costa Mesa"/>
    <s v="California"/>
    <s v="West"/>
    <x v="1"/>
    <x v="4"/>
    <s v="Fellowes Mobile File Cart, Black"/>
    <x v="2217"/>
    <n v="2"/>
    <n v="0"/>
    <n v="33.577199999999998"/>
  </r>
  <r>
    <n v="2720"/>
    <x v="776"/>
    <x v="2"/>
    <x v="4"/>
    <d v="2011-12-08T00:00:00"/>
    <n v="2"/>
    <x v="0"/>
    <s v="Luke Foster"/>
    <x v="0"/>
    <s v="United States"/>
    <s v="Houston"/>
    <s v="Texas"/>
    <s v="Central"/>
    <x v="0"/>
    <x v="5"/>
    <s v="12-1/2 Diameter Round Wall Clock"/>
    <x v="112"/>
    <n v="3"/>
    <n v="0.6"/>
    <n v="-14.3856"/>
  </r>
  <r>
    <n v="2721"/>
    <x v="130"/>
    <x v="2"/>
    <x v="0"/>
    <d v="2011-11-08T00:00:00"/>
    <n v="4"/>
    <x v="0"/>
    <s v="Odella Nelson"/>
    <x v="1"/>
    <s v="United States"/>
    <s v="Cary"/>
    <s v="North Carolina"/>
    <s v="South"/>
    <x v="1"/>
    <x v="13"/>
    <s v="OIC Bulk Pack Metal Binder Clips"/>
    <x v="1341"/>
    <n v="3"/>
    <n v="0.2"/>
    <n v="2.7222"/>
  </r>
  <r>
    <n v="2722"/>
    <x v="130"/>
    <x v="2"/>
    <x v="0"/>
    <d v="2011-11-08T00:00:00"/>
    <n v="4"/>
    <x v="0"/>
    <s v="Odella Nelson"/>
    <x v="1"/>
    <s v="United States"/>
    <s v="Cary"/>
    <s v="North Carolina"/>
    <s v="South"/>
    <x v="1"/>
    <x v="9"/>
    <s v="Acco 6 Outlet Guardian Premium Surge Suppressor"/>
    <x v="2218"/>
    <n v="5"/>
    <n v="0.2"/>
    <n v="5.0960000000000001"/>
  </r>
  <r>
    <n v="2723"/>
    <x v="167"/>
    <x v="0"/>
    <x v="3"/>
    <d v="2013-04-20T00:00:00"/>
    <n v="5"/>
    <x v="0"/>
    <s v="Tom Boeckenhauer"/>
    <x v="0"/>
    <s v="United States"/>
    <s v="Alexandria"/>
    <s v="Virginia"/>
    <s v="South"/>
    <x v="1"/>
    <x v="4"/>
    <s v="Acco Perma 4000 Stacking Storage Drawers"/>
    <x v="2219"/>
    <n v="5"/>
    <n v="0"/>
    <n v="12.18"/>
  </r>
  <r>
    <n v="2724"/>
    <x v="777"/>
    <x v="2"/>
    <x v="2"/>
    <d v="2011-10-08T00:00:00"/>
    <n v="4"/>
    <x v="1"/>
    <s v="David Flashing"/>
    <x v="0"/>
    <s v="United States"/>
    <s v="Vallejo"/>
    <s v="California"/>
    <s v="West"/>
    <x v="1"/>
    <x v="2"/>
    <s v="Avery 512"/>
    <x v="2220"/>
    <n v="5"/>
    <n v="0"/>
    <n v="6.7915000000000001"/>
  </r>
  <r>
    <n v="2725"/>
    <x v="777"/>
    <x v="2"/>
    <x v="2"/>
    <d v="2011-10-08T00:00:00"/>
    <n v="4"/>
    <x v="1"/>
    <s v="David Flashing"/>
    <x v="0"/>
    <s v="United States"/>
    <s v="Vallejo"/>
    <s v="California"/>
    <s v="West"/>
    <x v="1"/>
    <x v="8"/>
    <s v="GBC Recycled Regency Composition Covers"/>
    <x v="2221"/>
    <n v="2"/>
    <n v="0.2"/>
    <n v="31.085599999999999"/>
  </r>
  <r>
    <n v="2726"/>
    <x v="659"/>
    <x v="3"/>
    <x v="0"/>
    <d v="2014-11-14T00:00:00"/>
    <n v="6"/>
    <x v="1"/>
    <s v="Emily Phan"/>
    <x v="0"/>
    <s v="United States"/>
    <s v="Philadelphia"/>
    <s v="Pennsylvania"/>
    <s v="East"/>
    <x v="2"/>
    <x v="7"/>
    <s v="Jabra Supreme Plus Driver Edition Headset"/>
    <x v="1880"/>
    <n v="5"/>
    <n v="0.4"/>
    <n v="-71.994"/>
  </r>
  <r>
    <n v="2727"/>
    <x v="659"/>
    <x v="3"/>
    <x v="0"/>
    <d v="2014-11-14T00:00:00"/>
    <n v="6"/>
    <x v="1"/>
    <s v="Emily Phan"/>
    <x v="0"/>
    <s v="United States"/>
    <s v="Philadelphia"/>
    <s v="Pennsylvania"/>
    <s v="East"/>
    <x v="0"/>
    <x v="3"/>
    <s v="Bevis Rectangular Conference Tables"/>
    <x v="2222"/>
    <n v="4"/>
    <n v="0.4"/>
    <n v="-140.14080000000001"/>
  </r>
  <r>
    <n v="2728"/>
    <x v="66"/>
    <x v="3"/>
    <x v="4"/>
    <d v="2014-12-25T00:00:00"/>
    <n v="2"/>
    <x v="2"/>
    <s v="Sally Knutson"/>
    <x v="0"/>
    <s v="United States"/>
    <s v="Toledo"/>
    <s v="Ohio"/>
    <s v="East"/>
    <x v="1"/>
    <x v="8"/>
    <s v="Angle-D Ring Binders"/>
    <x v="2223"/>
    <n v="1"/>
    <n v="0.7"/>
    <n v="-1.3128"/>
  </r>
  <r>
    <n v="2729"/>
    <x v="66"/>
    <x v="3"/>
    <x v="4"/>
    <d v="2014-12-25T00:00:00"/>
    <n v="2"/>
    <x v="2"/>
    <s v="Sally Knutson"/>
    <x v="0"/>
    <s v="United States"/>
    <s v="Toledo"/>
    <s v="Ohio"/>
    <s v="East"/>
    <x v="2"/>
    <x v="7"/>
    <s v="Panasonic KX-TG9541B DECT 6.0 Digital 2-Line Expandable Cordless Phone With Digital Answering System"/>
    <x v="2224"/>
    <n v="7"/>
    <n v="0.4"/>
    <n v="94.493700000000004"/>
  </r>
  <r>
    <n v="2730"/>
    <x v="778"/>
    <x v="3"/>
    <x v="11"/>
    <d v="2014-02-20T00:00:00"/>
    <n v="6"/>
    <x v="1"/>
    <s v="Fred Harton"/>
    <x v="0"/>
    <s v="United States"/>
    <s v="Seattle"/>
    <s v="Washington"/>
    <s v="West"/>
    <x v="1"/>
    <x v="6"/>
    <s v="Newell 311"/>
    <x v="153"/>
    <n v="3"/>
    <n v="0"/>
    <n v="1.7901"/>
  </r>
  <r>
    <n v="2731"/>
    <x v="778"/>
    <x v="3"/>
    <x v="11"/>
    <d v="2014-02-20T00:00:00"/>
    <n v="6"/>
    <x v="1"/>
    <s v="Fred Harton"/>
    <x v="0"/>
    <s v="United States"/>
    <s v="Seattle"/>
    <s v="Washington"/>
    <s v="West"/>
    <x v="2"/>
    <x v="11"/>
    <s v="Razer Tiamat Over Ear 7.1 Surround Sound PC Gaming Headset"/>
    <x v="2225"/>
    <n v="4"/>
    <n v="0"/>
    <n v="343.9828"/>
  </r>
  <r>
    <n v="2732"/>
    <x v="778"/>
    <x v="3"/>
    <x v="11"/>
    <d v="2014-02-20T00:00:00"/>
    <n v="6"/>
    <x v="1"/>
    <s v="Fred Harton"/>
    <x v="0"/>
    <s v="United States"/>
    <s v="Seattle"/>
    <s v="Washington"/>
    <s v="West"/>
    <x v="0"/>
    <x v="5"/>
    <s v="Tenex Contemporary Contur Chairmats for Low and Medium Pile Carpet, Computer, 39&quot; x 49&quot;"/>
    <x v="2226"/>
    <n v="1"/>
    <n v="0"/>
    <n v="21.506"/>
  </r>
  <r>
    <n v="2733"/>
    <x v="779"/>
    <x v="2"/>
    <x v="7"/>
    <d v="2011-07-06T00:00:00"/>
    <n v="4"/>
    <x v="1"/>
    <s v="Eric Hoffmann"/>
    <x v="0"/>
    <s v="United States"/>
    <s v="Plainfield"/>
    <s v="New Jersey"/>
    <s v="East"/>
    <x v="2"/>
    <x v="7"/>
    <s v="Logitech B530 USB Headset - headset - Full size, Binaural"/>
    <x v="2227"/>
    <n v="2"/>
    <n v="0"/>
    <n v="19.974599999999999"/>
  </r>
  <r>
    <n v="2734"/>
    <x v="779"/>
    <x v="2"/>
    <x v="7"/>
    <d v="2011-07-06T00:00:00"/>
    <n v="4"/>
    <x v="1"/>
    <s v="Eric Hoffmann"/>
    <x v="0"/>
    <s v="United States"/>
    <s v="Plainfield"/>
    <s v="New Jersey"/>
    <s v="East"/>
    <x v="1"/>
    <x v="6"/>
    <s v="DIXON Ticonderoga Erasable Checking Pencils"/>
    <x v="2228"/>
    <n v="1"/>
    <n v="0"/>
    <n v="2.1762000000000001"/>
  </r>
  <r>
    <n v="2735"/>
    <x v="780"/>
    <x v="1"/>
    <x v="11"/>
    <d v="2012-02-23T00:00:00"/>
    <n v="2"/>
    <x v="0"/>
    <s v="Joe Elijah"/>
    <x v="0"/>
    <s v="United States"/>
    <s v="Las Cruces"/>
    <s v="New Mexico"/>
    <s v="West"/>
    <x v="1"/>
    <x v="10"/>
    <s v="Staples"/>
    <x v="335"/>
    <n v="4"/>
    <n v="0"/>
    <n v="23.086400000000001"/>
  </r>
  <r>
    <n v="2736"/>
    <x v="50"/>
    <x v="1"/>
    <x v="0"/>
    <d v="2012-11-19T00:00:00"/>
    <n v="6"/>
    <x v="1"/>
    <s v="Ken Lonsdale"/>
    <x v="0"/>
    <s v="United States"/>
    <s v="Newark"/>
    <s v="Delaware"/>
    <s v="East"/>
    <x v="2"/>
    <x v="7"/>
    <s v="BlackBerry Q10"/>
    <x v="2216"/>
    <n v="3"/>
    <n v="0"/>
    <n v="94.492500000000007"/>
  </r>
  <r>
    <n v="2737"/>
    <x v="50"/>
    <x v="1"/>
    <x v="0"/>
    <d v="2012-11-19T00:00:00"/>
    <n v="6"/>
    <x v="1"/>
    <s v="Ken Lonsdale"/>
    <x v="0"/>
    <s v="United States"/>
    <s v="Newark"/>
    <s v="Delaware"/>
    <s v="East"/>
    <x v="1"/>
    <x v="10"/>
    <s v="Adams Telephone Message Books, 5 1/4” x 11”"/>
    <x v="2229"/>
    <n v="7"/>
    <n v="0"/>
    <n v="19.871600000000001"/>
  </r>
  <r>
    <n v="2738"/>
    <x v="50"/>
    <x v="1"/>
    <x v="0"/>
    <d v="2012-11-19T00:00:00"/>
    <n v="6"/>
    <x v="1"/>
    <s v="Ken Lonsdale"/>
    <x v="0"/>
    <s v="United States"/>
    <s v="Newark"/>
    <s v="Delaware"/>
    <s v="East"/>
    <x v="0"/>
    <x v="0"/>
    <s v="Bestar Classic Bookcase"/>
    <x v="670"/>
    <n v="3"/>
    <n v="0"/>
    <n v="56.994300000000003"/>
  </r>
  <r>
    <n v="2739"/>
    <x v="50"/>
    <x v="1"/>
    <x v="0"/>
    <d v="2012-11-19T00:00:00"/>
    <n v="6"/>
    <x v="1"/>
    <s v="Ken Lonsdale"/>
    <x v="0"/>
    <s v="United States"/>
    <s v="Newark"/>
    <s v="Delaware"/>
    <s v="East"/>
    <x v="2"/>
    <x v="7"/>
    <s v="Innergie mMini Combo Duo USB Travel Charging Kit"/>
    <x v="2230"/>
    <n v="2"/>
    <n v="0"/>
    <n v="43.190399999999997"/>
  </r>
  <r>
    <n v="2740"/>
    <x v="513"/>
    <x v="3"/>
    <x v="3"/>
    <d v="2014-04-19T00:00:00"/>
    <n v="2"/>
    <x v="2"/>
    <s v="Edward Becker"/>
    <x v="1"/>
    <s v="United States"/>
    <s v="Hoover"/>
    <s v="Alabama"/>
    <s v="South"/>
    <x v="1"/>
    <x v="14"/>
    <s v="Compact Automatic Electric Letter Opener"/>
    <x v="2231"/>
    <n v="4"/>
    <n v="0"/>
    <n v="9.5448000000000004"/>
  </r>
  <r>
    <n v="2741"/>
    <x v="513"/>
    <x v="3"/>
    <x v="3"/>
    <d v="2014-04-19T00:00:00"/>
    <n v="2"/>
    <x v="2"/>
    <s v="Edward Becker"/>
    <x v="1"/>
    <s v="United States"/>
    <s v="Hoover"/>
    <s v="Alabama"/>
    <s v="South"/>
    <x v="2"/>
    <x v="11"/>
    <s v="SanDisk Ultra 16 GB MicroSDHC Class 10 Memory Card"/>
    <x v="2232"/>
    <n v="2"/>
    <n v="0"/>
    <n v="1.5588"/>
  </r>
  <r>
    <n v="2742"/>
    <x v="781"/>
    <x v="0"/>
    <x v="11"/>
    <d v="2013-02-27T00:00:00"/>
    <n v="2"/>
    <x v="0"/>
    <s v="Bruce Degenhardt"/>
    <x v="0"/>
    <s v="United States"/>
    <s v="Newark"/>
    <s v="Ohio"/>
    <s v="East"/>
    <x v="1"/>
    <x v="12"/>
    <s v="Staples"/>
    <x v="666"/>
    <n v="5"/>
    <n v="0.2"/>
    <n v="17.52"/>
  </r>
  <r>
    <n v="2743"/>
    <x v="130"/>
    <x v="2"/>
    <x v="0"/>
    <d v="2011-11-08T00:00:00"/>
    <n v="4"/>
    <x v="1"/>
    <s v="MaryBeth Skach"/>
    <x v="0"/>
    <s v="United States"/>
    <s v="San Diego"/>
    <s v="California"/>
    <s v="West"/>
    <x v="0"/>
    <x v="5"/>
    <s v="Executive Impressions 12&quot; Wall Clock"/>
    <x v="2233"/>
    <n v="2"/>
    <n v="0"/>
    <n v="13.4292"/>
  </r>
  <r>
    <n v="2744"/>
    <x v="782"/>
    <x v="1"/>
    <x v="1"/>
    <d v="2012-06-25T00:00:00"/>
    <n v="5"/>
    <x v="0"/>
    <s v="Stewart Carmichael"/>
    <x v="1"/>
    <s v="United States"/>
    <s v="San Francisco"/>
    <s v="California"/>
    <s v="West"/>
    <x v="0"/>
    <x v="5"/>
    <s v="Howard Miller 13&quot; Diameter Pewter Finish Round Wall Clock"/>
    <x v="2234"/>
    <n v="6"/>
    <n v="0"/>
    <n v="100.4796"/>
  </r>
  <r>
    <n v="2745"/>
    <x v="782"/>
    <x v="1"/>
    <x v="1"/>
    <d v="2012-06-25T00:00:00"/>
    <n v="5"/>
    <x v="0"/>
    <s v="Stewart Carmichael"/>
    <x v="1"/>
    <s v="United States"/>
    <s v="San Francisco"/>
    <s v="California"/>
    <s v="West"/>
    <x v="2"/>
    <x v="7"/>
    <s v="netTALK DUO VoIP Telephone Service"/>
    <x v="2235"/>
    <n v="3"/>
    <n v="0.2"/>
    <n v="47.241"/>
  </r>
  <r>
    <n v="2746"/>
    <x v="783"/>
    <x v="3"/>
    <x v="6"/>
    <d v="2014-08-12T00:00:00"/>
    <n v="4"/>
    <x v="0"/>
    <s v="Fred McMath"/>
    <x v="0"/>
    <s v="United States"/>
    <s v="Jacksonville"/>
    <s v="North Carolina"/>
    <s v="South"/>
    <x v="2"/>
    <x v="11"/>
    <s v="Logitech G700s Rechargeable Gaming Mouse"/>
    <x v="2236"/>
    <n v="1"/>
    <n v="0.2"/>
    <n v="21.997800000000002"/>
  </r>
  <r>
    <n v="2747"/>
    <x v="552"/>
    <x v="2"/>
    <x v="5"/>
    <d v="2011-05-17T00:00:00"/>
    <n v="5"/>
    <x v="1"/>
    <s v="Kean Thornton"/>
    <x v="0"/>
    <s v="United States"/>
    <s v="Franklin"/>
    <s v="Massachusetts"/>
    <s v="East"/>
    <x v="0"/>
    <x v="3"/>
    <s v="Bevis Traditional Conference Table Top, Plinth Base"/>
    <x v="2237"/>
    <n v="3"/>
    <n v="0.3"/>
    <n v="-130.0104"/>
  </r>
  <r>
    <n v="2748"/>
    <x v="6"/>
    <x v="1"/>
    <x v="0"/>
    <d v="2012-11-26T00:00:00"/>
    <n v="4"/>
    <x v="1"/>
    <s v="Anne Pryor"/>
    <x v="2"/>
    <s v="United States"/>
    <s v="Frisco"/>
    <s v="Texas"/>
    <s v="Central"/>
    <x v="2"/>
    <x v="11"/>
    <s v="SanDisk Cruzer 8 GB USB Flash Drive"/>
    <x v="220"/>
    <n v="4"/>
    <n v="0.2"/>
    <n v="-1.3584000000000001"/>
  </r>
  <r>
    <n v="2749"/>
    <x v="784"/>
    <x v="1"/>
    <x v="4"/>
    <d v="2012-12-08T00:00:00"/>
    <n v="4"/>
    <x v="1"/>
    <s v="Ritsa Hightower"/>
    <x v="0"/>
    <s v="United States"/>
    <s v="Tallahassee"/>
    <s v="Florida"/>
    <s v="South"/>
    <x v="1"/>
    <x v="8"/>
    <s v="SpineVue Locking Slant-D Ring Binders by Cardinal"/>
    <x v="2238"/>
    <n v="3"/>
    <n v="0.7"/>
    <n v="-6.0324"/>
  </r>
  <r>
    <n v="2750"/>
    <x v="785"/>
    <x v="2"/>
    <x v="1"/>
    <d v="2011-06-14T00:00:00"/>
    <n v="6"/>
    <x v="1"/>
    <s v="Carlos Soltero"/>
    <x v="0"/>
    <s v="United States"/>
    <s v="Seattle"/>
    <s v="Washington"/>
    <s v="West"/>
    <x v="0"/>
    <x v="1"/>
    <s v="Hon Deluxe Fabric Upholstered Stacking Chairs, Squared Back"/>
    <x v="2239"/>
    <n v="3"/>
    <n v="0.2"/>
    <n v="73.194000000000003"/>
  </r>
  <r>
    <n v="2751"/>
    <x v="233"/>
    <x v="2"/>
    <x v="6"/>
    <d v="2011-08-11T00:00:00"/>
    <n v="3"/>
    <x v="0"/>
    <s v="Tamara Manning"/>
    <x v="0"/>
    <s v="United States"/>
    <s v="Vacaville"/>
    <s v="California"/>
    <s v="West"/>
    <x v="1"/>
    <x v="4"/>
    <s v="Advantus Rolling Drawer Organizers"/>
    <x v="2240"/>
    <n v="11"/>
    <n v="0"/>
    <n v="110.0528"/>
  </r>
  <r>
    <n v="2752"/>
    <x v="542"/>
    <x v="2"/>
    <x v="5"/>
    <d v="2011-05-30T00:00:00"/>
    <n v="4"/>
    <x v="1"/>
    <s v="Herbert Flentye"/>
    <x v="0"/>
    <s v="United States"/>
    <s v="Los Angeles"/>
    <s v="California"/>
    <s v="West"/>
    <x v="0"/>
    <x v="1"/>
    <s v="Hon Olson Stacker Stools"/>
    <x v="2241"/>
    <n v="2"/>
    <n v="0.2"/>
    <n v="22.529599999999999"/>
  </r>
  <r>
    <n v="2753"/>
    <x v="786"/>
    <x v="1"/>
    <x v="3"/>
    <d v="2012-04-21T00:00:00"/>
    <n v="4"/>
    <x v="1"/>
    <s v="George Ashbrook"/>
    <x v="0"/>
    <s v="United States"/>
    <s v="San Francisco"/>
    <s v="California"/>
    <s v="West"/>
    <x v="1"/>
    <x v="6"/>
    <s v="Prang Drawing Pencil Set"/>
    <x v="345"/>
    <n v="2"/>
    <n v="0"/>
    <n v="2.2240000000000002"/>
  </r>
  <r>
    <n v="2754"/>
    <x v="786"/>
    <x v="1"/>
    <x v="3"/>
    <d v="2012-04-21T00:00:00"/>
    <n v="4"/>
    <x v="1"/>
    <s v="George Ashbrook"/>
    <x v="0"/>
    <s v="United States"/>
    <s v="San Francisco"/>
    <s v="California"/>
    <s v="West"/>
    <x v="2"/>
    <x v="11"/>
    <s v="Plantronics S12 Corded Telephone Headset System"/>
    <x v="2242"/>
    <n v="3"/>
    <n v="0"/>
    <n v="129.34800000000001"/>
  </r>
  <r>
    <n v="2755"/>
    <x v="786"/>
    <x v="1"/>
    <x v="3"/>
    <d v="2012-04-21T00:00:00"/>
    <n v="4"/>
    <x v="1"/>
    <s v="George Ashbrook"/>
    <x v="0"/>
    <s v="United States"/>
    <s v="San Francisco"/>
    <s v="California"/>
    <s v="West"/>
    <x v="2"/>
    <x v="7"/>
    <s v="Plantronics Calisto P620-M USB Wireless Speakerphone System"/>
    <x v="2243"/>
    <n v="5"/>
    <n v="0.2"/>
    <n v="68.596500000000006"/>
  </r>
  <r>
    <n v="2756"/>
    <x v="786"/>
    <x v="1"/>
    <x v="3"/>
    <d v="2012-04-21T00:00:00"/>
    <n v="4"/>
    <x v="1"/>
    <s v="George Ashbrook"/>
    <x v="0"/>
    <s v="United States"/>
    <s v="San Francisco"/>
    <s v="California"/>
    <s v="West"/>
    <x v="1"/>
    <x v="9"/>
    <s v="Hoover Upright Vacuum With Dirt Cup"/>
    <x v="2244"/>
    <n v="5"/>
    <n v="0"/>
    <n v="419.81849999999997"/>
  </r>
  <r>
    <n v="2757"/>
    <x v="786"/>
    <x v="1"/>
    <x v="3"/>
    <d v="2012-04-21T00:00:00"/>
    <n v="4"/>
    <x v="1"/>
    <s v="George Ashbrook"/>
    <x v="0"/>
    <s v="United States"/>
    <s v="San Francisco"/>
    <s v="California"/>
    <s v="West"/>
    <x v="1"/>
    <x v="10"/>
    <s v="Xerox 1903"/>
    <x v="489"/>
    <n v="2"/>
    <n v="0"/>
    <n v="5.8604000000000003"/>
  </r>
  <r>
    <n v="2758"/>
    <x v="725"/>
    <x v="0"/>
    <x v="1"/>
    <d v="2013-06-14T00:00:00"/>
    <n v="2"/>
    <x v="0"/>
    <s v="Erica Smith"/>
    <x v="0"/>
    <s v="United States"/>
    <s v="New York City"/>
    <s v="New York"/>
    <s v="East"/>
    <x v="2"/>
    <x v="11"/>
    <s v="Razer Kraken PRO Over Ear PC and Music Headset"/>
    <x v="758"/>
    <n v="3"/>
    <n v="0"/>
    <n v="71.991"/>
  </r>
  <r>
    <n v="2759"/>
    <x v="21"/>
    <x v="0"/>
    <x v="10"/>
    <d v="2013-03-16T00:00:00"/>
    <n v="4"/>
    <x v="1"/>
    <s v="Julie Prescott"/>
    <x v="2"/>
    <s v="United States"/>
    <s v="Columbus"/>
    <s v="Georgia"/>
    <s v="South"/>
    <x v="0"/>
    <x v="5"/>
    <s v="Executive Impressions 13&quot; Clairmont Wall Clock"/>
    <x v="2245"/>
    <n v="4"/>
    <n v="0"/>
    <n v="31.537199999999999"/>
  </r>
  <r>
    <n v="2760"/>
    <x v="21"/>
    <x v="0"/>
    <x v="10"/>
    <d v="2013-03-16T00:00:00"/>
    <n v="4"/>
    <x v="1"/>
    <s v="Julie Prescott"/>
    <x v="2"/>
    <s v="United States"/>
    <s v="Columbus"/>
    <s v="Georgia"/>
    <s v="South"/>
    <x v="1"/>
    <x v="4"/>
    <s v="Iceberg Mobile Mega Data/Printer Cart "/>
    <x v="2246"/>
    <n v="4"/>
    <n v="0"/>
    <n v="125.14319999999999"/>
  </r>
  <r>
    <n v="2761"/>
    <x v="542"/>
    <x v="2"/>
    <x v="5"/>
    <d v="2011-05-29T00:00:00"/>
    <n v="3"/>
    <x v="2"/>
    <s v="Dean percer"/>
    <x v="2"/>
    <s v="United States"/>
    <s v="Murray"/>
    <s v="Utah"/>
    <s v="West"/>
    <x v="1"/>
    <x v="10"/>
    <s v="Wirebound Service Call Books, 5 1/2&quot; x 4&quot;"/>
    <x v="2247"/>
    <n v="5"/>
    <n v="0"/>
    <n v="23.231999999999999"/>
  </r>
  <r>
    <n v="2762"/>
    <x v="386"/>
    <x v="3"/>
    <x v="2"/>
    <d v="2014-10-15T00:00:00"/>
    <n v="2"/>
    <x v="2"/>
    <s v="Neil Knudson"/>
    <x v="2"/>
    <s v="United States"/>
    <s v="San Francisco"/>
    <s v="California"/>
    <s v="West"/>
    <x v="2"/>
    <x v="11"/>
    <s v="Maxell 4.7GB DVD-R 5/Pack"/>
    <x v="2248"/>
    <n v="1"/>
    <n v="0"/>
    <n v="0.43559999999999999"/>
  </r>
  <r>
    <n v="2763"/>
    <x v="386"/>
    <x v="3"/>
    <x v="2"/>
    <d v="2014-10-15T00:00:00"/>
    <n v="2"/>
    <x v="2"/>
    <s v="Neil Knudson"/>
    <x v="2"/>
    <s v="United States"/>
    <s v="San Francisco"/>
    <s v="California"/>
    <s v="West"/>
    <x v="1"/>
    <x v="8"/>
    <s v="Canvas Sectional Post Binders"/>
    <x v="2249"/>
    <n v="5"/>
    <n v="0.2"/>
    <n v="36.917000000000002"/>
  </r>
  <r>
    <n v="2764"/>
    <x v="738"/>
    <x v="3"/>
    <x v="1"/>
    <d v="2014-06-29T00:00:00"/>
    <n v="6"/>
    <x v="1"/>
    <s v="Paul Lucas"/>
    <x v="2"/>
    <s v="United States"/>
    <s v="Philadelphia"/>
    <s v="Pennsylvania"/>
    <s v="East"/>
    <x v="1"/>
    <x v="8"/>
    <s v="GBC Plasticlear Binding Covers"/>
    <x v="2250"/>
    <n v="3"/>
    <n v="0.7"/>
    <n v="-7.5768000000000004"/>
  </r>
  <r>
    <n v="2765"/>
    <x v="738"/>
    <x v="3"/>
    <x v="1"/>
    <d v="2014-06-29T00:00:00"/>
    <n v="6"/>
    <x v="1"/>
    <s v="Paul Lucas"/>
    <x v="2"/>
    <s v="United States"/>
    <s v="Philadelphia"/>
    <s v="Pennsylvania"/>
    <s v="East"/>
    <x v="1"/>
    <x v="8"/>
    <s v="Wilson Jones Century Plastic Molded Ring Binders"/>
    <x v="2251"/>
    <n v="5"/>
    <n v="0.7"/>
    <n v="-23.8855"/>
  </r>
  <r>
    <n v="2766"/>
    <x v="738"/>
    <x v="3"/>
    <x v="1"/>
    <d v="2014-06-29T00:00:00"/>
    <n v="6"/>
    <x v="1"/>
    <s v="Paul Lucas"/>
    <x v="2"/>
    <s v="United States"/>
    <s v="Philadelphia"/>
    <s v="Pennsylvania"/>
    <s v="East"/>
    <x v="1"/>
    <x v="4"/>
    <s v="Plastic Stacking Crates &amp; Casters"/>
    <x v="433"/>
    <n v="2"/>
    <n v="0.2"/>
    <n v="0.66959999999999997"/>
  </r>
  <r>
    <n v="2767"/>
    <x v="787"/>
    <x v="3"/>
    <x v="9"/>
    <d v="2014-01-19T00:00:00"/>
    <n v="3"/>
    <x v="2"/>
    <s v="Robert Waldorf"/>
    <x v="0"/>
    <s v="United States"/>
    <s v="Philadelphia"/>
    <s v="Pennsylvania"/>
    <s v="East"/>
    <x v="1"/>
    <x v="9"/>
    <s v="Belkin F9M820V08 8 Outlet Surge"/>
    <x v="2252"/>
    <n v="1"/>
    <n v="0.2"/>
    <n v="3.8681999999999999"/>
  </r>
  <r>
    <n v="2768"/>
    <x v="787"/>
    <x v="3"/>
    <x v="9"/>
    <d v="2014-01-19T00:00:00"/>
    <n v="3"/>
    <x v="2"/>
    <s v="Robert Waldorf"/>
    <x v="0"/>
    <s v="United States"/>
    <s v="Philadelphia"/>
    <s v="Pennsylvania"/>
    <s v="East"/>
    <x v="1"/>
    <x v="9"/>
    <s v="Honeywell Enviracaire Portable HEPA Air Cleaner for 17' x 22' Room"/>
    <x v="2253"/>
    <n v="8"/>
    <n v="0.2"/>
    <n v="312.67599999999999"/>
  </r>
  <r>
    <n v="2769"/>
    <x v="788"/>
    <x v="1"/>
    <x v="3"/>
    <d v="2012-04-07T00:00:00"/>
    <n v="5"/>
    <x v="1"/>
    <s v="Michael Oakman"/>
    <x v="0"/>
    <s v="United States"/>
    <s v="Dallas"/>
    <s v="Texas"/>
    <s v="Central"/>
    <x v="1"/>
    <x v="9"/>
    <s v="APC 7 Outlet Network SurgeArrest Surge Protector"/>
    <x v="2254"/>
    <n v="2"/>
    <n v="0.8"/>
    <n v="-80.48"/>
  </r>
  <r>
    <n v="2770"/>
    <x v="788"/>
    <x v="1"/>
    <x v="3"/>
    <d v="2012-04-07T00:00:00"/>
    <n v="5"/>
    <x v="1"/>
    <s v="Michael Oakman"/>
    <x v="0"/>
    <s v="United States"/>
    <s v="Dallas"/>
    <s v="Texas"/>
    <s v="Central"/>
    <x v="2"/>
    <x v="11"/>
    <s v="Kingston Digital DataTraveler 16GB USB 2.0"/>
    <x v="2255"/>
    <n v="7"/>
    <n v="0.2"/>
    <n v="-0.62649999999999995"/>
  </r>
  <r>
    <n v="2771"/>
    <x v="788"/>
    <x v="1"/>
    <x v="3"/>
    <d v="2012-04-07T00:00:00"/>
    <n v="5"/>
    <x v="1"/>
    <s v="Michael Oakman"/>
    <x v="0"/>
    <s v="United States"/>
    <s v="Dallas"/>
    <s v="Texas"/>
    <s v="Central"/>
    <x v="2"/>
    <x v="11"/>
    <s v="Anker Ultra-Slim Mini Bluetooth 3.0 Wireless Keyboard"/>
    <x v="331"/>
    <n v="3"/>
    <n v="0.2"/>
    <n v="1.7990999999999999"/>
  </r>
  <r>
    <n v="2772"/>
    <x v="323"/>
    <x v="0"/>
    <x v="8"/>
    <d v="2013-09-11T00:00:00"/>
    <n v="7"/>
    <x v="1"/>
    <s v="Jennifer Jackson"/>
    <x v="0"/>
    <s v="United States"/>
    <s v="Waukesha"/>
    <s v="Wisconsin"/>
    <s v="Central"/>
    <x v="1"/>
    <x v="4"/>
    <s v="Crate-A-Files"/>
    <x v="2256"/>
    <n v="5"/>
    <n v="0"/>
    <n v="14.17"/>
  </r>
  <r>
    <n v="2773"/>
    <x v="389"/>
    <x v="3"/>
    <x v="4"/>
    <d v="2014-12-13T00:00:00"/>
    <n v="2"/>
    <x v="2"/>
    <s v="Brian Thompson"/>
    <x v="0"/>
    <s v="United States"/>
    <s v="Fort Lauderdale"/>
    <s v="Florida"/>
    <s v="South"/>
    <x v="0"/>
    <x v="5"/>
    <s v="Staples"/>
    <x v="2257"/>
    <n v="3"/>
    <n v="0.2"/>
    <n v="5.7312000000000003"/>
  </r>
  <r>
    <n v="2774"/>
    <x v="441"/>
    <x v="0"/>
    <x v="0"/>
    <d v="2013-11-27T00:00:00"/>
    <n v="4"/>
    <x v="1"/>
    <s v="Rob Dowd"/>
    <x v="0"/>
    <s v="United States"/>
    <s v="Detroit"/>
    <s v="Michigan"/>
    <s v="Central"/>
    <x v="1"/>
    <x v="8"/>
    <s v="Ibico Standard Transparent Covers"/>
    <x v="2258"/>
    <n v="3"/>
    <n v="0"/>
    <n v="24.2256"/>
  </r>
  <r>
    <n v="2775"/>
    <x v="343"/>
    <x v="3"/>
    <x v="0"/>
    <d v="2014-11-19T00:00:00"/>
    <n v="7"/>
    <x v="1"/>
    <s v="Max Ludwig"/>
    <x v="2"/>
    <s v="United States"/>
    <s v="Springfield"/>
    <s v="Ohio"/>
    <s v="East"/>
    <x v="1"/>
    <x v="10"/>
    <s v="Xerox 222"/>
    <x v="559"/>
    <n v="2"/>
    <n v="0.2"/>
    <n v="3.6288"/>
  </r>
  <r>
    <n v="2776"/>
    <x v="147"/>
    <x v="0"/>
    <x v="2"/>
    <d v="2013-10-26T00:00:00"/>
    <n v="4"/>
    <x v="1"/>
    <s v="Joel Eaton"/>
    <x v="0"/>
    <s v="United States"/>
    <s v="San Diego"/>
    <s v="California"/>
    <s v="West"/>
    <x v="1"/>
    <x v="4"/>
    <s v="Belkin 19&quot; Vented Equipment Shelf, Black"/>
    <x v="1233"/>
    <n v="3"/>
    <n v="0"/>
    <n v="1.5444"/>
  </r>
  <r>
    <n v="2777"/>
    <x v="379"/>
    <x v="1"/>
    <x v="4"/>
    <d v="2012-12-25T00:00:00"/>
    <n v="4"/>
    <x v="1"/>
    <s v="Elpida Rittenbach"/>
    <x v="1"/>
    <s v="United States"/>
    <s v="Colorado Springs"/>
    <s v="Colorado"/>
    <s v="West"/>
    <x v="1"/>
    <x v="9"/>
    <s v="Belkin 6 Outlet Metallic Surge Strip"/>
    <x v="2259"/>
    <n v="7"/>
    <n v="0.2"/>
    <n v="4.5738000000000003"/>
  </r>
  <r>
    <n v="2778"/>
    <x v="789"/>
    <x v="1"/>
    <x v="7"/>
    <d v="2012-07-19T00:00:00"/>
    <n v="2"/>
    <x v="0"/>
    <s v="Jessica Myrick"/>
    <x v="0"/>
    <s v="United States"/>
    <s v="Bakersfield"/>
    <s v="California"/>
    <s v="West"/>
    <x v="0"/>
    <x v="0"/>
    <s v="Sauder Camden County Collection Libraries, Planked Cherry Finish"/>
    <x v="2260"/>
    <n v="2"/>
    <n v="0.15"/>
    <n v="-13.797599999999999"/>
  </r>
  <r>
    <n v="2779"/>
    <x v="504"/>
    <x v="3"/>
    <x v="5"/>
    <d v="2014-05-06T00:00:00"/>
    <n v="5"/>
    <x v="1"/>
    <s v="Saphhira Shifley"/>
    <x v="1"/>
    <s v="United States"/>
    <s v="Pompano Beach"/>
    <s v="Florida"/>
    <s v="South"/>
    <x v="0"/>
    <x v="5"/>
    <s v="3M Hangers With Command Adhesive"/>
    <x v="208"/>
    <n v="8"/>
    <n v="0.2"/>
    <n v="6.2160000000000002"/>
  </r>
  <r>
    <n v="2780"/>
    <x v="504"/>
    <x v="3"/>
    <x v="5"/>
    <d v="2014-05-06T00:00:00"/>
    <n v="5"/>
    <x v="1"/>
    <s v="Saphhira Shifley"/>
    <x v="1"/>
    <s v="United States"/>
    <s v="Pompano Beach"/>
    <s v="Florida"/>
    <s v="South"/>
    <x v="2"/>
    <x v="11"/>
    <s v="Maxell 4.7GB DVD+R 5/Pack"/>
    <x v="477"/>
    <n v="3"/>
    <n v="0.2"/>
    <n v="0.74250000000000005"/>
  </r>
  <r>
    <n v="2781"/>
    <x v="636"/>
    <x v="3"/>
    <x v="5"/>
    <d v="2014-05-09T00:00:00"/>
    <n v="2"/>
    <x v="2"/>
    <s v="Toby Carlisle"/>
    <x v="0"/>
    <s v="United States"/>
    <s v="New York City"/>
    <s v="New York"/>
    <s v="East"/>
    <x v="1"/>
    <x v="2"/>
    <s v="Avery 505"/>
    <x v="2261"/>
    <n v="4"/>
    <n v="0"/>
    <n v="29.6"/>
  </r>
  <r>
    <n v="2782"/>
    <x v="225"/>
    <x v="3"/>
    <x v="0"/>
    <d v="2014-11-28T00:00:00"/>
    <n v="7"/>
    <x v="1"/>
    <s v="Hunter Glantz"/>
    <x v="0"/>
    <s v="United States"/>
    <s v="Lakeville"/>
    <s v="Minnesota"/>
    <s v="Central"/>
    <x v="1"/>
    <x v="6"/>
    <s v="Sanford Uni-Blazer View Highlighters, Chisel Tip, Yellow"/>
    <x v="1103"/>
    <n v="10"/>
    <n v="0"/>
    <n v="9.68"/>
  </r>
  <r>
    <n v="2783"/>
    <x v="583"/>
    <x v="0"/>
    <x v="0"/>
    <d v="2013-11-17T00:00:00"/>
    <n v="5"/>
    <x v="1"/>
    <s v="Lisa DeCherney"/>
    <x v="0"/>
    <s v="United States"/>
    <s v="Detroit"/>
    <s v="Michigan"/>
    <s v="Central"/>
    <x v="2"/>
    <x v="7"/>
    <s v="Digium D40 VoIP phone"/>
    <x v="2018"/>
    <n v="2"/>
    <n v="0"/>
    <n v="74.8142"/>
  </r>
  <r>
    <n v="2784"/>
    <x v="732"/>
    <x v="0"/>
    <x v="0"/>
    <d v="2013-11-11T00:00:00"/>
    <n v="5"/>
    <x v="1"/>
    <s v="Alejandro Savely"/>
    <x v="1"/>
    <s v="United States"/>
    <s v="Philadelphia"/>
    <s v="Pennsylvania"/>
    <s v="East"/>
    <x v="2"/>
    <x v="7"/>
    <s v="Anker Astro Mini 3000mAh Ultra-Compact Portable Charger"/>
    <x v="1792"/>
    <n v="2"/>
    <n v="0.4"/>
    <n v="-15.992000000000001"/>
  </r>
  <r>
    <n v="2785"/>
    <x v="790"/>
    <x v="0"/>
    <x v="2"/>
    <d v="2013-10-16T00:00:00"/>
    <n v="6"/>
    <x v="1"/>
    <s v="Michael Paige"/>
    <x v="1"/>
    <s v="United States"/>
    <s v="Troy"/>
    <s v="Ohio"/>
    <s v="East"/>
    <x v="2"/>
    <x v="7"/>
    <s v="Mediabridge Sport Armband iPhone 5s"/>
    <x v="112"/>
    <n v="4"/>
    <n v="0.4"/>
    <n v="-15.5844"/>
  </r>
  <r>
    <n v="2786"/>
    <x v="481"/>
    <x v="1"/>
    <x v="8"/>
    <d v="2012-09-23T00:00:00"/>
    <n v="2"/>
    <x v="2"/>
    <s v="Cynthia Delaney"/>
    <x v="2"/>
    <s v="United States"/>
    <s v="Los Angeles"/>
    <s v="California"/>
    <s v="West"/>
    <x v="0"/>
    <x v="1"/>
    <s v="Hon Every-Day Series Multi-Task Chairs"/>
    <x v="2262"/>
    <n v="4"/>
    <n v="0.2"/>
    <n v="0"/>
  </r>
  <r>
    <n v="2787"/>
    <x v="481"/>
    <x v="1"/>
    <x v="8"/>
    <d v="2012-09-23T00:00:00"/>
    <n v="2"/>
    <x v="2"/>
    <s v="Cynthia Delaney"/>
    <x v="2"/>
    <s v="United States"/>
    <s v="Los Angeles"/>
    <s v="California"/>
    <s v="West"/>
    <x v="1"/>
    <x v="13"/>
    <s v="Advantus Map Pennant Flags and Round Head Tacks"/>
    <x v="2263"/>
    <n v="2"/>
    <n v="0"/>
    <n v="2.528"/>
  </r>
  <r>
    <n v="2788"/>
    <x v="266"/>
    <x v="2"/>
    <x v="4"/>
    <d v="2011-12-06T00:00:00"/>
    <n v="4"/>
    <x v="1"/>
    <s v="Michael Dominguez"/>
    <x v="1"/>
    <s v="United States"/>
    <s v="Corpus Christi"/>
    <s v="Texas"/>
    <s v="Central"/>
    <x v="0"/>
    <x v="5"/>
    <s v="Deflect-o SuperTray Unbreakable Stackable Tray, Letter, Black"/>
    <x v="2264"/>
    <n v="5"/>
    <n v="0.6"/>
    <n v="-24.803000000000001"/>
  </r>
  <r>
    <n v="2789"/>
    <x v="266"/>
    <x v="2"/>
    <x v="4"/>
    <d v="2011-12-06T00:00:00"/>
    <n v="4"/>
    <x v="1"/>
    <s v="Michael Dominguez"/>
    <x v="1"/>
    <s v="United States"/>
    <s v="Corpus Christi"/>
    <s v="Texas"/>
    <s v="Central"/>
    <x v="1"/>
    <x v="6"/>
    <s v="Newell 343"/>
    <x v="2265"/>
    <n v="7"/>
    <n v="0.2"/>
    <n v="1.4406000000000001"/>
  </r>
  <r>
    <n v="2790"/>
    <x v="266"/>
    <x v="2"/>
    <x v="4"/>
    <d v="2011-12-06T00:00:00"/>
    <n v="4"/>
    <x v="1"/>
    <s v="Michael Dominguez"/>
    <x v="1"/>
    <s v="United States"/>
    <s v="Corpus Christi"/>
    <s v="Texas"/>
    <s v="Central"/>
    <x v="0"/>
    <x v="5"/>
    <s v="12-1/2 Diameter Round Wall Clock"/>
    <x v="786"/>
    <n v="5"/>
    <n v="0.6"/>
    <n v="-23.975999999999999"/>
  </r>
  <r>
    <n v="2791"/>
    <x v="158"/>
    <x v="2"/>
    <x v="8"/>
    <d v="2011-09-22T00:00:00"/>
    <n v="1"/>
    <x v="2"/>
    <s v="Brian Moss"/>
    <x v="1"/>
    <s v="United States"/>
    <s v="Omaha"/>
    <s v="Nebraska"/>
    <s v="Central"/>
    <x v="1"/>
    <x v="9"/>
    <s v="Fellowes Basic Home/Office Series Surge Protectors"/>
    <x v="2266"/>
    <n v="2"/>
    <n v="0"/>
    <n v="7.5284000000000004"/>
  </r>
  <r>
    <n v="2792"/>
    <x v="158"/>
    <x v="2"/>
    <x v="8"/>
    <d v="2011-09-22T00:00:00"/>
    <n v="1"/>
    <x v="2"/>
    <s v="Brian Moss"/>
    <x v="1"/>
    <s v="United States"/>
    <s v="Omaha"/>
    <s v="Nebraska"/>
    <s v="Central"/>
    <x v="1"/>
    <x v="9"/>
    <s v="Acco 6 Outlet Guardian Standard Surge Suppressor"/>
    <x v="2267"/>
    <n v="3"/>
    <n v="0"/>
    <n v="10.881"/>
  </r>
  <r>
    <n v="2793"/>
    <x v="158"/>
    <x v="2"/>
    <x v="8"/>
    <d v="2011-09-22T00:00:00"/>
    <n v="1"/>
    <x v="2"/>
    <s v="Brian Moss"/>
    <x v="1"/>
    <s v="United States"/>
    <s v="Omaha"/>
    <s v="Nebraska"/>
    <s v="Central"/>
    <x v="1"/>
    <x v="10"/>
    <s v="Xerox 224"/>
    <x v="90"/>
    <n v="1"/>
    <n v="0"/>
    <n v="3.1103999999999998"/>
  </r>
  <r>
    <n v="2794"/>
    <x v="791"/>
    <x v="2"/>
    <x v="3"/>
    <d v="2011-04-17T00:00:00"/>
    <n v="5"/>
    <x v="1"/>
    <s v="Kean Nguyen"/>
    <x v="1"/>
    <s v="United States"/>
    <s v="Redondo Beach"/>
    <s v="California"/>
    <s v="West"/>
    <x v="2"/>
    <x v="7"/>
    <s v="Pyle PMP37LED"/>
    <x v="2268"/>
    <n v="14"/>
    <n v="0.2"/>
    <n v="94.0702"/>
  </r>
  <r>
    <n v="2795"/>
    <x v="791"/>
    <x v="2"/>
    <x v="3"/>
    <d v="2011-04-17T00:00:00"/>
    <n v="5"/>
    <x v="1"/>
    <s v="Kean Nguyen"/>
    <x v="1"/>
    <s v="United States"/>
    <s v="Redondo Beach"/>
    <s v="California"/>
    <s v="West"/>
    <x v="2"/>
    <x v="7"/>
    <s v="AT&amp;T 1080 Corded phone"/>
    <x v="2269"/>
    <n v="4"/>
    <n v="0.2"/>
    <n v="38.357199999999999"/>
  </r>
  <r>
    <n v="2796"/>
    <x v="791"/>
    <x v="2"/>
    <x v="3"/>
    <d v="2011-04-17T00:00:00"/>
    <n v="5"/>
    <x v="1"/>
    <s v="Kean Nguyen"/>
    <x v="1"/>
    <s v="United States"/>
    <s v="Redondo Beach"/>
    <s v="California"/>
    <s v="West"/>
    <x v="1"/>
    <x v="8"/>
    <s v="Recycled Pressboard Report Cover with Reinforced Top Hinge"/>
    <x v="2270"/>
    <n v="7"/>
    <n v="0.2"/>
    <n v="6.5568999999999997"/>
  </r>
  <r>
    <n v="2797"/>
    <x v="791"/>
    <x v="2"/>
    <x v="3"/>
    <d v="2011-04-17T00:00:00"/>
    <n v="5"/>
    <x v="1"/>
    <s v="Kean Nguyen"/>
    <x v="1"/>
    <s v="United States"/>
    <s v="Redondo Beach"/>
    <s v="California"/>
    <s v="West"/>
    <x v="0"/>
    <x v="0"/>
    <s v="O'Sullivan Living Dimensions 2-Shelf Bookcases"/>
    <x v="2271"/>
    <n v="3"/>
    <n v="0.15"/>
    <n v="-18.146999999999998"/>
  </r>
  <r>
    <n v="2798"/>
    <x v="179"/>
    <x v="3"/>
    <x v="2"/>
    <d v="2014-10-28T00:00:00"/>
    <n v="7"/>
    <x v="1"/>
    <s v="Ivan Gibson"/>
    <x v="0"/>
    <s v="United States"/>
    <s v="Little Rock"/>
    <s v="Arkansas"/>
    <s v="South"/>
    <x v="1"/>
    <x v="6"/>
    <s v="Eldon Spacemaker Box, Quick-Snap Lid, Clear"/>
    <x v="518"/>
    <n v="4"/>
    <n v="0"/>
    <n v="4.1416000000000004"/>
  </r>
  <r>
    <n v="2799"/>
    <x v="179"/>
    <x v="3"/>
    <x v="2"/>
    <d v="2014-10-28T00:00:00"/>
    <n v="7"/>
    <x v="1"/>
    <s v="Ivan Gibson"/>
    <x v="0"/>
    <s v="United States"/>
    <s v="Little Rock"/>
    <s v="Arkansas"/>
    <s v="South"/>
    <x v="1"/>
    <x v="10"/>
    <s v="Xerox 1884"/>
    <x v="786"/>
    <n v="2"/>
    <n v="0"/>
    <n v="18.781199999999998"/>
  </r>
  <r>
    <n v="2800"/>
    <x v="179"/>
    <x v="3"/>
    <x v="2"/>
    <d v="2014-10-28T00:00:00"/>
    <n v="7"/>
    <x v="1"/>
    <s v="Ivan Gibson"/>
    <x v="0"/>
    <s v="United States"/>
    <s v="Little Rock"/>
    <s v="Arkansas"/>
    <s v="South"/>
    <x v="1"/>
    <x v="8"/>
    <s v="Binding Machine Supplies"/>
    <x v="2272"/>
    <n v="5"/>
    <n v="0"/>
    <n v="70.007999999999996"/>
  </r>
  <r>
    <n v="2801"/>
    <x v="792"/>
    <x v="0"/>
    <x v="2"/>
    <d v="2013-10-29T00:00:00"/>
    <n v="3"/>
    <x v="2"/>
    <s v="Jill Stevenson"/>
    <x v="1"/>
    <s v="United States"/>
    <s v="Miami"/>
    <s v="Florida"/>
    <s v="South"/>
    <x v="2"/>
    <x v="7"/>
    <s v="Panasonic KX-TG9471B"/>
    <x v="2243"/>
    <n v="5"/>
    <n v="0.2"/>
    <n v="78.396000000000001"/>
  </r>
  <r>
    <n v="2802"/>
    <x v="549"/>
    <x v="1"/>
    <x v="0"/>
    <d v="2012-11-04T00:00:00"/>
    <n v="3"/>
    <x v="2"/>
    <s v="Guy Armstrong"/>
    <x v="0"/>
    <s v="United States"/>
    <s v="Salem"/>
    <s v="Oregon"/>
    <s v="West"/>
    <x v="1"/>
    <x v="6"/>
    <s v="Lumber Crayons"/>
    <x v="2273"/>
    <n v="1"/>
    <n v="0.2"/>
    <n v="1.7729999999999999"/>
  </r>
  <r>
    <n v="2803"/>
    <x v="132"/>
    <x v="3"/>
    <x v="0"/>
    <d v="2014-11-09T00:00:00"/>
    <n v="5"/>
    <x v="1"/>
    <s v="Denise Leinenbach"/>
    <x v="0"/>
    <s v="United States"/>
    <s v="Las Cruces"/>
    <s v="New Mexico"/>
    <s v="West"/>
    <x v="0"/>
    <x v="5"/>
    <s v="9-3/4 Diameter Round Wall Clock"/>
    <x v="1419"/>
    <n v="3"/>
    <n v="0"/>
    <n v="17.375399999999999"/>
  </r>
  <r>
    <n v="2804"/>
    <x v="793"/>
    <x v="1"/>
    <x v="5"/>
    <d v="2012-05-16T00:00:00"/>
    <n v="4"/>
    <x v="1"/>
    <s v="Cindy Stewart"/>
    <x v="0"/>
    <s v="United States"/>
    <s v="San Francisco"/>
    <s v="California"/>
    <s v="West"/>
    <x v="1"/>
    <x v="10"/>
    <s v="Xerox 1962"/>
    <x v="1371"/>
    <n v="3"/>
    <n v="0"/>
    <n v="5.7779999999999996"/>
  </r>
  <r>
    <n v="2805"/>
    <x v="793"/>
    <x v="1"/>
    <x v="5"/>
    <d v="2012-05-16T00:00:00"/>
    <n v="4"/>
    <x v="1"/>
    <s v="Cindy Stewart"/>
    <x v="0"/>
    <s v="United States"/>
    <s v="San Francisco"/>
    <s v="California"/>
    <s v="West"/>
    <x v="1"/>
    <x v="10"/>
    <s v="Xerox 1953"/>
    <x v="2274"/>
    <n v="6"/>
    <n v="0"/>
    <n v="11.555999999999999"/>
  </r>
  <r>
    <n v="2806"/>
    <x v="67"/>
    <x v="1"/>
    <x v="8"/>
    <d v="2012-09-11T00:00:00"/>
    <n v="4"/>
    <x v="1"/>
    <s v="Charles Crestani"/>
    <x v="0"/>
    <s v="United States"/>
    <s v="El Paso"/>
    <s v="Texas"/>
    <s v="Central"/>
    <x v="0"/>
    <x v="1"/>
    <s v="Metal Folding Chairs, Beige, 4/Carton"/>
    <x v="2275"/>
    <n v="2"/>
    <n v="0.3"/>
    <n v="-2.0364"/>
  </r>
  <r>
    <n v="2807"/>
    <x v="395"/>
    <x v="1"/>
    <x v="7"/>
    <d v="2012-07-27T00:00:00"/>
    <n v="2"/>
    <x v="0"/>
    <s v="Michelle Huthwaite"/>
    <x v="0"/>
    <s v="United States"/>
    <s v="Seattle"/>
    <s v="Washington"/>
    <s v="West"/>
    <x v="1"/>
    <x v="13"/>
    <s v="Plymouth Boxed Rubber Bands by Plymouth"/>
    <x v="2276"/>
    <n v="2"/>
    <n v="0"/>
    <n v="0.47099999999999997"/>
  </r>
  <r>
    <n v="2808"/>
    <x v="395"/>
    <x v="1"/>
    <x v="7"/>
    <d v="2012-07-27T00:00:00"/>
    <n v="2"/>
    <x v="0"/>
    <s v="Michelle Huthwaite"/>
    <x v="0"/>
    <s v="United States"/>
    <s v="Seattle"/>
    <s v="Washington"/>
    <s v="West"/>
    <x v="1"/>
    <x v="10"/>
    <s v="Xerox 228"/>
    <x v="91"/>
    <n v="2"/>
    <n v="0"/>
    <n v="6.2207999999999997"/>
  </r>
  <r>
    <n v="2809"/>
    <x v="395"/>
    <x v="1"/>
    <x v="7"/>
    <d v="2012-07-27T00:00:00"/>
    <n v="2"/>
    <x v="0"/>
    <s v="Michelle Huthwaite"/>
    <x v="0"/>
    <s v="United States"/>
    <s v="Seattle"/>
    <s v="Washington"/>
    <s v="West"/>
    <x v="0"/>
    <x v="0"/>
    <s v="Sauder Forest Hills Library, Woodland Oak Finish"/>
    <x v="2277"/>
    <n v="5"/>
    <n v="0"/>
    <n v="56.392000000000003"/>
  </r>
  <r>
    <n v="2810"/>
    <x v="395"/>
    <x v="1"/>
    <x v="7"/>
    <d v="2012-07-27T00:00:00"/>
    <n v="2"/>
    <x v="0"/>
    <s v="Michelle Huthwaite"/>
    <x v="0"/>
    <s v="United States"/>
    <s v="Seattle"/>
    <s v="Washington"/>
    <s v="West"/>
    <x v="0"/>
    <x v="1"/>
    <s v="Office Star - Professional Matrix Back Chair with 2-to-1 Synchro Tilt and Mesh Fabric Seat"/>
    <x v="2278"/>
    <n v="2"/>
    <n v="0.2"/>
    <n v="28.078399999999998"/>
  </r>
  <r>
    <n v="2811"/>
    <x v="547"/>
    <x v="1"/>
    <x v="0"/>
    <d v="2012-11-18T00:00:00"/>
    <n v="2"/>
    <x v="0"/>
    <s v="Mike Pelletier"/>
    <x v="2"/>
    <s v="United States"/>
    <s v="Milwaukee"/>
    <s v="Wisconsin"/>
    <s v="Central"/>
    <x v="1"/>
    <x v="10"/>
    <s v="Xerox 191"/>
    <x v="2279"/>
    <n v="9"/>
    <n v="0"/>
    <n v="84.5154"/>
  </r>
  <r>
    <n v="2812"/>
    <x v="547"/>
    <x v="1"/>
    <x v="0"/>
    <d v="2012-11-18T00:00:00"/>
    <n v="2"/>
    <x v="0"/>
    <s v="Mike Pelletier"/>
    <x v="2"/>
    <s v="United States"/>
    <s v="Milwaukee"/>
    <s v="Wisconsin"/>
    <s v="Central"/>
    <x v="0"/>
    <x v="5"/>
    <s v="Advantus Employee of the Month Certificate Frame, 11 x 13-1/2"/>
    <x v="2280"/>
    <n v="6"/>
    <n v="0"/>
    <n v="76.087800000000001"/>
  </r>
  <r>
    <n v="2813"/>
    <x v="547"/>
    <x v="1"/>
    <x v="0"/>
    <d v="2012-11-18T00:00:00"/>
    <n v="2"/>
    <x v="0"/>
    <s v="Mike Pelletier"/>
    <x v="2"/>
    <s v="United States"/>
    <s v="Milwaukee"/>
    <s v="Wisconsin"/>
    <s v="Central"/>
    <x v="0"/>
    <x v="3"/>
    <s v="Lesro Sheffield Collection Coffee Table, End Table, Center Table, Corner Table"/>
    <x v="2281"/>
    <n v="3"/>
    <n v="0"/>
    <n v="36.398699999999998"/>
  </r>
  <r>
    <n v="2814"/>
    <x v="547"/>
    <x v="1"/>
    <x v="0"/>
    <d v="2012-11-18T00:00:00"/>
    <n v="2"/>
    <x v="0"/>
    <s v="Mike Pelletier"/>
    <x v="2"/>
    <s v="United States"/>
    <s v="Milwaukee"/>
    <s v="Wisconsin"/>
    <s v="Central"/>
    <x v="2"/>
    <x v="11"/>
    <s v="Logitech diNovo Edge Keyboard"/>
    <x v="2282"/>
    <n v="4"/>
    <n v="0"/>
    <n v="229.99080000000001"/>
  </r>
  <r>
    <n v="2815"/>
    <x v="547"/>
    <x v="1"/>
    <x v="0"/>
    <d v="2012-11-18T00:00:00"/>
    <n v="2"/>
    <x v="0"/>
    <s v="Mike Pelletier"/>
    <x v="2"/>
    <s v="United States"/>
    <s v="Milwaukee"/>
    <s v="Wisconsin"/>
    <s v="Central"/>
    <x v="0"/>
    <x v="3"/>
    <s v="Chromcraft Bull-Nose Wood Round Conference Table Top, Wood Base"/>
    <x v="2283"/>
    <n v="3"/>
    <n v="0"/>
    <n v="111.1035"/>
  </r>
  <r>
    <n v="2816"/>
    <x v="135"/>
    <x v="1"/>
    <x v="8"/>
    <d v="2012-09-08T00:00:00"/>
    <n v="7"/>
    <x v="1"/>
    <s v="Daniel Raglin"/>
    <x v="2"/>
    <s v="United States"/>
    <s v="Franklin"/>
    <s v="Massachusetts"/>
    <s v="East"/>
    <x v="1"/>
    <x v="8"/>
    <s v="Deluxe Heavy-Duty Vinyl Round Ring Binder"/>
    <x v="2284"/>
    <n v="5"/>
    <n v="0"/>
    <n v="51.57"/>
  </r>
  <r>
    <n v="2817"/>
    <x v="135"/>
    <x v="1"/>
    <x v="8"/>
    <d v="2012-09-08T00:00:00"/>
    <n v="7"/>
    <x v="1"/>
    <s v="Daniel Raglin"/>
    <x v="2"/>
    <s v="United States"/>
    <s v="Franklin"/>
    <s v="Massachusetts"/>
    <s v="East"/>
    <x v="0"/>
    <x v="1"/>
    <s v="Global Value Steno Chair, Gray"/>
    <x v="2285"/>
    <n v="1"/>
    <n v="0"/>
    <n v="15.185"/>
  </r>
  <r>
    <n v="2818"/>
    <x v="135"/>
    <x v="1"/>
    <x v="8"/>
    <d v="2012-09-08T00:00:00"/>
    <n v="7"/>
    <x v="1"/>
    <s v="Daniel Raglin"/>
    <x v="2"/>
    <s v="United States"/>
    <s v="Franklin"/>
    <s v="Massachusetts"/>
    <s v="East"/>
    <x v="0"/>
    <x v="5"/>
    <s v="Deflect-o Glass Clear Studded Chair Mats"/>
    <x v="2217"/>
    <n v="2"/>
    <n v="0"/>
    <n v="27.359200000000001"/>
  </r>
  <r>
    <n v="2819"/>
    <x v="135"/>
    <x v="1"/>
    <x v="8"/>
    <d v="2012-09-08T00:00:00"/>
    <n v="7"/>
    <x v="1"/>
    <s v="Daniel Raglin"/>
    <x v="2"/>
    <s v="United States"/>
    <s v="Franklin"/>
    <s v="Massachusetts"/>
    <s v="East"/>
    <x v="1"/>
    <x v="4"/>
    <s v="Adjustable Depth Letter/Legal Cart"/>
    <x v="2286"/>
    <n v="6"/>
    <n v="0"/>
    <n v="315.74040000000002"/>
  </r>
  <r>
    <n v="2820"/>
    <x v="465"/>
    <x v="0"/>
    <x v="5"/>
    <d v="2013-05-09T00:00:00"/>
    <n v="3"/>
    <x v="2"/>
    <s v="Darrin Martin"/>
    <x v="0"/>
    <s v="United States"/>
    <s v="Encinitas"/>
    <s v="California"/>
    <s v="West"/>
    <x v="1"/>
    <x v="8"/>
    <s v="Computer Printout Index Tabs"/>
    <x v="944"/>
    <n v="5"/>
    <n v="0.2"/>
    <n v="2.3519999999999999"/>
  </r>
  <r>
    <n v="2821"/>
    <x v="465"/>
    <x v="0"/>
    <x v="5"/>
    <d v="2013-05-09T00:00:00"/>
    <n v="3"/>
    <x v="2"/>
    <s v="Darrin Martin"/>
    <x v="0"/>
    <s v="United States"/>
    <s v="Encinitas"/>
    <s v="California"/>
    <s v="West"/>
    <x v="0"/>
    <x v="3"/>
    <s v="Bevis 36 x 72 Conference Tables"/>
    <x v="2287"/>
    <n v="3"/>
    <n v="0.2"/>
    <n v="7.4694000000000003"/>
  </r>
  <r>
    <n v="2822"/>
    <x v="413"/>
    <x v="3"/>
    <x v="9"/>
    <d v="2014-01-06T00:00:00"/>
    <n v="5"/>
    <x v="1"/>
    <s v="Brian DeCherney"/>
    <x v="0"/>
    <s v="United States"/>
    <s v="Anaheim"/>
    <s v="California"/>
    <s v="West"/>
    <x v="2"/>
    <x v="7"/>
    <s v="Adtran 1202752G1"/>
    <x v="214"/>
    <n v="3"/>
    <n v="0.2"/>
    <n v="22.6782"/>
  </r>
  <r>
    <n v="2823"/>
    <x v="65"/>
    <x v="3"/>
    <x v="8"/>
    <d v="2014-09-21T00:00:00"/>
    <n v="2"/>
    <x v="2"/>
    <s v="Dan Campbell"/>
    <x v="0"/>
    <s v="United States"/>
    <s v="Arlington"/>
    <s v="Texas"/>
    <s v="Central"/>
    <x v="1"/>
    <x v="6"/>
    <s v="Newell 314"/>
    <x v="433"/>
    <n v="2"/>
    <n v="0.2"/>
    <n v="0.55800000000000005"/>
  </r>
  <r>
    <n v="2824"/>
    <x v="65"/>
    <x v="3"/>
    <x v="8"/>
    <d v="2014-09-21T00:00:00"/>
    <n v="2"/>
    <x v="2"/>
    <s v="Dan Campbell"/>
    <x v="0"/>
    <s v="United States"/>
    <s v="Arlington"/>
    <s v="Texas"/>
    <s v="Central"/>
    <x v="1"/>
    <x v="4"/>
    <s v="Acco Perma 2700 Stacking Storage Drawers"/>
    <x v="2288"/>
    <n v="2"/>
    <n v="0.2"/>
    <n v="-2.9740000000000002"/>
  </r>
  <r>
    <n v="2825"/>
    <x v="794"/>
    <x v="2"/>
    <x v="8"/>
    <d v="2011-09-30T00:00:00"/>
    <n v="5"/>
    <x v="1"/>
    <s v="Michelle Tran"/>
    <x v="2"/>
    <s v="United States"/>
    <s v="Houston"/>
    <s v="Texas"/>
    <s v="Central"/>
    <x v="1"/>
    <x v="10"/>
    <s v="Xerox 1954"/>
    <x v="2289"/>
    <n v="8"/>
    <n v="0.2"/>
    <n v="10.56"/>
  </r>
  <r>
    <n v="2826"/>
    <x v="794"/>
    <x v="2"/>
    <x v="8"/>
    <d v="2011-09-30T00:00:00"/>
    <n v="5"/>
    <x v="1"/>
    <s v="Michelle Tran"/>
    <x v="2"/>
    <s v="United States"/>
    <s v="Houston"/>
    <s v="Texas"/>
    <s v="Central"/>
    <x v="0"/>
    <x v="0"/>
    <s v="O'Sullivan Living Dimensions 5-Shelf Bookcases"/>
    <x v="2290"/>
    <n v="2"/>
    <n v="0.32"/>
    <n v="-97.231200000000001"/>
  </r>
  <r>
    <n v="2827"/>
    <x v="794"/>
    <x v="2"/>
    <x v="8"/>
    <d v="2011-09-30T00:00:00"/>
    <n v="5"/>
    <x v="1"/>
    <s v="Michelle Tran"/>
    <x v="2"/>
    <s v="United States"/>
    <s v="Houston"/>
    <s v="Texas"/>
    <s v="Central"/>
    <x v="1"/>
    <x v="8"/>
    <s v="Avery Self-Adhesive Photo Pockets for Polaroid Photos"/>
    <x v="625"/>
    <n v="2"/>
    <n v="0.8"/>
    <n v="-4.3583999999999996"/>
  </r>
  <r>
    <n v="2828"/>
    <x v="794"/>
    <x v="2"/>
    <x v="8"/>
    <d v="2011-09-30T00:00:00"/>
    <n v="5"/>
    <x v="1"/>
    <s v="Michelle Tran"/>
    <x v="2"/>
    <s v="United States"/>
    <s v="Houston"/>
    <s v="Texas"/>
    <s v="Central"/>
    <x v="1"/>
    <x v="12"/>
    <s v="Poly String Tie Envelopes"/>
    <x v="30"/>
    <n v="2"/>
    <n v="0.2"/>
    <n v="1.1015999999999999"/>
  </r>
  <r>
    <n v="2829"/>
    <x v="131"/>
    <x v="0"/>
    <x v="3"/>
    <d v="2013-04-27T00:00:00"/>
    <n v="3"/>
    <x v="2"/>
    <s v="Max Jones"/>
    <x v="0"/>
    <s v="United States"/>
    <s v="Lancaster"/>
    <s v="Ohio"/>
    <s v="East"/>
    <x v="1"/>
    <x v="10"/>
    <s v="Embossed Ink Jet Note Cards"/>
    <x v="2291"/>
    <n v="6"/>
    <n v="0.2"/>
    <n v="37.9176"/>
  </r>
  <r>
    <n v="2830"/>
    <x v="131"/>
    <x v="0"/>
    <x v="3"/>
    <d v="2013-04-27T00:00:00"/>
    <n v="3"/>
    <x v="2"/>
    <s v="Max Jones"/>
    <x v="0"/>
    <s v="United States"/>
    <s v="Lancaster"/>
    <s v="Ohio"/>
    <s v="East"/>
    <x v="1"/>
    <x v="4"/>
    <s v="Eldon Fold 'N Roll Cart System"/>
    <x v="2292"/>
    <n v="5"/>
    <n v="0.2"/>
    <n v="6.2910000000000004"/>
  </r>
  <r>
    <n v="2831"/>
    <x v="131"/>
    <x v="0"/>
    <x v="3"/>
    <d v="2013-04-27T00:00:00"/>
    <n v="3"/>
    <x v="2"/>
    <s v="Max Jones"/>
    <x v="0"/>
    <s v="United States"/>
    <s v="Lancaster"/>
    <s v="Ohio"/>
    <s v="East"/>
    <x v="1"/>
    <x v="10"/>
    <s v="Xerox 1942"/>
    <x v="128"/>
    <n v="2"/>
    <n v="0.2"/>
    <n v="29.364000000000001"/>
  </r>
  <r>
    <n v="2832"/>
    <x v="301"/>
    <x v="2"/>
    <x v="0"/>
    <d v="2011-11-05T00:00:00"/>
    <n v="4"/>
    <x v="1"/>
    <s v="Natalie DeCherney"/>
    <x v="0"/>
    <s v="United States"/>
    <s v="Portland"/>
    <s v="Oregon"/>
    <s v="West"/>
    <x v="1"/>
    <x v="4"/>
    <s v="Carina Mini System Audio Rack, Model AR050B"/>
    <x v="2293"/>
    <n v="5"/>
    <n v="0.2"/>
    <n v="-94.332999999999998"/>
  </r>
  <r>
    <n v="2833"/>
    <x v="301"/>
    <x v="2"/>
    <x v="0"/>
    <d v="2011-11-05T00:00:00"/>
    <n v="4"/>
    <x v="1"/>
    <s v="Natalie DeCherney"/>
    <x v="0"/>
    <s v="United States"/>
    <s v="Portland"/>
    <s v="Oregon"/>
    <s v="West"/>
    <x v="2"/>
    <x v="7"/>
    <s v="Plantronics Voyager Pro HD - Bluetooth Headset"/>
    <x v="2294"/>
    <n v="3"/>
    <n v="0.2"/>
    <n v="54.5916"/>
  </r>
  <r>
    <n v="2834"/>
    <x v="795"/>
    <x v="3"/>
    <x v="9"/>
    <d v="2014-02-01T00:00:00"/>
    <n v="5"/>
    <x v="0"/>
    <s v="Carol Adams"/>
    <x v="1"/>
    <s v="United States"/>
    <s v="Hoover"/>
    <s v="Alabama"/>
    <s v="South"/>
    <x v="1"/>
    <x v="6"/>
    <s v="Newell 311"/>
    <x v="2295"/>
    <n v="7"/>
    <n v="0"/>
    <n v="4.1768999999999998"/>
  </r>
  <r>
    <n v="2835"/>
    <x v="795"/>
    <x v="3"/>
    <x v="9"/>
    <d v="2014-02-01T00:00:00"/>
    <n v="5"/>
    <x v="0"/>
    <s v="Carol Adams"/>
    <x v="1"/>
    <s v="United States"/>
    <s v="Hoover"/>
    <s v="Alabama"/>
    <s v="South"/>
    <x v="1"/>
    <x v="8"/>
    <s v="Avery Poly Binder Pockets"/>
    <x v="181"/>
    <n v="2"/>
    <n v="0"/>
    <n v="3.4367999999999999"/>
  </r>
  <r>
    <n v="2836"/>
    <x v="343"/>
    <x v="3"/>
    <x v="0"/>
    <d v="2014-11-17T00:00:00"/>
    <n v="5"/>
    <x v="1"/>
    <s v="Guy Armstrong"/>
    <x v="0"/>
    <s v="United States"/>
    <s v="Los Angeles"/>
    <s v="California"/>
    <s v="West"/>
    <x v="1"/>
    <x v="9"/>
    <s v="Belkin 6 Outlet Metallic Surge Strip"/>
    <x v="2296"/>
    <n v="1"/>
    <n v="0"/>
    <n v="2.8313999999999999"/>
  </r>
  <r>
    <n v="2837"/>
    <x v="343"/>
    <x v="3"/>
    <x v="0"/>
    <d v="2014-11-17T00:00:00"/>
    <n v="5"/>
    <x v="1"/>
    <s v="Guy Armstrong"/>
    <x v="0"/>
    <s v="United States"/>
    <s v="Los Angeles"/>
    <s v="California"/>
    <s v="West"/>
    <x v="1"/>
    <x v="10"/>
    <s v="Xerox 201"/>
    <x v="537"/>
    <n v="3"/>
    <n v="0"/>
    <n v="9.3312000000000008"/>
  </r>
  <r>
    <n v="2838"/>
    <x v="343"/>
    <x v="3"/>
    <x v="0"/>
    <d v="2014-11-17T00:00:00"/>
    <n v="5"/>
    <x v="1"/>
    <s v="Guy Armstrong"/>
    <x v="0"/>
    <s v="United States"/>
    <s v="Los Angeles"/>
    <s v="California"/>
    <s v="West"/>
    <x v="1"/>
    <x v="8"/>
    <s v="Ibico Plastic Spiral Binding Combs"/>
    <x v="2077"/>
    <n v="5"/>
    <n v="0.2"/>
    <n v="39.520000000000003"/>
  </r>
  <r>
    <n v="2839"/>
    <x v="632"/>
    <x v="0"/>
    <x v="1"/>
    <d v="2013-06-13T00:00:00"/>
    <n v="3"/>
    <x v="2"/>
    <s v="Toby Carlisle"/>
    <x v="0"/>
    <s v="United States"/>
    <s v="Tallahassee"/>
    <s v="Florida"/>
    <s v="South"/>
    <x v="2"/>
    <x v="15"/>
    <s v="Cisco CP-7937G Unified IP Conference Station Phone"/>
    <x v="1188"/>
    <n v="2"/>
    <n v="0.5"/>
    <n v="-27.827999999999999"/>
  </r>
  <r>
    <n v="2840"/>
    <x v="37"/>
    <x v="1"/>
    <x v="8"/>
    <d v="2012-09-08T00:00:00"/>
    <n v="5"/>
    <x v="0"/>
    <s v="Jennifer Braxton"/>
    <x v="1"/>
    <s v="United States"/>
    <s v="New York City"/>
    <s v="New York"/>
    <s v="East"/>
    <x v="1"/>
    <x v="4"/>
    <s v="Iceberg Mobile Mega Data/Printer Cart "/>
    <x v="2297"/>
    <n v="1"/>
    <n v="0"/>
    <n v="31.285799999999998"/>
  </r>
  <r>
    <n v="2841"/>
    <x v="619"/>
    <x v="2"/>
    <x v="10"/>
    <d v="2011-03-19T00:00:00"/>
    <n v="5"/>
    <x v="1"/>
    <s v="Christine Kargatis"/>
    <x v="2"/>
    <s v="United States"/>
    <s v="Chesapeake"/>
    <s v="Virginia"/>
    <s v="South"/>
    <x v="0"/>
    <x v="1"/>
    <s v="Global Commerce Series High-Back Swivel/Tilt Chairs"/>
    <x v="2298"/>
    <n v="4"/>
    <n v="0"/>
    <n v="284.98"/>
  </r>
  <r>
    <n v="2842"/>
    <x v="515"/>
    <x v="3"/>
    <x v="8"/>
    <d v="2014-09-05T00:00:00"/>
    <n v="4"/>
    <x v="0"/>
    <s v="Rob Lucas"/>
    <x v="0"/>
    <s v="United States"/>
    <s v="Fayetteville"/>
    <s v="North Carolina"/>
    <s v="South"/>
    <x v="1"/>
    <x v="10"/>
    <s v="Xerox 1945"/>
    <x v="2299"/>
    <n v="7"/>
    <n v="0.2"/>
    <n v="83.209699999999998"/>
  </r>
  <r>
    <n v="2843"/>
    <x v="721"/>
    <x v="3"/>
    <x v="10"/>
    <d v="2014-03-28T00:00:00"/>
    <n v="4"/>
    <x v="1"/>
    <s v="Anna Chung"/>
    <x v="0"/>
    <s v="United States"/>
    <s v="Huntsville"/>
    <s v="Texas"/>
    <s v="Central"/>
    <x v="1"/>
    <x v="4"/>
    <s v="Fellowes Officeware Wire Shelving"/>
    <x v="2300"/>
    <n v="2"/>
    <n v="0.2"/>
    <n v="-32.338799999999999"/>
  </r>
  <r>
    <n v="2844"/>
    <x v="796"/>
    <x v="3"/>
    <x v="5"/>
    <d v="2014-05-23T00:00:00"/>
    <n v="4"/>
    <x v="1"/>
    <s v="Brosina Hoffman"/>
    <x v="0"/>
    <s v="United States"/>
    <s v="Philadelphia"/>
    <s v="Pennsylvania"/>
    <s v="East"/>
    <x v="2"/>
    <x v="11"/>
    <s v="KeyTronic KT800P2 - Keyboard - Black"/>
    <x v="2301"/>
    <n v="3"/>
    <n v="0.2"/>
    <n v="-0.9012"/>
  </r>
  <r>
    <n v="2845"/>
    <x v="797"/>
    <x v="0"/>
    <x v="4"/>
    <d v="2014-01-01T00:00:00"/>
    <n v="4"/>
    <x v="1"/>
    <s v="Brooke Gillingham"/>
    <x v="1"/>
    <s v="United States"/>
    <s v="Woodstock"/>
    <s v="Illinois"/>
    <s v="Central"/>
    <x v="0"/>
    <x v="1"/>
    <s v="Global Manager's Adjustable Task Chair, Storm"/>
    <x v="2302"/>
    <n v="8"/>
    <n v="0.3"/>
    <n v="-12.0784"/>
  </r>
  <r>
    <n v="2846"/>
    <x v="701"/>
    <x v="3"/>
    <x v="0"/>
    <d v="2014-11-21T00:00:00"/>
    <n v="3"/>
    <x v="2"/>
    <s v="Xylona Preis"/>
    <x v="0"/>
    <s v="United States"/>
    <s v="Everett"/>
    <s v="Massachusetts"/>
    <s v="East"/>
    <x v="1"/>
    <x v="6"/>
    <s v="Stanley Bostitch Contemporary Electric Pencil Sharpeners"/>
    <x v="711"/>
    <n v="3"/>
    <n v="0"/>
    <n v="14.263199999999999"/>
  </r>
  <r>
    <n v="2847"/>
    <x v="18"/>
    <x v="3"/>
    <x v="8"/>
    <d v="2014-09-16T00:00:00"/>
    <n v="5"/>
    <x v="1"/>
    <s v="Skye Norling"/>
    <x v="2"/>
    <s v="United States"/>
    <s v="Chicago"/>
    <s v="Illinois"/>
    <s v="Central"/>
    <x v="1"/>
    <x v="8"/>
    <s v="Fellowes PB500 Electric Punch Plastic Comb Binding Machine with Manual Bind"/>
    <x v="2303"/>
    <n v="3"/>
    <n v="0.8"/>
    <n v="-1143.8910000000001"/>
  </r>
  <r>
    <n v="2848"/>
    <x v="798"/>
    <x v="3"/>
    <x v="3"/>
    <d v="2014-04-16T00:00:00"/>
    <n v="7"/>
    <x v="1"/>
    <s v="Denise Monton"/>
    <x v="1"/>
    <s v="United States"/>
    <s v="Roswell"/>
    <s v="Georgia"/>
    <s v="South"/>
    <x v="0"/>
    <x v="5"/>
    <s v="Eldon Expressions Punched Metal &amp; Wood Desk Accessories, Black &amp; Cherry"/>
    <x v="2304"/>
    <n v="6"/>
    <n v="0"/>
    <n v="15.7584"/>
  </r>
  <r>
    <n v="2849"/>
    <x v="798"/>
    <x v="3"/>
    <x v="3"/>
    <d v="2014-04-16T00:00:00"/>
    <n v="7"/>
    <x v="1"/>
    <s v="Denise Monton"/>
    <x v="1"/>
    <s v="United States"/>
    <s v="Roswell"/>
    <s v="Georgia"/>
    <s v="South"/>
    <x v="1"/>
    <x v="8"/>
    <s v="GBC DocuBind TL300 Electric Binding System"/>
    <x v="2305"/>
    <n v="3"/>
    <n v="0"/>
    <n v="1264.7559000000001"/>
  </r>
  <r>
    <n v="2850"/>
    <x v="85"/>
    <x v="0"/>
    <x v="0"/>
    <d v="2013-12-04T00:00:00"/>
    <n v="5"/>
    <x v="1"/>
    <s v="Anthony Jacobs"/>
    <x v="1"/>
    <s v="United States"/>
    <s v="Palm Coast"/>
    <s v="Florida"/>
    <s v="South"/>
    <x v="1"/>
    <x v="8"/>
    <s v="ACCOHIDE Binder by Acco"/>
    <x v="2306"/>
    <n v="6"/>
    <n v="0.7"/>
    <n v="-5.6993999999999998"/>
  </r>
  <r>
    <n v="2851"/>
    <x v="799"/>
    <x v="0"/>
    <x v="1"/>
    <d v="2013-06-06T00:00:00"/>
    <n v="3"/>
    <x v="2"/>
    <s v="Karen Carlisle"/>
    <x v="1"/>
    <s v="United States"/>
    <s v="Philadelphia"/>
    <s v="Pennsylvania"/>
    <s v="East"/>
    <x v="1"/>
    <x v="4"/>
    <s v="Carina Double Wide Media Storage Towers in Natural &amp; Black"/>
    <x v="1445"/>
    <n v="1"/>
    <n v="0.2"/>
    <n v="-12.956799999999999"/>
  </r>
  <r>
    <n v="2852"/>
    <x v="94"/>
    <x v="3"/>
    <x v="4"/>
    <d v="2014-12-23T00:00:00"/>
    <n v="5"/>
    <x v="1"/>
    <s v="Vicky Freymann"/>
    <x v="2"/>
    <s v="United States"/>
    <s v="Columbus"/>
    <s v="Indiana"/>
    <s v="Central"/>
    <x v="1"/>
    <x v="10"/>
    <s v="Wirebound Message Books, 2 7/8&quot; x 5&quot;, 3 Forms per Page"/>
    <x v="2307"/>
    <n v="4"/>
    <n v="0"/>
    <n v="13.235200000000001"/>
  </r>
  <r>
    <n v="2853"/>
    <x v="690"/>
    <x v="0"/>
    <x v="10"/>
    <d v="2013-03-22T00:00:00"/>
    <n v="2"/>
    <x v="0"/>
    <s v="Susan Vittorini"/>
    <x v="0"/>
    <s v="United States"/>
    <s v="Oceanside"/>
    <s v="New York"/>
    <s v="East"/>
    <x v="0"/>
    <x v="5"/>
    <s v="GE 4 Foot Flourescent Tube, 40 Watt"/>
    <x v="1852"/>
    <n v="1"/>
    <n v="0"/>
    <n v="6.8907999999999996"/>
  </r>
  <r>
    <n v="2854"/>
    <x v="690"/>
    <x v="0"/>
    <x v="10"/>
    <d v="2013-03-22T00:00:00"/>
    <n v="2"/>
    <x v="0"/>
    <s v="Susan Vittorini"/>
    <x v="0"/>
    <s v="United States"/>
    <s v="Oceanside"/>
    <s v="New York"/>
    <s v="East"/>
    <x v="0"/>
    <x v="5"/>
    <s v="Master Caster Door Stop, Brown"/>
    <x v="2308"/>
    <n v="4"/>
    <n v="0"/>
    <n v="6.9088000000000003"/>
  </r>
  <r>
    <n v="2855"/>
    <x v="648"/>
    <x v="3"/>
    <x v="6"/>
    <d v="2014-08-21T00:00:00"/>
    <n v="0"/>
    <x v="3"/>
    <s v="Eleni McCrary"/>
    <x v="1"/>
    <s v="United States"/>
    <s v="Franklin"/>
    <s v="Massachusetts"/>
    <s v="East"/>
    <x v="1"/>
    <x v="4"/>
    <s v="Neat Ideas Personal Hanging Folder Files, Black"/>
    <x v="2309"/>
    <n v="3"/>
    <n v="0"/>
    <n v="10.4754"/>
  </r>
  <r>
    <n v="2856"/>
    <x v="800"/>
    <x v="3"/>
    <x v="7"/>
    <d v="2014-08-01T00:00:00"/>
    <n v="6"/>
    <x v="1"/>
    <s v="Raymond Buch"/>
    <x v="0"/>
    <s v="United States"/>
    <s v="Sioux Falls"/>
    <s v="South Dakota"/>
    <s v="Central"/>
    <x v="1"/>
    <x v="2"/>
    <s v="Avery 498"/>
    <x v="2310"/>
    <n v="7"/>
    <n v="0"/>
    <n v="9.5081000000000007"/>
  </r>
  <r>
    <n v="2857"/>
    <x v="370"/>
    <x v="0"/>
    <x v="6"/>
    <d v="2013-08-30T00:00:00"/>
    <n v="3"/>
    <x v="2"/>
    <s v="Don Jones"/>
    <x v="1"/>
    <s v="United States"/>
    <s v="San Diego"/>
    <s v="California"/>
    <s v="West"/>
    <x v="0"/>
    <x v="1"/>
    <s v="Global Troy Executive Leather Low-Back Tilter"/>
    <x v="2311"/>
    <n v="4"/>
    <n v="0.2"/>
    <n v="100.196"/>
  </r>
  <r>
    <n v="2858"/>
    <x v="243"/>
    <x v="0"/>
    <x v="6"/>
    <d v="2013-08-18T00:00:00"/>
    <n v="2"/>
    <x v="0"/>
    <s v="Christopher Conant"/>
    <x v="0"/>
    <s v="United States"/>
    <s v="Fayetteville"/>
    <s v="North Carolina"/>
    <s v="South"/>
    <x v="0"/>
    <x v="1"/>
    <s v="Hon Olson Stacker Stools"/>
    <x v="2241"/>
    <n v="2"/>
    <n v="0.2"/>
    <n v="22.529599999999999"/>
  </r>
  <r>
    <n v="2859"/>
    <x v="240"/>
    <x v="3"/>
    <x v="5"/>
    <d v="2014-05-24T00:00:00"/>
    <n v="4"/>
    <x v="1"/>
    <s v="Shahid Collister"/>
    <x v="0"/>
    <s v="United States"/>
    <s v="Atlanta"/>
    <s v="Georgia"/>
    <s v="South"/>
    <x v="2"/>
    <x v="11"/>
    <s v="Kingston Digital DataTraveler 32GB USB 2.0"/>
    <x v="760"/>
    <n v="4"/>
    <n v="0"/>
    <n v="4.0679999999999996"/>
  </r>
  <r>
    <n v="2860"/>
    <x v="240"/>
    <x v="3"/>
    <x v="5"/>
    <d v="2014-05-24T00:00:00"/>
    <n v="4"/>
    <x v="1"/>
    <s v="Shahid Collister"/>
    <x v="0"/>
    <s v="United States"/>
    <s v="Atlanta"/>
    <s v="Georgia"/>
    <s v="South"/>
    <x v="2"/>
    <x v="7"/>
    <s v="Nokia Lumia 925"/>
    <x v="2216"/>
    <n v="3"/>
    <n v="0"/>
    <n v="98.272199999999998"/>
  </r>
  <r>
    <n v="2861"/>
    <x v="240"/>
    <x v="3"/>
    <x v="5"/>
    <d v="2014-05-24T00:00:00"/>
    <n v="4"/>
    <x v="1"/>
    <s v="Shahid Collister"/>
    <x v="0"/>
    <s v="United States"/>
    <s v="Atlanta"/>
    <s v="Georgia"/>
    <s v="South"/>
    <x v="0"/>
    <x v="0"/>
    <s v="O'Sullivan 2-Door Barrister Bookcase in Odessa Pine"/>
    <x v="2312"/>
    <n v="9"/>
    <n v="0"/>
    <n v="374.62860000000001"/>
  </r>
  <r>
    <n v="2862"/>
    <x v="240"/>
    <x v="3"/>
    <x v="5"/>
    <d v="2014-05-24T00:00:00"/>
    <n v="4"/>
    <x v="1"/>
    <s v="Shahid Collister"/>
    <x v="0"/>
    <s v="United States"/>
    <s v="Atlanta"/>
    <s v="Georgia"/>
    <s v="South"/>
    <x v="1"/>
    <x v="10"/>
    <s v="Xerox 1945"/>
    <x v="2313"/>
    <n v="7"/>
    <n v="0"/>
    <n v="140.59569999999999"/>
  </r>
  <r>
    <n v="2863"/>
    <x v="801"/>
    <x v="3"/>
    <x v="6"/>
    <d v="2014-08-18T00:00:00"/>
    <n v="5"/>
    <x v="1"/>
    <s v="Rick Hansen"/>
    <x v="0"/>
    <s v="United States"/>
    <s v="Orlando"/>
    <s v="Florida"/>
    <s v="South"/>
    <x v="1"/>
    <x v="10"/>
    <s v="Xerox 2000"/>
    <x v="557"/>
    <n v="4"/>
    <n v="0.2"/>
    <n v="7.2576000000000001"/>
  </r>
  <r>
    <n v="2864"/>
    <x v="802"/>
    <x v="3"/>
    <x v="6"/>
    <d v="2014-08-14T00:00:00"/>
    <n v="0"/>
    <x v="3"/>
    <s v="Jay Kimmel"/>
    <x v="0"/>
    <s v="United States"/>
    <s v="San Francisco"/>
    <s v="California"/>
    <s v="West"/>
    <x v="1"/>
    <x v="4"/>
    <s v="Sterilite Officeware Hinged File Box"/>
    <x v="966"/>
    <n v="3"/>
    <n v="0"/>
    <n v="8.4887999999999995"/>
  </r>
  <r>
    <n v="2865"/>
    <x v="802"/>
    <x v="3"/>
    <x v="6"/>
    <d v="2014-08-14T00:00:00"/>
    <n v="0"/>
    <x v="3"/>
    <s v="Jay Kimmel"/>
    <x v="0"/>
    <s v="United States"/>
    <s v="San Francisco"/>
    <s v="California"/>
    <s v="West"/>
    <x v="1"/>
    <x v="9"/>
    <s v="Staples"/>
    <x v="2314"/>
    <n v="7"/>
    <n v="0"/>
    <n v="22.6233"/>
  </r>
  <r>
    <n v="2866"/>
    <x v="802"/>
    <x v="3"/>
    <x v="6"/>
    <d v="2014-08-14T00:00:00"/>
    <n v="0"/>
    <x v="3"/>
    <s v="Jay Kimmel"/>
    <x v="0"/>
    <s v="United States"/>
    <s v="San Francisco"/>
    <s v="California"/>
    <s v="West"/>
    <x v="1"/>
    <x v="6"/>
    <s v="Newell 345"/>
    <x v="423"/>
    <n v="3"/>
    <n v="0"/>
    <n v="15.475199999999999"/>
  </r>
  <r>
    <n v="2867"/>
    <x v="802"/>
    <x v="3"/>
    <x v="6"/>
    <d v="2014-08-14T00:00:00"/>
    <n v="0"/>
    <x v="3"/>
    <s v="Jay Kimmel"/>
    <x v="0"/>
    <s v="United States"/>
    <s v="San Francisco"/>
    <s v="California"/>
    <s v="West"/>
    <x v="1"/>
    <x v="14"/>
    <s v="Staples"/>
    <x v="1043"/>
    <n v="4"/>
    <n v="0"/>
    <n v="9.2568000000000001"/>
  </r>
  <r>
    <n v="2868"/>
    <x v="338"/>
    <x v="0"/>
    <x v="0"/>
    <d v="2013-11-13T00:00:00"/>
    <n v="2"/>
    <x v="0"/>
    <s v="Art Foster"/>
    <x v="0"/>
    <s v="United States"/>
    <s v="Toledo"/>
    <s v="Ohio"/>
    <s v="East"/>
    <x v="1"/>
    <x v="14"/>
    <s v="Staples"/>
    <x v="2315"/>
    <n v="5"/>
    <n v="0.2"/>
    <n v="-3.3119999999999998"/>
  </r>
  <r>
    <n v="2869"/>
    <x v="338"/>
    <x v="0"/>
    <x v="0"/>
    <d v="2013-11-13T00:00:00"/>
    <n v="2"/>
    <x v="0"/>
    <s v="Art Foster"/>
    <x v="0"/>
    <s v="United States"/>
    <s v="Toledo"/>
    <s v="Ohio"/>
    <s v="East"/>
    <x v="1"/>
    <x v="4"/>
    <s v="Acco Perma 4000 Stacking Storage Drawers"/>
    <x v="2316"/>
    <n v="3"/>
    <n v="0.2"/>
    <n v="-2.4359999999999999"/>
  </r>
  <r>
    <n v="2870"/>
    <x v="492"/>
    <x v="3"/>
    <x v="1"/>
    <d v="2014-06-20T00:00:00"/>
    <n v="7"/>
    <x v="1"/>
    <s v="Lena Creighton"/>
    <x v="0"/>
    <s v="United States"/>
    <s v="Saint Petersburg"/>
    <s v="Florida"/>
    <s v="South"/>
    <x v="0"/>
    <x v="5"/>
    <s v="Dana Swing-Arm Lamps"/>
    <x v="1217"/>
    <n v="2"/>
    <n v="0.2"/>
    <n v="1.0680000000000001"/>
  </r>
  <r>
    <n v="2871"/>
    <x v="579"/>
    <x v="2"/>
    <x v="10"/>
    <d v="2011-03-26T00:00:00"/>
    <n v="4"/>
    <x v="1"/>
    <s v="Beth Fritzler"/>
    <x v="1"/>
    <s v="United States"/>
    <s v="Tucson"/>
    <s v="Arizona"/>
    <s v="West"/>
    <x v="1"/>
    <x v="10"/>
    <s v="Xerox 1951"/>
    <x v="1339"/>
    <n v="3"/>
    <n v="0.2"/>
    <n v="23.234999999999999"/>
  </r>
  <r>
    <n v="2872"/>
    <x v="579"/>
    <x v="2"/>
    <x v="10"/>
    <d v="2011-03-26T00:00:00"/>
    <n v="4"/>
    <x v="1"/>
    <s v="Beth Fritzler"/>
    <x v="1"/>
    <s v="United States"/>
    <s v="Tucson"/>
    <s v="Arizona"/>
    <s v="West"/>
    <x v="0"/>
    <x v="1"/>
    <s v="Office Star - Mesh Screen back chair with Vinyl seat"/>
    <x v="2317"/>
    <n v="3"/>
    <n v="0.2"/>
    <n v="-35.364600000000003"/>
  </r>
  <r>
    <n v="2873"/>
    <x v="140"/>
    <x v="3"/>
    <x v="1"/>
    <d v="2014-06-21T00:00:00"/>
    <n v="5"/>
    <x v="1"/>
    <s v="Stuart Calhoun"/>
    <x v="0"/>
    <s v="United States"/>
    <s v="Los Angeles"/>
    <s v="California"/>
    <s v="West"/>
    <x v="1"/>
    <x v="6"/>
    <s v="Dixon Prang Watercolor Pencils, 10-Color Set with Brush"/>
    <x v="2318"/>
    <n v="1"/>
    <n v="0"/>
    <n v="1.7465999999999999"/>
  </r>
  <r>
    <n v="2874"/>
    <x v="673"/>
    <x v="3"/>
    <x v="0"/>
    <d v="2014-11-23T00:00:00"/>
    <n v="6"/>
    <x v="1"/>
    <s v="Scott Williamson"/>
    <x v="0"/>
    <s v="United States"/>
    <s v="San Diego"/>
    <s v="California"/>
    <s v="West"/>
    <x v="1"/>
    <x v="4"/>
    <s v="Tennsco Regal Shelving Units"/>
    <x v="2319"/>
    <n v="8"/>
    <n v="0"/>
    <n v="24.3384"/>
  </r>
  <r>
    <n v="2875"/>
    <x v="614"/>
    <x v="3"/>
    <x v="4"/>
    <d v="2015-01-01T00:00:00"/>
    <n v="2"/>
    <x v="2"/>
    <s v="Michael Chen"/>
    <x v="0"/>
    <s v="United States"/>
    <s v="New York City"/>
    <s v="New York"/>
    <s v="East"/>
    <x v="1"/>
    <x v="13"/>
    <s v="Ideal Clamps"/>
    <x v="2320"/>
    <n v="3"/>
    <n v="0"/>
    <n v="2.9546999999999999"/>
  </r>
  <r>
    <n v="2876"/>
    <x v="803"/>
    <x v="0"/>
    <x v="9"/>
    <d v="2013-01-23T00:00:00"/>
    <n v="2"/>
    <x v="0"/>
    <s v="Tamara Dahlen"/>
    <x v="0"/>
    <s v="United States"/>
    <s v="San Diego"/>
    <s v="California"/>
    <s v="West"/>
    <x v="0"/>
    <x v="1"/>
    <s v="Global Super Steno Chair"/>
    <x v="2321"/>
    <n v="2"/>
    <n v="0.2"/>
    <n v="-5.7587999999999999"/>
  </r>
  <r>
    <n v="2877"/>
    <x v="803"/>
    <x v="0"/>
    <x v="9"/>
    <d v="2013-01-23T00:00:00"/>
    <n v="2"/>
    <x v="0"/>
    <s v="Tamara Dahlen"/>
    <x v="0"/>
    <s v="United States"/>
    <s v="San Diego"/>
    <s v="California"/>
    <s v="West"/>
    <x v="0"/>
    <x v="1"/>
    <s v="Global Ergonomic Managers Chair"/>
    <x v="2322"/>
    <n v="7"/>
    <n v="0.2"/>
    <n v="76.011600000000001"/>
  </r>
  <r>
    <n v="2878"/>
    <x v="804"/>
    <x v="0"/>
    <x v="9"/>
    <d v="2013-01-19T00:00:00"/>
    <n v="4"/>
    <x v="1"/>
    <s v="Dean percer"/>
    <x v="2"/>
    <s v="United States"/>
    <s v="Westfield"/>
    <s v="New Jersey"/>
    <s v="East"/>
    <x v="1"/>
    <x v="12"/>
    <s v="Quality Park Security Envelopes"/>
    <x v="2323"/>
    <n v="2"/>
    <n v="0"/>
    <n v="24.599799999999998"/>
  </r>
  <r>
    <n v="2879"/>
    <x v="804"/>
    <x v="0"/>
    <x v="9"/>
    <d v="2013-01-19T00:00:00"/>
    <n v="4"/>
    <x v="1"/>
    <s v="Dean percer"/>
    <x v="2"/>
    <s v="United States"/>
    <s v="Westfield"/>
    <s v="New Jersey"/>
    <s v="East"/>
    <x v="1"/>
    <x v="6"/>
    <s v="American Pencil"/>
    <x v="2324"/>
    <n v="2"/>
    <n v="0"/>
    <n v="1.3513999999999999"/>
  </r>
  <r>
    <n v="2880"/>
    <x v="804"/>
    <x v="0"/>
    <x v="9"/>
    <d v="2013-01-19T00:00:00"/>
    <n v="4"/>
    <x v="1"/>
    <s v="Dean percer"/>
    <x v="2"/>
    <s v="United States"/>
    <s v="Westfield"/>
    <s v="New Jersey"/>
    <s v="East"/>
    <x v="2"/>
    <x v="11"/>
    <s v="Logitech Gaming G510s - Keyboard"/>
    <x v="2325"/>
    <n v="3"/>
    <n v="0"/>
    <n v="91.789199999999994"/>
  </r>
  <r>
    <n v="2881"/>
    <x v="251"/>
    <x v="0"/>
    <x v="8"/>
    <d v="2013-09-24T00:00:00"/>
    <n v="4"/>
    <x v="0"/>
    <s v="Shirley Daniels"/>
    <x v="2"/>
    <s v="United States"/>
    <s v="Orange"/>
    <s v="New Jersey"/>
    <s v="East"/>
    <x v="1"/>
    <x v="8"/>
    <s v="Storex DuraTech Recycled Plastic Frosted Binders"/>
    <x v="2326"/>
    <n v="6"/>
    <n v="0"/>
    <n v="12.72"/>
  </r>
  <r>
    <n v="2882"/>
    <x v="251"/>
    <x v="0"/>
    <x v="8"/>
    <d v="2013-09-24T00:00:00"/>
    <n v="4"/>
    <x v="0"/>
    <s v="Shirley Daniels"/>
    <x v="2"/>
    <s v="United States"/>
    <s v="Orange"/>
    <s v="New Jersey"/>
    <s v="East"/>
    <x v="1"/>
    <x v="14"/>
    <s v="Acme Forged Steel Scissors with Black Enamel Handles"/>
    <x v="1048"/>
    <n v="3"/>
    <n v="0"/>
    <n v="8.0997000000000003"/>
  </r>
  <r>
    <n v="2883"/>
    <x v="805"/>
    <x v="2"/>
    <x v="11"/>
    <d v="2011-02-26T00:00:00"/>
    <n v="4"/>
    <x v="1"/>
    <s v="Tamara Manning"/>
    <x v="0"/>
    <s v="United States"/>
    <s v="Woodstock"/>
    <s v="Illinois"/>
    <s v="Central"/>
    <x v="1"/>
    <x v="8"/>
    <s v="GBC Standard Plastic Binding Systems Combs"/>
    <x v="2327"/>
    <n v="5"/>
    <n v="0.8"/>
    <n v="-13.717499999999999"/>
  </r>
  <r>
    <n v="2884"/>
    <x v="583"/>
    <x v="0"/>
    <x v="0"/>
    <d v="2013-11-17T00:00:00"/>
    <n v="5"/>
    <x v="0"/>
    <s v="Berenike Kampe"/>
    <x v="0"/>
    <s v="United States"/>
    <s v="San Francisco"/>
    <s v="California"/>
    <s v="West"/>
    <x v="0"/>
    <x v="5"/>
    <s v="Eldon Regeneration Recycled Desk Accessories, Smoke"/>
    <x v="2328"/>
    <n v="4"/>
    <n v="0"/>
    <n v="2.2271999999999998"/>
  </r>
  <r>
    <n v="2885"/>
    <x v="806"/>
    <x v="0"/>
    <x v="9"/>
    <d v="2013-02-03T00:00:00"/>
    <n v="4"/>
    <x v="1"/>
    <s v="Jeremy Farry"/>
    <x v="0"/>
    <s v="United States"/>
    <s v="San Francisco"/>
    <s v="California"/>
    <s v="West"/>
    <x v="1"/>
    <x v="8"/>
    <s v="Heavy-Duty E-Z-D Binders"/>
    <x v="732"/>
    <n v="2"/>
    <n v="0.2"/>
    <n v="5.8914"/>
  </r>
  <r>
    <n v="2886"/>
    <x v="807"/>
    <x v="0"/>
    <x v="2"/>
    <d v="2013-10-23T00:00:00"/>
    <n v="4"/>
    <x v="1"/>
    <s v="Emily Phan"/>
    <x v="0"/>
    <s v="United States"/>
    <s v="Tempe"/>
    <s v="Arizona"/>
    <s v="West"/>
    <x v="0"/>
    <x v="1"/>
    <s v="Global Deluxe Steno Chair"/>
    <x v="2329"/>
    <n v="5"/>
    <n v="0.2"/>
    <n v="-34.640999999999998"/>
  </r>
  <r>
    <n v="2887"/>
    <x v="404"/>
    <x v="3"/>
    <x v="4"/>
    <d v="2014-12-20T00:00:00"/>
    <n v="1"/>
    <x v="2"/>
    <s v="Emily Phan"/>
    <x v="0"/>
    <s v="United States"/>
    <s v="Los Angeles"/>
    <s v="California"/>
    <s v="West"/>
    <x v="1"/>
    <x v="6"/>
    <s v="Newell 327"/>
    <x v="153"/>
    <n v="3"/>
    <n v="0"/>
    <n v="1.7901"/>
  </r>
  <r>
    <n v="2888"/>
    <x v="404"/>
    <x v="3"/>
    <x v="4"/>
    <d v="2014-12-20T00:00:00"/>
    <n v="1"/>
    <x v="2"/>
    <s v="Emily Phan"/>
    <x v="0"/>
    <s v="United States"/>
    <s v="Los Angeles"/>
    <s v="California"/>
    <s v="West"/>
    <x v="1"/>
    <x v="10"/>
    <s v="Xerox 1996"/>
    <x v="91"/>
    <n v="2"/>
    <n v="0"/>
    <n v="6.2207999999999997"/>
  </r>
  <r>
    <n v="2889"/>
    <x v="404"/>
    <x v="3"/>
    <x v="4"/>
    <d v="2014-12-20T00:00:00"/>
    <n v="1"/>
    <x v="2"/>
    <s v="Emily Phan"/>
    <x v="0"/>
    <s v="United States"/>
    <s v="Los Angeles"/>
    <s v="California"/>
    <s v="West"/>
    <x v="1"/>
    <x v="10"/>
    <s v="Xerox 213"/>
    <x v="56"/>
    <n v="5"/>
    <n v="0"/>
    <n v="15.552"/>
  </r>
  <r>
    <n v="2890"/>
    <x v="808"/>
    <x v="3"/>
    <x v="0"/>
    <d v="2014-11-07T00:00:00"/>
    <n v="4"/>
    <x v="1"/>
    <s v="Ken Heidel"/>
    <x v="1"/>
    <s v="United States"/>
    <s v="Seattle"/>
    <s v="Washington"/>
    <s v="West"/>
    <x v="1"/>
    <x v="10"/>
    <s v="Wirebound Message Books, Four 2 3/4 x 5 Forms per Page, 200 Sets per Book"/>
    <x v="2330"/>
    <n v="5"/>
    <n v="0"/>
    <n v="10.7325"/>
  </r>
  <r>
    <n v="2891"/>
    <x v="333"/>
    <x v="2"/>
    <x v="3"/>
    <d v="2011-05-01T00:00:00"/>
    <n v="2"/>
    <x v="0"/>
    <s v="Harry Greene"/>
    <x v="0"/>
    <s v="United States"/>
    <s v="Lake Charles"/>
    <s v="Louisiana"/>
    <s v="South"/>
    <x v="0"/>
    <x v="1"/>
    <s v="Global Stack Chair without Arms, Black"/>
    <x v="2331"/>
    <n v="2"/>
    <n v="0"/>
    <n v="12.99"/>
  </r>
  <r>
    <n v="2892"/>
    <x v="333"/>
    <x v="2"/>
    <x v="3"/>
    <d v="2011-05-01T00:00:00"/>
    <n v="2"/>
    <x v="0"/>
    <s v="Harry Greene"/>
    <x v="0"/>
    <s v="United States"/>
    <s v="Lake Charles"/>
    <s v="Louisiana"/>
    <s v="South"/>
    <x v="1"/>
    <x v="8"/>
    <s v="Avery Non-Stick Heavy Duty View Round Locking Ring Binders"/>
    <x v="1444"/>
    <n v="3"/>
    <n v="0"/>
    <n v="8.6112000000000002"/>
  </r>
  <r>
    <n v="2893"/>
    <x v="436"/>
    <x v="3"/>
    <x v="2"/>
    <d v="2014-10-30T00:00:00"/>
    <n v="6"/>
    <x v="1"/>
    <s v="Julie Creighton"/>
    <x v="1"/>
    <s v="United States"/>
    <s v="Rochester"/>
    <s v="New York"/>
    <s v="East"/>
    <x v="1"/>
    <x v="10"/>
    <s v="Xerox 1969"/>
    <x v="1049"/>
    <n v="2"/>
    <n v="0"/>
    <n v="5.6643999999999997"/>
  </r>
  <r>
    <n v="2894"/>
    <x v="436"/>
    <x v="3"/>
    <x v="2"/>
    <d v="2014-10-30T00:00:00"/>
    <n v="6"/>
    <x v="1"/>
    <s v="Julie Creighton"/>
    <x v="1"/>
    <s v="United States"/>
    <s v="Rochester"/>
    <s v="New York"/>
    <s v="East"/>
    <x v="1"/>
    <x v="10"/>
    <s v="Xerox 4200 Series MultiUse Premium Copy Paper (20Lb. and 84 Bright)"/>
    <x v="1579"/>
    <n v="5"/>
    <n v="0"/>
    <n v="11.88"/>
  </r>
  <r>
    <n v="2895"/>
    <x v="436"/>
    <x v="3"/>
    <x v="2"/>
    <d v="2014-10-30T00:00:00"/>
    <n v="6"/>
    <x v="1"/>
    <s v="Julie Creighton"/>
    <x v="1"/>
    <s v="United States"/>
    <s v="Rochester"/>
    <s v="New York"/>
    <s v="East"/>
    <x v="0"/>
    <x v="5"/>
    <s v="Eldon 200 Class Desk Accessories, Smoke"/>
    <x v="2332"/>
    <n v="11"/>
    <n v="0"/>
    <n v="29.0136"/>
  </r>
  <r>
    <n v="2896"/>
    <x v="436"/>
    <x v="3"/>
    <x v="2"/>
    <d v="2014-10-30T00:00:00"/>
    <n v="6"/>
    <x v="1"/>
    <s v="Julie Creighton"/>
    <x v="1"/>
    <s v="United States"/>
    <s v="Rochester"/>
    <s v="New York"/>
    <s v="East"/>
    <x v="2"/>
    <x v="7"/>
    <s v="I Need's 3d Hello Kitty Hybrid Silicone Case Cover for HTC One X 4g with 3d Hello Kitty Stylus Pen Green/pink"/>
    <x v="1197"/>
    <n v="3"/>
    <n v="0"/>
    <n v="10.0464"/>
  </r>
  <r>
    <n v="2897"/>
    <x v="809"/>
    <x v="2"/>
    <x v="10"/>
    <d v="2011-04-03T00:00:00"/>
    <n v="4"/>
    <x v="1"/>
    <s v="Kunst Miller"/>
    <x v="0"/>
    <s v="United States"/>
    <s v="Long Beach"/>
    <s v="New York"/>
    <s v="East"/>
    <x v="1"/>
    <x v="6"/>
    <s v="Peel-Off China Markers"/>
    <x v="2333"/>
    <n v="5"/>
    <n v="0"/>
    <n v="20.853000000000002"/>
  </r>
  <r>
    <n v="2898"/>
    <x v="810"/>
    <x v="0"/>
    <x v="9"/>
    <d v="2013-01-09T00:00:00"/>
    <n v="5"/>
    <x v="1"/>
    <s v="Erica Bern"/>
    <x v="1"/>
    <s v="United States"/>
    <s v="Charlotte"/>
    <s v="North Carolina"/>
    <s v="South"/>
    <x v="2"/>
    <x v="16"/>
    <s v="Hewlett Packard 310 Color Digital Copier"/>
    <x v="2334"/>
    <n v="4"/>
    <n v="0.2"/>
    <n v="119.996"/>
  </r>
  <r>
    <n v="2899"/>
    <x v="33"/>
    <x v="1"/>
    <x v="3"/>
    <d v="2012-04-30T00:00:00"/>
    <n v="4"/>
    <x v="1"/>
    <s v="Pierre Wener"/>
    <x v="0"/>
    <s v="United States"/>
    <s v="Houston"/>
    <s v="Texas"/>
    <s v="Central"/>
    <x v="0"/>
    <x v="1"/>
    <s v="Hon 4070 Series Pagoda Armless Upholstered Stacking Chairs"/>
    <x v="2335"/>
    <n v="2"/>
    <n v="0.3"/>
    <n v="-5.8346"/>
  </r>
  <r>
    <n v="2900"/>
    <x v="811"/>
    <x v="1"/>
    <x v="8"/>
    <d v="2012-09-17T00:00:00"/>
    <n v="5"/>
    <x v="1"/>
    <s v="Paul Gonzalez"/>
    <x v="0"/>
    <s v="United States"/>
    <s v="New York City"/>
    <s v="New York"/>
    <s v="East"/>
    <x v="2"/>
    <x v="16"/>
    <s v="Hewlett Packard 310 Color Digital Copier"/>
    <x v="1973"/>
    <n v="2"/>
    <n v="0.2"/>
    <n v="59.997999999999998"/>
  </r>
  <r>
    <n v="2901"/>
    <x v="811"/>
    <x v="1"/>
    <x v="8"/>
    <d v="2012-09-17T00:00:00"/>
    <n v="5"/>
    <x v="1"/>
    <s v="Paul Gonzalez"/>
    <x v="0"/>
    <s v="United States"/>
    <s v="New York City"/>
    <s v="New York"/>
    <s v="East"/>
    <x v="1"/>
    <x v="2"/>
    <s v="Avery 520"/>
    <x v="2336"/>
    <n v="4"/>
    <n v="0"/>
    <n v="6.048"/>
  </r>
  <r>
    <n v="2902"/>
    <x v="220"/>
    <x v="3"/>
    <x v="8"/>
    <d v="2014-09-16T00:00:00"/>
    <n v="4"/>
    <x v="1"/>
    <s v="Daniel Byrd"/>
    <x v="2"/>
    <s v="United States"/>
    <s v="Columbus"/>
    <s v="Georgia"/>
    <s v="South"/>
    <x v="1"/>
    <x v="10"/>
    <s v="Xerox 1935"/>
    <x v="2337"/>
    <n v="7"/>
    <n v="0"/>
    <n v="84.943600000000004"/>
  </r>
  <r>
    <n v="2903"/>
    <x v="1"/>
    <x v="0"/>
    <x v="1"/>
    <d v="2013-06-18T00:00:00"/>
    <n v="5"/>
    <x v="1"/>
    <s v="Craig Reiter"/>
    <x v="0"/>
    <s v="United States"/>
    <s v="Chicago"/>
    <s v="Illinois"/>
    <s v="Central"/>
    <x v="1"/>
    <x v="10"/>
    <s v="Xerox 1978"/>
    <x v="1062"/>
    <n v="5"/>
    <n v="0.2"/>
    <n v="8.3810000000000002"/>
  </r>
  <r>
    <n v="2904"/>
    <x v="812"/>
    <x v="0"/>
    <x v="1"/>
    <d v="2013-07-02T00:00:00"/>
    <n v="4"/>
    <x v="1"/>
    <s v="Katharine Harms"/>
    <x v="1"/>
    <s v="United States"/>
    <s v="Highland Park"/>
    <s v="Illinois"/>
    <s v="Central"/>
    <x v="1"/>
    <x v="10"/>
    <s v="Wirebound Message Books, Four 2 3/4 x 5 White Forms per Page"/>
    <x v="2338"/>
    <n v="7"/>
    <n v="0.2"/>
    <n v="12.175800000000001"/>
  </r>
  <r>
    <n v="2905"/>
    <x v="812"/>
    <x v="0"/>
    <x v="1"/>
    <d v="2013-07-02T00:00:00"/>
    <n v="4"/>
    <x v="1"/>
    <s v="Katharine Harms"/>
    <x v="1"/>
    <s v="United States"/>
    <s v="Highland Park"/>
    <s v="Illinois"/>
    <s v="Central"/>
    <x v="0"/>
    <x v="1"/>
    <s v="Global Commerce Series Low-Back Swivel/Tilt Chairs"/>
    <x v="2339"/>
    <n v="3"/>
    <n v="0.3"/>
    <n v="-7.7093999999999996"/>
  </r>
  <r>
    <n v="2906"/>
    <x v="467"/>
    <x v="2"/>
    <x v="8"/>
    <d v="2011-09-30T00:00:00"/>
    <n v="4"/>
    <x v="1"/>
    <s v="Christopher Schild"/>
    <x v="2"/>
    <s v="United States"/>
    <s v="Seattle"/>
    <s v="Washington"/>
    <s v="West"/>
    <x v="1"/>
    <x v="4"/>
    <s v="Dual Level, Single-Width Filing Carts"/>
    <x v="2340"/>
    <n v="2"/>
    <n v="0"/>
    <n v="80.631200000000007"/>
  </r>
  <r>
    <n v="2907"/>
    <x v="132"/>
    <x v="3"/>
    <x v="0"/>
    <d v="2014-11-10T00:00:00"/>
    <n v="6"/>
    <x v="1"/>
    <s v="Daniel Lacy"/>
    <x v="0"/>
    <s v="United States"/>
    <s v="Eagan"/>
    <s v="Minnesota"/>
    <s v="Central"/>
    <x v="1"/>
    <x v="10"/>
    <s v="Xerox 1971"/>
    <x v="18"/>
    <n v="2"/>
    <n v="0"/>
    <n v="3.8519999999999999"/>
  </r>
  <r>
    <n v="2908"/>
    <x v="132"/>
    <x v="3"/>
    <x v="0"/>
    <d v="2014-11-10T00:00:00"/>
    <n v="6"/>
    <x v="1"/>
    <s v="Daniel Lacy"/>
    <x v="0"/>
    <s v="United States"/>
    <s v="Eagan"/>
    <s v="Minnesota"/>
    <s v="Central"/>
    <x v="1"/>
    <x v="4"/>
    <s v="Sterilite Officeware Hinged File Box"/>
    <x v="2341"/>
    <n v="5"/>
    <n v="0"/>
    <n v="14.148"/>
  </r>
  <r>
    <n v="2909"/>
    <x v="132"/>
    <x v="3"/>
    <x v="0"/>
    <d v="2014-11-10T00:00:00"/>
    <n v="6"/>
    <x v="1"/>
    <s v="Daniel Lacy"/>
    <x v="0"/>
    <s v="United States"/>
    <s v="Eagan"/>
    <s v="Minnesota"/>
    <s v="Central"/>
    <x v="1"/>
    <x v="2"/>
    <s v="Avery 513"/>
    <x v="1801"/>
    <n v="3"/>
    <n v="0"/>
    <n v="6.8723999999999998"/>
  </r>
  <r>
    <n v="2910"/>
    <x v="600"/>
    <x v="3"/>
    <x v="11"/>
    <d v="2014-02-24T00:00:00"/>
    <n v="4"/>
    <x v="1"/>
    <s v="Max Engle"/>
    <x v="0"/>
    <s v="United States"/>
    <s v="Seattle"/>
    <s v="Washington"/>
    <s v="West"/>
    <x v="1"/>
    <x v="13"/>
    <s v="Rubber Band Ball"/>
    <x v="2156"/>
    <n v="3"/>
    <n v="0"/>
    <n v="0.22439999999999999"/>
  </r>
  <r>
    <n v="2911"/>
    <x v="599"/>
    <x v="1"/>
    <x v="0"/>
    <d v="2012-11-09T00:00:00"/>
    <n v="4"/>
    <x v="1"/>
    <s v="Valerie Dominguez"/>
    <x v="0"/>
    <s v="United States"/>
    <s v="Coral Springs"/>
    <s v="Florida"/>
    <s v="South"/>
    <x v="1"/>
    <x v="9"/>
    <s v="Belkin 325VA UPS Surge Protector, 6'"/>
    <x v="2342"/>
    <n v="4"/>
    <n v="0.2"/>
    <n v="24.196000000000002"/>
  </r>
  <r>
    <n v="2912"/>
    <x v="737"/>
    <x v="2"/>
    <x v="1"/>
    <d v="2011-06-21T00:00:00"/>
    <n v="5"/>
    <x v="1"/>
    <s v="Chloris Kastensmidt"/>
    <x v="0"/>
    <s v="United States"/>
    <s v="Hempstead"/>
    <s v="New York"/>
    <s v="East"/>
    <x v="1"/>
    <x v="12"/>
    <s v="Staples"/>
    <x v="1399"/>
    <n v="5"/>
    <n v="0"/>
    <n v="19.457999999999998"/>
  </r>
  <r>
    <n v="2913"/>
    <x v="737"/>
    <x v="2"/>
    <x v="1"/>
    <d v="2011-06-21T00:00:00"/>
    <n v="5"/>
    <x v="1"/>
    <s v="Chloris Kastensmidt"/>
    <x v="0"/>
    <s v="United States"/>
    <s v="Hempstead"/>
    <s v="New York"/>
    <s v="East"/>
    <x v="1"/>
    <x v="6"/>
    <s v="Boston 16750 Black Compact Battery Pencil Sharpener"/>
    <x v="762"/>
    <n v="4"/>
    <n v="0"/>
    <n v="10.5"/>
  </r>
  <r>
    <n v="2914"/>
    <x v="737"/>
    <x v="2"/>
    <x v="1"/>
    <d v="2011-06-21T00:00:00"/>
    <n v="5"/>
    <x v="1"/>
    <s v="Chloris Kastensmidt"/>
    <x v="0"/>
    <s v="United States"/>
    <s v="Hempstead"/>
    <s v="New York"/>
    <s v="East"/>
    <x v="1"/>
    <x v="8"/>
    <s v="Ibico Standard Transparent Covers"/>
    <x v="2343"/>
    <n v="3"/>
    <n v="0.2"/>
    <n v="14.3376"/>
  </r>
  <r>
    <n v="2915"/>
    <x v="88"/>
    <x v="1"/>
    <x v="2"/>
    <d v="2012-10-17T00:00:00"/>
    <n v="5"/>
    <x v="0"/>
    <s v="Daniel Lacy"/>
    <x v="0"/>
    <s v="United States"/>
    <s v="Noblesville"/>
    <s v="Indiana"/>
    <s v="Central"/>
    <x v="2"/>
    <x v="7"/>
    <s v="AT&amp;T 17929 Lendline Telephone"/>
    <x v="2344"/>
    <n v="3"/>
    <n v="0"/>
    <n v="35.287199999999999"/>
  </r>
  <r>
    <n v="2916"/>
    <x v="88"/>
    <x v="1"/>
    <x v="2"/>
    <d v="2012-10-17T00:00:00"/>
    <n v="5"/>
    <x v="0"/>
    <s v="Daniel Lacy"/>
    <x v="0"/>
    <s v="United States"/>
    <s v="Noblesville"/>
    <s v="Indiana"/>
    <s v="Central"/>
    <x v="1"/>
    <x v="8"/>
    <s v="GBC Standard Plastic Binding Systems' Combs"/>
    <x v="2345"/>
    <n v="2"/>
    <n v="0"/>
    <n v="5.6520000000000001"/>
  </r>
  <r>
    <n v="2917"/>
    <x v="88"/>
    <x v="1"/>
    <x v="2"/>
    <d v="2012-10-17T00:00:00"/>
    <n v="5"/>
    <x v="0"/>
    <s v="Daniel Lacy"/>
    <x v="0"/>
    <s v="United States"/>
    <s v="Noblesville"/>
    <s v="Indiana"/>
    <s v="Central"/>
    <x v="2"/>
    <x v="7"/>
    <s v="Samsung Rugby III"/>
    <x v="1259"/>
    <n v="4"/>
    <n v="0"/>
    <n v="71.269199999999998"/>
  </r>
  <r>
    <n v="2918"/>
    <x v="151"/>
    <x v="3"/>
    <x v="6"/>
    <d v="2014-08-31T00:00:00"/>
    <n v="3"/>
    <x v="2"/>
    <s v="Sanjit Engle"/>
    <x v="0"/>
    <s v="United States"/>
    <s v="Dallas"/>
    <s v="Texas"/>
    <s v="Central"/>
    <x v="1"/>
    <x v="6"/>
    <s v="Eberhard Faber 3 1/2&quot; Golf Pencils"/>
    <x v="2346"/>
    <n v="1"/>
    <n v="0.2"/>
    <n v="0.372"/>
  </r>
  <r>
    <n v="2919"/>
    <x v="813"/>
    <x v="0"/>
    <x v="0"/>
    <d v="2013-11-24T00:00:00"/>
    <n v="0"/>
    <x v="3"/>
    <s v="Luke Schmidt"/>
    <x v="1"/>
    <s v="United States"/>
    <s v="Philadelphia"/>
    <s v="Pennsylvania"/>
    <s v="East"/>
    <x v="1"/>
    <x v="13"/>
    <s v="Advantus Map Pennant Flags and Round Head Tacks"/>
    <x v="2347"/>
    <n v="5"/>
    <n v="0.2"/>
    <n v="2.37"/>
  </r>
  <r>
    <n v="2920"/>
    <x v="813"/>
    <x v="0"/>
    <x v="0"/>
    <d v="2013-11-24T00:00:00"/>
    <n v="0"/>
    <x v="3"/>
    <s v="Luke Schmidt"/>
    <x v="1"/>
    <s v="United States"/>
    <s v="Philadelphia"/>
    <s v="Pennsylvania"/>
    <s v="East"/>
    <x v="0"/>
    <x v="5"/>
    <s v="Nu-Dell Float Frame 11 x 14 1/2"/>
    <x v="322"/>
    <n v="2"/>
    <n v="0.2"/>
    <n v="3.9512"/>
  </r>
  <r>
    <n v="2921"/>
    <x v="813"/>
    <x v="0"/>
    <x v="0"/>
    <d v="2013-11-24T00:00:00"/>
    <n v="0"/>
    <x v="3"/>
    <s v="Luke Schmidt"/>
    <x v="1"/>
    <s v="United States"/>
    <s v="Philadelphia"/>
    <s v="Pennsylvania"/>
    <s v="East"/>
    <x v="0"/>
    <x v="5"/>
    <s v="DAX Executive Solid Wood Document Frame, Desktop or Hang, Mahogany, 5 x 7"/>
    <x v="2348"/>
    <n v="7"/>
    <n v="0.2"/>
    <n v="12.3284"/>
  </r>
  <r>
    <n v="2922"/>
    <x v="289"/>
    <x v="3"/>
    <x v="9"/>
    <d v="2014-01-31T00:00:00"/>
    <n v="0"/>
    <x v="3"/>
    <s v="Michael Moore"/>
    <x v="0"/>
    <s v="United States"/>
    <s v="San Francisco"/>
    <s v="California"/>
    <s v="West"/>
    <x v="1"/>
    <x v="4"/>
    <s v="Space Solutions Commercial Steel Shelving"/>
    <x v="2349"/>
    <n v="2"/>
    <n v="0"/>
    <n v="6.4649999999999999"/>
  </r>
  <r>
    <n v="2923"/>
    <x v="672"/>
    <x v="1"/>
    <x v="0"/>
    <d v="2012-12-03T00:00:00"/>
    <n v="3"/>
    <x v="0"/>
    <s v="Deborah Brumfield"/>
    <x v="2"/>
    <s v="United States"/>
    <s v="Austin"/>
    <s v="Texas"/>
    <s v="Central"/>
    <x v="1"/>
    <x v="8"/>
    <s v="GBC Instant Report Kit"/>
    <x v="2350"/>
    <n v="3"/>
    <n v="0.8"/>
    <n v="-5.8230000000000004"/>
  </r>
  <r>
    <n v="2924"/>
    <x v="307"/>
    <x v="2"/>
    <x v="1"/>
    <d v="2011-07-04T00:00:00"/>
    <n v="6"/>
    <x v="1"/>
    <s v="Rob Williams"/>
    <x v="1"/>
    <s v="United States"/>
    <s v="Detroit"/>
    <s v="Michigan"/>
    <s v="Central"/>
    <x v="1"/>
    <x v="13"/>
    <s v="Staples"/>
    <x v="2351"/>
    <n v="1"/>
    <n v="0"/>
    <n v="3.04"/>
  </r>
  <r>
    <n v="2925"/>
    <x v="814"/>
    <x v="2"/>
    <x v="8"/>
    <d v="2011-09-05T00:00:00"/>
    <n v="3"/>
    <x v="2"/>
    <s v="Justin MacKendrick"/>
    <x v="0"/>
    <s v="United States"/>
    <s v="Watertown"/>
    <s v="New York"/>
    <s v="East"/>
    <x v="1"/>
    <x v="9"/>
    <s v="Holmes Cool Mist Humidifier for the Whole House with 8-Gallon Output per Day, Extended Life Filter"/>
    <x v="189"/>
    <n v="1"/>
    <n v="0"/>
    <n v="8.9550000000000001"/>
  </r>
  <r>
    <n v="2926"/>
    <x v="814"/>
    <x v="2"/>
    <x v="8"/>
    <d v="2011-09-05T00:00:00"/>
    <n v="3"/>
    <x v="2"/>
    <s v="Justin MacKendrick"/>
    <x v="0"/>
    <s v="United States"/>
    <s v="Watertown"/>
    <s v="New York"/>
    <s v="East"/>
    <x v="0"/>
    <x v="5"/>
    <s v="Tenex Carpeted, Granite-Look or Clear Contemporary Contour Shape Chair Mats"/>
    <x v="2352"/>
    <n v="1"/>
    <n v="0"/>
    <n v="4.9497"/>
  </r>
  <r>
    <n v="2927"/>
    <x v="815"/>
    <x v="3"/>
    <x v="7"/>
    <d v="2014-07-15T00:00:00"/>
    <n v="4"/>
    <x v="0"/>
    <s v="Becky Pak"/>
    <x v="0"/>
    <s v="United States"/>
    <s v="Columbus"/>
    <s v="Georgia"/>
    <s v="South"/>
    <x v="0"/>
    <x v="5"/>
    <s v="Eldon 200 Class Desk Accessories, Smoke"/>
    <x v="605"/>
    <n v="3"/>
    <n v="0"/>
    <n v="7.9127999999999998"/>
  </r>
  <r>
    <n v="2928"/>
    <x v="400"/>
    <x v="3"/>
    <x v="1"/>
    <d v="2014-06-11T00:00:00"/>
    <n v="6"/>
    <x v="1"/>
    <s v="Carol Triggs"/>
    <x v="0"/>
    <s v="United States"/>
    <s v="Apple Valley"/>
    <s v="Minnesota"/>
    <s v="Central"/>
    <x v="1"/>
    <x v="6"/>
    <s v="Newell 346"/>
    <x v="874"/>
    <n v="3"/>
    <n v="0"/>
    <n v="2.5055999999999998"/>
  </r>
  <r>
    <n v="2929"/>
    <x v="15"/>
    <x v="3"/>
    <x v="2"/>
    <d v="2014-10-27T00:00:00"/>
    <n v="7"/>
    <x v="1"/>
    <s v="Tracy Hopkins"/>
    <x v="2"/>
    <s v="United States"/>
    <s v="Burlington"/>
    <s v="North Carolina"/>
    <s v="South"/>
    <x v="1"/>
    <x v="8"/>
    <s v="GBC DocuBind P400 Electric Binding System"/>
    <x v="2353"/>
    <n v="4"/>
    <n v="0.7"/>
    <n v="-1306.5504000000001"/>
  </r>
  <r>
    <n v="2930"/>
    <x v="551"/>
    <x v="3"/>
    <x v="0"/>
    <d v="2014-11-25T00:00:00"/>
    <n v="6"/>
    <x v="1"/>
    <s v="Maria Etezadi"/>
    <x v="2"/>
    <s v="United States"/>
    <s v="Saginaw"/>
    <s v="Michigan"/>
    <s v="Central"/>
    <x v="0"/>
    <x v="5"/>
    <s v="C-Line Magnetic Cubicle Keepers, Clear Polypropylene"/>
    <x v="2354"/>
    <n v="4"/>
    <n v="0"/>
    <n v="8.2992000000000008"/>
  </r>
  <r>
    <n v="2931"/>
    <x v="816"/>
    <x v="1"/>
    <x v="6"/>
    <d v="2012-08-08T00:00:00"/>
    <n v="0"/>
    <x v="3"/>
    <s v="Thomas Thornton"/>
    <x v="0"/>
    <s v="United States"/>
    <s v="San Francisco"/>
    <s v="California"/>
    <s v="West"/>
    <x v="1"/>
    <x v="8"/>
    <s v="ACCOHIDE 3-Ring Binder, Blue, 1&quot;"/>
    <x v="2124"/>
    <n v="2"/>
    <n v="0.2"/>
    <n v="2.2302"/>
  </r>
  <r>
    <n v="2932"/>
    <x v="816"/>
    <x v="1"/>
    <x v="6"/>
    <d v="2012-08-08T00:00:00"/>
    <n v="0"/>
    <x v="3"/>
    <s v="Thomas Thornton"/>
    <x v="0"/>
    <s v="United States"/>
    <s v="San Francisco"/>
    <s v="California"/>
    <s v="West"/>
    <x v="1"/>
    <x v="8"/>
    <s v="Presstex Flexible Ring Binders"/>
    <x v="6"/>
    <n v="2"/>
    <n v="0.2"/>
    <n v="2.73"/>
  </r>
  <r>
    <n v="2933"/>
    <x v="816"/>
    <x v="1"/>
    <x v="6"/>
    <d v="2012-08-08T00:00:00"/>
    <n v="0"/>
    <x v="3"/>
    <s v="Thomas Thornton"/>
    <x v="0"/>
    <s v="United States"/>
    <s v="San Francisco"/>
    <s v="California"/>
    <s v="West"/>
    <x v="0"/>
    <x v="1"/>
    <s v="Global Ergonomic Managers Chair"/>
    <x v="2355"/>
    <n v="1"/>
    <n v="0.2"/>
    <n v="10.8588"/>
  </r>
  <r>
    <n v="2934"/>
    <x v="409"/>
    <x v="0"/>
    <x v="4"/>
    <d v="2013-12-13T00:00:00"/>
    <n v="6"/>
    <x v="1"/>
    <s v="Greg Tran"/>
    <x v="0"/>
    <s v="United States"/>
    <s v="Seattle"/>
    <s v="Washington"/>
    <s v="West"/>
    <x v="2"/>
    <x v="7"/>
    <s v="Plantronics Calisto P620-M USB Wireless Speakerphone System"/>
    <x v="2356"/>
    <n v="1"/>
    <n v="0.2"/>
    <n v="13.7193"/>
  </r>
  <r>
    <n v="2935"/>
    <x v="409"/>
    <x v="0"/>
    <x v="4"/>
    <d v="2013-12-13T00:00:00"/>
    <n v="6"/>
    <x v="1"/>
    <s v="Greg Tran"/>
    <x v="0"/>
    <s v="United States"/>
    <s v="Seattle"/>
    <s v="Washington"/>
    <s v="West"/>
    <x v="2"/>
    <x v="7"/>
    <s v="Google Nexus 5"/>
    <x v="2087"/>
    <n v="3"/>
    <n v="0.2"/>
    <n v="26.9985"/>
  </r>
  <r>
    <n v="2936"/>
    <x v="409"/>
    <x v="0"/>
    <x v="4"/>
    <d v="2013-12-13T00:00:00"/>
    <n v="6"/>
    <x v="1"/>
    <s v="Greg Tran"/>
    <x v="0"/>
    <s v="United States"/>
    <s v="Seattle"/>
    <s v="Washington"/>
    <s v="West"/>
    <x v="1"/>
    <x v="12"/>
    <s v="Jet-Pak Recycled Peel 'N' Seal Padded Mailers"/>
    <x v="2357"/>
    <n v="1"/>
    <n v="0"/>
    <n v="16.150500000000001"/>
  </r>
  <r>
    <n v="2937"/>
    <x v="409"/>
    <x v="0"/>
    <x v="4"/>
    <d v="2013-12-13T00:00:00"/>
    <n v="6"/>
    <x v="1"/>
    <s v="Greg Tran"/>
    <x v="0"/>
    <s v="United States"/>
    <s v="Seattle"/>
    <s v="Washington"/>
    <s v="West"/>
    <x v="1"/>
    <x v="8"/>
    <s v="Ibico Plastic and Wire Spiral Binding Combs"/>
    <x v="2358"/>
    <n v="7"/>
    <n v="0.2"/>
    <n v="15.342599999999999"/>
  </r>
  <r>
    <n v="2938"/>
    <x v="409"/>
    <x v="0"/>
    <x v="4"/>
    <d v="2013-12-13T00:00:00"/>
    <n v="6"/>
    <x v="1"/>
    <s v="Greg Tran"/>
    <x v="0"/>
    <s v="United States"/>
    <s v="Seattle"/>
    <s v="Washington"/>
    <s v="West"/>
    <x v="1"/>
    <x v="10"/>
    <s v="Xerox 1880"/>
    <x v="2359"/>
    <n v="7"/>
    <n v="0"/>
    <n v="116.5976"/>
  </r>
  <r>
    <n v="2939"/>
    <x v="409"/>
    <x v="0"/>
    <x v="4"/>
    <d v="2013-12-13T00:00:00"/>
    <n v="6"/>
    <x v="1"/>
    <s v="Greg Tran"/>
    <x v="0"/>
    <s v="United States"/>
    <s v="Seattle"/>
    <s v="Washington"/>
    <s v="West"/>
    <x v="1"/>
    <x v="10"/>
    <s v="Snap-A-Way Black Print Carbonless Ruled Speed Letter, Triplicate"/>
    <x v="2360"/>
    <n v="5"/>
    <n v="0"/>
    <n v="89.159000000000006"/>
  </r>
  <r>
    <n v="2940"/>
    <x v="409"/>
    <x v="0"/>
    <x v="4"/>
    <d v="2013-12-13T00:00:00"/>
    <n v="6"/>
    <x v="1"/>
    <s v="Greg Tran"/>
    <x v="0"/>
    <s v="United States"/>
    <s v="Seattle"/>
    <s v="Washington"/>
    <s v="West"/>
    <x v="1"/>
    <x v="8"/>
    <s v="GBC Standard Therm-A-Bind Covers"/>
    <x v="672"/>
    <n v="3"/>
    <n v="0.2"/>
    <n v="19.4376"/>
  </r>
  <r>
    <n v="2941"/>
    <x v="613"/>
    <x v="3"/>
    <x v="10"/>
    <d v="2014-04-01T00:00:00"/>
    <n v="6"/>
    <x v="1"/>
    <s v="Justin Deggeller"/>
    <x v="1"/>
    <s v="United States"/>
    <s v="Milwaukee"/>
    <s v="Wisconsin"/>
    <s v="Central"/>
    <x v="0"/>
    <x v="1"/>
    <s v="Global Highback Leather Tilter in Burgundy"/>
    <x v="2361"/>
    <n v="1"/>
    <n v="0"/>
    <n v="14.558400000000001"/>
  </r>
  <r>
    <n v="2942"/>
    <x v="613"/>
    <x v="3"/>
    <x v="10"/>
    <d v="2014-04-01T00:00:00"/>
    <n v="6"/>
    <x v="1"/>
    <s v="Justin Deggeller"/>
    <x v="1"/>
    <s v="United States"/>
    <s v="Milwaukee"/>
    <s v="Wisconsin"/>
    <s v="Central"/>
    <x v="0"/>
    <x v="1"/>
    <s v="Lifetime Advantage Folding Chairs, 4/Carton"/>
    <x v="2362"/>
    <n v="7"/>
    <n v="0"/>
    <n v="427.43680000000001"/>
  </r>
  <r>
    <n v="2943"/>
    <x v="613"/>
    <x v="3"/>
    <x v="10"/>
    <d v="2014-04-01T00:00:00"/>
    <n v="6"/>
    <x v="1"/>
    <s v="Justin Deggeller"/>
    <x v="1"/>
    <s v="United States"/>
    <s v="Milwaukee"/>
    <s v="Wisconsin"/>
    <s v="Central"/>
    <x v="0"/>
    <x v="1"/>
    <s v="Global High-Back Leather Tilter, Burgundy"/>
    <x v="2363"/>
    <n v="3"/>
    <n v="0"/>
    <n v="40.5867"/>
  </r>
  <r>
    <n v="2944"/>
    <x v="123"/>
    <x v="3"/>
    <x v="0"/>
    <d v="2014-11-25T00:00:00"/>
    <n v="5"/>
    <x v="1"/>
    <s v="Mick Crebagga"/>
    <x v="0"/>
    <s v="United States"/>
    <s v="Los Angeles"/>
    <s v="California"/>
    <s v="West"/>
    <x v="1"/>
    <x v="4"/>
    <s v="File Shuttle II and Handi-File, Black"/>
    <x v="2364"/>
    <n v="9"/>
    <n v="0"/>
    <n v="76.252499999999998"/>
  </r>
  <r>
    <n v="2945"/>
    <x v="123"/>
    <x v="3"/>
    <x v="0"/>
    <d v="2014-11-25T00:00:00"/>
    <n v="5"/>
    <x v="1"/>
    <s v="Mick Crebagga"/>
    <x v="0"/>
    <s v="United States"/>
    <s v="Los Angeles"/>
    <s v="California"/>
    <s v="West"/>
    <x v="0"/>
    <x v="5"/>
    <s v="Executive Impressions 13-1/2&quot; Indoor/Outdoor Wall Clock"/>
    <x v="2365"/>
    <n v="1"/>
    <n v="0"/>
    <n v="7.1059999999999999"/>
  </r>
  <r>
    <n v="2946"/>
    <x v="254"/>
    <x v="0"/>
    <x v="0"/>
    <d v="2013-11-06T00:00:00"/>
    <n v="1"/>
    <x v="2"/>
    <s v="Lisa Hazard"/>
    <x v="0"/>
    <s v="United States"/>
    <s v="San Francisco"/>
    <s v="California"/>
    <s v="West"/>
    <x v="0"/>
    <x v="5"/>
    <s v="Advantus Panel Wall Acrylic Frame"/>
    <x v="2366"/>
    <n v="7"/>
    <n v="0"/>
    <n v="16.464700000000001"/>
  </r>
  <r>
    <n v="2947"/>
    <x v="817"/>
    <x v="3"/>
    <x v="4"/>
    <d v="2014-12-19T00:00:00"/>
    <n v="4"/>
    <x v="1"/>
    <s v="Mike Pelletier"/>
    <x v="2"/>
    <s v="United States"/>
    <s v="San Diego"/>
    <s v="California"/>
    <s v="West"/>
    <x v="0"/>
    <x v="5"/>
    <s v="Eldon 400 Class Desk Accessories, Black Carbon"/>
    <x v="607"/>
    <n v="3"/>
    <n v="0"/>
    <n v="11.025"/>
  </r>
  <r>
    <n v="2948"/>
    <x v="817"/>
    <x v="3"/>
    <x v="4"/>
    <d v="2014-12-19T00:00:00"/>
    <n v="4"/>
    <x v="1"/>
    <s v="Mike Pelletier"/>
    <x v="2"/>
    <s v="United States"/>
    <s v="San Diego"/>
    <s v="California"/>
    <s v="West"/>
    <x v="1"/>
    <x v="8"/>
    <s v="Wilson Jones Clip &amp; Carry Folder Binder Tool for Ring Binders, Clear"/>
    <x v="643"/>
    <n v="14"/>
    <n v="0.2"/>
    <n v="22.736000000000001"/>
  </r>
  <r>
    <n v="2949"/>
    <x v="817"/>
    <x v="3"/>
    <x v="4"/>
    <d v="2014-12-19T00:00:00"/>
    <n v="4"/>
    <x v="1"/>
    <s v="Mike Pelletier"/>
    <x v="2"/>
    <s v="United States"/>
    <s v="San Diego"/>
    <s v="California"/>
    <s v="West"/>
    <x v="1"/>
    <x v="12"/>
    <s v="#10- 4 1/8&quot; x 9 1/2&quot; Recycled Envelopes"/>
    <x v="2367"/>
    <n v="5"/>
    <n v="0"/>
    <n v="20.539000000000001"/>
  </r>
  <r>
    <n v="2950"/>
    <x v="105"/>
    <x v="3"/>
    <x v="0"/>
    <d v="2014-11-13T00:00:00"/>
    <n v="0"/>
    <x v="3"/>
    <s v="Eugene Moren"/>
    <x v="2"/>
    <s v="United States"/>
    <s v="Glendale"/>
    <s v="Arizona"/>
    <s v="West"/>
    <x v="2"/>
    <x v="11"/>
    <s v="Memorex Micro Travel Drive 8 GB"/>
    <x v="2368"/>
    <n v="4"/>
    <n v="0.2"/>
    <n v="13"/>
  </r>
  <r>
    <n v="2951"/>
    <x v="105"/>
    <x v="3"/>
    <x v="0"/>
    <d v="2014-11-13T00:00:00"/>
    <n v="0"/>
    <x v="3"/>
    <s v="Eugene Moren"/>
    <x v="2"/>
    <s v="United States"/>
    <s v="Glendale"/>
    <s v="Arizona"/>
    <s v="West"/>
    <x v="1"/>
    <x v="10"/>
    <s v="Xerox 1978"/>
    <x v="1062"/>
    <n v="5"/>
    <n v="0.2"/>
    <n v="8.3810000000000002"/>
  </r>
  <r>
    <n v="2952"/>
    <x v="105"/>
    <x v="3"/>
    <x v="0"/>
    <d v="2014-11-13T00:00:00"/>
    <n v="0"/>
    <x v="3"/>
    <s v="Eugene Moren"/>
    <x v="2"/>
    <s v="United States"/>
    <s v="Glendale"/>
    <s v="Arizona"/>
    <s v="West"/>
    <x v="0"/>
    <x v="1"/>
    <s v="Harbour Creations 67200 Series Stacking Chairs"/>
    <x v="2369"/>
    <n v="2"/>
    <n v="0.2"/>
    <n v="9.9651999999999994"/>
  </r>
  <r>
    <n v="2953"/>
    <x v="105"/>
    <x v="3"/>
    <x v="0"/>
    <d v="2014-11-13T00:00:00"/>
    <n v="0"/>
    <x v="3"/>
    <s v="Eugene Moren"/>
    <x v="2"/>
    <s v="United States"/>
    <s v="Glendale"/>
    <s v="Arizona"/>
    <s v="West"/>
    <x v="0"/>
    <x v="5"/>
    <s v="Tenex V2T-RE Standard Weight Series Chair Mat, 45&quot; x 53&quot;, Lip 25&quot; x 12&quot;"/>
    <x v="391"/>
    <n v="2"/>
    <n v="0.2"/>
    <n v="-5.6783999999999999"/>
  </r>
  <r>
    <n v="2954"/>
    <x v="105"/>
    <x v="3"/>
    <x v="0"/>
    <d v="2014-11-13T00:00:00"/>
    <n v="0"/>
    <x v="3"/>
    <s v="Eugene Moren"/>
    <x v="2"/>
    <s v="United States"/>
    <s v="Glendale"/>
    <s v="Arizona"/>
    <s v="West"/>
    <x v="2"/>
    <x v="7"/>
    <s v="Cush Cases Heavy Duty Rugged Cover Case for Samsung Galaxy S5 - Purple"/>
    <x v="1054"/>
    <n v="2"/>
    <n v="0.2"/>
    <n v="0.69299999999999995"/>
  </r>
  <r>
    <n v="2955"/>
    <x v="105"/>
    <x v="3"/>
    <x v="0"/>
    <d v="2014-11-13T00:00:00"/>
    <n v="0"/>
    <x v="3"/>
    <s v="Eugene Moren"/>
    <x v="2"/>
    <s v="United States"/>
    <s v="Glendale"/>
    <s v="Arizona"/>
    <s v="West"/>
    <x v="2"/>
    <x v="7"/>
    <s v="Samsung Galaxy Mega 6.3"/>
    <x v="2370"/>
    <n v="2"/>
    <n v="0.2"/>
    <n v="50.398800000000001"/>
  </r>
  <r>
    <n v="2956"/>
    <x v="298"/>
    <x v="0"/>
    <x v="6"/>
    <d v="2013-08-25T00:00:00"/>
    <n v="6"/>
    <x v="1"/>
    <s v="Greg Guthrie"/>
    <x v="1"/>
    <s v="United States"/>
    <s v="New York City"/>
    <s v="New York"/>
    <s v="East"/>
    <x v="2"/>
    <x v="7"/>
    <s v="GE DSL Phone Line Filter"/>
    <x v="1346"/>
    <n v="1"/>
    <n v="0"/>
    <n v="11.597099999999999"/>
  </r>
  <r>
    <n v="2957"/>
    <x v="818"/>
    <x v="3"/>
    <x v="1"/>
    <d v="2014-07-05T00:00:00"/>
    <n v="7"/>
    <x v="1"/>
    <s v="Michelle Arnett"/>
    <x v="2"/>
    <s v="United States"/>
    <s v="Watertown"/>
    <s v="New York"/>
    <s v="East"/>
    <x v="0"/>
    <x v="1"/>
    <s v="Situations Contoured Folding Chairs, 4/Set"/>
    <x v="2371"/>
    <n v="3"/>
    <n v="0.1"/>
    <n v="31.940999999999999"/>
  </r>
  <r>
    <n v="2958"/>
    <x v="464"/>
    <x v="3"/>
    <x v="5"/>
    <d v="2014-05-10T00:00:00"/>
    <n v="5"/>
    <x v="1"/>
    <s v="Shahid Hopkins"/>
    <x v="0"/>
    <s v="United States"/>
    <s v="Springfield"/>
    <s v="Ohio"/>
    <s v="East"/>
    <x v="1"/>
    <x v="8"/>
    <s v="DXL Angle-View Binders with Locking Rings by Samsill"/>
    <x v="2372"/>
    <n v="1"/>
    <n v="0.7"/>
    <n v="-1.9275"/>
  </r>
  <r>
    <n v="2959"/>
    <x v="100"/>
    <x v="1"/>
    <x v="4"/>
    <d v="2012-12-29T00:00:00"/>
    <n v="5"/>
    <x v="1"/>
    <s v="Kean Takahito"/>
    <x v="0"/>
    <s v="United States"/>
    <s v="Los Angeles"/>
    <s v="California"/>
    <s v="West"/>
    <x v="1"/>
    <x v="8"/>
    <s v="Avery Hole Reinforcements"/>
    <x v="950"/>
    <n v="4"/>
    <n v="0.2"/>
    <n v="7.2267999999999999"/>
  </r>
  <r>
    <n v="2960"/>
    <x v="100"/>
    <x v="1"/>
    <x v="4"/>
    <d v="2012-12-29T00:00:00"/>
    <n v="5"/>
    <x v="1"/>
    <s v="Kean Takahito"/>
    <x v="0"/>
    <s v="United States"/>
    <s v="Los Angeles"/>
    <s v="California"/>
    <s v="West"/>
    <x v="1"/>
    <x v="13"/>
    <s v="Vinyl Coated Wire Paper Clips in Organizer Box, 800/Box"/>
    <x v="1931"/>
    <n v="4"/>
    <n v="0"/>
    <n v="21.5824"/>
  </r>
  <r>
    <n v="2961"/>
    <x v="466"/>
    <x v="3"/>
    <x v="3"/>
    <d v="2014-05-02T00:00:00"/>
    <n v="5"/>
    <x v="1"/>
    <s v="Philisse Overcash"/>
    <x v="2"/>
    <s v="United States"/>
    <s v="Seattle"/>
    <s v="Washington"/>
    <s v="West"/>
    <x v="1"/>
    <x v="10"/>
    <s v="Strathmore Photo Mount Cards"/>
    <x v="2373"/>
    <n v="3"/>
    <n v="0"/>
    <n v="9.3564000000000007"/>
  </r>
  <r>
    <n v="2962"/>
    <x v="466"/>
    <x v="3"/>
    <x v="3"/>
    <d v="2014-05-02T00:00:00"/>
    <n v="5"/>
    <x v="1"/>
    <s v="Philisse Overcash"/>
    <x v="2"/>
    <s v="United States"/>
    <s v="Seattle"/>
    <s v="Washington"/>
    <s v="West"/>
    <x v="1"/>
    <x v="2"/>
    <s v="Avery 478"/>
    <x v="2374"/>
    <n v="8"/>
    <n v="0"/>
    <n v="19.247199999999999"/>
  </r>
  <r>
    <n v="2963"/>
    <x v="819"/>
    <x v="3"/>
    <x v="4"/>
    <d v="2014-12-22T00:00:00"/>
    <n v="5"/>
    <x v="0"/>
    <s v="Andy Yotov"/>
    <x v="1"/>
    <s v="United States"/>
    <s v="Oceanside"/>
    <s v="California"/>
    <s v="West"/>
    <x v="0"/>
    <x v="1"/>
    <s v="Global Deluxe Stacking Chair, Gray"/>
    <x v="2375"/>
    <n v="2"/>
    <n v="0.2"/>
    <n v="9.1763999999999992"/>
  </r>
  <r>
    <n v="2964"/>
    <x v="819"/>
    <x v="3"/>
    <x v="4"/>
    <d v="2014-12-22T00:00:00"/>
    <n v="5"/>
    <x v="0"/>
    <s v="Andy Yotov"/>
    <x v="1"/>
    <s v="United States"/>
    <s v="Oceanside"/>
    <s v="California"/>
    <s v="West"/>
    <x v="0"/>
    <x v="1"/>
    <s v="Global Value Steno Chair, Gray"/>
    <x v="2376"/>
    <n v="2"/>
    <n v="0.2"/>
    <n v="6.0739999999999998"/>
  </r>
  <r>
    <n v="2965"/>
    <x v="819"/>
    <x v="3"/>
    <x v="4"/>
    <d v="2014-12-22T00:00:00"/>
    <n v="5"/>
    <x v="0"/>
    <s v="Andy Yotov"/>
    <x v="1"/>
    <s v="United States"/>
    <s v="Oceanside"/>
    <s v="California"/>
    <s v="West"/>
    <x v="1"/>
    <x v="8"/>
    <s v="Prestige Round Ring Binders"/>
    <x v="1867"/>
    <n v="5"/>
    <n v="0.2"/>
    <n v="8.2080000000000002"/>
  </r>
  <r>
    <n v="2966"/>
    <x v="819"/>
    <x v="3"/>
    <x v="4"/>
    <d v="2014-12-22T00:00:00"/>
    <n v="5"/>
    <x v="0"/>
    <s v="Andy Yotov"/>
    <x v="1"/>
    <s v="United States"/>
    <s v="Oceanside"/>
    <s v="California"/>
    <s v="West"/>
    <x v="0"/>
    <x v="5"/>
    <s v="DAX Two-Tone Rosewood/Black Document Frame, Desktop, 5 x 7"/>
    <x v="1623"/>
    <n v="2"/>
    <n v="0"/>
    <n v="7.5839999999999996"/>
  </r>
  <r>
    <n v="2967"/>
    <x v="422"/>
    <x v="2"/>
    <x v="4"/>
    <d v="2011-12-31T00:00:00"/>
    <n v="4"/>
    <x v="1"/>
    <s v="Corey-Lock"/>
    <x v="0"/>
    <s v="United States"/>
    <s v="Skokie"/>
    <s v="Illinois"/>
    <s v="Central"/>
    <x v="0"/>
    <x v="5"/>
    <s v="DAX Wood Document Frame"/>
    <x v="2377"/>
    <n v="6"/>
    <n v="0.6"/>
    <n v="-19.7712"/>
  </r>
  <r>
    <n v="2968"/>
    <x v="422"/>
    <x v="2"/>
    <x v="4"/>
    <d v="2011-12-31T00:00:00"/>
    <n v="4"/>
    <x v="1"/>
    <s v="Corey-Lock"/>
    <x v="0"/>
    <s v="United States"/>
    <s v="Skokie"/>
    <s v="Illinois"/>
    <s v="Central"/>
    <x v="1"/>
    <x v="4"/>
    <s v="Staples"/>
    <x v="2378"/>
    <n v="4"/>
    <n v="0.2"/>
    <n v="3.0015999999999998"/>
  </r>
  <r>
    <n v="2969"/>
    <x v="44"/>
    <x v="3"/>
    <x v="0"/>
    <d v="2014-11-10T00:00:00"/>
    <n v="3"/>
    <x v="0"/>
    <s v="Jill Fjeld"/>
    <x v="0"/>
    <s v="United States"/>
    <s v="Fayetteville"/>
    <s v="North Carolina"/>
    <s v="South"/>
    <x v="1"/>
    <x v="9"/>
    <s v="1.7 Cubic Foot Compact &quot;Cube&quot; Office Refrigerators"/>
    <x v="2379"/>
    <n v="3"/>
    <n v="0.2"/>
    <n v="43.7136"/>
  </r>
  <r>
    <n v="2970"/>
    <x v="44"/>
    <x v="3"/>
    <x v="0"/>
    <d v="2014-11-10T00:00:00"/>
    <n v="3"/>
    <x v="0"/>
    <s v="Jill Fjeld"/>
    <x v="0"/>
    <s v="United States"/>
    <s v="Fayetteville"/>
    <s v="North Carolina"/>
    <s v="South"/>
    <x v="1"/>
    <x v="10"/>
    <s v="Xerox 220"/>
    <x v="276"/>
    <n v="6"/>
    <n v="0.2"/>
    <n v="10.8864"/>
  </r>
  <r>
    <n v="2971"/>
    <x v="44"/>
    <x v="3"/>
    <x v="0"/>
    <d v="2014-11-10T00:00:00"/>
    <n v="3"/>
    <x v="0"/>
    <s v="Jill Fjeld"/>
    <x v="0"/>
    <s v="United States"/>
    <s v="Fayetteville"/>
    <s v="North Carolina"/>
    <s v="South"/>
    <x v="1"/>
    <x v="8"/>
    <s v="Avery Durable Poly Binders"/>
    <x v="1333"/>
    <n v="8"/>
    <n v="0.7"/>
    <n v="-10.617599999999999"/>
  </r>
  <r>
    <n v="2972"/>
    <x v="44"/>
    <x v="3"/>
    <x v="0"/>
    <d v="2014-11-10T00:00:00"/>
    <n v="3"/>
    <x v="0"/>
    <s v="Jill Fjeld"/>
    <x v="0"/>
    <s v="United States"/>
    <s v="Fayetteville"/>
    <s v="North Carolina"/>
    <s v="South"/>
    <x v="0"/>
    <x v="5"/>
    <s v="Executive Impressions 12&quot; Wall Clock"/>
    <x v="2380"/>
    <n v="2"/>
    <n v="0.2"/>
    <n v="6.3612000000000002"/>
  </r>
  <r>
    <n v="2973"/>
    <x v="44"/>
    <x v="3"/>
    <x v="0"/>
    <d v="2014-11-10T00:00:00"/>
    <n v="3"/>
    <x v="0"/>
    <s v="Jill Fjeld"/>
    <x v="0"/>
    <s v="United States"/>
    <s v="Fayetteville"/>
    <s v="North Carolina"/>
    <s v="South"/>
    <x v="1"/>
    <x v="4"/>
    <s v="Carina Double Wide Media Storage Towers in Natural &amp; Black"/>
    <x v="1764"/>
    <n v="4"/>
    <n v="0.2"/>
    <n v="-51.827199999999998"/>
  </r>
  <r>
    <n v="2974"/>
    <x v="819"/>
    <x v="3"/>
    <x v="4"/>
    <d v="2014-12-21T00:00:00"/>
    <n v="4"/>
    <x v="1"/>
    <s v="Andrew Roberts"/>
    <x v="0"/>
    <s v="United States"/>
    <s v="Tulsa"/>
    <s v="Oklahoma"/>
    <s v="Central"/>
    <x v="1"/>
    <x v="8"/>
    <s v="Peel &amp; Stick Add-On Corner Pockets"/>
    <x v="2381"/>
    <n v="5"/>
    <n v="0"/>
    <n v="5.1840000000000002"/>
  </r>
  <r>
    <n v="2975"/>
    <x v="820"/>
    <x v="1"/>
    <x v="5"/>
    <d v="2012-05-12T00:00:00"/>
    <n v="5"/>
    <x v="1"/>
    <s v="Anna Gayman"/>
    <x v="0"/>
    <s v="United States"/>
    <s v="Allen"/>
    <s v="Texas"/>
    <s v="Central"/>
    <x v="0"/>
    <x v="3"/>
    <s v="Chromcraft Round Conference Tables"/>
    <x v="1289"/>
    <n v="2"/>
    <n v="0.3"/>
    <n v="-31.372199999999999"/>
  </r>
  <r>
    <n v="2976"/>
    <x v="820"/>
    <x v="1"/>
    <x v="5"/>
    <d v="2012-05-12T00:00:00"/>
    <n v="5"/>
    <x v="1"/>
    <s v="Anna Gayman"/>
    <x v="0"/>
    <s v="United States"/>
    <s v="Allen"/>
    <s v="Texas"/>
    <s v="Central"/>
    <x v="1"/>
    <x v="10"/>
    <s v="Xerox 198"/>
    <x v="795"/>
    <n v="4"/>
    <n v="0.2"/>
    <n v="5.3784000000000001"/>
  </r>
  <r>
    <n v="2977"/>
    <x v="769"/>
    <x v="3"/>
    <x v="4"/>
    <d v="2014-12-05T00:00:00"/>
    <n v="0"/>
    <x v="3"/>
    <s v="Darrin Van Huff"/>
    <x v="1"/>
    <s v="United States"/>
    <s v="Philadelphia"/>
    <s v="Pennsylvania"/>
    <s v="East"/>
    <x v="0"/>
    <x v="1"/>
    <s v="Safco Chair Connectors, 6/Carton"/>
    <x v="2382"/>
    <n v="7"/>
    <n v="0.3"/>
    <n v="-2.6936"/>
  </r>
  <r>
    <n v="2978"/>
    <x v="621"/>
    <x v="3"/>
    <x v="2"/>
    <d v="2014-10-09T00:00:00"/>
    <n v="5"/>
    <x v="0"/>
    <s v="Hunter Lopez"/>
    <x v="0"/>
    <s v="United States"/>
    <s v="Rochester"/>
    <s v="New York"/>
    <s v="East"/>
    <x v="1"/>
    <x v="4"/>
    <s v="X-Rack File for Hanging Folders"/>
    <x v="2383"/>
    <n v="2"/>
    <n v="0"/>
    <n v="5.8708"/>
  </r>
  <r>
    <n v="2979"/>
    <x v="286"/>
    <x v="2"/>
    <x v="9"/>
    <d v="2011-01-17T00:00:00"/>
    <n v="3"/>
    <x v="0"/>
    <s v="Natalie DeCherney"/>
    <x v="0"/>
    <s v="United States"/>
    <s v="Mount Pleasant"/>
    <s v="South Carolina"/>
    <s v="South"/>
    <x v="0"/>
    <x v="1"/>
    <s v="Global Highback Leather Tilter in Burgundy"/>
    <x v="2384"/>
    <n v="6"/>
    <n v="0"/>
    <n v="87.350399999999993"/>
  </r>
  <r>
    <n v="2980"/>
    <x v="821"/>
    <x v="1"/>
    <x v="1"/>
    <d v="2012-06-17T00:00:00"/>
    <n v="5"/>
    <x v="1"/>
    <s v="Giulietta Baptist"/>
    <x v="0"/>
    <s v="United States"/>
    <s v="Philadelphia"/>
    <s v="Pennsylvania"/>
    <s v="East"/>
    <x v="1"/>
    <x v="10"/>
    <s v="Xerox 1997"/>
    <x v="557"/>
    <n v="4"/>
    <n v="0.2"/>
    <n v="7.2576000000000001"/>
  </r>
  <r>
    <n v="2981"/>
    <x v="821"/>
    <x v="1"/>
    <x v="1"/>
    <d v="2012-06-17T00:00:00"/>
    <n v="5"/>
    <x v="1"/>
    <s v="Giulietta Baptist"/>
    <x v="0"/>
    <s v="United States"/>
    <s v="Philadelphia"/>
    <s v="Pennsylvania"/>
    <s v="East"/>
    <x v="0"/>
    <x v="5"/>
    <s v="DataProducts Ampli Magnifier Task Lamp, Black,"/>
    <x v="2385"/>
    <n v="2"/>
    <n v="0.2"/>
    <n v="4.3296000000000001"/>
  </r>
  <r>
    <n v="2982"/>
    <x v="136"/>
    <x v="2"/>
    <x v="7"/>
    <d v="2011-07-18T00:00:00"/>
    <n v="6"/>
    <x v="1"/>
    <s v="Clay Ludtke"/>
    <x v="0"/>
    <s v="United States"/>
    <s v="Seattle"/>
    <s v="Washington"/>
    <s v="West"/>
    <x v="0"/>
    <x v="1"/>
    <s v="Safco Chair Connectors, 6/Carton"/>
    <x v="2386"/>
    <n v="4"/>
    <n v="0.2"/>
    <n v="13.8528"/>
  </r>
  <r>
    <n v="2983"/>
    <x v="136"/>
    <x v="2"/>
    <x v="7"/>
    <d v="2011-07-18T00:00:00"/>
    <n v="6"/>
    <x v="1"/>
    <s v="Clay Ludtke"/>
    <x v="0"/>
    <s v="United States"/>
    <s v="Seattle"/>
    <s v="Washington"/>
    <s v="West"/>
    <x v="1"/>
    <x v="8"/>
    <s v="Self-Adhesive Ring Binder Labels"/>
    <x v="2387"/>
    <n v="4"/>
    <n v="0.2"/>
    <n v="3.8016000000000001"/>
  </r>
  <r>
    <n v="2984"/>
    <x v="776"/>
    <x v="2"/>
    <x v="4"/>
    <d v="2011-12-11T00:00:00"/>
    <n v="5"/>
    <x v="0"/>
    <s v="Ryan Crowe"/>
    <x v="0"/>
    <s v="United States"/>
    <s v="Springfield"/>
    <s v="Oregon"/>
    <s v="West"/>
    <x v="1"/>
    <x v="4"/>
    <s v="File Shuttle I and Handi-File"/>
    <x v="351"/>
    <n v="3"/>
    <n v="0.2"/>
    <n v="4.6745999999999999"/>
  </r>
  <r>
    <n v="2985"/>
    <x v="776"/>
    <x v="2"/>
    <x v="4"/>
    <d v="2011-12-11T00:00:00"/>
    <n v="5"/>
    <x v="0"/>
    <s v="Ryan Crowe"/>
    <x v="0"/>
    <s v="United States"/>
    <s v="Springfield"/>
    <s v="Oregon"/>
    <s v="West"/>
    <x v="0"/>
    <x v="3"/>
    <s v="Chromcraft Bull-Nose Wood 48&quot; x 96&quot; Rectangular Conference Tables"/>
    <x v="2388"/>
    <n v="1"/>
    <n v="0.5"/>
    <n v="-170.8038"/>
  </r>
  <r>
    <n v="2986"/>
    <x v="822"/>
    <x v="0"/>
    <x v="5"/>
    <d v="2013-05-31T00:00:00"/>
    <n v="5"/>
    <x v="1"/>
    <s v="Julia Barnett"/>
    <x v="2"/>
    <s v="United States"/>
    <s v="Columbus"/>
    <s v="Georgia"/>
    <s v="South"/>
    <x v="0"/>
    <x v="5"/>
    <s v="Eldon Expressions Mahogany Wood Desk Collection"/>
    <x v="1589"/>
    <n v="4"/>
    <n v="0"/>
    <n v="6.24"/>
  </r>
  <r>
    <n v="2987"/>
    <x v="822"/>
    <x v="0"/>
    <x v="5"/>
    <d v="2013-05-31T00:00:00"/>
    <n v="5"/>
    <x v="1"/>
    <s v="Julia Barnett"/>
    <x v="2"/>
    <s v="United States"/>
    <s v="Columbus"/>
    <s v="Georgia"/>
    <s v="South"/>
    <x v="1"/>
    <x v="10"/>
    <s v="Wirebound Service Call Books, 5 1/2&quot; x 4&quot;"/>
    <x v="2389"/>
    <n v="2"/>
    <n v="0"/>
    <n v="9.2927999999999997"/>
  </r>
  <r>
    <n v="2988"/>
    <x v="822"/>
    <x v="0"/>
    <x v="5"/>
    <d v="2013-05-31T00:00:00"/>
    <n v="5"/>
    <x v="1"/>
    <s v="Julia Barnett"/>
    <x v="2"/>
    <s v="United States"/>
    <s v="Columbus"/>
    <s v="Georgia"/>
    <s v="South"/>
    <x v="1"/>
    <x v="4"/>
    <s v="Fellowes Strictly Business Drawer File, Letter/Legal Size"/>
    <x v="2390"/>
    <n v="9"/>
    <n v="0"/>
    <n v="152.11799999999999"/>
  </r>
  <r>
    <n v="2989"/>
    <x v="823"/>
    <x v="0"/>
    <x v="11"/>
    <d v="2013-02-26T00:00:00"/>
    <n v="5"/>
    <x v="0"/>
    <s v="Matthew Clasen"/>
    <x v="1"/>
    <s v="United States"/>
    <s v="Los Angeles"/>
    <s v="California"/>
    <s v="West"/>
    <x v="2"/>
    <x v="11"/>
    <s v="SanDisk Ultra 16 GB MicroSDHC Class 10 Memory Card"/>
    <x v="2391"/>
    <n v="1"/>
    <n v="0"/>
    <n v="0.77939999999999998"/>
  </r>
  <r>
    <n v="2990"/>
    <x v="823"/>
    <x v="0"/>
    <x v="11"/>
    <d v="2013-02-26T00:00:00"/>
    <n v="5"/>
    <x v="0"/>
    <s v="Matthew Clasen"/>
    <x v="1"/>
    <s v="United States"/>
    <s v="Los Angeles"/>
    <s v="California"/>
    <s v="West"/>
    <x v="1"/>
    <x v="8"/>
    <s v="Wilson Jones Clip &amp; Carry Folder Binder Tool for Ring Binders, Clear"/>
    <x v="2392"/>
    <n v="4"/>
    <n v="0.2"/>
    <n v="6.4960000000000004"/>
  </r>
  <r>
    <n v="2991"/>
    <x v="823"/>
    <x v="0"/>
    <x v="11"/>
    <d v="2013-02-26T00:00:00"/>
    <n v="5"/>
    <x v="0"/>
    <s v="Matthew Clasen"/>
    <x v="1"/>
    <s v="United States"/>
    <s v="Los Angeles"/>
    <s v="California"/>
    <s v="West"/>
    <x v="1"/>
    <x v="4"/>
    <s v="Fellowes Officeware Wire Shelving"/>
    <x v="465"/>
    <n v="5"/>
    <n v="0"/>
    <n v="8.9830000000000005"/>
  </r>
  <r>
    <n v="2992"/>
    <x v="823"/>
    <x v="0"/>
    <x v="11"/>
    <d v="2013-02-26T00:00:00"/>
    <n v="5"/>
    <x v="0"/>
    <s v="Matthew Clasen"/>
    <x v="1"/>
    <s v="United States"/>
    <s v="Los Angeles"/>
    <s v="California"/>
    <s v="West"/>
    <x v="1"/>
    <x v="8"/>
    <s v="Avery Heavy-Duty EZD  Binder With Locking Rings"/>
    <x v="2393"/>
    <n v="7"/>
    <n v="0.2"/>
    <n v="10.9368"/>
  </r>
  <r>
    <n v="2993"/>
    <x v="824"/>
    <x v="0"/>
    <x v="2"/>
    <d v="2013-10-07T00:00:00"/>
    <n v="4"/>
    <x v="1"/>
    <s v="Tim Taslimi"/>
    <x v="1"/>
    <s v="United States"/>
    <s v="New York City"/>
    <s v="New York"/>
    <s v="East"/>
    <x v="1"/>
    <x v="9"/>
    <s v="Kensington 6 Outlet Guardian Standard Surge Protector"/>
    <x v="635"/>
    <n v="3"/>
    <n v="0"/>
    <n v="16.588799999999999"/>
  </r>
  <r>
    <n v="2994"/>
    <x v="825"/>
    <x v="3"/>
    <x v="10"/>
    <d v="2014-03-18T00:00:00"/>
    <n v="6"/>
    <x v="1"/>
    <s v="Max Jones"/>
    <x v="0"/>
    <s v="United States"/>
    <s v="Detroit"/>
    <s v="Michigan"/>
    <s v="Central"/>
    <x v="1"/>
    <x v="8"/>
    <s v="GBC DocuBind TL200 Manual Binding Machine"/>
    <x v="1630"/>
    <n v="4"/>
    <n v="0"/>
    <n v="421.08240000000001"/>
  </r>
  <r>
    <n v="2995"/>
    <x v="369"/>
    <x v="0"/>
    <x v="8"/>
    <d v="2013-09-14T00:00:00"/>
    <n v="4"/>
    <x v="0"/>
    <s v="Annie Thurman"/>
    <x v="0"/>
    <s v="United States"/>
    <s v="Stockton"/>
    <s v="California"/>
    <s v="West"/>
    <x v="1"/>
    <x v="8"/>
    <s v="VariCap6 Expandable Binder"/>
    <x v="2394"/>
    <n v="4"/>
    <n v="0.2"/>
    <n v="18.684000000000001"/>
  </r>
  <r>
    <n v="2996"/>
    <x v="686"/>
    <x v="2"/>
    <x v="7"/>
    <d v="2011-07-21T00:00:00"/>
    <n v="7"/>
    <x v="1"/>
    <s v="Philip Brown"/>
    <x v="0"/>
    <s v="United States"/>
    <s v="Phoenix"/>
    <s v="Arizona"/>
    <s v="West"/>
    <x v="1"/>
    <x v="4"/>
    <s v="Eldon Fold 'N Roll Cart System"/>
    <x v="2292"/>
    <n v="5"/>
    <n v="0.2"/>
    <n v="6.2910000000000004"/>
  </r>
  <r>
    <n v="2997"/>
    <x v="261"/>
    <x v="2"/>
    <x v="1"/>
    <d v="2011-06-25T00:00:00"/>
    <n v="4"/>
    <x v="1"/>
    <s v="Natalie Webber"/>
    <x v="0"/>
    <s v="United States"/>
    <s v="Philadelphia"/>
    <s v="Pennsylvania"/>
    <s v="East"/>
    <x v="1"/>
    <x v="12"/>
    <s v="Staples"/>
    <x v="1702"/>
    <n v="4"/>
    <n v="0.2"/>
    <n v="8.4024000000000001"/>
  </r>
  <r>
    <n v="2998"/>
    <x v="261"/>
    <x v="2"/>
    <x v="1"/>
    <d v="2011-06-25T00:00:00"/>
    <n v="4"/>
    <x v="1"/>
    <s v="Natalie Webber"/>
    <x v="0"/>
    <s v="United States"/>
    <s v="Philadelphia"/>
    <s v="Pennsylvania"/>
    <s v="East"/>
    <x v="0"/>
    <x v="5"/>
    <s v="Stacking Trays by OIC"/>
    <x v="2176"/>
    <n v="1"/>
    <n v="0.2"/>
    <n v="0.64739999999999998"/>
  </r>
  <r>
    <n v="2999"/>
    <x v="261"/>
    <x v="2"/>
    <x v="1"/>
    <d v="2011-06-25T00:00:00"/>
    <n v="4"/>
    <x v="1"/>
    <s v="Natalie Webber"/>
    <x v="0"/>
    <s v="United States"/>
    <s v="Philadelphia"/>
    <s v="Pennsylvania"/>
    <s v="East"/>
    <x v="2"/>
    <x v="11"/>
    <s v="Logitech 910-002974 M325 Wireless Mouse for Web Scrolling"/>
    <x v="1651"/>
    <n v="4"/>
    <n v="0.2"/>
    <n v="28.790400000000002"/>
  </r>
  <r>
    <n v="3000"/>
    <x v="261"/>
    <x v="2"/>
    <x v="1"/>
    <d v="2011-06-25T00:00:00"/>
    <n v="4"/>
    <x v="1"/>
    <s v="Natalie Webber"/>
    <x v="0"/>
    <s v="United States"/>
    <s v="Philadelphia"/>
    <s v="Pennsylvania"/>
    <s v="East"/>
    <x v="2"/>
    <x v="15"/>
    <s v="Epson Perfection V600 Photo Scanner"/>
    <x v="2395"/>
    <n v="3"/>
    <n v="0.7"/>
    <n v="-172.49250000000001"/>
  </r>
  <r>
    <n v="3001"/>
    <x v="261"/>
    <x v="2"/>
    <x v="1"/>
    <d v="2011-06-25T00:00:00"/>
    <n v="4"/>
    <x v="1"/>
    <s v="Natalie Webber"/>
    <x v="0"/>
    <s v="United States"/>
    <s v="Philadelphia"/>
    <s v="Pennsylvania"/>
    <s v="East"/>
    <x v="1"/>
    <x v="9"/>
    <s v="Fellowes Advanced 8 Outlet Surge Suppressor with Phone/Fax Protection"/>
    <x v="2396"/>
    <n v="2"/>
    <n v="0.2"/>
    <n v="3.8864000000000001"/>
  </r>
  <r>
    <n v="3002"/>
    <x v="261"/>
    <x v="2"/>
    <x v="1"/>
    <d v="2011-06-25T00:00:00"/>
    <n v="4"/>
    <x v="1"/>
    <s v="Natalie Webber"/>
    <x v="0"/>
    <s v="United States"/>
    <s v="Philadelphia"/>
    <s v="Pennsylvania"/>
    <s v="East"/>
    <x v="1"/>
    <x v="8"/>
    <s v="GBC Prepunched Paper, 19-Hole, for Binding Systems, 24-lb"/>
    <x v="2397"/>
    <n v="2"/>
    <n v="0.7"/>
    <n v="-7.2047999999999996"/>
  </r>
  <r>
    <n v="3003"/>
    <x v="761"/>
    <x v="1"/>
    <x v="7"/>
    <d v="2012-07-10T00:00:00"/>
    <n v="5"/>
    <x v="1"/>
    <s v="Victor Preis"/>
    <x v="2"/>
    <s v="United States"/>
    <s v="Sterling Heights"/>
    <s v="Michigan"/>
    <s v="Central"/>
    <x v="1"/>
    <x v="8"/>
    <s v="Durable Pressboard Binders"/>
    <x v="2398"/>
    <n v="5"/>
    <n v="0"/>
    <n v="8.93"/>
  </r>
  <r>
    <n v="3004"/>
    <x v="819"/>
    <x v="3"/>
    <x v="4"/>
    <d v="2014-12-24T00:00:00"/>
    <n v="7"/>
    <x v="1"/>
    <s v="Ross DeVincentis"/>
    <x v="2"/>
    <s v="United States"/>
    <s v="Rochester"/>
    <s v="New York"/>
    <s v="East"/>
    <x v="1"/>
    <x v="8"/>
    <s v="Acco Data Flex Cable Posts For Top &amp; Bottom Load Binders, 6&quot; Capacity"/>
    <x v="2399"/>
    <n v="4"/>
    <n v="0.2"/>
    <n v="10.43"/>
  </r>
  <r>
    <n v="3005"/>
    <x v="162"/>
    <x v="0"/>
    <x v="8"/>
    <d v="2013-09-11T00:00:00"/>
    <n v="2"/>
    <x v="2"/>
    <s v="Michael Grace"/>
    <x v="2"/>
    <s v="United States"/>
    <s v="New York City"/>
    <s v="New York"/>
    <s v="East"/>
    <x v="1"/>
    <x v="9"/>
    <s v="Kensington 7 Outlet MasterPiece Power Center with Fax/Phone Line Protection"/>
    <x v="2400"/>
    <n v="1"/>
    <n v="0"/>
    <n v="62.244"/>
  </r>
  <r>
    <n v="3006"/>
    <x v="826"/>
    <x v="2"/>
    <x v="5"/>
    <d v="2011-05-21T00:00:00"/>
    <n v="4"/>
    <x v="1"/>
    <s v="Pete Armstrong"/>
    <x v="2"/>
    <s v="United States"/>
    <s v="Eau Claire"/>
    <s v="Wisconsin"/>
    <s v="Central"/>
    <x v="1"/>
    <x v="8"/>
    <s v="Surelock Post Binders"/>
    <x v="1281"/>
    <n v="3"/>
    <n v="0"/>
    <n v="45.84"/>
  </r>
  <r>
    <n v="3007"/>
    <x v="119"/>
    <x v="3"/>
    <x v="2"/>
    <d v="2014-10-16T00:00:00"/>
    <n v="2"/>
    <x v="2"/>
    <s v="Craig Reiter"/>
    <x v="0"/>
    <s v="United States"/>
    <s v="New York City"/>
    <s v="New York"/>
    <s v="East"/>
    <x v="1"/>
    <x v="9"/>
    <s v="Avanti 4.4 Cu. Ft. Refrigerator"/>
    <x v="2401"/>
    <n v="5"/>
    <n v="0"/>
    <n v="253.37200000000001"/>
  </r>
  <r>
    <n v="3008"/>
    <x v="745"/>
    <x v="2"/>
    <x v="2"/>
    <d v="2011-10-29T00:00:00"/>
    <n v="5"/>
    <x v="1"/>
    <s v="Allen Armold"/>
    <x v="0"/>
    <s v="United States"/>
    <s v="Rancho Cucamonga"/>
    <s v="California"/>
    <s v="West"/>
    <x v="1"/>
    <x v="8"/>
    <s v="Avery Premier Heavy-Duty Binder with Round Locking Rings"/>
    <x v="2402"/>
    <n v="3"/>
    <n v="0.2"/>
    <n v="11.138400000000001"/>
  </r>
  <r>
    <n v="3009"/>
    <x v="5"/>
    <x v="0"/>
    <x v="4"/>
    <d v="2013-12-07T00:00:00"/>
    <n v="1"/>
    <x v="2"/>
    <s v="James Galang"/>
    <x v="0"/>
    <s v="United States"/>
    <s v="Murray"/>
    <s v="Kentucky"/>
    <s v="South"/>
    <x v="0"/>
    <x v="5"/>
    <s v="Howard Miller 16&quot; Diameter Gallery Wall Clock"/>
    <x v="1838"/>
    <n v="3"/>
    <n v="0"/>
    <n v="74.809799999999996"/>
  </r>
  <r>
    <n v="3010"/>
    <x v="197"/>
    <x v="0"/>
    <x v="7"/>
    <d v="2013-07-30T00:00:00"/>
    <n v="4"/>
    <x v="1"/>
    <s v="Rick Reed"/>
    <x v="1"/>
    <s v="United States"/>
    <s v="Toledo"/>
    <s v="Ohio"/>
    <s v="East"/>
    <x v="1"/>
    <x v="9"/>
    <s v="Tripp Lite Isotel 6 Outlet Surge Protector with Fax/Modem Protection"/>
    <x v="2403"/>
    <n v="5"/>
    <n v="0.2"/>
    <n v="27.436499999999999"/>
  </r>
  <r>
    <n v="3011"/>
    <x v="827"/>
    <x v="3"/>
    <x v="3"/>
    <d v="2014-04-24T00:00:00"/>
    <n v="6"/>
    <x v="1"/>
    <s v="Sharelle Roach"/>
    <x v="2"/>
    <s v="United States"/>
    <s v="Louisville"/>
    <s v="Colorado"/>
    <s v="West"/>
    <x v="1"/>
    <x v="8"/>
    <s v="Insertable Tab Post Binder Dividers"/>
    <x v="2404"/>
    <n v="5"/>
    <n v="0.7"/>
    <n v="-9.2230000000000008"/>
  </r>
  <r>
    <n v="3012"/>
    <x v="827"/>
    <x v="3"/>
    <x v="3"/>
    <d v="2014-04-24T00:00:00"/>
    <n v="6"/>
    <x v="1"/>
    <s v="Sharelle Roach"/>
    <x v="2"/>
    <s v="United States"/>
    <s v="Louisville"/>
    <s v="Colorado"/>
    <s v="West"/>
    <x v="2"/>
    <x v="15"/>
    <s v="Lexmark MX611dhe Monochrome Laser Printer"/>
    <x v="2405"/>
    <n v="5"/>
    <n v="0.7"/>
    <n v="-3399.98"/>
  </r>
  <r>
    <n v="3013"/>
    <x v="827"/>
    <x v="3"/>
    <x v="3"/>
    <d v="2014-04-24T00:00:00"/>
    <n v="6"/>
    <x v="1"/>
    <s v="Sharelle Roach"/>
    <x v="2"/>
    <s v="United States"/>
    <s v="Louisville"/>
    <s v="Colorado"/>
    <s v="West"/>
    <x v="1"/>
    <x v="8"/>
    <s v="GBC VeloBinder Manual Binding System"/>
    <x v="2406"/>
    <n v="2"/>
    <n v="0.7"/>
    <n v="-15.835599999999999"/>
  </r>
  <r>
    <n v="3014"/>
    <x v="827"/>
    <x v="3"/>
    <x v="3"/>
    <d v="2014-04-24T00:00:00"/>
    <n v="6"/>
    <x v="1"/>
    <s v="Sharelle Roach"/>
    <x v="2"/>
    <s v="United States"/>
    <s v="Louisville"/>
    <s v="Colorado"/>
    <s v="West"/>
    <x v="1"/>
    <x v="8"/>
    <s v="Cardinal Holdit Business Card Pockets"/>
    <x v="2407"/>
    <n v="6"/>
    <n v="0.7"/>
    <n v="-6.5735999999999999"/>
  </r>
  <r>
    <n v="3015"/>
    <x v="827"/>
    <x v="3"/>
    <x v="3"/>
    <d v="2014-04-24T00:00:00"/>
    <n v="6"/>
    <x v="1"/>
    <s v="Sharelle Roach"/>
    <x v="2"/>
    <s v="United States"/>
    <s v="Louisville"/>
    <s v="Colorado"/>
    <s v="West"/>
    <x v="1"/>
    <x v="10"/>
    <s v="Xerox 225"/>
    <x v="557"/>
    <n v="4"/>
    <n v="0.2"/>
    <n v="7.2576000000000001"/>
  </r>
  <r>
    <n v="3016"/>
    <x v="14"/>
    <x v="1"/>
    <x v="8"/>
    <d v="2012-09-21T00:00:00"/>
    <n v="4"/>
    <x v="1"/>
    <s v="Lindsay Shagiari"/>
    <x v="2"/>
    <s v="United States"/>
    <s v="New York City"/>
    <s v="New York"/>
    <s v="East"/>
    <x v="0"/>
    <x v="3"/>
    <s v="Riverside Furniture Oval Coffee Table, Oval End Table, End Table with Drawer"/>
    <x v="2408"/>
    <n v="2"/>
    <n v="0.4"/>
    <n v="-103.26600000000001"/>
  </r>
  <r>
    <n v="3017"/>
    <x v="828"/>
    <x v="0"/>
    <x v="6"/>
    <d v="2013-08-31T00:00:00"/>
    <n v="7"/>
    <x v="1"/>
    <s v="Mick Hernandez"/>
    <x v="2"/>
    <s v="United States"/>
    <s v="Pharr"/>
    <s v="Texas"/>
    <s v="Central"/>
    <x v="1"/>
    <x v="4"/>
    <s v="SAFCO Boltless Steel Shelving"/>
    <x v="2409"/>
    <n v="8"/>
    <n v="0.2"/>
    <n v="-172.7328"/>
  </r>
  <r>
    <n v="3018"/>
    <x v="828"/>
    <x v="0"/>
    <x v="6"/>
    <d v="2013-08-31T00:00:00"/>
    <n v="7"/>
    <x v="1"/>
    <s v="Mick Hernandez"/>
    <x v="2"/>
    <s v="United States"/>
    <s v="Pharr"/>
    <s v="Texas"/>
    <s v="Central"/>
    <x v="0"/>
    <x v="5"/>
    <s v="Flat Face Poster Frame"/>
    <x v="1803"/>
    <n v="3"/>
    <n v="0.6"/>
    <n v="-10.1736"/>
  </r>
  <r>
    <n v="3019"/>
    <x v="828"/>
    <x v="0"/>
    <x v="6"/>
    <d v="2013-08-31T00:00:00"/>
    <n v="7"/>
    <x v="1"/>
    <s v="Mick Hernandez"/>
    <x v="2"/>
    <s v="United States"/>
    <s v="Pharr"/>
    <s v="Texas"/>
    <s v="Central"/>
    <x v="2"/>
    <x v="11"/>
    <s v="WD My Passport Ultra 2TB Portable External Hard Drive"/>
    <x v="2410"/>
    <n v="7"/>
    <n v="0.2"/>
    <n v="-33.32"/>
  </r>
  <r>
    <n v="3020"/>
    <x v="627"/>
    <x v="1"/>
    <x v="0"/>
    <d v="2012-11-14T00:00:00"/>
    <n v="6"/>
    <x v="1"/>
    <s v="Sanjit Chand"/>
    <x v="0"/>
    <s v="United States"/>
    <s v="West Jordan"/>
    <s v="Utah"/>
    <s v="West"/>
    <x v="1"/>
    <x v="13"/>
    <s v="Alliance Rubber Bands"/>
    <x v="1310"/>
    <n v="3"/>
    <n v="0"/>
    <n v="0.2016"/>
  </r>
  <r>
    <n v="3021"/>
    <x v="627"/>
    <x v="1"/>
    <x v="0"/>
    <d v="2012-11-14T00:00:00"/>
    <n v="6"/>
    <x v="1"/>
    <s v="Sanjit Chand"/>
    <x v="0"/>
    <s v="United States"/>
    <s v="West Jordan"/>
    <s v="Utah"/>
    <s v="West"/>
    <x v="1"/>
    <x v="10"/>
    <s v="Xerox 1988"/>
    <x v="1635"/>
    <n v="3"/>
    <n v="0"/>
    <n v="41.823"/>
  </r>
  <r>
    <n v="3022"/>
    <x v="627"/>
    <x v="1"/>
    <x v="0"/>
    <d v="2012-11-14T00:00:00"/>
    <n v="6"/>
    <x v="1"/>
    <s v="Sanjit Chand"/>
    <x v="0"/>
    <s v="United States"/>
    <s v="West Jordan"/>
    <s v="Utah"/>
    <s v="West"/>
    <x v="0"/>
    <x v="5"/>
    <s v="Executive Impressions 14&quot; Contract Wall Clock"/>
    <x v="2411"/>
    <n v="3"/>
    <n v="0"/>
    <n v="22.0077"/>
  </r>
  <r>
    <n v="3023"/>
    <x v="627"/>
    <x v="1"/>
    <x v="0"/>
    <d v="2012-11-14T00:00:00"/>
    <n v="6"/>
    <x v="1"/>
    <s v="Sanjit Chand"/>
    <x v="0"/>
    <s v="United States"/>
    <s v="West Jordan"/>
    <s v="Utah"/>
    <s v="West"/>
    <x v="1"/>
    <x v="8"/>
    <s v="Deluxe Heavy-Duty Vinyl Round Ring Binder"/>
    <x v="1281"/>
    <n v="5"/>
    <n v="0.2"/>
    <n v="28.65"/>
  </r>
  <r>
    <n v="3024"/>
    <x v="701"/>
    <x v="3"/>
    <x v="0"/>
    <d v="2014-11-24T00:00:00"/>
    <n v="6"/>
    <x v="1"/>
    <s v="Joy Bell-"/>
    <x v="0"/>
    <s v="United States"/>
    <s v="Brownsville"/>
    <s v="Texas"/>
    <s v="Central"/>
    <x v="0"/>
    <x v="0"/>
    <s v="Atlantic Metals Mobile 2-Shelf Bookcases, Custom Colors"/>
    <x v="2412"/>
    <n v="2"/>
    <n v="0.32"/>
    <n v="-14.4588"/>
  </r>
  <r>
    <n v="3025"/>
    <x v="627"/>
    <x v="1"/>
    <x v="0"/>
    <d v="2012-11-13T00:00:00"/>
    <n v="5"/>
    <x v="1"/>
    <s v="Amy Cox"/>
    <x v="0"/>
    <s v="United States"/>
    <s v="New York City"/>
    <s v="New York"/>
    <s v="East"/>
    <x v="1"/>
    <x v="8"/>
    <s v="Storex Dura Pro Binders"/>
    <x v="2413"/>
    <n v="11"/>
    <n v="0.2"/>
    <n v="17.6418"/>
  </r>
  <r>
    <n v="3026"/>
    <x v="627"/>
    <x v="1"/>
    <x v="0"/>
    <d v="2012-11-13T00:00:00"/>
    <n v="5"/>
    <x v="1"/>
    <s v="Amy Cox"/>
    <x v="0"/>
    <s v="United States"/>
    <s v="New York City"/>
    <s v="New York"/>
    <s v="East"/>
    <x v="1"/>
    <x v="10"/>
    <s v="Great White Multi-Use Recycled Paper (20Lb. and 84 Bright)"/>
    <x v="1444"/>
    <n v="3"/>
    <n v="0"/>
    <n v="8.0730000000000004"/>
  </r>
  <r>
    <n v="3027"/>
    <x v="300"/>
    <x v="3"/>
    <x v="3"/>
    <d v="2014-04-27T00:00:00"/>
    <n v="4"/>
    <x v="1"/>
    <s v="Meg O'Connel"/>
    <x v="2"/>
    <s v="United States"/>
    <s v="Philadelphia"/>
    <s v="Pennsylvania"/>
    <s v="East"/>
    <x v="0"/>
    <x v="5"/>
    <s v="Tenex 46&quot; x 60&quot; Computer Anti-Static Chairmat, Rectangular Shaped"/>
    <x v="1796"/>
    <n v="3"/>
    <n v="0.2"/>
    <n v="0"/>
  </r>
  <r>
    <n v="3028"/>
    <x v="829"/>
    <x v="2"/>
    <x v="6"/>
    <d v="2011-08-24T00:00:00"/>
    <n v="0"/>
    <x v="3"/>
    <s v="Robert Barroso"/>
    <x v="1"/>
    <s v="United States"/>
    <s v="Billings"/>
    <s v="Montana"/>
    <s v="West"/>
    <x v="1"/>
    <x v="8"/>
    <s v="SlimView Poly Binder, 3/8&quot;"/>
    <x v="1808"/>
    <n v="2"/>
    <n v="0.2"/>
    <n v="2.6936"/>
  </r>
  <r>
    <n v="3029"/>
    <x v="94"/>
    <x v="3"/>
    <x v="4"/>
    <d v="2014-12-22T00:00:00"/>
    <n v="4"/>
    <x v="1"/>
    <s v="Arianne Irving"/>
    <x v="0"/>
    <s v="United States"/>
    <s v="Chesapeake"/>
    <s v="Virginia"/>
    <s v="South"/>
    <x v="0"/>
    <x v="1"/>
    <s v="Hon Valutask Swivel Chairs"/>
    <x v="2414"/>
    <n v="5"/>
    <n v="0"/>
    <n v="80.784000000000006"/>
  </r>
  <r>
    <n v="3030"/>
    <x v="830"/>
    <x v="0"/>
    <x v="10"/>
    <d v="2013-03-29T00:00:00"/>
    <n v="4"/>
    <x v="1"/>
    <s v="Dan Reichenbach"/>
    <x v="1"/>
    <s v="United States"/>
    <s v="Gresham"/>
    <s v="Oregon"/>
    <s v="West"/>
    <x v="2"/>
    <x v="7"/>
    <s v="BlackBerry Q10"/>
    <x v="2415"/>
    <n v="4"/>
    <n v="0.2"/>
    <n v="25.198"/>
  </r>
  <r>
    <n v="3031"/>
    <x v="481"/>
    <x v="1"/>
    <x v="8"/>
    <d v="2012-09-27T00:00:00"/>
    <n v="6"/>
    <x v="1"/>
    <s v="Dario Medina"/>
    <x v="1"/>
    <s v="United States"/>
    <s v="Lincoln Park"/>
    <s v="Michigan"/>
    <s v="Central"/>
    <x v="0"/>
    <x v="0"/>
    <s v="O'Sullivan 2-Shelf Heavy-Duty Bookcases"/>
    <x v="1918"/>
    <n v="4"/>
    <n v="0"/>
    <n v="31.091200000000001"/>
  </r>
  <r>
    <n v="3032"/>
    <x v="481"/>
    <x v="1"/>
    <x v="8"/>
    <d v="2012-09-27T00:00:00"/>
    <n v="6"/>
    <x v="1"/>
    <s v="Dario Medina"/>
    <x v="1"/>
    <s v="United States"/>
    <s v="Lincoln Park"/>
    <s v="Michigan"/>
    <s v="Central"/>
    <x v="1"/>
    <x v="6"/>
    <s v="BOSTON Ranger #55 Pencil Sharpener, Black"/>
    <x v="2416"/>
    <n v="1"/>
    <n v="0"/>
    <n v="7.5370999999999997"/>
  </r>
  <r>
    <n v="3033"/>
    <x v="831"/>
    <x v="0"/>
    <x v="0"/>
    <d v="2013-11-27T00:00:00"/>
    <n v="5"/>
    <x v="1"/>
    <s v="Justin Hirsh"/>
    <x v="0"/>
    <s v="United States"/>
    <s v="Gresham"/>
    <s v="Oregon"/>
    <s v="West"/>
    <x v="0"/>
    <x v="1"/>
    <s v="Novimex Fabric Task Chair"/>
    <x v="2417"/>
    <n v="4"/>
    <n v="0.2"/>
    <n v="-12.196"/>
  </r>
  <r>
    <n v="3034"/>
    <x v="118"/>
    <x v="3"/>
    <x v="8"/>
    <d v="2014-09-22T00:00:00"/>
    <n v="5"/>
    <x v="1"/>
    <s v="Adam Bellavance"/>
    <x v="2"/>
    <s v="United States"/>
    <s v="Philadelphia"/>
    <s v="Pennsylvania"/>
    <s v="East"/>
    <x v="1"/>
    <x v="10"/>
    <s v="Xerox 231"/>
    <x v="557"/>
    <n v="4"/>
    <n v="0.2"/>
    <n v="7.2576000000000001"/>
  </r>
  <r>
    <n v="3035"/>
    <x v="832"/>
    <x v="1"/>
    <x v="1"/>
    <d v="2012-06-16T00:00:00"/>
    <n v="5"/>
    <x v="1"/>
    <s v="Brian Dahlen"/>
    <x v="0"/>
    <s v="United States"/>
    <s v="Monroe"/>
    <s v="Louisiana"/>
    <s v="South"/>
    <x v="2"/>
    <x v="11"/>
    <s v="Kingston Digital DataTraveler 16GB USB 2.0"/>
    <x v="2418"/>
    <n v="6"/>
    <n v="0"/>
    <n v="10.202999999999999"/>
  </r>
  <r>
    <n v="3036"/>
    <x v="832"/>
    <x v="1"/>
    <x v="1"/>
    <d v="2012-06-16T00:00:00"/>
    <n v="5"/>
    <x v="1"/>
    <s v="Brian Dahlen"/>
    <x v="0"/>
    <s v="United States"/>
    <s v="Monroe"/>
    <s v="Louisiana"/>
    <s v="South"/>
    <x v="1"/>
    <x v="8"/>
    <s v="SlimView Poly Binder, 3/8&quot;"/>
    <x v="2419"/>
    <n v="7"/>
    <n v="0"/>
    <n v="16.679600000000001"/>
  </r>
  <r>
    <n v="3037"/>
    <x v="832"/>
    <x v="1"/>
    <x v="1"/>
    <d v="2012-06-16T00:00:00"/>
    <n v="5"/>
    <x v="1"/>
    <s v="Brian Dahlen"/>
    <x v="0"/>
    <s v="United States"/>
    <s v="Monroe"/>
    <s v="Louisiana"/>
    <s v="South"/>
    <x v="1"/>
    <x v="6"/>
    <s v="Boston Electric Pencil Sharpener, Model 1818, Charcoal Black"/>
    <x v="2420"/>
    <n v="2"/>
    <n v="0"/>
    <n v="15.763999999999999"/>
  </r>
  <r>
    <n v="3038"/>
    <x v="832"/>
    <x v="1"/>
    <x v="1"/>
    <d v="2012-06-16T00:00:00"/>
    <n v="5"/>
    <x v="1"/>
    <s v="Brian Dahlen"/>
    <x v="0"/>
    <s v="United States"/>
    <s v="Monroe"/>
    <s v="Louisiana"/>
    <s v="South"/>
    <x v="1"/>
    <x v="10"/>
    <s v="Xerox 222"/>
    <x v="56"/>
    <n v="5"/>
    <n v="0"/>
    <n v="15.552"/>
  </r>
  <r>
    <n v="3039"/>
    <x v="832"/>
    <x v="1"/>
    <x v="1"/>
    <d v="2012-06-16T00:00:00"/>
    <n v="5"/>
    <x v="1"/>
    <s v="Brian Dahlen"/>
    <x v="0"/>
    <s v="United States"/>
    <s v="Monroe"/>
    <s v="Louisiana"/>
    <s v="South"/>
    <x v="0"/>
    <x v="5"/>
    <s v="DAX Clear Channel Poster Frame"/>
    <x v="2421"/>
    <n v="2"/>
    <n v="0"/>
    <n v="10.789199999999999"/>
  </r>
  <r>
    <n v="3040"/>
    <x v="621"/>
    <x v="3"/>
    <x v="2"/>
    <d v="2014-10-09T00:00:00"/>
    <n v="5"/>
    <x v="1"/>
    <s v="Aaron Smayling"/>
    <x v="1"/>
    <s v="United States"/>
    <s v="Pasadena"/>
    <s v="California"/>
    <s v="West"/>
    <x v="0"/>
    <x v="3"/>
    <s v="Lesro Sheffield Collection Coffee Table, End Table, Center Table, Corner Table"/>
    <x v="2422"/>
    <n v="3"/>
    <n v="0.2"/>
    <n v="-6.4233000000000002"/>
  </r>
  <r>
    <n v="3041"/>
    <x v="465"/>
    <x v="0"/>
    <x v="5"/>
    <d v="2013-05-10T00:00:00"/>
    <n v="4"/>
    <x v="1"/>
    <s v="Zuschuss Donatelli"/>
    <x v="0"/>
    <s v="United States"/>
    <s v="Chattanooga"/>
    <s v="Tennessee"/>
    <s v="South"/>
    <x v="0"/>
    <x v="5"/>
    <s v="Eldon Image Series Desk Accessories, Burgundy"/>
    <x v="2423"/>
    <n v="5"/>
    <n v="0.2"/>
    <n v="3.3439999999999999"/>
  </r>
  <r>
    <n v="3042"/>
    <x v="220"/>
    <x v="3"/>
    <x v="8"/>
    <d v="2014-09-13T00:00:00"/>
    <n v="1"/>
    <x v="3"/>
    <s v="Karen Ferguson"/>
    <x v="2"/>
    <s v="United States"/>
    <s v="Long Beach"/>
    <s v="California"/>
    <s v="West"/>
    <x v="1"/>
    <x v="10"/>
    <s v="Xerox 1996"/>
    <x v="91"/>
    <n v="2"/>
    <n v="0"/>
    <n v="6.2207999999999997"/>
  </r>
  <r>
    <n v="3043"/>
    <x v="220"/>
    <x v="3"/>
    <x v="8"/>
    <d v="2014-09-13T00:00:00"/>
    <n v="1"/>
    <x v="3"/>
    <s v="Karen Ferguson"/>
    <x v="2"/>
    <s v="United States"/>
    <s v="Long Beach"/>
    <s v="California"/>
    <s v="West"/>
    <x v="1"/>
    <x v="12"/>
    <s v="#10 Self-Seal White Envelopes"/>
    <x v="2424"/>
    <n v="2"/>
    <n v="0"/>
    <n v="10.8682"/>
  </r>
  <r>
    <n v="3044"/>
    <x v="220"/>
    <x v="3"/>
    <x v="8"/>
    <d v="2014-09-13T00:00:00"/>
    <n v="1"/>
    <x v="3"/>
    <s v="Karen Ferguson"/>
    <x v="2"/>
    <s v="United States"/>
    <s v="Long Beach"/>
    <s v="California"/>
    <s v="West"/>
    <x v="0"/>
    <x v="1"/>
    <s v="Hon Pagoda Stacking Chairs"/>
    <x v="2425"/>
    <n v="8"/>
    <n v="0.2"/>
    <n v="256.78399999999999"/>
  </r>
  <r>
    <n v="3045"/>
    <x v="28"/>
    <x v="1"/>
    <x v="3"/>
    <d v="2012-05-02T00:00:00"/>
    <n v="2"/>
    <x v="0"/>
    <s v="Benjamin Patterson"/>
    <x v="0"/>
    <s v="United States"/>
    <s v="Troy"/>
    <s v="Ohio"/>
    <s v="East"/>
    <x v="2"/>
    <x v="7"/>
    <s v="Cisco Unified IP Phone 7945G VoIP phone"/>
    <x v="2426"/>
    <n v="5"/>
    <n v="0.4"/>
    <n v="-255.74250000000001"/>
  </r>
  <r>
    <n v="3046"/>
    <x v="44"/>
    <x v="3"/>
    <x v="0"/>
    <d v="2014-11-11T00:00:00"/>
    <n v="4"/>
    <x v="0"/>
    <s v="Chuck Clark"/>
    <x v="2"/>
    <s v="United States"/>
    <s v="Minneapolis"/>
    <s v="Minnesota"/>
    <s v="Central"/>
    <x v="1"/>
    <x v="6"/>
    <s v="Newell 339"/>
    <x v="2213"/>
    <n v="5"/>
    <n v="0"/>
    <n v="3.6139999999999999"/>
  </r>
  <r>
    <n v="3047"/>
    <x v="44"/>
    <x v="3"/>
    <x v="0"/>
    <d v="2014-11-11T00:00:00"/>
    <n v="4"/>
    <x v="0"/>
    <s v="Chuck Clark"/>
    <x v="2"/>
    <s v="United States"/>
    <s v="Minneapolis"/>
    <s v="Minnesota"/>
    <s v="Central"/>
    <x v="1"/>
    <x v="10"/>
    <s v="Staples"/>
    <x v="970"/>
    <n v="1"/>
    <n v="0"/>
    <n v="12.1348"/>
  </r>
  <r>
    <n v="3048"/>
    <x v="587"/>
    <x v="2"/>
    <x v="8"/>
    <d v="2011-10-04T00:00:00"/>
    <n v="4"/>
    <x v="1"/>
    <s v="Doug Bickford"/>
    <x v="0"/>
    <s v="United States"/>
    <s v="Seattle"/>
    <s v="Washington"/>
    <s v="West"/>
    <x v="1"/>
    <x v="8"/>
    <s v="DXL Angle-View Binders with Locking Rings by Samsill"/>
    <x v="746"/>
    <n v="7"/>
    <n v="0.2"/>
    <n v="13.4925"/>
  </r>
  <r>
    <n v="3049"/>
    <x v="459"/>
    <x v="3"/>
    <x v="3"/>
    <d v="2014-04-05T00:00:00"/>
    <n v="2"/>
    <x v="2"/>
    <s v="Tony Chapman"/>
    <x v="2"/>
    <s v="United States"/>
    <s v="Columbus"/>
    <s v="Georgia"/>
    <s v="South"/>
    <x v="0"/>
    <x v="3"/>
    <s v="Bevis 44 x 96 Conference Tables"/>
    <x v="1735"/>
    <n v="2"/>
    <n v="0"/>
    <n v="70.006"/>
  </r>
  <r>
    <n v="3050"/>
    <x v="459"/>
    <x v="3"/>
    <x v="3"/>
    <d v="2014-04-05T00:00:00"/>
    <n v="2"/>
    <x v="2"/>
    <s v="Tony Chapman"/>
    <x v="2"/>
    <s v="United States"/>
    <s v="Columbus"/>
    <s v="Georgia"/>
    <s v="South"/>
    <x v="2"/>
    <x v="11"/>
    <s v="NETGEAR N750 Dual Band Wi-Fi Gigabit Router"/>
    <x v="308"/>
    <n v="4"/>
    <n v="0"/>
    <n v="129.6"/>
  </r>
  <r>
    <n v="3051"/>
    <x v="833"/>
    <x v="3"/>
    <x v="2"/>
    <d v="2014-10-12T00:00:00"/>
    <n v="5"/>
    <x v="1"/>
    <s v="Nick Zandusky"/>
    <x v="2"/>
    <s v="United States"/>
    <s v="Meridian"/>
    <s v="Idaho"/>
    <s v="West"/>
    <x v="0"/>
    <x v="5"/>
    <s v="36X48 HARDFLOOR CHAIRMAT"/>
    <x v="108"/>
    <n v="2"/>
    <n v="0"/>
    <n v="2.9371999999999998"/>
  </r>
  <r>
    <n v="3052"/>
    <x v="833"/>
    <x v="3"/>
    <x v="2"/>
    <d v="2014-10-12T00:00:00"/>
    <n v="5"/>
    <x v="1"/>
    <s v="Nick Zandusky"/>
    <x v="2"/>
    <s v="United States"/>
    <s v="Meridian"/>
    <s v="Idaho"/>
    <s v="West"/>
    <x v="1"/>
    <x v="9"/>
    <s v="Conquest 14 Commercial Heavy-Duty Upright Vacuum, Collection System, Accessory Kit"/>
    <x v="2427"/>
    <n v="4"/>
    <n v="0"/>
    <n v="66.073599999999999"/>
  </r>
  <r>
    <n v="3053"/>
    <x v="833"/>
    <x v="3"/>
    <x v="2"/>
    <d v="2014-10-12T00:00:00"/>
    <n v="5"/>
    <x v="1"/>
    <s v="Nick Zandusky"/>
    <x v="2"/>
    <s v="United States"/>
    <s v="Meridian"/>
    <s v="Idaho"/>
    <s v="West"/>
    <x v="1"/>
    <x v="10"/>
    <s v="Computer Printout Paper with Letter-Trim Perforations"/>
    <x v="2428"/>
    <n v="2"/>
    <n v="0"/>
    <n v="18.211200000000002"/>
  </r>
  <r>
    <n v="3054"/>
    <x v="526"/>
    <x v="0"/>
    <x v="3"/>
    <d v="2013-04-15T00:00:00"/>
    <n v="5"/>
    <x v="0"/>
    <s v="Sean Wendt"/>
    <x v="2"/>
    <s v="United States"/>
    <s v="Detroit"/>
    <s v="Michigan"/>
    <s v="Central"/>
    <x v="2"/>
    <x v="7"/>
    <s v="Nortel Meridian M5316 Digital phone"/>
    <x v="2429"/>
    <n v="2"/>
    <n v="0"/>
    <n v="134.654"/>
  </r>
  <r>
    <n v="3055"/>
    <x v="526"/>
    <x v="0"/>
    <x v="3"/>
    <d v="2013-04-15T00:00:00"/>
    <n v="5"/>
    <x v="0"/>
    <s v="Sean Wendt"/>
    <x v="2"/>
    <s v="United States"/>
    <s v="Detroit"/>
    <s v="Michigan"/>
    <s v="Central"/>
    <x v="1"/>
    <x v="8"/>
    <s v="Storex Flexible Poly Binders with Double Pockets"/>
    <x v="266"/>
    <n v="2"/>
    <n v="0"/>
    <n v="2.4287999999999998"/>
  </r>
  <r>
    <n v="3056"/>
    <x v="834"/>
    <x v="1"/>
    <x v="6"/>
    <d v="2012-09-01T00:00:00"/>
    <n v="4"/>
    <x v="1"/>
    <s v="Todd Sumrall"/>
    <x v="1"/>
    <s v="United States"/>
    <s v="Chicago"/>
    <s v="Illinois"/>
    <s v="Central"/>
    <x v="2"/>
    <x v="16"/>
    <s v="Canon Imageclass D680 Copier / Fax"/>
    <x v="2430"/>
    <n v="5"/>
    <n v="0.2"/>
    <n v="874.98749999999995"/>
  </r>
  <r>
    <n v="3057"/>
    <x v="15"/>
    <x v="3"/>
    <x v="2"/>
    <d v="2014-10-25T00:00:00"/>
    <n v="5"/>
    <x v="0"/>
    <s v="Hilary Holden"/>
    <x v="1"/>
    <s v="United States"/>
    <s v="San Francisco"/>
    <s v="California"/>
    <s v="West"/>
    <x v="1"/>
    <x v="12"/>
    <s v="Ampad #10 Peel &amp; Seel Holiday Envelopes"/>
    <x v="2431"/>
    <n v="2"/>
    <n v="0"/>
    <n v="4.3007999999999997"/>
  </r>
  <r>
    <n v="3058"/>
    <x v="15"/>
    <x v="3"/>
    <x v="2"/>
    <d v="2014-10-25T00:00:00"/>
    <n v="5"/>
    <x v="0"/>
    <s v="Hilary Holden"/>
    <x v="1"/>
    <s v="United States"/>
    <s v="San Francisco"/>
    <s v="California"/>
    <s v="West"/>
    <x v="1"/>
    <x v="2"/>
    <s v="Avery 518"/>
    <x v="2432"/>
    <n v="10"/>
    <n v="0"/>
    <n v="15.12"/>
  </r>
  <r>
    <n v="3059"/>
    <x v="15"/>
    <x v="3"/>
    <x v="2"/>
    <d v="2014-10-25T00:00:00"/>
    <n v="5"/>
    <x v="0"/>
    <s v="Hilary Holden"/>
    <x v="1"/>
    <s v="United States"/>
    <s v="San Francisco"/>
    <s v="California"/>
    <s v="West"/>
    <x v="0"/>
    <x v="5"/>
    <s v="Linden 10&quot; Round Wall Clock, Black"/>
    <x v="2433"/>
    <n v="2"/>
    <n v="0"/>
    <n v="10.3904"/>
  </r>
  <r>
    <n v="3060"/>
    <x v="15"/>
    <x v="3"/>
    <x v="2"/>
    <d v="2014-10-25T00:00:00"/>
    <n v="5"/>
    <x v="0"/>
    <s v="Hilary Holden"/>
    <x v="1"/>
    <s v="United States"/>
    <s v="San Francisco"/>
    <s v="California"/>
    <s v="West"/>
    <x v="0"/>
    <x v="3"/>
    <s v="Anderson Hickey Conga Table Tops &amp; Accessories"/>
    <x v="2434"/>
    <n v="2"/>
    <n v="0.2"/>
    <n v="-3.3506"/>
  </r>
  <r>
    <n v="3061"/>
    <x v="77"/>
    <x v="0"/>
    <x v="0"/>
    <d v="2013-11-13T00:00:00"/>
    <n v="5"/>
    <x v="1"/>
    <s v="Denise Monton"/>
    <x v="1"/>
    <s v="United States"/>
    <s v="Newark"/>
    <s v="Ohio"/>
    <s v="East"/>
    <x v="2"/>
    <x v="11"/>
    <s v="Plantronics Audio 478 Stereo USB Headset"/>
    <x v="2435"/>
    <n v="3"/>
    <n v="0.2"/>
    <n v="22.4955"/>
  </r>
  <r>
    <n v="3062"/>
    <x v="448"/>
    <x v="3"/>
    <x v="10"/>
    <d v="2014-03-08T00:00:00"/>
    <n v="4"/>
    <x v="1"/>
    <s v="Richard Eichhorn"/>
    <x v="0"/>
    <s v="United States"/>
    <s v="Dallas"/>
    <s v="Texas"/>
    <s v="Central"/>
    <x v="1"/>
    <x v="10"/>
    <s v="Important Message Pads, 50 4-1/4 x 5-1/2 Forms per Pad"/>
    <x v="2017"/>
    <n v="8"/>
    <n v="0.2"/>
    <n v="9.7439999999999998"/>
  </r>
  <r>
    <n v="3063"/>
    <x v="154"/>
    <x v="1"/>
    <x v="0"/>
    <d v="2012-11-29T00:00:00"/>
    <n v="2"/>
    <x v="2"/>
    <s v="Justin Deggeller"/>
    <x v="1"/>
    <s v="United States"/>
    <s v="Newark"/>
    <s v="Delaware"/>
    <s v="East"/>
    <x v="2"/>
    <x v="7"/>
    <s v="Apple EarPods with Remote and Mic"/>
    <x v="2436"/>
    <n v="3"/>
    <n v="0"/>
    <n v="23.511600000000001"/>
  </r>
  <r>
    <n v="3064"/>
    <x v="154"/>
    <x v="1"/>
    <x v="0"/>
    <d v="2012-11-29T00:00:00"/>
    <n v="2"/>
    <x v="2"/>
    <s v="Justin Deggeller"/>
    <x v="1"/>
    <s v="United States"/>
    <s v="Newark"/>
    <s v="Delaware"/>
    <s v="East"/>
    <x v="2"/>
    <x v="11"/>
    <s v="Perixx PERIBOARD-512B, Ergonomic Split Keyboard"/>
    <x v="2437"/>
    <n v="3"/>
    <n v="0"/>
    <n v="7.3479000000000001"/>
  </r>
  <r>
    <n v="3065"/>
    <x v="677"/>
    <x v="3"/>
    <x v="10"/>
    <d v="2014-03-19T00:00:00"/>
    <n v="5"/>
    <x v="0"/>
    <s v="Benjamin Farhat"/>
    <x v="2"/>
    <s v="United States"/>
    <s v="Albuquerque"/>
    <s v="New Mexico"/>
    <s v="West"/>
    <x v="1"/>
    <x v="4"/>
    <s v="SimpliFile Personal File, Black Granite, 15w x 6-15/16d x 11-1/4h"/>
    <x v="2438"/>
    <n v="8"/>
    <n v="0"/>
    <n v="25.423999999999999"/>
  </r>
  <r>
    <n v="3066"/>
    <x v="677"/>
    <x v="3"/>
    <x v="10"/>
    <d v="2014-03-19T00:00:00"/>
    <n v="5"/>
    <x v="0"/>
    <s v="Benjamin Farhat"/>
    <x v="2"/>
    <s v="United States"/>
    <s v="Albuquerque"/>
    <s v="New Mexico"/>
    <s v="West"/>
    <x v="2"/>
    <x v="7"/>
    <s v="OtterBox Commuter Series Case - iPhone 5 &amp; 5s"/>
    <x v="1182"/>
    <n v="8"/>
    <n v="0.2"/>
    <n v="49.257599999999996"/>
  </r>
  <r>
    <n v="3067"/>
    <x v="677"/>
    <x v="3"/>
    <x v="10"/>
    <d v="2014-03-19T00:00:00"/>
    <n v="5"/>
    <x v="0"/>
    <s v="Benjamin Farhat"/>
    <x v="2"/>
    <s v="United States"/>
    <s v="Albuquerque"/>
    <s v="New Mexico"/>
    <s v="West"/>
    <x v="2"/>
    <x v="11"/>
    <s v="Logitech Wireless Headset H600 Over-The-Head Design"/>
    <x v="2439"/>
    <n v="5"/>
    <n v="0"/>
    <n v="88.129499999999993"/>
  </r>
  <r>
    <n v="3068"/>
    <x v="677"/>
    <x v="3"/>
    <x v="10"/>
    <d v="2014-03-19T00:00:00"/>
    <n v="5"/>
    <x v="0"/>
    <s v="Benjamin Farhat"/>
    <x v="2"/>
    <s v="United States"/>
    <s v="Albuquerque"/>
    <s v="New Mexico"/>
    <s v="West"/>
    <x v="1"/>
    <x v="10"/>
    <s v="Xerox 230"/>
    <x v="1544"/>
    <n v="7"/>
    <n v="0"/>
    <n v="21.7728"/>
  </r>
  <r>
    <n v="3069"/>
    <x v="677"/>
    <x v="3"/>
    <x v="10"/>
    <d v="2014-03-19T00:00:00"/>
    <n v="5"/>
    <x v="0"/>
    <s v="Benjamin Farhat"/>
    <x v="2"/>
    <s v="United States"/>
    <s v="Albuquerque"/>
    <s v="New Mexico"/>
    <s v="West"/>
    <x v="1"/>
    <x v="10"/>
    <s v="Xerox 1885"/>
    <x v="2440"/>
    <n v="6"/>
    <n v="0"/>
    <n v="138.3552"/>
  </r>
  <r>
    <n v="3070"/>
    <x v="329"/>
    <x v="3"/>
    <x v="4"/>
    <d v="2014-12-01T00:00:00"/>
    <n v="0"/>
    <x v="3"/>
    <s v="Max Ludwig"/>
    <x v="2"/>
    <s v="United States"/>
    <s v="Toledo"/>
    <s v="Ohio"/>
    <s v="East"/>
    <x v="1"/>
    <x v="9"/>
    <s v="Kensington 7 Outlet MasterPiece Power Center with Fax/Phone Line Protection"/>
    <x v="2441"/>
    <n v="4"/>
    <n v="0.2"/>
    <n v="82.992000000000004"/>
  </r>
  <r>
    <n v="3071"/>
    <x v="664"/>
    <x v="2"/>
    <x v="0"/>
    <d v="2011-11-22T00:00:00"/>
    <n v="5"/>
    <x v="1"/>
    <s v="Yoseph Carroll"/>
    <x v="1"/>
    <s v="United States"/>
    <s v="Newark"/>
    <s v="Delaware"/>
    <s v="East"/>
    <x v="1"/>
    <x v="4"/>
    <s v="Smead Adjustable Mobile File Trolley with Lockable Top"/>
    <x v="2442"/>
    <n v="7"/>
    <n v="0"/>
    <n v="792.26909999999998"/>
  </r>
  <r>
    <n v="3072"/>
    <x v="664"/>
    <x v="2"/>
    <x v="0"/>
    <d v="2011-11-22T00:00:00"/>
    <n v="5"/>
    <x v="1"/>
    <s v="Yoseph Carroll"/>
    <x v="1"/>
    <s v="United States"/>
    <s v="Newark"/>
    <s v="Delaware"/>
    <s v="East"/>
    <x v="0"/>
    <x v="5"/>
    <s v="Eldon Econocleat Chair Mats for Low Pile Carpets"/>
    <x v="2443"/>
    <n v="3"/>
    <n v="0"/>
    <n v="14.9292"/>
  </r>
  <r>
    <n v="3073"/>
    <x v="664"/>
    <x v="2"/>
    <x v="0"/>
    <d v="2011-11-22T00:00:00"/>
    <n v="5"/>
    <x v="1"/>
    <s v="Yoseph Carroll"/>
    <x v="1"/>
    <s v="United States"/>
    <s v="Newark"/>
    <s v="Delaware"/>
    <s v="East"/>
    <x v="1"/>
    <x v="6"/>
    <s v="Deluxe Chalkboard Eraser Cleaner"/>
    <x v="2444"/>
    <n v="5"/>
    <n v="0"/>
    <n v="26.565000000000001"/>
  </r>
  <r>
    <n v="3074"/>
    <x v="835"/>
    <x v="0"/>
    <x v="9"/>
    <d v="2013-01-05T00:00:00"/>
    <n v="2"/>
    <x v="2"/>
    <s v="Lena Radford"/>
    <x v="0"/>
    <s v="United States"/>
    <s v="Los Angeles"/>
    <s v="California"/>
    <s v="West"/>
    <x v="1"/>
    <x v="4"/>
    <s v="Recycled Steel Personal File for Hanging File Folders"/>
    <x v="2445"/>
    <n v="2"/>
    <n v="0"/>
    <n v="28.614999999999998"/>
  </r>
  <r>
    <n v="3075"/>
    <x v="292"/>
    <x v="1"/>
    <x v="2"/>
    <d v="2012-10-08T00:00:00"/>
    <n v="5"/>
    <x v="1"/>
    <s v="Bruce Stewart"/>
    <x v="0"/>
    <s v="United States"/>
    <s v="Los Angeles"/>
    <s v="California"/>
    <s v="West"/>
    <x v="0"/>
    <x v="0"/>
    <s v="Safco Value Mate Series Steel Bookcases, Baked Enamel Finish on Steel, Gray"/>
    <x v="2446"/>
    <n v="2"/>
    <n v="0.15"/>
    <n v="18.454799999999999"/>
  </r>
  <r>
    <n v="3076"/>
    <x v="836"/>
    <x v="2"/>
    <x v="7"/>
    <d v="2011-07-24T00:00:00"/>
    <n v="4"/>
    <x v="1"/>
    <s v="Katherine Murray"/>
    <x v="2"/>
    <s v="United States"/>
    <s v="Dallas"/>
    <s v="Texas"/>
    <s v="Central"/>
    <x v="1"/>
    <x v="4"/>
    <s v="Letter Size Cart"/>
    <x v="2447"/>
    <n v="3"/>
    <n v="0.2"/>
    <n v="38.572200000000002"/>
  </r>
  <r>
    <n v="3077"/>
    <x v="836"/>
    <x v="2"/>
    <x v="7"/>
    <d v="2011-07-24T00:00:00"/>
    <n v="4"/>
    <x v="1"/>
    <s v="Katherine Murray"/>
    <x v="2"/>
    <s v="United States"/>
    <s v="Dallas"/>
    <s v="Texas"/>
    <s v="Central"/>
    <x v="0"/>
    <x v="5"/>
    <s v="Westinghouse Clip-On Gooseneck Lamps"/>
    <x v="80"/>
    <n v="5"/>
    <n v="0.6"/>
    <n v="-14.228999999999999"/>
  </r>
  <r>
    <n v="3078"/>
    <x v="836"/>
    <x v="2"/>
    <x v="7"/>
    <d v="2011-07-24T00:00:00"/>
    <n v="4"/>
    <x v="1"/>
    <s v="Katherine Murray"/>
    <x v="2"/>
    <s v="United States"/>
    <s v="Dallas"/>
    <s v="Texas"/>
    <s v="Central"/>
    <x v="0"/>
    <x v="1"/>
    <s v="HON 5400 Series Task Chairs for Big and Tall"/>
    <x v="2448"/>
    <n v="2"/>
    <n v="0.3"/>
    <n v="-140.196"/>
  </r>
  <r>
    <n v="3079"/>
    <x v="371"/>
    <x v="2"/>
    <x v="5"/>
    <d v="2011-05-25T00:00:00"/>
    <n v="4"/>
    <x v="1"/>
    <s v="Bradley Talbott"/>
    <x v="2"/>
    <s v="United States"/>
    <s v="San Diego"/>
    <s v="California"/>
    <s v="West"/>
    <x v="1"/>
    <x v="6"/>
    <s v="4009 Highlighters by Sanford"/>
    <x v="2449"/>
    <n v="8"/>
    <n v="0"/>
    <n v="10.507199999999999"/>
  </r>
  <r>
    <n v="3080"/>
    <x v="507"/>
    <x v="3"/>
    <x v="8"/>
    <d v="2014-09-06T00:00:00"/>
    <n v="1"/>
    <x v="2"/>
    <s v="Katrina Bavinger"/>
    <x v="2"/>
    <s v="United States"/>
    <s v="Apple Valley"/>
    <s v="California"/>
    <s v="West"/>
    <x v="1"/>
    <x v="10"/>
    <s v="Xerox 220"/>
    <x v="91"/>
    <n v="2"/>
    <n v="0"/>
    <n v="6.2207999999999997"/>
  </r>
  <r>
    <n v="3081"/>
    <x v="507"/>
    <x v="3"/>
    <x v="8"/>
    <d v="2014-09-06T00:00:00"/>
    <n v="1"/>
    <x v="2"/>
    <s v="Katrina Bavinger"/>
    <x v="2"/>
    <s v="United States"/>
    <s v="Apple Valley"/>
    <s v="California"/>
    <s v="West"/>
    <x v="2"/>
    <x v="7"/>
    <s v="invisibleSHIELD by ZAGG Smudge-Free Screen Protector"/>
    <x v="746"/>
    <n v="3"/>
    <n v="0.2"/>
    <n v="15.111599999999999"/>
  </r>
  <r>
    <n v="3082"/>
    <x v="837"/>
    <x v="3"/>
    <x v="5"/>
    <d v="2014-06-03T00:00:00"/>
    <n v="6"/>
    <x v="1"/>
    <s v="Dianna Wilson"/>
    <x v="2"/>
    <s v="United States"/>
    <s v="Louisville"/>
    <s v="Kentucky"/>
    <s v="South"/>
    <x v="1"/>
    <x v="8"/>
    <s v="Binding Machine Supplies"/>
    <x v="2450"/>
    <n v="2"/>
    <n v="0"/>
    <n v="28.0032"/>
  </r>
  <r>
    <n v="3083"/>
    <x v="837"/>
    <x v="3"/>
    <x v="5"/>
    <d v="2014-06-03T00:00:00"/>
    <n v="6"/>
    <x v="1"/>
    <s v="Dianna Wilson"/>
    <x v="2"/>
    <s v="United States"/>
    <s v="Louisville"/>
    <s v="Kentucky"/>
    <s v="South"/>
    <x v="2"/>
    <x v="7"/>
    <s v="Google Nexus 5"/>
    <x v="2451"/>
    <n v="3"/>
    <n v="0"/>
    <n v="134.99250000000001"/>
  </r>
  <r>
    <n v="3084"/>
    <x v="838"/>
    <x v="2"/>
    <x v="9"/>
    <d v="2011-02-04T00:00:00"/>
    <n v="6"/>
    <x v="1"/>
    <s v="Jasper Cacioppo"/>
    <x v="0"/>
    <s v="United States"/>
    <s v="New York City"/>
    <s v="New York"/>
    <s v="East"/>
    <x v="1"/>
    <x v="8"/>
    <s v="Pressboard Covers with Storage Hooks, 9 1/2&quot; x 11&quot;, Light Blue"/>
    <x v="2452"/>
    <n v="1"/>
    <n v="0.2"/>
    <n v="1.3257000000000001"/>
  </r>
  <r>
    <n v="3085"/>
    <x v="839"/>
    <x v="3"/>
    <x v="11"/>
    <d v="2014-02-15T00:00:00"/>
    <n v="5"/>
    <x v="1"/>
    <s v="Tom Prescott"/>
    <x v="0"/>
    <s v="United States"/>
    <s v="Houston"/>
    <s v="Texas"/>
    <s v="Central"/>
    <x v="1"/>
    <x v="8"/>
    <s v="GBC ProClick 150 Presentation Binding System"/>
    <x v="2453"/>
    <n v="4"/>
    <n v="0.8"/>
    <n v="-417.09359999999998"/>
  </r>
  <r>
    <n v="3086"/>
    <x v="839"/>
    <x v="3"/>
    <x v="11"/>
    <d v="2014-02-15T00:00:00"/>
    <n v="5"/>
    <x v="1"/>
    <s v="Tom Prescott"/>
    <x v="0"/>
    <s v="United States"/>
    <s v="Houston"/>
    <s v="Texas"/>
    <s v="Central"/>
    <x v="2"/>
    <x v="11"/>
    <s v="Razer Kraken PRO Over Ear PC and Music Headset"/>
    <x v="2454"/>
    <n v="2"/>
    <n v="0.2"/>
    <n v="15.997999999999999"/>
  </r>
  <r>
    <n v="3087"/>
    <x v="839"/>
    <x v="3"/>
    <x v="11"/>
    <d v="2014-02-15T00:00:00"/>
    <n v="5"/>
    <x v="1"/>
    <s v="Tom Prescott"/>
    <x v="0"/>
    <s v="United States"/>
    <s v="Houston"/>
    <s v="Texas"/>
    <s v="Central"/>
    <x v="0"/>
    <x v="5"/>
    <s v="Stacking Trays by OIC"/>
    <x v="2176"/>
    <n v="2"/>
    <n v="0.6"/>
    <n v="-2.6892"/>
  </r>
  <r>
    <n v="3088"/>
    <x v="839"/>
    <x v="3"/>
    <x v="11"/>
    <d v="2014-02-15T00:00:00"/>
    <n v="5"/>
    <x v="1"/>
    <s v="Tom Prescott"/>
    <x v="0"/>
    <s v="United States"/>
    <s v="Houston"/>
    <s v="Texas"/>
    <s v="Central"/>
    <x v="1"/>
    <x v="9"/>
    <s v="Belkin F9S820V06 8 Outlet Surge"/>
    <x v="837"/>
    <n v="2"/>
    <n v="0.8"/>
    <n v="-32.479999999999997"/>
  </r>
  <r>
    <n v="3089"/>
    <x v="185"/>
    <x v="3"/>
    <x v="3"/>
    <d v="2014-04-03T00:00:00"/>
    <n v="2"/>
    <x v="0"/>
    <s v="Daniel Byrd"/>
    <x v="2"/>
    <s v="United States"/>
    <s v="Henderson"/>
    <s v="Kentucky"/>
    <s v="South"/>
    <x v="0"/>
    <x v="5"/>
    <s v="Advantus Panel Wall Certificate Holder - 8.5x11"/>
    <x v="2455"/>
    <n v="5"/>
    <n v="0"/>
    <n v="25.62"/>
  </r>
  <r>
    <n v="3090"/>
    <x v="185"/>
    <x v="3"/>
    <x v="3"/>
    <d v="2014-04-03T00:00:00"/>
    <n v="2"/>
    <x v="0"/>
    <s v="Daniel Byrd"/>
    <x v="2"/>
    <s v="United States"/>
    <s v="Henderson"/>
    <s v="Kentucky"/>
    <s v="South"/>
    <x v="2"/>
    <x v="7"/>
    <s v="Vtech CS6719"/>
    <x v="142"/>
    <n v="7"/>
    <n v="0"/>
    <n v="188.1404"/>
  </r>
  <r>
    <n v="3091"/>
    <x v="840"/>
    <x v="0"/>
    <x v="10"/>
    <d v="2013-03-09T00:00:00"/>
    <n v="5"/>
    <x v="1"/>
    <s v="Brosina Hoffman"/>
    <x v="0"/>
    <s v="United States"/>
    <s v="Newark"/>
    <s v="Delaware"/>
    <s v="East"/>
    <x v="1"/>
    <x v="8"/>
    <s v="GBC ProClick Punch Binding System"/>
    <x v="2456"/>
    <n v="7"/>
    <n v="0"/>
    <n v="219.45140000000001"/>
  </r>
  <r>
    <n v="3092"/>
    <x v="840"/>
    <x v="0"/>
    <x v="10"/>
    <d v="2013-03-09T00:00:00"/>
    <n v="5"/>
    <x v="1"/>
    <s v="Brosina Hoffman"/>
    <x v="0"/>
    <s v="United States"/>
    <s v="Newark"/>
    <s v="Delaware"/>
    <s v="East"/>
    <x v="2"/>
    <x v="7"/>
    <s v="Pyle PMP37LED"/>
    <x v="2457"/>
    <n v="5"/>
    <n v="0"/>
    <n v="129.5865"/>
  </r>
  <r>
    <n v="3093"/>
    <x v="840"/>
    <x v="0"/>
    <x v="10"/>
    <d v="2013-03-09T00:00:00"/>
    <n v="5"/>
    <x v="1"/>
    <s v="Brosina Hoffman"/>
    <x v="0"/>
    <s v="United States"/>
    <s v="Newark"/>
    <s v="Delaware"/>
    <s v="East"/>
    <x v="1"/>
    <x v="10"/>
    <s v="Xerox 194"/>
    <x v="1668"/>
    <n v="3"/>
    <n v="0"/>
    <n v="79.891199999999998"/>
  </r>
  <r>
    <n v="3094"/>
    <x v="841"/>
    <x v="1"/>
    <x v="6"/>
    <d v="2012-08-23T00:00:00"/>
    <n v="0"/>
    <x v="3"/>
    <s v="Tamara Dahlen"/>
    <x v="0"/>
    <s v="United States"/>
    <s v="Bolingbrook"/>
    <s v="Illinois"/>
    <s v="Central"/>
    <x v="1"/>
    <x v="14"/>
    <s v="Acme Tagit Stainless Steel Antibacterial Scissors"/>
    <x v="2458"/>
    <n v="4"/>
    <n v="0.2"/>
    <n v="2.7719999999999998"/>
  </r>
  <r>
    <n v="3095"/>
    <x v="841"/>
    <x v="1"/>
    <x v="6"/>
    <d v="2012-08-23T00:00:00"/>
    <n v="0"/>
    <x v="3"/>
    <s v="Tamara Dahlen"/>
    <x v="0"/>
    <s v="United States"/>
    <s v="Bolingbrook"/>
    <s v="Illinois"/>
    <s v="Central"/>
    <x v="1"/>
    <x v="10"/>
    <s v="Xerox 206"/>
    <x v="559"/>
    <n v="2"/>
    <n v="0.2"/>
    <n v="3.6288"/>
  </r>
  <r>
    <n v="3096"/>
    <x v="841"/>
    <x v="1"/>
    <x v="6"/>
    <d v="2012-08-23T00:00:00"/>
    <n v="0"/>
    <x v="3"/>
    <s v="Tamara Dahlen"/>
    <x v="0"/>
    <s v="United States"/>
    <s v="Bolingbrook"/>
    <s v="Illinois"/>
    <s v="Central"/>
    <x v="1"/>
    <x v="13"/>
    <s v="Staples"/>
    <x v="2459"/>
    <n v="8"/>
    <n v="0.2"/>
    <n v="2.2559999999999998"/>
  </r>
  <r>
    <n v="3097"/>
    <x v="841"/>
    <x v="1"/>
    <x v="6"/>
    <d v="2012-08-23T00:00:00"/>
    <n v="0"/>
    <x v="3"/>
    <s v="Tamara Dahlen"/>
    <x v="0"/>
    <s v="United States"/>
    <s v="Bolingbrook"/>
    <s v="Illinois"/>
    <s v="Central"/>
    <x v="1"/>
    <x v="9"/>
    <s v="Holmes Odor Grabber"/>
    <x v="2460"/>
    <n v="2"/>
    <n v="0.8"/>
    <n v="-13.5548"/>
  </r>
  <r>
    <n v="3098"/>
    <x v="842"/>
    <x v="3"/>
    <x v="3"/>
    <d v="2014-05-02T00:00:00"/>
    <n v="4"/>
    <x v="1"/>
    <s v="Cynthia Voltz"/>
    <x v="1"/>
    <s v="United States"/>
    <s v="Fort Worth"/>
    <s v="Texas"/>
    <s v="Central"/>
    <x v="1"/>
    <x v="2"/>
    <s v="Avery Address/Shipping Labels for Typewriters, 4&quot; x 2&quot;"/>
    <x v="2461"/>
    <n v="4"/>
    <n v="0.2"/>
    <n v="11.592000000000001"/>
  </r>
  <r>
    <n v="3099"/>
    <x v="842"/>
    <x v="3"/>
    <x v="3"/>
    <d v="2014-05-02T00:00:00"/>
    <n v="4"/>
    <x v="1"/>
    <s v="Cynthia Voltz"/>
    <x v="1"/>
    <s v="United States"/>
    <s v="Fort Worth"/>
    <s v="Texas"/>
    <s v="Central"/>
    <x v="0"/>
    <x v="0"/>
    <s v="Sauder Barrister Bookcases"/>
    <x v="2462"/>
    <n v="4"/>
    <n v="0.32"/>
    <n v="-42.1096"/>
  </r>
  <r>
    <n v="3100"/>
    <x v="349"/>
    <x v="3"/>
    <x v="3"/>
    <d v="2014-04-20T00:00:00"/>
    <n v="5"/>
    <x v="1"/>
    <s v="Christine Sundaresam"/>
    <x v="0"/>
    <s v="United States"/>
    <s v="New York City"/>
    <s v="New York"/>
    <s v="East"/>
    <x v="1"/>
    <x v="8"/>
    <s v="Avery Non-Stick Binders"/>
    <x v="2168"/>
    <n v="3"/>
    <n v="0.2"/>
    <n v="3.5022000000000002"/>
  </r>
  <r>
    <n v="3101"/>
    <x v="349"/>
    <x v="3"/>
    <x v="3"/>
    <d v="2014-04-20T00:00:00"/>
    <n v="5"/>
    <x v="1"/>
    <s v="Christine Sundaresam"/>
    <x v="0"/>
    <s v="United States"/>
    <s v="New York City"/>
    <s v="New York"/>
    <s v="East"/>
    <x v="0"/>
    <x v="0"/>
    <s v="Bush Westfield Collection Bookcases, Fully Assembled"/>
    <x v="2463"/>
    <n v="3"/>
    <n v="0.2"/>
    <n v="9.0882000000000005"/>
  </r>
  <r>
    <n v="3102"/>
    <x v="66"/>
    <x v="3"/>
    <x v="4"/>
    <d v="2014-12-28T00:00:00"/>
    <n v="5"/>
    <x v="0"/>
    <s v="Jason Gross"/>
    <x v="1"/>
    <s v="United States"/>
    <s v="Providence"/>
    <s v="Rhode Island"/>
    <s v="East"/>
    <x v="1"/>
    <x v="14"/>
    <s v="Premier Electric Letter Opener"/>
    <x v="2464"/>
    <n v="6"/>
    <n v="0"/>
    <n v="34.758000000000003"/>
  </r>
  <r>
    <n v="3103"/>
    <x v="66"/>
    <x v="3"/>
    <x v="4"/>
    <d v="2014-12-28T00:00:00"/>
    <n v="5"/>
    <x v="0"/>
    <s v="Jason Gross"/>
    <x v="1"/>
    <s v="United States"/>
    <s v="Providence"/>
    <s v="Rhode Island"/>
    <s v="East"/>
    <x v="0"/>
    <x v="0"/>
    <s v="Bush Cubix Collection Bookcases, Fully Assembled"/>
    <x v="2465"/>
    <n v="1"/>
    <n v="0"/>
    <n v="50.825400000000002"/>
  </r>
  <r>
    <n v="3104"/>
    <x v="16"/>
    <x v="0"/>
    <x v="4"/>
    <d v="2013-12-13T00:00:00"/>
    <n v="4"/>
    <x v="1"/>
    <s v="Julie Prescott"/>
    <x v="2"/>
    <s v="United States"/>
    <s v="Columbus"/>
    <s v="Ohio"/>
    <s v="East"/>
    <x v="1"/>
    <x v="8"/>
    <s v="Universal Recycled Hanging Pressboard Report Binders, Letter Size"/>
    <x v="2466"/>
    <n v="7"/>
    <n v="0.7"/>
    <n v="-9.5017999999999994"/>
  </r>
  <r>
    <n v="3105"/>
    <x v="721"/>
    <x v="3"/>
    <x v="10"/>
    <d v="2014-03-30T00:00:00"/>
    <n v="6"/>
    <x v="1"/>
    <s v="Erin Creighton"/>
    <x v="0"/>
    <s v="United States"/>
    <s v="New York City"/>
    <s v="New York"/>
    <s v="East"/>
    <x v="1"/>
    <x v="10"/>
    <s v="Xerox 1980"/>
    <x v="2274"/>
    <n v="6"/>
    <n v="0"/>
    <n v="11.555999999999999"/>
  </r>
  <r>
    <n v="3106"/>
    <x v="197"/>
    <x v="0"/>
    <x v="7"/>
    <d v="2013-07-30T00:00:00"/>
    <n v="4"/>
    <x v="1"/>
    <s v="Ken Heidel"/>
    <x v="1"/>
    <s v="United States"/>
    <s v="Houston"/>
    <s v="Texas"/>
    <s v="Central"/>
    <x v="1"/>
    <x v="2"/>
    <s v="Avery 493"/>
    <x v="577"/>
    <n v="4"/>
    <n v="0.2"/>
    <n v="5.6955999999999998"/>
  </r>
  <r>
    <n v="3107"/>
    <x v="815"/>
    <x v="3"/>
    <x v="7"/>
    <d v="2014-07-15T00:00:00"/>
    <n v="4"/>
    <x v="1"/>
    <s v="Frank Gastineau"/>
    <x v="2"/>
    <s v="United States"/>
    <s v="Aurora"/>
    <s v="Illinois"/>
    <s v="Central"/>
    <x v="1"/>
    <x v="4"/>
    <s v="Fellowes Mobile File Cart, Black"/>
    <x v="2467"/>
    <n v="6"/>
    <n v="0.2"/>
    <n v="26.115600000000001"/>
  </r>
  <r>
    <n v="3108"/>
    <x v="19"/>
    <x v="0"/>
    <x v="7"/>
    <d v="2013-07-23T00:00:00"/>
    <n v="5"/>
    <x v="1"/>
    <s v="Andrew Allen"/>
    <x v="0"/>
    <s v="United States"/>
    <s v="Springfield"/>
    <s v="Missouri"/>
    <s v="Central"/>
    <x v="1"/>
    <x v="10"/>
    <s v="Strathmore Photo Frame Cards"/>
    <x v="2468"/>
    <n v="3"/>
    <n v="0"/>
    <n v="10.0878"/>
  </r>
  <r>
    <n v="3109"/>
    <x v="19"/>
    <x v="0"/>
    <x v="7"/>
    <d v="2013-07-23T00:00:00"/>
    <n v="5"/>
    <x v="1"/>
    <s v="Andrew Allen"/>
    <x v="0"/>
    <s v="United States"/>
    <s v="Springfield"/>
    <s v="Missouri"/>
    <s v="Central"/>
    <x v="1"/>
    <x v="4"/>
    <s v="Carina 42&quot;Hx23 3/4&quot;W Media Storage Unit"/>
    <x v="420"/>
    <n v="3"/>
    <n v="0"/>
    <n v="4.8587999999999996"/>
  </r>
  <r>
    <n v="3110"/>
    <x v="19"/>
    <x v="0"/>
    <x v="7"/>
    <d v="2013-07-23T00:00:00"/>
    <n v="5"/>
    <x v="1"/>
    <s v="Andrew Allen"/>
    <x v="0"/>
    <s v="United States"/>
    <s v="Springfield"/>
    <s v="Missouri"/>
    <s v="Central"/>
    <x v="1"/>
    <x v="10"/>
    <s v="Rediform Wirebound &quot;Phone Memo&quot; Message Book, 11 x 5-3/4"/>
    <x v="2469"/>
    <n v="1"/>
    <n v="0"/>
    <n v="3.7435999999999998"/>
  </r>
  <r>
    <n v="3111"/>
    <x v="19"/>
    <x v="0"/>
    <x v="7"/>
    <d v="2013-07-23T00:00:00"/>
    <n v="5"/>
    <x v="1"/>
    <s v="Andrew Allen"/>
    <x v="0"/>
    <s v="United States"/>
    <s v="Springfield"/>
    <s v="Missouri"/>
    <s v="Central"/>
    <x v="1"/>
    <x v="10"/>
    <s v="Xerox 1993"/>
    <x v="187"/>
    <n v="8"/>
    <n v="0"/>
    <n v="25.401599999999998"/>
  </r>
  <r>
    <n v="3112"/>
    <x v="19"/>
    <x v="0"/>
    <x v="7"/>
    <d v="2013-07-23T00:00:00"/>
    <n v="5"/>
    <x v="1"/>
    <s v="Andrew Allen"/>
    <x v="0"/>
    <s v="United States"/>
    <s v="Springfield"/>
    <s v="Missouri"/>
    <s v="Central"/>
    <x v="1"/>
    <x v="4"/>
    <s v="Tennsco 6- and 18-Compartment Lockers"/>
    <x v="2470"/>
    <n v="1"/>
    <n v="0"/>
    <n v="47.730600000000003"/>
  </r>
  <r>
    <n v="3113"/>
    <x v="828"/>
    <x v="0"/>
    <x v="6"/>
    <d v="2013-08-31T00:00:00"/>
    <n v="7"/>
    <x v="1"/>
    <s v="Maxwell Schwartz"/>
    <x v="0"/>
    <s v="United States"/>
    <s v="Seattle"/>
    <s v="Washington"/>
    <s v="West"/>
    <x v="2"/>
    <x v="15"/>
    <s v="Okidata C331dn Printer"/>
    <x v="2471"/>
    <n v="3"/>
    <n v="0.2"/>
    <n v="62.82"/>
  </r>
  <r>
    <n v="3114"/>
    <x v="828"/>
    <x v="0"/>
    <x v="6"/>
    <d v="2013-08-31T00:00:00"/>
    <n v="7"/>
    <x v="1"/>
    <s v="Maxwell Schwartz"/>
    <x v="0"/>
    <s v="United States"/>
    <s v="Seattle"/>
    <s v="Washington"/>
    <s v="West"/>
    <x v="1"/>
    <x v="12"/>
    <s v="Tyvek  Top-Opening Peel &amp; Seel Envelopes, Plain White"/>
    <x v="2472"/>
    <n v="5"/>
    <n v="0"/>
    <n v="63.872999999999998"/>
  </r>
  <r>
    <n v="3115"/>
    <x v="828"/>
    <x v="0"/>
    <x v="6"/>
    <d v="2013-08-31T00:00:00"/>
    <n v="7"/>
    <x v="1"/>
    <s v="Maxwell Schwartz"/>
    <x v="0"/>
    <s v="United States"/>
    <s v="Seattle"/>
    <s v="Washington"/>
    <s v="West"/>
    <x v="1"/>
    <x v="10"/>
    <s v="Xerox 1978"/>
    <x v="813"/>
    <n v="6"/>
    <n v="0"/>
    <n v="16.993200000000002"/>
  </r>
  <r>
    <n v="3116"/>
    <x v="828"/>
    <x v="0"/>
    <x v="6"/>
    <d v="2013-08-31T00:00:00"/>
    <n v="7"/>
    <x v="1"/>
    <s v="Maxwell Schwartz"/>
    <x v="0"/>
    <s v="United States"/>
    <s v="Seattle"/>
    <s v="Washington"/>
    <s v="West"/>
    <x v="0"/>
    <x v="1"/>
    <s v="Office Star Flex Back Scooter Chair with White Frame"/>
    <x v="1956"/>
    <n v="6"/>
    <n v="0.2"/>
    <n v="-39.952800000000003"/>
  </r>
  <r>
    <n v="3117"/>
    <x v="828"/>
    <x v="0"/>
    <x v="6"/>
    <d v="2013-08-31T00:00:00"/>
    <n v="7"/>
    <x v="1"/>
    <s v="Maxwell Schwartz"/>
    <x v="0"/>
    <s v="United States"/>
    <s v="Seattle"/>
    <s v="Washington"/>
    <s v="West"/>
    <x v="1"/>
    <x v="9"/>
    <s v="Acco Six-Outlet Power Strip, 4' Cord Length"/>
    <x v="2473"/>
    <n v="5"/>
    <n v="0"/>
    <n v="11.206"/>
  </r>
  <r>
    <n v="3118"/>
    <x v="828"/>
    <x v="0"/>
    <x v="6"/>
    <d v="2013-08-31T00:00:00"/>
    <n v="7"/>
    <x v="1"/>
    <s v="Maxwell Schwartz"/>
    <x v="0"/>
    <s v="United States"/>
    <s v="Seattle"/>
    <s v="Washington"/>
    <s v="West"/>
    <x v="1"/>
    <x v="14"/>
    <s v="Acme Rosewood Handle Letter Opener"/>
    <x v="174"/>
    <n v="4"/>
    <n v="0"/>
    <n v="0.1588"/>
  </r>
  <r>
    <n v="3119"/>
    <x v="832"/>
    <x v="1"/>
    <x v="1"/>
    <d v="2012-06-12T00:00:00"/>
    <n v="1"/>
    <x v="2"/>
    <s v="Jim Epp"/>
    <x v="1"/>
    <s v="United States"/>
    <s v="Lakeland"/>
    <s v="Florida"/>
    <s v="South"/>
    <x v="0"/>
    <x v="1"/>
    <s v="Hon 2090 “Pillow Soft” Series Mid Back Swivel/Tilt Chairs"/>
    <x v="2474"/>
    <n v="5"/>
    <n v="0.2"/>
    <n v="-182.637"/>
  </r>
  <r>
    <n v="3120"/>
    <x v="832"/>
    <x v="1"/>
    <x v="1"/>
    <d v="2012-06-12T00:00:00"/>
    <n v="1"/>
    <x v="2"/>
    <s v="Jim Epp"/>
    <x v="1"/>
    <s v="United States"/>
    <s v="Lakeland"/>
    <s v="Florida"/>
    <s v="South"/>
    <x v="2"/>
    <x v="7"/>
    <s v="Cisco SPA301"/>
    <x v="2475"/>
    <n v="2"/>
    <n v="0.2"/>
    <n v="31.198"/>
  </r>
  <r>
    <n v="3121"/>
    <x v="832"/>
    <x v="1"/>
    <x v="1"/>
    <d v="2012-06-12T00:00:00"/>
    <n v="1"/>
    <x v="2"/>
    <s v="Jim Epp"/>
    <x v="1"/>
    <s v="United States"/>
    <s v="Lakeland"/>
    <s v="Florida"/>
    <s v="South"/>
    <x v="0"/>
    <x v="5"/>
    <s v="Seth Thomas 8 1/2&quot; Cubicle Clock"/>
    <x v="2476"/>
    <n v="3"/>
    <n v="0.2"/>
    <n v="7.3007999999999997"/>
  </r>
  <r>
    <n v="3122"/>
    <x v="832"/>
    <x v="1"/>
    <x v="1"/>
    <d v="2012-06-12T00:00:00"/>
    <n v="1"/>
    <x v="2"/>
    <s v="Jim Epp"/>
    <x v="1"/>
    <s v="United States"/>
    <s v="Lakeland"/>
    <s v="Florida"/>
    <s v="South"/>
    <x v="1"/>
    <x v="6"/>
    <s v="Hunt PowerHouse Electric Pencil Sharpener, Blue"/>
    <x v="2477"/>
    <n v="2"/>
    <n v="0.2"/>
    <n v="7.5960000000000001"/>
  </r>
  <r>
    <n v="3123"/>
    <x v="832"/>
    <x v="1"/>
    <x v="1"/>
    <d v="2012-06-12T00:00:00"/>
    <n v="1"/>
    <x v="2"/>
    <s v="Jim Epp"/>
    <x v="1"/>
    <s v="United States"/>
    <s v="Lakeland"/>
    <s v="Florida"/>
    <s v="South"/>
    <x v="1"/>
    <x v="8"/>
    <s v="Ibico Laser Imprintable Binding System Covers"/>
    <x v="287"/>
    <n v="5"/>
    <n v="0.7"/>
    <n v="-62.88"/>
  </r>
  <r>
    <n v="3124"/>
    <x v="832"/>
    <x v="1"/>
    <x v="1"/>
    <d v="2012-06-12T00:00:00"/>
    <n v="1"/>
    <x v="2"/>
    <s v="Jim Epp"/>
    <x v="1"/>
    <s v="United States"/>
    <s v="Lakeland"/>
    <s v="Florida"/>
    <s v="South"/>
    <x v="1"/>
    <x v="8"/>
    <s v="GBC Standard Plastic Binding Systems' Combs"/>
    <x v="2478"/>
    <n v="2"/>
    <n v="0.7"/>
    <n v="-3.14"/>
  </r>
  <r>
    <n v="3125"/>
    <x v="832"/>
    <x v="1"/>
    <x v="1"/>
    <d v="2012-06-12T00:00:00"/>
    <n v="1"/>
    <x v="2"/>
    <s v="Jim Epp"/>
    <x v="1"/>
    <s v="United States"/>
    <s v="Lakeland"/>
    <s v="Florida"/>
    <s v="South"/>
    <x v="1"/>
    <x v="4"/>
    <s v="Tennsco 16-Compartment Lockers with Coat Rack"/>
    <x v="2479"/>
    <n v="2"/>
    <n v="0.2"/>
    <n v="51.831200000000003"/>
  </r>
  <r>
    <n v="3126"/>
    <x v="832"/>
    <x v="1"/>
    <x v="1"/>
    <d v="2012-06-12T00:00:00"/>
    <n v="1"/>
    <x v="2"/>
    <s v="Jim Epp"/>
    <x v="1"/>
    <s v="United States"/>
    <s v="Lakeland"/>
    <s v="Florida"/>
    <s v="South"/>
    <x v="1"/>
    <x v="4"/>
    <s v="Fellowes High-Stak Drawer Files"/>
    <x v="2480"/>
    <n v="4"/>
    <n v="0.2"/>
    <n v="21.142800000000001"/>
  </r>
  <r>
    <n v="3127"/>
    <x v="565"/>
    <x v="3"/>
    <x v="8"/>
    <d v="2014-09-13T00:00:00"/>
    <n v="4"/>
    <x v="1"/>
    <s v="Eugene Barchas"/>
    <x v="0"/>
    <s v="United States"/>
    <s v="Philadelphia"/>
    <s v="Pennsylvania"/>
    <s v="East"/>
    <x v="2"/>
    <x v="7"/>
    <s v="Aastra 6757i CT Wireless VoIP phone"/>
    <x v="2481"/>
    <n v="2"/>
    <n v="0.4"/>
    <n v="-47.396799999999999"/>
  </r>
  <r>
    <n v="3128"/>
    <x v="280"/>
    <x v="3"/>
    <x v="2"/>
    <d v="2014-10-07T00:00:00"/>
    <n v="4"/>
    <x v="1"/>
    <s v="Becky Pak"/>
    <x v="0"/>
    <s v="United States"/>
    <s v="New York City"/>
    <s v="New York"/>
    <s v="East"/>
    <x v="1"/>
    <x v="10"/>
    <s v="Xerox 1907"/>
    <x v="335"/>
    <n v="4"/>
    <n v="0"/>
    <n v="23.086400000000001"/>
  </r>
  <r>
    <n v="3129"/>
    <x v="757"/>
    <x v="2"/>
    <x v="4"/>
    <d v="2011-12-17T00:00:00"/>
    <n v="1"/>
    <x v="2"/>
    <s v="Chad Cunningham"/>
    <x v="2"/>
    <s v="United States"/>
    <s v="Los Angeles"/>
    <s v="California"/>
    <s v="West"/>
    <x v="0"/>
    <x v="5"/>
    <s v="Executive Impressions 14&quot; Contract Wall Clock"/>
    <x v="785"/>
    <n v="2"/>
    <n v="0"/>
    <n v="14.671799999999999"/>
  </r>
  <r>
    <n v="3130"/>
    <x v="757"/>
    <x v="2"/>
    <x v="4"/>
    <d v="2011-12-17T00:00:00"/>
    <n v="1"/>
    <x v="2"/>
    <s v="Chad Cunningham"/>
    <x v="2"/>
    <s v="United States"/>
    <s v="Los Angeles"/>
    <s v="California"/>
    <s v="West"/>
    <x v="0"/>
    <x v="1"/>
    <s v="DMI Arturo Collection Mission-style Design Wood Chair"/>
    <x v="472"/>
    <n v="2"/>
    <n v="0.2"/>
    <n v="18.117599999999999"/>
  </r>
  <r>
    <n v="3131"/>
    <x v="757"/>
    <x v="2"/>
    <x v="4"/>
    <d v="2011-12-17T00:00:00"/>
    <n v="1"/>
    <x v="2"/>
    <s v="Chad Cunningham"/>
    <x v="2"/>
    <s v="United States"/>
    <s v="Los Angeles"/>
    <s v="California"/>
    <s v="West"/>
    <x v="2"/>
    <x v="11"/>
    <s v="First Data FD10 PIN Pad"/>
    <x v="2482"/>
    <n v="5"/>
    <n v="0"/>
    <n v="39.5"/>
  </r>
  <r>
    <n v="3132"/>
    <x v="757"/>
    <x v="2"/>
    <x v="4"/>
    <d v="2011-12-17T00:00:00"/>
    <n v="1"/>
    <x v="2"/>
    <s v="Chad Cunningham"/>
    <x v="2"/>
    <s v="United States"/>
    <s v="Los Angeles"/>
    <s v="California"/>
    <s v="West"/>
    <x v="2"/>
    <x v="7"/>
    <s v="GE 30524EE4"/>
    <x v="2483"/>
    <n v="4"/>
    <n v="0.2"/>
    <n v="70.556399999999996"/>
  </r>
  <r>
    <n v="3133"/>
    <x v="829"/>
    <x v="2"/>
    <x v="6"/>
    <d v="2011-08-26T00:00:00"/>
    <n v="2"/>
    <x v="2"/>
    <s v="Jennifer Patt"/>
    <x v="1"/>
    <s v="United States"/>
    <s v="Oceanside"/>
    <s v="New York"/>
    <s v="East"/>
    <x v="0"/>
    <x v="5"/>
    <s v="G.E. Longer-Life Indoor Recessed Floodlight Bulbs"/>
    <x v="2484"/>
    <n v="2"/>
    <n v="0"/>
    <n v="6.3743999999999996"/>
  </r>
  <r>
    <n v="3134"/>
    <x v="829"/>
    <x v="2"/>
    <x v="6"/>
    <d v="2011-08-26T00:00:00"/>
    <n v="2"/>
    <x v="2"/>
    <s v="Jennifer Patt"/>
    <x v="1"/>
    <s v="United States"/>
    <s v="Oceanside"/>
    <s v="New York"/>
    <s v="East"/>
    <x v="1"/>
    <x v="8"/>
    <s v="Wilson Jones 1&quot; Hanging DublLock Ring Binders"/>
    <x v="2485"/>
    <n v="3"/>
    <n v="0.2"/>
    <n v="4.4352"/>
  </r>
  <r>
    <n v="3135"/>
    <x v="105"/>
    <x v="3"/>
    <x v="0"/>
    <d v="2014-11-19T00:00:00"/>
    <n v="6"/>
    <x v="1"/>
    <s v="Lindsay Shagiari"/>
    <x v="2"/>
    <s v="United States"/>
    <s v="Dallas"/>
    <s v="Texas"/>
    <s v="Central"/>
    <x v="1"/>
    <x v="8"/>
    <s v="Surelock Post Binders"/>
    <x v="2433"/>
    <n v="5"/>
    <n v="0.8"/>
    <n v="-45.84"/>
  </r>
  <r>
    <n v="3136"/>
    <x v="105"/>
    <x v="3"/>
    <x v="0"/>
    <d v="2014-11-19T00:00:00"/>
    <n v="6"/>
    <x v="1"/>
    <s v="Lindsay Shagiari"/>
    <x v="2"/>
    <s v="United States"/>
    <s v="Dallas"/>
    <s v="Texas"/>
    <s v="Central"/>
    <x v="1"/>
    <x v="4"/>
    <s v="Fellowes Neat Ideas Storage Cubes"/>
    <x v="2486"/>
    <n v="3"/>
    <n v="0.2"/>
    <n v="-15.590400000000001"/>
  </r>
  <r>
    <n v="3137"/>
    <x v="105"/>
    <x v="3"/>
    <x v="0"/>
    <d v="2014-11-19T00:00:00"/>
    <n v="6"/>
    <x v="1"/>
    <s v="Lindsay Shagiari"/>
    <x v="2"/>
    <s v="United States"/>
    <s v="Dallas"/>
    <s v="Texas"/>
    <s v="Central"/>
    <x v="2"/>
    <x v="7"/>
    <s v="Panasonic KX TS3282W Corded phone"/>
    <x v="2487"/>
    <n v="1"/>
    <n v="0.2"/>
    <n v="8.4990000000000006"/>
  </r>
  <r>
    <n v="3138"/>
    <x v="105"/>
    <x v="3"/>
    <x v="0"/>
    <d v="2014-11-19T00:00:00"/>
    <n v="6"/>
    <x v="1"/>
    <s v="Lindsay Shagiari"/>
    <x v="2"/>
    <s v="United States"/>
    <s v="Dallas"/>
    <s v="Texas"/>
    <s v="Central"/>
    <x v="1"/>
    <x v="12"/>
    <s v="#10- 4 1/8&quot; x 9 1/2&quot; Security-Tint Envelopes"/>
    <x v="2059"/>
    <n v="2"/>
    <n v="0.2"/>
    <n v="4.4311999999999996"/>
  </r>
  <r>
    <n v="3139"/>
    <x v="105"/>
    <x v="3"/>
    <x v="0"/>
    <d v="2014-11-19T00:00:00"/>
    <n v="6"/>
    <x v="1"/>
    <s v="Lindsay Shagiari"/>
    <x v="2"/>
    <s v="United States"/>
    <s v="Dallas"/>
    <s v="Texas"/>
    <s v="Central"/>
    <x v="2"/>
    <x v="11"/>
    <s v="Maxell LTO Ultrium - 800 GB"/>
    <x v="2488"/>
    <n v="2"/>
    <n v="0.2"/>
    <n v="-0.55979999999999996"/>
  </r>
  <r>
    <n v="3140"/>
    <x v="105"/>
    <x v="3"/>
    <x v="0"/>
    <d v="2014-11-19T00:00:00"/>
    <n v="6"/>
    <x v="1"/>
    <s v="Lindsay Shagiari"/>
    <x v="2"/>
    <s v="United States"/>
    <s v="Dallas"/>
    <s v="Texas"/>
    <s v="Central"/>
    <x v="0"/>
    <x v="5"/>
    <s v="Eldon Expressions Desk Accessory, Wood Photo Frame, Mahogany"/>
    <x v="2489"/>
    <n v="3"/>
    <n v="0.6"/>
    <n v="-17.7072"/>
  </r>
  <r>
    <n v="3141"/>
    <x v="334"/>
    <x v="1"/>
    <x v="3"/>
    <d v="2012-04-28T00:00:00"/>
    <n v="3"/>
    <x v="2"/>
    <s v="John Lucas"/>
    <x v="0"/>
    <s v="United States"/>
    <s v="New York City"/>
    <s v="New York"/>
    <s v="East"/>
    <x v="1"/>
    <x v="9"/>
    <s v="Holmes Replacement Filter for HEPA Air Cleaner, Very Large Room, HEPA Filter"/>
    <x v="2490"/>
    <n v="3"/>
    <n v="0"/>
    <n v="90.8292"/>
  </r>
  <r>
    <n v="3142"/>
    <x v="432"/>
    <x v="2"/>
    <x v="4"/>
    <d v="2011-12-12T00:00:00"/>
    <n v="0"/>
    <x v="3"/>
    <s v="Craig Yedwab"/>
    <x v="1"/>
    <s v="United States"/>
    <s v="San Antonio"/>
    <s v="Texas"/>
    <s v="Central"/>
    <x v="1"/>
    <x v="8"/>
    <s v="GBC DocuBind 300 Electric Binding Machine"/>
    <x v="2491"/>
    <n v="2"/>
    <n v="0.8"/>
    <n v="-336.62720000000002"/>
  </r>
  <r>
    <n v="3143"/>
    <x v="145"/>
    <x v="3"/>
    <x v="8"/>
    <d v="2014-09-28T00:00:00"/>
    <n v="2"/>
    <x v="0"/>
    <s v="Raymond Buch"/>
    <x v="0"/>
    <s v="United States"/>
    <s v="Cincinnati"/>
    <s v="Ohio"/>
    <s v="East"/>
    <x v="2"/>
    <x v="11"/>
    <s v="Logitech 910-002974 M325 Wireless Mouse for Web Scrolling"/>
    <x v="664"/>
    <n v="5"/>
    <n v="0.2"/>
    <n v="35.988"/>
  </r>
  <r>
    <n v="3144"/>
    <x v="145"/>
    <x v="3"/>
    <x v="8"/>
    <d v="2014-09-28T00:00:00"/>
    <n v="2"/>
    <x v="0"/>
    <s v="Raymond Buch"/>
    <x v="0"/>
    <s v="United States"/>
    <s v="Cincinnati"/>
    <s v="Ohio"/>
    <s v="East"/>
    <x v="1"/>
    <x v="6"/>
    <s v="Newell 311"/>
    <x v="2492"/>
    <n v="6"/>
    <n v="0.2"/>
    <n v="0.92820000000000003"/>
  </r>
  <r>
    <n v="3145"/>
    <x v="64"/>
    <x v="0"/>
    <x v="8"/>
    <d v="2013-09-12T00:00:00"/>
    <n v="6"/>
    <x v="1"/>
    <s v="Anthony Rawles"/>
    <x v="1"/>
    <s v="United States"/>
    <s v="Austin"/>
    <s v="Texas"/>
    <s v="Central"/>
    <x v="0"/>
    <x v="1"/>
    <s v="Situations Contoured Folding Chairs, 4/Set"/>
    <x v="2493"/>
    <n v="7"/>
    <n v="0.3"/>
    <n v="-24.843"/>
  </r>
  <r>
    <n v="3146"/>
    <x v="512"/>
    <x v="3"/>
    <x v="11"/>
    <d v="2014-02-14T00:00:00"/>
    <n v="2"/>
    <x v="0"/>
    <s v="Cari Sayre"/>
    <x v="1"/>
    <s v="United States"/>
    <s v="Seattle"/>
    <s v="Washington"/>
    <s v="West"/>
    <x v="0"/>
    <x v="1"/>
    <s v="Global Leather and Oak Executive Chair, Black"/>
    <x v="2494"/>
    <n v="4"/>
    <n v="0.2"/>
    <n v="108.3528"/>
  </r>
  <r>
    <n v="3147"/>
    <x v="512"/>
    <x v="3"/>
    <x v="11"/>
    <d v="2014-02-14T00:00:00"/>
    <n v="2"/>
    <x v="0"/>
    <s v="Cari Sayre"/>
    <x v="1"/>
    <s v="United States"/>
    <s v="Seattle"/>
    <s v="Washington"/>
    <s v="West"/>
    <x v="2"/>
    <x v="7"/>
    <s v="Logitech B530 USB Headset - headset - Full size, Binaural"/>
    <x v="2495"/>
    <n v="3"/>
    <n v="0.2"/>
    <n v="7.7679"/>
  </r>
  <r>
    <n v="3148"/>
    <x v="479"/>
    <x v="2"/>
    <x v="1"/>
    <d v="2011-07-03T00:00:00"/>
    <n v="3"/>
    <x v="0"/>
    <s v="Anthony Rawles"/>
    <x v="1"/>
    <s v="United States"/>
    <s v="Los Angeles"/>
    <s v="California"/>
    <s v="West"/>
    <x v="1"/>
    <x v="6"/>
    <s v="BIC Brite Liner Highlighters, Chisel Tip"/>
    <x v="56"/>
    <n v="5"/>
    <n v="0"/>
    <n v="10.368"/>
  </r>
  <r>
    <n v="3149"/>
    <x v="843"/>
    <x v="0"/>
    <x v="1"/>
    <d v="2013-06-11T00:00:00"/>
    <n v="3"/>
    <x v="2"/>
    <s v="Ross DeVincentis"/>
    <x v="2"/>
    <s v="United States"/>
    <s v="New York City"/>
    <s v="New York"/>
    <s v="East"/>
    <x v="1"/>
    <x v="10"/>
    <s v="Xerox 226"/>
    <x v="56"/>
    <n v="5"/>
    <n v="0"/>
    <n v="15.552"/>
  </r>
  <r>
    <n v="3150"/>
    <x v="414"/>
    <x v="2"/>
    <x v="4"/>
    <d v="2011-12-25T00:00:00"/>
    <n v="5"/>
    <x v="1"/>
    <s v="Keith Herrera"/>
    <x v="0"/>
    <s v="United States"/>
    <s v="Seattle"/>
    <s v="Washington"/>
    <s v="West"/>
    <x v="1"/>
    <x v="2"/>
    <s v="Avery 489"/>
    <x v="2496"/>
    <n v="3"/>
    <n v="0"/>
    <n v="14.904"/>
  </r>
  <r>
    <n v="3151"/>
    <x v="83"/>
    <x v="1"/>
    <x v="4"/>
    <d v="2012-12-18T00:00:00"/>
    <n v="3"/>
    <x v="2"/>
    <s v="Natalie Fritzler"/>
    <x v="0"/>
    <s v="United States"/>
    <s v="Newark"/>
    <s v="Ohio"/>
    <s v="East"/>
    <x v="2"/>
    <x v="11"/>
    <s v="Plantronics Savi W720 Multi-Device Wireless Headset System"/>
    <x v="2497"/>
    <n v="6"/>
    <n v="0.2"/>
    <n v="607.60799999999995"/>
  </r>
  <r>
    <n v="3152"/>
    <x v="83"/>
    <x v="1"/>
    <x v="4"/>
    <d v="2012-12-18T00:00:00"/>
    <n v="3"/>
    <x v="2"/>
    <s v="Natalie Fritzler"/>
    <x v="0"/>
    <s v="United States"/>
    <s v="Newark"/>
    <s v="Ohio"/>
    <s v="East"/>
    <x v="2"/>
    <x v="15"/>
    <s v="Cubify CubeX 3D Printer Double Head Print"/>
    <x v="2498"/>
    <n v="2"/>
    <n v="0.7"/>
    <n v="-2639.9911999999999"/>
  </r>
  <r>
    <n v="3153"/>
    <x v="83"/>
    <x v="1"/>
    <x v="4"/>
    <d v="2012-12-18T00:00:00"/>
    <n v="3"/>
    <x v="2"/>
    <s v="Natalie Fritzler"/>
    <x v="0"/>
    <s v="United States"/>
    <s v="Newark"/>
    <s v="Ohio"/>
    <s v="East"/>
    <x v="2"/>
    <x v="7"/>
    <s v="Panasonic KX TS3282W Corded phone"/>
    <x v="2499"/>
    <n v="2"/>
    <n v="0.4"/>
    <n v="-16.998000000000001"/>
  </r>
  <r>
    <n v="3154"/>
    <x v="83"/>
    <x v="1"/>
    <x v="4"/>
    <d v="2012-12-18T00:00:00"/>
    <n v="3"/>
    <x v="2"/>
    <s v="Natalie Fritzler"/>
    <x v="0"/>
    <s v="United States"/>
    <s v="Newark"/>
    <s v="Ohio"/>
    <s v="East"/>
    <x v="0"/>
    <x v="5"/>
    <s v="Howard Miller 13&quot; Diameter Goldtone Round Wall Clock"/>
    <x v="2500"/>
    <n v="7"/>
    <n v="0.2"/>
    <n v="69.001800000000003"/>
  </r>
  <r>
    <n v="3155"/>
    <x v="228"/>
    <x v="3"/>
    <x v="7"/>
    <d v="2014-07-25T00:00:00"/>
    <n v="4"/>
    <x v="1"/>
    <s v="Suzanne McNair"/>
    <x v="1"/>
    <s v="United States"/>
    <s v="Maple Grove"/>
    <s v="Minnesota"/>
    <s v="Central"/>
    <x v="1"/>
    <x v="8"/>
    <s v="Ibico Ibimaster 300 Manual Binding System"/>
    <x v="2501"/>
    <n v="2"/>
    <n v="0"/>
    <n v="331.19099999999997"/>
  </r>
  <r>
    <n v="3156"/>
    <x v="93"/>
    <x v="2"/>
    <x v="6"/>
    <d v="2011-08-05T00:00:00"/>
    <n v="2"/>
    <x v="0"/>
    <s v="Gary Hansen"/>
    <x v="2"/>
    <s v="United States"/>
    <s v="Glendale"/>
    <s v="Arizona"/>
    <s v="West"/>
    <x v="1"/>
    <x v="10"/>
    <s v="White Computer Printout Paper by Universal"/>
    <x v="2502"/>
    <n v="3"/>
    <n v="0.2"/>
    <n v="33.721200000000003"/>
  </r>
  <r>
    <n v="3157"/>
    <x v="252"/>
    <x v="1"/>
    <x v="6"/>
    <d v="2012-08-28T00:00:00"/>
    <n v="4"/>
    <x v="1"/>
    <s v="Eleni McCrary"/>
    <x v="1"/>
    <s v="United States"/>
    <s v="New York City"/>
    <s v="New York"/>
    <s v="East"/>
    <x v="0"/>
    <x v="3"/>
    <s v="Chromcraft Rectangular Conference Tables"/>
    <x v="428"/>
    <n v="2"/>
    <n v="0.4"/>
    <n v="-75.830399999999997"/>
  </r>
  <r>
    <n v="3158"/>
    <x v="252"/>
    <x v="1"/>
    <x v="6"/>
    <d v="2012-08-28T00:00:00"/>
    <n v="4"/>
    <x v="1"/>
    <s v="Eleni McCrary"/>
    <x v="1"/>
    <s v="United States"/>
    <s v="New York City"/>
    <s v="New York"/>
    <s v="East"/>
    <x v="2"/>
    <x v="11"/>
    <s v="Memorex Micro Travel Drive 8 GB"/>
    <x v="1766"/>
    <n v="2"/>
    <n v="0"/>
    <n v="11.7"/>
  </r>
  <r>
    <n v="3159"/>
    <x v="253"/>
    <x v="0"/>
    <x v="10"/>
    <d v="2013-03-28T00:00:00"/>
    <n v="1"/>
    <x v="2"/>
    <s v="Dean Braden"/>
    <x v="0"/>
    <s v="United States"/>
    <s v="Jacksonville"/>
    <s v="North Carolina"/>
    <s v="South"/>
    <x v="1"/>
    <x v="4"/>
    <s v="Tenex Personal Self-Stacking Standard File Box, Black/Gray"/>
    <x v="2503"/>
    <n v="5"/>
    <n v="0.2"/>
    <n v="5.9184999999999999"/>
  </r>
  <r>
    <n v="3160"/>
    <x v="253"/>
    <x v="0"/>
    <x v="10"/>
    <d v="2013-03-28T00:00:00"/>
    <n v="1"/>
    <x v="2"/>
    <s v="Dean Braden"/>
    <x v="0"/>
    <s v="United States"/>
    <s v="Jacksonville"/>
    <s v="North Carolina"/>
    <s v="South"/>
    <x v="2"/>
    <x v="11"/>
    <s v="Case Logic 2.4GHz Wireless Keyboard"/>
    <x v="2435"/>
    <n v="3"/>
    <n v="0.2"/>
    <n v="-17.996400000000001"/>
  </r>
  <r>
    <n v="3161"/>
    <x v="171"/>
    <x v="2"/>
    <x v="8"/>
    <d v="2011-09-16T00:00:00"/>
    <n v="4"/>
    <x v="0"/>
    <s v="Pete Takahito"/>
    <x v="0"/>
    <s v="United States"/>
    <s v="Houston"/>
    <s v="Texas"/>
    <s v="Central"/>
    <x v="1"/>
    <x v="8"/>
    <s v="Wilson Jones Impact Binders"/>
    <x v="2504"/>
    <n v="5"/>
    <n v="0.8"/>
    <n v="-8.0289999999999999"/>
  </r>
  <r>
    <n v="3162"/>
    <x v="158"/>
    <x v="2"/>
    <x v="8"/>
    <d v="2011-09-25T00:00:00"/>
    <n v="4"/>
    <x v="1"/>
    <s v="Herbert Flentye"/>
    <x v="0"/>
    <s v="United States"/>
    <s v="San Francisco"/>
    <s v="California"/>
    <s v="West"/>
    <x v="1"/>
    <x v="12"/>
    <s v="Staples"/>
    <x v="2505"/>
    <n v="2"/>
    <n v="0"/>
    <n v="7.3132000000000001"/>
  </r>
  <r>
    <n v="3163"/>
    <x v="158"/>
    <x v="2"/>
    <x v="8"/>
    <d v="2011-09-25T00:00:00"/>
    <n v="4"/>
    <x v="1"/>
    <s v="Herbert Flentye"/>
    <x v="0"/>
    <s v="United States"/>
    <s v="San Francisco"/>
    <s v="California"/>
    <s v="West"/>
    <x v="1"/>
    <x v="12"/>
    <s v="#10 White Business Envelopes,4 1/8 x 9 1/2"/>
    <x v="2506"/>
    <n v="5"/>
    <n v="0"/>
    <n v="36.8245"/>
  </r>
  <r>
    <n v="3164"/>
    <x v="158"/>
    <x v="2"/>
    <x v="8"/>
    <d v="2011-09-25T00:00:00"/>
    <n v="4"/>
    <x v="1"/>
    <s v="Herbert Flentye"/>
    <x v="0"/>
    <s v="United States"/>
    <s v="San Francisco"/>
    <s v="California"/>
    <s v="West"/>
    <x v="1"/>
    <x v="6"/>
    <s v="Newell 34"/>
    <x v="423"/>
    <n v="3"/>
    <n v="0"/>
    <n v="15.475199999999999"/>
  </r>
  <r>
    <n v="3165"/>
    <x v="158"/>
    <x v="2"/>
    <x v="8"/>
    <d v="2011-09-25T00:00:00"/>
    <n v="4"/>
    <x v="1"/>
    <s v="Herbert Flentye"/>
    <x v="0"/>
    <s v="United States"/>
    <s v="San Francisco"/>
    <s v="California"/>
    <s v="West"/>
    <x v="1"/>
    <x v="10"/>
    <s v="Xerox 1971"/>
    <x v="1782"/>
    <n v="9"/>
    <n v="0"/>
    <n v="17.334"/>
  </r>
  <r>
    <n v="3166"/>
    <x v="158"/>
    <x v="2"/>
    <x v="8"/>
    <d v="2011-09-25T00:00:00"/>
    <n v="4"/>
    <x v="1"/>
    <s v="Herbert Flentye"/>
    <x v="0"/>
    <s v="United States"/>
    <s v="San Francisco"/>
    <s v="California"/>
    <s v="West"/>
    <x v="2"/>
    <x v="7"/>
    <s v="Polycom CX300 Desktop Phone USB VoIP phone"/>
    <x v="2507"/>
    <n v="2"/>
    <n v="0.2"/>
    <n v="23.9984"/>
  </r>
  <r>
    <n v="3167"/>
    <x v="158"/>
    <x v="2"/>
    <x v="8"/>
    <d v="2011-09-25T00:00:00"/>
    <n v="4"/>
    <x v="1"/>
    <s v="Herbert Flentye"/>
    <x v="0"/>
    <s v="United States"/>
    <s v="San Francisco"/>
    <s v="California"/>
    <s v="West"/>
    <x v="1"/>
    <x v="10"/>
    <s v="Wirebound Four 2-3/4 x 5 Forms per Page, 400 Sets per Book"/>
    <x v="2508"/>
    <n v="3"/>
    <n v="0"/>
    <n v="9.4815000000000005"/>
  </r>
  <r>
    <n v="3168"/>
    <x v="517"/>
    <x v="0"/>
    <x v="2"/>
    <d v="2013-11-01T00:00:00"/>
    <n v="2"/>
    <x v="2"/>
    <s v="Katrina Willman"/>
    <x v="0"/>
    <s v="United States"/>
    <s v="Lansing"/>
    <s v="Michigan"/>
    <s v="Central"/>
    <x v="0"/>
    <x v="5"/>
    <s v="Electrix 20W Halogen Replacement Bulb for Zoom-In Desk Lamp"/>
    <x v="2509"/>
    <n v="5"/>
    <n v="0"/>
    <n v="32.159999999999997"/>
  </r>
  <r>
    <n v="3169"/>
    <x v="316"/>
    <x v="0"/>
    <x v="5"/>
    <d v="2013-06-04T00:00:00"/>
    <n v="6"/>
    <x v="1"/>
    <s v="Kimberly Carter"/>
    <x v="1"/>
    <s v="United States"/>
    <s v="Tallahassee"/>
    <s v="Florida"/>
    <s v="South"/>
    <x v="0"/>
    <x v="1"/>
    <s v="Novimex Fabric Task Chair"/>
    <x v="2510"/>
    <n v="8"/>
    <n v="0.2"/>
    <n v="-24.391999999999999"/>
  </r>
  <r>
    <n v="3170"/>
    <x v="316"/>
    <x v="0"/>
    <x v="5"/>
    <d v="2013-06-04T00:00:00"/>
    <n v="6"/>
    <x v="1"/>
    <s v="Kimberly Carter"/>
    <x v="1"/>
    <s v="United States"/>
    <s v="Tallahassee"/>
    <s v="Florida"/>
    <s v="South"/>
    <x v="1"/>
    <x v="10"/>
    <s v="Great White Multi-Use Recycled Paper (20Lb. and 84 Bright)"/>
    <x v="2511"/>
    <n v="13"/>
    <n v="0.2"/>
    <n v="19.434999999999999"/>
  </r>
  <r>
    <n v="3171"/>
    <x v="202"/>
    <x v="3"/>
    <x v="4"/>
    <d v="2014-12-27T00:00:00"/>
    <n v="5"/>
    <x v="0"/>
    <s v="Pete Kriz"/>
    <x v="0"/>
    <s v="United States"/>
    <s v="Columbia"/>
    <s v="South Carolina"/>
    <s v="South"/>
    <x v="1"/>
    <x v="8"/>
    <s v="Ibico Presentation Index for Binding Systems"/>
    <x v="1680"/>
    <n v="6"/>
    <n v="0"/>
    <n v="11.223599999999999"/>
  </r>
  <r>
    <n v="3172"/>
    <x v="844"/>
    <x v="0"/>
    <x v="10"/>
    <d v="2013-03-29T00:00:00"/>
    <n v="7"/>
    <x v="1"/>
    <s v="Kean Takahito"/>
    <x v="0"/>
    <s v="United States"/>
    <s v="Chicago"/>
    <s v="Illinois"/>
    <s v="Central"/>
    <x v="1"/>
    <x v="8"/>
    <s v="Avery Durable Slant Ring Binders"/>
    <x v="754"/>
    <n v="2"/>
    <n v="0.8"/>
    <n v="-4.7519999999999998"/>
  </r>
  <r>
    <n v="3173"/>
    <x v="844"/>
    <x v="0"/>
    <x v="10"/>
    <d v="2013-03-29T00:00:00"/>
    <n v="7"/>
    <x v="1"/>
    <s v="Kean Takahito"/>
    <x v="0"/>
    <s v="United States"/>
    <s v="Chicago"/>
    <s v="Illinois"/>
    <s v="Central"/>
    <x v="0"/>
    <x v="1"/>
    <s v="Global Airflow Leather Mesh Back Chair, Black"/>
    <x v="2512"/>
    <n v="5"/>
    <n v="0.3"/>
    <n v="0"/>
  </r>
  <r>
    <n v="3174"/>
    <x v="844"/>
    <x v="0"/>
    <x v="10"/>
    <d v="2013-03-29T00:00:00"/>
    <n v="7"/>
    <x v="1"/>
    <s v="Kean Takahito"/>
    <x v="0"/>
    <s v="United States"/>
    <s v="Chicago"/>
    <s v="Illinois"/>
    <s v="Central"/>
    <x v="1"/>
    <x v="6"/>
    <s v="Newell 33"/>
    <x v="2513"/>
    <n v="3"/>
    <n v="0.2"/>
    <n v="1.5065999999999999"/>
  </r>
  <r>
    <n v="3175"/>
    <x v="343"/>
    <x v="3"/>
    <x v="0"/>
    <d v="2014-11-19T00:00:00"/>
    <n v="7"/>
    <x v="1"/>
    <s v="Emily Phan"/>
    <x v="0"/>
    <s v="United States"/>
    <s v="Detroit"/>
    <s v="Michigan"/>
    <s v="Central"/>
    <x v="1"/>
    <x v="6"/>
    <s v="Boston 1799 Powerhouse Electric Pencil Sharpener"/>
    <x v="2514"/>
    <n v="7"/>
    <n v="0"/>
    <n v="50.9208"/>
  </r>
  <r>
    <n v="3176"/>
    <x v="397"/>
    <x v="3"/>
    <x v="8"/>
    <d v="2014-09-30T00:00:00"/>
    <n v="6"/>
    <x v="1"/>
    <s v="Arthur Prichep"/>
    <x v="0"/>
    <s v="United States"/>
    <s v="Fort Collins"/>
    <s v="Colorado"/>
    <s v="West"/>
    <x v="0"/>
    <x v="0"/>
    <s v="Atlantic Metals Mobile 5-Shelf Bookcases, Custom Colors"/>
    <x v="2515"/>
    <n v="2"/>
    <n v="0.7"/>
    <n v="-240.78399999999999"/>
  </r>
  <r>
    <n v="3177"/>
    <x v="397"/>
    <x v="3"/>
    <x v="8"/>
    <d v="2014-09-30T00:00:00"/>
    <n v="6"/>
    <x v="1"/>
    <s v="Arthur Prichep"/>
    <x v="0"/>
    <s v="United States"/>
    <s v="Fort Collins"/>
    <s v="Colorado"/>
    <s v="West"/>
    <x v="2"/>
    <x v="11"/>
    <s v="Belkin F8E887 USB Wired Ergonomic Keyboard"/>
    <x v="730"/>
    <n v="2"/>
    <n v="0.2"/>
    <n v="0.5998"/>
  </r>
  <r>
    <n v="3178"/>
    <x v="18"/>
    <x v="3"/>
    <x v="8"/>
    <d v="2014-09-11T00:00:00"/>
    <n v="0"/>
    <x v="3"/>
    <s v="Shahid Hopkins"/>
    <x v="0"/>
    <s v="United States"/>
    <s v="New York City"/>
    <s v="New York"/>
    <s v="East"/>
    <x v="1"/>
    <x v="10"/>
    <s v="Rediform S.O.S. 1-Up Phone Message Bk, 4-1/4x3-1/16 Bk, 1 Form/Pg, 40 Messages/Bk, 3/Pk"/>
    <x v="2516"/>
    <n v="2"/>
    <n v="0"/>
    <n v="9.0047999999999995"/>
  </r>
  <r>
    <n v="3179"/>
    <x v="256"/>
    <x v="3"/>
    <x v="4"/>
    <d v="2014-12-12T00:00:00"/>
    <n v="6"/>
    <x v="1"/>
    <s v="Suzanne McNair"/>
    <x v="1"/>
    <s v="United States"/>
    <s v="New York City"/>
    <s v="New York"/>
    <s v="East"/>
    <x v="0"/>
    <x v="5"/>
    <s v="Eldon Expressions Wood and Plastic Desk Accessories, Cherry Wood"/>
    <x v="167"/>
    <n v="3"/>
    <n v="0"/>
    <n v="6.0726000000000004"/>
  </r>
  <r>
    <n v="3180"/>
    <x v="256"/>
    <x v="3"/>
    <x v="4"/>
    <d v="2014-12-12T00:00:00"/>
    <n v="6"/>
    <x v="1"/>
    <s v="Suzanne McNair"/>
    <x v="1"/>
    <s v="United States"/>
    <s v="New York City"/>
    <s v="New York"/>
    <s v="East"/>
    <x v="0"/>
    <x v="5"/>
    <s v="Seth Thomas 14&quot; Putty-Colored Wall Clock"/>
    <x v="2517"/>
    <n v="2"/>
    <n v="0"/>
    <n v="18.190799999999999"/>
  </r>
  <r>
    <n v="3181"/>
    <x v="256"/>
    <x v="3"/>
    <x v="4"/>
    <d v="2014-12-12T00:00:00"/>
    <n v="6"/>
    <x v="1"/>
    <s v="Suzanne McNair"/>
    <x v="1"/>
    <s v="United States"/>
    <s v="New York City"/>
    <s v="New York"/>
    <s v="East"/>
    <x v="1"/>
    <x v="9"/>
    <s v="Eureka The Boss Cordless Rechargeable Stick Vac"/>
    <x v="2518"/>
    <n v="5"/>
    <n v="0"/>
    <n v="68.822999999999993"/>
  </r>
  <r>
    <n v="3182"/>
    <x v="45"/>
    <x v="3"/>
    <x v="0"/>
    <d v="2014-11-13T00:00:00"/>
    <n v="3"/>
    <x v="0"/>
    <s v="Brian Moss"/>
    <x v="1"/>
    <s v="United States"/>
    <s v="Columbia"/>
    <s v="Maryland"/>
    <s v="East"/>
    <x v="1"/>
    <x v="8"/>
    <s v="Wilson Jones Turn Tabs Binder Tool for Ring Binders"/>
    <x v="1313"/>
    <n v="2"/>
    <n v="0"/>
    <n v="4.4344000000000001"/>
  </r>
  <r>
    <n v="3183"/>
    <x v="45"/>
    <x v="3"/>
    <x v="0"/>
    <d v="2014-11-13T00:00:00"/>
    <n v="3"/>
    <x v="0"/>
    <s v="Brian Moss"/>
    <x v="1"/>
    <s v="United States"/>
    <s v="Columbia"/>
    <s v="Maryland"/>
    <s v="East"/>
    <x v="2"/>
    <x v="11"/>
    <s v="Maxell iVDR EX 500GB Cartridge"/>
    <x v="2519"/>
    <n v="3"/>
    <n v="0"/>
    <n v="355.44659999999999"/>
  </r>
  <r>
    <n v="3184"/>
    <x v="45"/>
    <x v="3"/>
    <x v="0"/>
    <d v="2014-11-13T00:00:00"/>
    <n v="3"/>
    <x v="0"/>
    <s v="Brian Moss"/>
    <x v="1"/>
    <s v="United States"/>
    <s v="Columbia"/>
    <s v="Maryland"/>
    <s v="East"/>
    <x v="1"/>
    <x v="4"/>
    <s v="Adjustable Depth Letter/Legal Cart"/>
    <x v="2520"/>
    <n v="9"/>
    <n v="0"/>
    <n v="473.61059999999998"/>
  </r>
  <r>
    <n v="3185"/>
    <x v="45"/>
    <x v="3"/>
    <x v="0"/>
    <d v="2014-11-13T00:00:00"/>
    <n v="3"/>
    <x v="0"/>
    <s v="Brian Moss"/>
    <x v="1"/>
    <s v="United States"/>
    <s v="Columbia"/>
    <s v="Maryland"/>
    <s v="East"/>
    <x v="1"/>
    <x v="4"/>
    <s v="Adjustable Depth Letter/Legal Cart"/>
    <x v="2521"/>
    <n v="3"/>
    <n v="0"/>
    <n v="157.87020000000001"/>
  </r>
  <r>
    <n v="3186"/>
    <x v="845"/>
    <x v="2"/>
    <x v="0"/>
    <d v="2011-11-09T00:00:00"/>
    <n v="2"/>
    <x v="2"/>
    <s v="Tamara Chand"/>
    <x v="1"/>
    <s v="United States"/>
    <s v="Houston"/>
    <s v="Texas"/>
    <s v="Central"/>
    <x v="1"/>
    <x v="8"/>
    <s v="Satellite Sectional Post Binders"/>
    <x v="2522"/>
    <n v="3"/>
    <n v="0.8"/>
    <n v="-44.278199999999998"/>
  </r>
  <r>
    <n v="3187"/>
    <x v="845"/>
    <x v="2"/>
    <x v="0"/>
    <d v="2011-11-09T00:00:00"/>
    <n v="2"/>
    <x v="2"/>
    <s v="Tamara Chand"/>
    <x v="1"/>
    <s v="United States"/>
    <s v="Houston"/>
    <s v="Texas"/>
    <s v="Central"/>
    <x v="1"/>
    <x v="12"/>
    <s v="Staples"/>
    <x v="1339"/>
    <n v="3"/>
    <n v="0.2"/>
    <n v="26.9526"/>
  </r>
  <r>
    <n v="3188"/>
    <x v="846"/>
    <x v="3"/>
    <x v="10"/>
    <d v="2014-03-18T00:00:00"/>
    <n v="5"/>
    <x v="1"/>
    <s v="Ken Black"/>
    <x v="1"/>
    <s v="United States"/>
    <s v="Lowell"/>
    <s v="Massachusetts"/>
    <s v="East"/>
    <x v="2"/>
    <x v="7"/>
    <s v="PowerGen Dual USB Car Charger"/>
    <x v="1546"/>
    <n v="7"/>
    <n v="0"/>
    <n v="32.1678"/>
  </r>
  <r>
    <n v="3189"/>
    <x v="179"/>
    <x v="3"/>
    <x v="2"/>
    <d v="2014-10-23T00:00:00"/>
    <n v="2"/>
    <x v="0"/>
    <s v="Justin Ellison"/>
    <x v="1"/>
    <s v="United States"/>
    <s v="Woodland"/>
    <s v="California"/>
    <s v="West"/>
    <x v="1"/>
    <x v="2"/>
    <s v="Avery 510"/>
    <x v="1398"/>
    <n v="1"/>
    <n v="0"/>
    <n v="1.8"/>
  </r>
  <r>
    <n v="3190"/>
    <x v="179"/>
    <x v="3"/>
    <x v="2"/>
    <d v="2014-10-23T00:00:00"/>
    <n v="2"/>
    <x v="0"/>
    <s v="Justin Ellison"/>
    <x v="1"/>
    <s v="United States"/>
    <s v="Woodland"/>
    <s v="California"/>
    <s v="West"/>
    <x v="1"/>
    <x v="8"/>
    <s v="Wilson Jones Four-Pocket Poly Binders"/>
    <x v="2523"/>
    <n v="4"/>
    <n v="0.2"/>
    <n v="7.5864000000000003"/>
  </r>
  <r>
    <n v="3191"/>
    <x v="17"/>
    <x v="1"/>
    <x v="4"/>
    <d v="2013-01-01T00:00:00"/>
    <n v="5"/>
    <x v="1"/>
    <s v="Daniel Raglin"/>
    <x v="2"/>
    <s v="United States"/>
    <s v="Chicago"/>
    <s v="Illinois"/>
    <s v="Central"/>
    <x v="1"/>
    <x v="4"/>
    <s v="Sterilite Show Offs Storage Containers"/>
    <x v="2485"/>
    <n v="3"/>
    <n v="0.2"/>
    <n v="-3.1680000000000001"/>
  </r>
  <r>
    <n v="3192"/>
    <x v="280"/>
    <x v="3"/>
    <x v="2"/>
    <d v="2014-10-09T00:00:00"/>
    <n v="6"/>
    <x v="1"/>
    <s v="Rob Williams"/>
    <x v="1"/>
    <s v="United States"/>
    <s v="New York City"/>
    <s v="New York"/>
    <s v="East"/>
    <x v="2"/>
    <x v="7"/>
    <s v="Plantronics 81402"/>
    <x v="767"/>
    <n v="1"/>
    <n v="0"/>
    <n v="17.157399999999999"/>
  </r>
  <r>
    <n v="3193"/>
    <x v="400"/>
    <x v="3"/>
    <x v="1"/>
    <d v="2014-06-09T00:00:00"/>
    <n v="4"/>
    <x v="1"/>
    <s v="Michelle Lonsdale"/>
    <x v="1"/>
    <s v="United States"/>
    <s v="Missouri City"/>
    <s v="Texas"/>
    <s v="Central"/>
    <x v="1"/>
    <x v="8"/>
    <s v="Presstex Flexible Ring Binders"/>
    <x v="2524"/>
    <n v="7"/>
    <n v="0.8"/>
    <n v="-9.5549999999999997"/>
  </r>
  <r>
    <n v="3194"/>
    <x v="416"/>
    <x v="2"/>
    <x v="8"/>
    <d v="2011-09-04T00:00:00"/>
    <n v="3"/>
    <x v="2"/>
    <s v="Jack Lebron"/>
    <x v="0"/>
    <s v="United States"/>
    <s v="Houston"/>
    <s v="Texas"/>
    <s v="Central"/>
    <x v="1"/>
    <x v="8"/>
    <s v="Prestige Round Ring Binders"/>
    <x v="581"/>
    <n v="3"/>
    <n v="0.8"/>
    <n v="-6.0191999999999997"/>
  </r>
  <r>
    <n v="3195"/>
    <x v="416"/>
    <x v="2"/>
    <x v="8"/>
    <d v="2011-09-04T00:00:00"/>
    <n v="3"/>
    <x v="2"/>
    <s v="Jack Lebron"/>
    <x v="0"/>
    <s v="United States"/>
    <s v="Houston"/>
    <s v="Texas"/>
    <s v="Central"/>
    <x v="1"/>
    <x v="10"/>
    <s v="Xerox 216"/>
    <x v="276"/>
    <n v="6"/>
    <n v="0.2"/>
    <n v="10.8864"/>
  </r>
  <r>
    <n v="3196"/>
    <x v="590"/>
    <x v="0"/>
    <x v="6"/>
    <d v="2013-08-14T00:00:00"/>
    <n v="5"/>
    <x v="1"/>
    <s v="Corinna Mitchell"/>
    <x v="2"/>
    <s v="United States"/>
    <s v="Jackson"/>
    <s v="Mississippi"/>
    <s v="South"/>
    <x v="1"/>
    <x v="13"/>
    <s v="Alliance Super-Size Bands, Assorted Sizes"/>
    <x v="1005"/>
    <n v="3"/>
    <n v="0"/>
    <n v="0.2334"/>
  </r>
  <r>
    <n v="3197"/>
    <x v="847"/>
    <x v="3"/>
    <x v="7"/>
    <d v="2014-07-29T00:00:00"/>
    <n v="6"/>
    <x v="1"/>
    <s v="Fred Hopkins"/>
    <x v="1"/>
    <s v="United States"/>
    <s v="New York City"/>
    <s v="New York"/>
    <s v="East"/>
    <x v="2"/>
    <x v="7"/>
    <s v="Square Credit Card Reader, 4 1/2&quot; x 4 1/2&quot; x 1&quot;, White"/>
    <x v="2030"/>
    <n v="3"/>
    <n v="0"/>
    <n v="14.085900000000001"/>
  </r>
  <r>
    <n v="3198"/>
    <x v="848"/>
    <x v="1"/>
    <x v="7"/>
    <d v="2012-07-10T00:00:00"/>
    <n v="0"/>
    <x v="3"/>
    <s v="Eric Hoffmann"/>
    <x v="0"/>
    <s v="United States"/>
    <s v="Tempe"/>
    <s v="Arizona"/>
    <s v="West"/>
    <x v="1"/>
    <x v="8"/>
    <s v="Accohide Poly Flexible Ring Binders"/>
    <x v="2525"/>
    <n v="3"/>
    <n v="0.7"/>
    <n v="-2.2440000000000002"/>
  </r>
  <r>
    <n v="3199"/>
    <x v="588"/>
    <x v="2"/>
    <x v="4"/>
    <d v="2011-12-07T00:00:00"/>
    <n v="6"/>
    <x v="1"/>
    <s v="Toby Braunhardt"/>
    <x v="0"/>
    <s v="United States"/>
    <s v="Jacksonville"/>
    <s v="North Carolina"/>
    <s v="South"/>
    <x v="2"/>
    <x v="7"/>
    <s v="BlueLounge Milo Smartphone Stand, White/Metallic"/>
    <x v="1651"/>
    <n v="4"/>
    <n v="0.2"/>
    <n v="9.5968"/>
  </r>
  <r>
    <n v="3200"/>
    <x v="404"/>
    <x v="3"/>
    <x v="4"/>
    <d v="2014-12-23T00:00:00"/>
    <n v="4"/>
    <x v="1"/>
    <s v="Aaron Hawkins"/>
    <x v="1"/>
    <s v="United States"/>
    <s v="Philadelphia"/>
    <s v="Pennsylvania"/>
    <s v="East"/>
    <x v="1"/>
    <x v="6"/>
    <s v="Avery Fluorescent Highlighter Four-Color Set"/>
    <x v="2526"/>
    <n v="7"/>
    <n v="0.2"/>
    <n v="2.3380000000000001"/>
  </r>
  <r>
    <n v="3201"/>
    <x v="598"/>
    <x v="2"/>
    <x v="5"/>
    <d v="2011-05-20T00:00:00"/>
    <n v="2"/>
    <x v="0"/>
    <s v="Ted Trevino"/>
    <x v="0"/>
    <s v="United States"/>
    <s v="Akron"/>
    <s v="Ohio"/>
    <s v="East"/>
    <x v="0"/>
    <x v="5"/>
    <s v="Deflect-o Glass Clear Studded Chair Mats"/>
    <x v="2527"/>
    <n v="3"/>
    <n v="0.2"/>
    <n v="3.7307999999999999"/>
  </r>
  <r>
    <n v="3202"/>
    <x v="598"/>
    <x v="2"/>
    <x v="5"/>
    <d v="2011-05-20T00:00:00"/>
    <n v="2"/>
    <x v="0"/>
    <s v="Ted Trevino"/>
    <x v="0"/>
    <s v="United States"/>
    <s v="Akron"/>
    <s v="Ohio"/>
    <s v="East"/>
    <x v="1"/>
    <x v="10"/>
    <s v="Xerox 1949"/>
    <x v="795"/>
    <n v="4"/>
    <n v="0.2"/>
    <n v="5.7767999999999997"/>
  </r>
  <r>
    <n v="3203"/>
    <x v="849"/>
    <x v="2"/>
    <x v="0"/>
    <d v="2011-11-16T00:00:00"/>
    <n v="6"/>
    <x v="1"/>
    <s v="Ruben Dartt"/>
    <x v="0"/>
    <s v="United States"/>
    <s v="San Diego"/>
    <s v="California"/>
    <s v="West"/>
    <x v="2"/>
    <x v="7"/>
    <s v="Jabra SPEAK 410"/>
    <x v="2262"/>
    <n v="8"/>
    <n v="0.2"/>
    <n v="60.153599999999997"/>
  </r>
  <r>
    <n v="3204"/>
    <x v="849"/>
    <x v="2"/>
    <x v="0"/>
    <d v="2011-11-16T00:00:00"/>
    <n v="6"/>
    <x v="1"/>
    <s v="Ruben Dartt"/>
    <x v="0"/>
    <s v="United States"/>
    <s v="San Diego"/>
    <s v="California"/>
    <s v="West"/>
    <x v="2"/>
    <x v="11"/>
    <s v="Memorex Froggy Flash Drive 4 GB"/>
    <x v="2528"/>
    <n v="1"/>
    <n v="0"/>
    <n v="4.2861000000000002"/>
  </r>
  <r>
    <n v="3205"/>
    <x v="849"/>
    <x v="2"/>
    <x v="0"/>
    <d v="2011-11-16T00:00:00"/>
    <n v="6"/>
    <x v="1"/>
    <s v="Ruben Dartt"/>
    <x v="0"/>
    <s v="United States"/>
    <s v="San Diego"/>
    <s v="California"/>
    <s v="West"/>
    <x v="0"/>
    <x v="5"/>
    <s v="Luxo Economy Swing Arm Lamp"/>
    <x v="1143"/>
    <n v="2"/>
    <n v="0"/>
    <n v="11.166399999999999"/>
  </r>
  <r>
    <n v="3206"/>
    <x v="849"/>
    <x v="2"/>
    <x v="0"/>
    <d v="2011-11-16T00:00:00"/>
    <n v="6"/>
    <x v="1"/>
    <s v="Ruben Dartt"/>
    <x v="0"/>
    <s v="United States"/>
    <s v="San Diego"/>
    <s v="California"/>
    <s v="West"/>
    <x v="1"/>
    <x v="10"/>
    <s v="Southworth 100% Résumé Paper, 24lb."/>
    <x v="2529"/>
    <n v="8"/>
    <n v="0"/>
    <n v="28.007999999999999"/>
  </r>
  <r>
    <n v="3207"/>
    <x v="849"/>
    <x v="2"/>
    <x v="0"/>
    <d v="2011-11-16T00:00:00"/>
    <n v="6"/>
    <x v="1"/>
    <s v="Ruben Dartt"/>
    <x v="0"/>
    <s v="United States"/>
    <s v="San Diego"/>
    <s v="California"/>
    <s v="West"/>
    <x v="0"/>
    <x v="5"/>
    <s v="Eldon Expressions Punched Metal &amp; Wood Desk Accessories, Pewter &amp; Cherry"/>
    <x v="2530"/>
    <n v="5"/>
    <n v="0"/>
    <n v="14.896000000000001"/>
  </r>
  <r>
    <n v="3208"/>
    <x v="849"/>
    <x v="2"/>
    <x v="0"/>
    <d v="2011-11-16T00:00:00"/>
    <n v="6"/>
    <x v="1"/>
    <s v="Ruben Dartt"/>
    <x v="0"/>
    <s v="United States"/>
    <s v="San Diego"/>
    <s v="California"/>
    <s v="West"/>
    <x v="1"/>
    <x v="2"/>
    <s v="Avery White Multi-Purpose Labels"/>
    <x v="2531"/>
    <n v="8"/>
    <n v="0"/>
    <n v="18.3264"/>
  </r>
  <r>
    <n v="3209"/>
    <x v="850"/>
    <x v="0"/>
    <x v="9"/>
    <d v="2013-01-15T00:00:00"/>
    <n v="6"/>
    <x v="1"/>
    <s v="Laura Armstrong"/>
    <x v="1"/>
    <s v="United States"/>
    <s v="Fresno"/>
    <s v="California"/>
    <s v="West"/>
    <x v="2"/>
    <x v="11"/>
    <s v="Logitech G500s Laser Gaming Mouse with Adjustable Weight Tuning"/>
    <x v="2532"/>
    <n v="5"/>
    <n v="0"/>
    <n v="118.983"/>
  </r>
  <r>
    <n v="3210"/>
    <x v="850"/>
    <x v="0"/>
    <x v="9"/>
    <d v="2013-01-15T00:00:00"/>
    <n v="6"/>
    <x v="1"/>
    <s v="Laura Armstrong"/>
    <x v="1"/>
    <s v="United States"/>
    <s v="Fresno"/>
    <s v="California"/>
    <s v="West"/>
    <x v="2"/>
    <x v="7"/>
    <s v="netTALK DUO VoIP Telephone Service"/>
    <x v="2533"/>
    <n v="9"/>
    <n v="0.2"/>
    <n v="141.72300000000001"/>
  </r>
  <r>
    <n v="3211"/>
    <x v="585"/>
    <x v="3"/>
    <x v="8"/>
    <d v="2014-09-28T00:00:00"/>
    <n v="5"/>
    <x v="1"/>
    <s v="Sally Hughsby"/>
    <x v="1"/>
    <s v="United States"/>
    <s v="Pearland"/>
    <s v="Texas"/>
    <s v="Central"/>
    <x v="1"/>
    <x v="12"/>
    <s v="Staples"/>
    <x v="2513"/>
    <n v="3"/>
    <n v="0.2"/>
    <n v="5.0220000000000002"/>
  </r>
  <r>
    <n v="3212"/>
    <x v="585"/>
    <x v="3"/>
    <x v="8"/>
    <d v="2014-09-28T00:00:00"/>
    <n v="5"/>
    <x v="1"/>
    <s v="Sally Hughsby"/>
    <x v="1"/>
    <s v="United States"/>
    <s v="Pearland"/>
    <s v="Texas"/>
    <s v="Central"/>
    <x v="1"/>
    <x v="8"/>
    <s v="Insertable Tab Post Binder Dividers"/>
    <x v="2534"/>
    <n v="7"/>
    <n v="0.8"/>
    <n v="-18.526199999999999"/>
  </r>
  <r>
    <n v="3213"/>
    <x v="851"/>
    <x v="2"/>
    <x v="4"/>
    <d v="2011-12-28T00:00:00"/>
    <n v="5"/>
    <x v="1"/>
    <s v="Sarah Foster"/>
    <x v="0"/>
    <s v="United States"/>
    <s v="Richmond"/>
    <s v="Indiana"/>
    <s v="Central"/>
    <x v="1"/>
    <x v="9"/>
    <s v="Belkin F9H710-06 7 Outlet SurgeMaster Surge Protector"/>
    <x v="2535"/>
    <n v="11"/>
    <n v="0"/>
    <n v="58.027200000000001"/>
  </r>
  <r>
    <n v="3214"/>
    <x v="439"/>
    <x v="0"/>
    <x v="5"/>
    <d v="2013-06-02T00:00:00"/>
    <n v="6"/>
    <x v="1"/>
    <s v="Tiffany House"/>
    <x v="1"/>
    <s v="United States"/>
    <s v="Philadelphia"/>
    <s v="Pennsylvania"/>
    <s v="East"/>
    <x v="1"/>
    <x v="6"/>
    <s v="OIC #2 Pencils, Medium Soft"/>
    <x v="2536"/>
    <n v="1"/>
    <n v="0.2"/>
    <n v="0.16919999999999999"/>
  </r>
  <r>
    <n v="3215"/>
    <x v="439"/>
    <x v="0"/>
    <x v="5"/>
    <d v="2013-06-02T00:00:00"/>
    <n v="6"/>
    <x v="1"/>
    <s v="Tiffany House"/>
    <x v="1"/>
    <s v="United States"/>
    <s v="Philadelphia"/>
    <s v="Pennsylvania"/>
    <s v="East"/>
    <x v="1"/>
    <x v="9"/>
    <s v="Holmes HEPA Air Purifier"/>
    <x v="1487"/>
    <n v="2"/>
    <n v="0.2"/>
    <n v="6.5339999999999998"/>
  </r>
  <r>
    <n v="3216"/>
    <x v="141"/>
    <x v="3"/>
    <x v="7"/>
    <d v="2014-07-11T00:00:00"/>
    <n v="2"/>
    <x v="2"/>
    <s v="Vivek Gonzalez"/>
    <x v="0"/>
    <s v="United States"/>
    <s v="San Mateo"/>
    <s v="California"/>
    <s v="West"/>
    <x v="1"/>
    <x v="2"/>
    <s v="Avery 485"/>
    <x v="50"/>
    <n v="6"/>
    <n v="0"/>
    <n v="35.334600000000002"/>
  </r>
  <r>
    <n v="3217"/>
    <x v="8"/>
    <x v="2"/>
    <x v="5"/>
    <d v="2011-05-17T00:00:00"/>
    <n v="4"/>
    <x v="1"/>
    <s v="Naresj Patel"/>
    <x v="0"/>
    <s v="United States"/>
    <s v="Oakland"/>
    <s v="California"/>
    <s v="West"/>
    <x v="2"/>
    <x v="11"/>
    <s v="Plantronics Audio 478 Stereo USB Headset"/>
    <x v="145"/>
    <n v="3"/>
    <n v="0"/>
    <n v="52.4895"/>
  </r>
  <r>
    <n v="3218"/>
    <x v="468"/>
    <x v="3"/>
    <x v="0"/>
    <d v="2014-11-17T00:00:00"/>
    <n v="6"/>
    <x v="1"/>
    <s v="Frank Hawley"/>
    <x v="1"/>
    <s v="United States"/>
    <s v="New York City"/>
    <s v="New York"/>
    <s v="East"/>
    <x v="1"/>
    <x v="8"/>
    <s v="Fellowes PB300 Plastic Comb Binding Machine"/>
    <x v="2537"/>
    <n v="3"/>
    <n v="0.2"/>
    <n v="314.27190000000002"/>
  </r>
  <r>
    <n v="3219"/>
    <x v="468"/>
    <x v="3"/>
    <x v="0"/>
    <d v="2014-11-17T00:00:00"/>
    <n v="6"/>
    <x v="1"/>
    <s v="Frank Hawley"/>
    <x v="1"/>
    <s v="United States"/>
    <s v="New York City"/>
    <s v="New York"/>
    <s v="East"/>
    <x v="2"/>
    <x v="7"/>
    <s v="Aastra 6757i CT Wireless VoIP phone"/>
    <x v="2538"/>
    <n v="2"/>
    <n v="0"/>
    <n v="124.9552"/>
  </r>
  <r>
    <n v="3220"/>
    <x v="653"/>
    <x v="1"/>
    <x v="2"/>
    <d v="2012-10-08T00:00:00"/>
    <n v="6"/>
    <x v="1"/>
    <s v="Jennifer Patt"/>
    <x v="1"/>
    <s v="United States"/>
    <s v="Lakewood"/>
    <s v="New Jersey"/>
    <s v="East"/>
    <x v="1"/>
    <x v="10"/>
    <s v="Computer Printout Paper with Letter-Trim Perforations"/>
    <x v="450"/>
    <n v="5"/>
    <n v="0"/>
    <n v="45.527999999999999"/>
  </r>
  <r>
    <n v="3221"/>
    <x v="653"/>
    <x v="1"/>
    <x v="2"/>
    <d v="2012-10-08T00:00:00"/>
    <n v="6"/>
    <x v="1"/>
    <s v="Jennifer Patt"/>
    <x v="1"/>
    <s v="United States"/>
    <s v="Lakewood"/>
    <s v="New Jersey"/>
    <s v="East"/>
    <x v="1"/>
    <x v="12"/>
    <s v="Globe Weis Peel &amp; Seel First Class Envelopes"/>
    <x v="2539"/>
    <n v="4"/>
    <n v="0"/>
    <n v="23.004000000000001"/>
  </r>
  <r>
    <n v="3222"/>
    <x v="653"/>
    <x v="1"/>
    <x v="2"/>
    <d v="2012-10-08T00:00:00"/>
    <n v="6"/>
    <x v="1"/>
    <s v="Jennifer Patt"/>
    <x v="1"/>
    <s v="United States"/>
    <s v="Lakewood"/>
    <s v="New Jersey"/>
    <s v="East"/>
    <x v="2"/>
    <x v="11"/>
    <s v="NETGEAR N750 Dual Band Wi-Fi Gigabit Router"/>
    <x v="2540"/>
    <n v="1"/>
    <n v="0"/>
    <n v="32.4"/>
  </r>
  <r>
    <n v="3223"/>
    <x v="852"/>
    <x v="2"/>
    <x v="2"/>
    <d v="2011-10-05T00:00:00"/>
    <n v="3"/>
    <x v="2"/>
    <s v="Erin Smith"/>
    <x v="1"/>
    <s v="United States"/>
    <s v="Tempe"/>
    <s v="Arizona"/>
    <s v="West"/>
    <x v="1"/>
    <x v="10"/>
    <s v="Adams Telephone Message Book W/Dividers/Space For Phone Numbers, 5 1/4&quot;X8 1/2&quot;, 300/Messages"/>
    <x v="2541"/>
    <n v="2"/>
    <n v="0.2"/>
    <n v="3.4104000000000001"/>
  </r>
  <r>
    <n v="3224"/>
    <x v="852"/>
    <x v="2"/>
    <x v="2"/>
    <d v="2011-10-05T00:00:00"/>
    <n v="3"/>
    <x v="2"/>
    <s v="Erin Smith"/>
    <x v="1"/>
    <s v="United States"/>
    <s v="Tempe"/>
    <s v="Arizona"/>
    <s v="West"/>
    <x v="1"/>
    <x v="13"/>
    <s v="Staples"/>
    <x v="1081"/>
    <n v="2"/>
    <n v="0.2"/>
    <n v="1.46"/>
  </r>
  <r>
    <n v="3225"/>
    <x v="852"/>
    <x v="2"/>
    <x v="2"/>
    <d v="2011-10-05T00:00:00"/>
    <n v="3"/>
    <x v="2"/>
    <s v="Erin Smith"/>
    <x v="1"/>
    <s v="United States"/>
    <s v="Tempe"/>
    <s v="Arizona"/>
    <s v="West"/>
    <x v="2"/>
    <x v="7"/>
    <s v="Bose SoundLink Bluetooth Speaker"/>
    <x v="2542"/>
    <n v="2"/>
    <n v="0.2"/>
    <n v="107.46"/>
  </r>
  <r>
    <n v="3226"/>
    <x v="852"/>
    <x v="2"/>
    <x v="2"/>
    <d v="2011-10-05T00:00:00"/>
    <n v="3"/>
    <x v="2"/>
    <s v="Erin Smith"/>
    <x v="1"/>
    <s v="United States"/>
    <s v="Tempe"/>
    <s v="Arizona"/>
    <s v="West"/>
    <x v="1"/>
    <x v="12"/>
    <s v="Letter or Legal Size Expandable Poly String Tie Envelopes"/>
    <x v="2543"/>
    <n v="6"/>
    <n v="0.2"/>
    <n v="4.6284000000000001"/>
  </r>
  <r>
    <n v="3227"/>
    <x v="852"/>
    <x v="2"/>
    <x v="2"/>
    <d v="2011-10-05T00:00:00"/>
    <n v="3"/>
    <x v="2"/>
    <s v="Erin Smith"/>
    <x v="1"/>
    <s v="United States"/>
    <s v="Tempe"/>
    <s v="Arizona"/>
    <s v="West"/>
    <x v="1"/>
    <x v="14"/>
    <s v="Stiletto Hand Letter Openers"/>
    <x v="2544"/>
    <n v="2"/>
    <n v="0.2"/>
    <n v="-3.2639999999999998"/>
  </r>
  <r>
    <n v="3228"/>
    <x v="852"/>
    <x v="2"/>
    <x v="2"/>
    <d v="2011-10-05T00:00:00"/>
    <n v="3"/>
    <x v="2"/>
    <s v="Erin Smith"/>
    <x v="1"/>
    <s v="United States"/>
    <s v="Tempe"/>
    <s v="Arizona"/>
    <s v="West"/>
    <x v="2"/>
    <x v="7"/>
    <s v="Pyle PMP37LED"/>
    <x v="84"/>
    <n v="3"/>
    <n v="0.2"/>
    <n v="20.157900000000001"/>
  </r>
  <r>
    <n v="3229"/>
    <x v="852"/>
    <x v="2"/>
    <x v="2"/>
    <d v="2011-10-05T00:00:00"/>
    <n v="3"/>
    <x v="2"/>
    <s v="Erin Smith"/>
    <x v="1"/>
    <s v="United States"/>
    <s v="Tempe"/>
    <s v="Arizona"/>
    <s v="West"/>
    <x v="2"/>
    <x v="11"/>
    <s v="Kingston Digital DataTraveler 16GB USB 2.0"/>
    <x v="181"/>
    <n v="1"/>
    <n v="0.2"/>
    <n v="-8.9499999999999996E-2"/>
  </r>
  <r>
    <n v="3230"/>
    <x v="430"/>
    <x v="2"/>
    <x v="6"/>
    <d v="2011-08-16T00:00:00"/>
    <n v="5"/>
    <x v="1"/>
    <s v="Ken Lonsdale"/>
    <x v="0"/>
    <s v="United States"/>
    <s v="New York City"/>
    <s v="New York"/>
    <s v="East"/>
    <x v="1"/>
    <x v="4"/>
    <s v="Tennsco Single-Tier Lockers"/>
    <x v="2545"/>
    <n v="1"/>
    <n v="0"/>
    <n v="18.766999999999999"/>
  </r>
  <r>
    <n v="3231"/>
    <x v="853"/>
    <x v="3"/>
    <x v="8"/>
    <d v="2014-09-06T00:00:00"/>
    <n v="4"/>
    <x v="0"/>
    <s v="Bradley Nguyen"/>
    <x v="0"/>
    <s v="United States"/>
    <s v="New York City"/>
    <s v="New York"/>
    <s v="East"/>
    <x v="0"/>
    <x v="5"/>
    <s v="Seth Thomas 12&quot; Clock w/ Goldtone Case"/>
    <x v="9"/>
    <n v="5"/>
    <n v="0"/>
    <n v="39.066000000000003"/>
  </r>
  <r>
    <n v="3232"/>
    <x v="513"/>
    <x v="3"/>
    <x v="3"/>
    <d v="2014-04-23T00:00:00"/>
    <n v="6"/>
    <x v="1"/>
    <s v="Natalie DeCherney"/>
    <x v="0"/>
    <s v="United States"/>
    <s v="Houston"/>
    <s v="Texas"/>
    <s v="Central"/>
    <x v="1"/>
    <x v="8"/>
    <s v="Satellite Sectional Post Binders"/>
    <x v="2522"/>
    <n v="3"/>
    <n v="0.8"/>
    <n v="-44.278199999999998"/>
  </r>
  <r>
    <n v="3233"/>
    <x v="513"/>
    <x v="3"/>
    <x v="3"/>
    <d v="2014-04-23T00:00:00"/>
    <n v="6"/>
    <x v="1"/>
    <s v="Natalie DeCherney"/>
    <x v="0"/>
    <s v="United States"/>
    <s v="Houston"/>
    <s v="Texas"/>
    <s v="Central"/>
    <x v="1"/>
    <x v="8"/>
    <s v="GBC White Gloss Covers, Plain Front"/>
    <x v="1671"/>
    <n v="1"/>
    <n v="0.8"/>
    <n v="-4.7784000000000004"/>
  </r>
  <r>
    <n v="3234"/>
    <x v="513"/>
    <x v="3"/>
    <x v="3"/>
    <d v="2014-04-23T00:00:00"/>
    <n v="6"/>
    <x v="1"/>
    <s v="Natalie DeCherney"/>
    <x v="0"/>
    <s v="United States"/>
    <s v="Houston"/>
    <s v="Texas"/>
    <s v="Central"/>
    <x v="1"/>
    <x v="4"/>
    <s v="Tennsco Commercial Shelving"/>
    <x v="2546"/>
    <n v="2"/>
    <n v="0.2"/>
    <n v="-7.7291999999999996"/>
  </r>
  <r>
    <n v="3235"/>
    <x v="423"/>
    <x v="0"/>
    <x v="3"/>
    <d v="2013-04-28T00:00:00"/>
    <n v="3"/>
    <x v="2"/>
    <s v="Jack Lebron"/>
    <x v="0"/>
    <s v="United States"/>
    <s v="Riverside"/>
    <s v="California"/>
    <s v="West"/>
    <x v="1"/>
    <x v="8"/>
    <s v="Cardinal Holdit Business Card Pockets"/>
    <x v="2176"/>
    <n v="1"/>
    <n v="0.2"/>
    <n v="1.3944000000000001"/>
  </r>
  <r>
    <n v="3236"/>
    <x v="804"/>
    <x v="0"/>
    <x v="9"/>
    <d v="2013-01-15T00:00:00"/>
    <n v="0"/>
    <x v="3"/>
    <s v="Roy Collins"/>
    <x v="0"/>
    <s v="United States"/>
    <s v="Fairfield"/>
    <s v="Connecticut"/>
    <s v="East"/>
    <x v="0"/>
    <x v="3"/>
    <s v="Bevis Round Bullnose 29&quot; High Table Top"/>
    <x v="2547"/>
    <n v="1"/>
    <n v="0.3"/>
    <n v="-15.582599999999999"/>
  </r>
  <r>
    <n v="3237"/>
    <x v="440"/>
    <x v="0"/>
    <x v="5"/>
    <d v="2013-05-03T00:00:00"/>
    <n v="0"/>
    <x v="3"/>
    <s v="Cindy Chapman"/>
    <x v="0"/>
    <s v="United States"/>
    <s v="New York City"/>
    <s v="New York"/>
    <s v="East"/>
    <x v="1"/>
    <x v="4"/>
    <s v="Super Decoflex Portable Personal File"/>
    <x v="2548"/>
    <n v="3"/>
    <n v="0"/>
    <n v="12.5832"/>
  </r>
  <r>
    <n v="3238"/>
    <x v="440"/>
    <x v="0"/>
    <x v="5"/>
    <d v="2013-05-03T00:00:00"/>
    <n v="0"/>
    <x v="3"/>
    <s v="Cindy Chapman"/>
    <x v="0"/>
    <s v="United States"/>
    <s v="New York City"/>
    <s v="New York"/>
    <s v="East"/>
    <x v="1"/>
    <x v="8"/>
    <s v="Poly Designer Cover &amp; Back"/>
    <x v="2549"/>
    <n v="3"/>
    <n v="0.2"/>
    <n v="15.951599999999999"/>
  </r>
  <r>
    <n v="3239"/>
    <x v="73"/>
    <x v="0"/>
    <x v="0"/>
    <d v="2013-11-28T00:00:00"/>
    <n v="7"/>
    <x v="1"/>
    <s v="David Wiener"/>
    <x v="1"/>
    <s v="United States"/>
    <s v="Houston"/>
    <s v="Texas"/>
    <s v="Central"/>
    <x v="0"/>
    <x v="1"/>
    <s v="Global Wood Trimmed Manager's Task Chair, Khaki"/>
    <x v="2550"/>
    <n v="5"/>
    <n v="0.3"/>
    <n v="-77.332999999999998"/>
  </r>
  <r>
    <n v="3240"/>
    <x v="73"/>
    <x v="0"/>
    <x v="0"/>
    <d v="2013-11-28T00:00:00"/>
    <n v="7"/>
    <x v="1"/>
    <s v="David Wiener"/>
    <x v="1"/>
    <s v="United States"/>
    <s v="Houston"/>
    <s v="Texas"/>
    <s v="Central"/>
    <x v="2"/>
    <x v="7"/>
    <s v="Samsung HM1900 Bluetooth Headset"/>
    <x v="2551"/>
    <n v="7"/>
    <n v="0.2"/>
    <n v="46.094999999999999"/>
  </r>
  <r>
    <n v="3241"/>
    <x v="73"/>
    <x v="0"/>
    <x v="0"/>
    <d v="2013-11-28T00:00:00"/>
    <n v="7"/>
    <x v="1"/>
    <s v="David Wiener"/>
    <x v="1"/>
    <s v="United States"/>
    <s v="Houston"/>
    <s v="Texas"/>
    <s v="Central"/>
    <x v="0"/>
    <x v="5"/>
    <s v="Eldon Wave Desk Accessories"/>
    <x v="2552"/>
    <n v="3"/>
    <n v="0.6"/>
    <n v="-2.8271999999999999"/>
  </r>
  <r>
    <n v="3242"/>
    <x v="854"/>
    <x v="0"/>
    <x v="11"/>
    <d v="2013-02-03T00:00:00"/>
    <n v="2"/>
    <x v="2"/>
    <s v="Cyma Kinney"/>
    <x v="1"/>
    <s v="United States"/>
    <s v="Arlington"/>
    <s v="Virginia"/>
    <s v="South"/>
    <x v="1"/>
    <x v="4"/>
    <s v="X-Rack File for Hanging Folders"/>
    <x v="1982"/>
    <n v="5"/>
    <n v="0"/>
    <n v="14.677"/>
  </r>
  <r>
    <n v="3243"/>
    <x v="185"/>
    <x v="3"/>
    <x v="3"/>
    <d v="2014-04-06T00:00:00"/>
    <n v="5"/>
    <x v="0"/>
    <s v="Emily Grady"/>
    <x v="0"/>
    <s v="United States"/>
    <s v="Chicago"/>
    <s v="Illinois"/>
    <s v="Central"/>
    <x v="1"/>
    <x v="8"/>
    <s v="SlimView Poly Binder, 3/8&quot;"/>
    <x v="2553"/>
    <n v="13"/>
    <n v="0.8"/>
    <n v="-22.895600000000002"/>
  </r>
  <r>
    <n v="3244"/>
    <x v="96"/>
    <x v="3"/>
    <x v="4"/>
    <d v="2014-12-06T00:00:00"/>
    <n v="4"/>
    <x v="1"/>
    <s v="Sarah Jordon"/>
    <x v="0"/>
    <s v="United States"/>
    <s v="Grand Prairie"/>
    <s v="Texas"/>
    <s v="Central"/>
    <x v="2"/>
    <x v="7"/>
    <s v="Cisco SPA112 2 Port Phone Adapter"/>
    <x v="2554"/>
    <n v="5"/>
    <n v="0.2"/>
    <n v="24.727499999999999"/>
  </r>
  <r>
    <n v="3245"/>
    <x v="96"/>
    <x v="3"/>
    <x v="4"/>
    <d v="2014-12-06T00:00:00"/>
    <n v="4"/>
    <x v="1"/>
    <s v="Sarah Jordon"/>
    <x v="0"/>
    <s v="United States"/>
    <s v="Grand Prairie"/>
    <s v="Texas"/>
    <s v="Central"/>
    <x v="0"/>
    <x v="1"/>
    <s v="DMI Arturo Collection Mission-style Design Wood Chair"/>
    <x v="2555"/>
    <n v="3"/>
    <n v="0.3"/>
    <n v="-18.117599999999999"/>
  </r>
  <r>
    <n v="3246"/>
    <x v="389"/>
    <x v="3"/>
    <x v="4"/>
    <d v="2014-12-13T00:00:00"/>
    <n v="2"/>
    <x v="0"/>
    <s v="Ben Peterman"/>
    <x v="1"/>
    <s v="United States"/>
    <s v="Seattle"/>
    <s v="Washington"/>
    <s v="West"/>
    <x v="2"/>
    <x v="11"/>
    <s v="Logitech Desktop MK120 Mouse and keyboard Combo"/>
    <x v="1216"/>
    <n v="3"/>
    <n v="0"/>
    <n v="4.9080000000000004"/>
  </r>
  <r>
    <n v="3247"/>
    <x v="389"/>
    <x v="3"/>
    <x v="4"/>
    <d v="2014-12-13T00:00:00"/>
    <n v="2"/>
    <x v="0"/>
    <s v="Ben Peterman"/>
    <x v="1"/>
    <s v="United States"/>
    <s v="Seattle"/>
    <s v="Washington"/>
    <s v="West"/>
    <x v="1"/>
    <x v="4"/>
    <s v="Fellowes Bankers Box Staxonsteel Drawer File/Stacking System"/>
    <x v="1754"/>
    <n v="5"/>
    <n v="0"/>
    <n v="38.988"/>
  </r>
  <r>
    <n v="3248"/>
    <x v="389"/>
    <x v="3"/>
    <x v="4"/>
    <d v="2014-12-13T00:00:00"/>
    <n v="2"/>
    <x v="0"/>
    <s v="Ben Peterman"/>
    <x v="1"/>
    <s v="United States"/>
    <s v="Seattle"/>
    <s v="Washington"/>
    <s v="West"/>
    <x v="1"/>
    <x v="6"/>
    <s v="Col-Erase Pencils with Erasers"/>
    <x v="2556"/>
    <n v="3"/>
    <n v="0"/>
    <n v="5.2896000000000001"/>
  </r>
  <r>
    <n v="3249"/>
    <x v="42"/>
    <x v="0"/>
    <x v="8"/>
    <d v="2013-09-22T00:00:00"/>
    <n v="4"/>
    <x v="1"/>
    <s v="Sanjit Jacobs"/>
    <x v="2"/>
    <s v="United States"/>
    <s v="Seattle"/>
    <s v="Washington"/>
    <s v="West"/>
    <x v="0"/>
    <x v="1"/>
    <s v="Harbour Creations 67200 Series Stacking Chairs"/>
    <x v="2369"/>
    <n v="2"/>
    <n v="0.2"/>
    <n v="9.9651999999999994"/>
  </r>
  <r>
    <n v="3250"/>
    <x v="42"/>
    <x v="0"/>
    <x v="8"/>
    <d v="2013-09-22T00:00:00"/>
    <n v="4"/>
    <x v="1"/>
    <s v="Sanjit Jacobs"/>
    <x v="2"/>
    <s v="United States"/>
    <s v="Seattle"/>
    <s v="Washington"/>
    <s v="West"/>
    <x v="2"/>
    <x v="7"/>
    <s v="Clarity 53712"/>
    <x v="550"/>
    <n v="2"/>
    <n v="0.2"/>
    <n v="7.9188000000000001"/>
  </r>
  <r>
    <n v="3251"/>
    <x v="443"/>
    <x v="0"/>
    <x v="4"/>
    <d v="2013-12-30T00:00:00"/>
    <n v="6"/>
    <x v="1"/>
    <s v="Matt Collister"/>
    <x v="1"/>
    <s v="United States"/>
    <s v="Grand Rapids"/>
    <s v="Michigan"/>
    <s v="Central"/>
    <x v="1"/>
    <x v="13"/>
    <s v="Acco Clips to Go Binder Clips, 24 Clips in Two Sizes"/>
    <x v="2557"/>
    <n v="7"/>
    <n v="0"/>
    <n v="11.679500000000001"/>
  </r>
  <r>
    <n v="3252"/>
    <x v="827"/>
    <x v="3"/>
    <x v="3"/>
    <d v="2014-04-20T00:00:00"/>
    <n v="2"/>
    <x v="2"/>
    <s v="Bruce Geld"/>
    <x v="0"/>
    <s v="United States"/>
    <s v="Philadelphia"/>
    <s v="Pennsylvania"/>
    <s v="East"/>
    <x v="0"/>
    <x v="5"/>
    <s v="Eldon Executive Woodline II Desk Accessories, Mahogany"/>
    <x v="2558"/>
    <n v="3"/>
    <n v="0.2"/>
    <n v="5.2773000000000003"/>
  </r>
  <r>
    <n v="3253"/>
    <x v="855"/>
    <x v="3"/>
    <x v="2"/>
    <d v="2014-10-31T00:00:00"/>
    <n v="3"/>
    <x v="0"/>
    <s v="Matt Abelman"/>
    <x v="2"/>
    <s v="United States"/>
    <s v="Chicago"/>
    <s v="Illinois"/>
    <s v="Central"/>
    <x v="1"/>
    <x v="6"/>
    <s v="Prang Colored Pencils"/>
    <x v="2559"/>
    <n v="3"/>
    <n v="0.2"/>
    <n v="2.2050000000000001"/>
  </r>
  <r>
    <n v="3254"/>
    <x v="855"/>
    <x v="3"/>
    <x v="2"/>
    <d v="2014-10-31T00:00:00"/>
    <n v="3"/>
    <x v="0"/>
    <s v="Matt Abelman"/>
    <x v="2"/>
    <s v="United States"/>
    <s v="Chicago"/>
    <s v="Illinois"/>
    <s v="Central"/>
    <x v="2"/>
    <x v="7"/>
    <s v="Spigen Samsung Galaxy S5 Case Wallet"/>
    <x v="2560"/>
    <n v="2"/>
    <n v="0.2"/>
    <n v="2.0388000000000002"/>
  </r>
  <r>
    <n v="3255"/>
    <x v="630"/>
    <x v="0"/>
    <x v="7"/>
    <d v="2013-07-15T00:00:00"/>
    <n v="6"/>
    <x v="1"/>
    <s v="Chris Cortes"/>
    <x v="0"/>
    <s v="United States"/>
    <s v="Seattle"/>
    <s v="Washington"/>
    <s v="West"/>
    <x v="2"/>
    <x v="7"/>
    <s v="Logitech Mobile Speakerphone P710e - speaker phone"/>
    <x v="2561"/>
    <n v="1"/>
    <n v="0.2"/>
    <n v="9.4486000000000008"/>
  </r>
  <r>
    <n v="3256"/>
    <x v="630"/>
    <x v="0"/>
    <x v="7"/>
    <d v="2013-07-15T00:00:00"/>
    <n v="6"/>
    <x v="1"/>
    <s v="Chris Cortes"/>
    <x v="0"/>
    <s v="United States"/>
    <s v="Seattle"/>
    <s v="Washington"/>
    <s v="West"/>
    <x v="1"/>
    <x v="8"/>
    <s v="Fellowes Twister Kit, Gray/Clear, 3/pkg"/>
    <x v="1739"/>
    <n v="3"/>
    <n v="0.2"/>
    <n v="6.03"/>
  </r>
  <r>
    <n v="3257"/>
    <x v="101"/>
    <x v="1"/>
    <x v="6"/>
    <d v="2012-08-14T00:00:00"/>
    <n v="5"/>
    <x v="1"/>
    <s v="Ruben Ausman"/>
    <x v="1"/>
    <s v="United States"/>
    <s v="Jacksonville"/>
    <s v="Florida"/>
    <s v="South"/>
    <x v="1"/>
    <x v="2"/>
    <s v="Avery File Folder Labels"/>
    <x v="871"/>
    <n v="2"/>
    <n v="0.2"/>
    <n v="1.6704000000000001"/>
  </r>
  <r>
    <n v="3258"/>
    <x v="10"/>
    <x v="0"/>
    <x v="4"/>
    <d v="2013-12-15T00:00:00"/>
    <n v="5"/>
    <x v="0"/>
    <s v="Damala Kotsonis"/>
    <x v="1"/>
    <s v="United States"/>
    <s v="Franklin"/>
    <s v="Tennessee"/>
    <s v="South"/>
    <x v="0"/>
    <x v="3"/>
    <s v="Hon 61000 Series Interactive Training Tables"/>
    <x v="2562"/>
    <n v="3"/>
    <n v="0.4"/>
    <n v="-29.323799999999999"/>
  </r>
  <r>
    <n v="3259"/>
    <x v="10"/>
    <x v="0"/>
    <x v="4"/>
    <d v="2013-12-15T00:00:00"/>
    <n v="5"/>
    <x v="0"/>
    <s v="Damala Kotsonis"/>
    <x v="1"/>
    <s v="United States"/>
    <s v="Franklin"/>
    <s v="Tennessee"/>
    <s v="South"/>
    <x v="1"/>
    <x v="8"/>
    <s v="Acco Pressboard Covers with Storage Hooks, 14 7/8&quot; x 11&quot;, Light Blue"/>
    <x v="194"/>
    <n v="2"/>
    <n v="0.7"/>
    <n v="-2.0621999999999998"/>
  </r>
  <r>
    <n v="3260"/>
    <x v="373"/>
    <x v="0"/>
    <x v="0"/>
    <d v="2013-11-18T00:00:00"/>
    <n v="4"/>
    <x v="1"/>
    <s v="Laurel Beltran"/>
    <x v="2"/>
    <s v="United States"/>
    <s v="Highland Park"/>
    <s v="Illinois"/>
    <s v="Central"/>
    <x v="1"/>
    <x v="8"/>
    <s v="XtraLife ClearVue Slant-D Ring Binders by Cardinal"/>
    <x v="2563"/>
    <n v="2"/>
    <n v="0.8"/>
    <n v="-4.7039999999999997"/>
  </r>
  <r>
    <n v="3261"/>
    <x v="687"/>
    <x v="2"/>
    <x v="0"/>
    <d v="2011-11-15T00:00:00"/>
    <n v="1"/>
    <x v="2"/>
    <s v="Candace McMahon"/>
    <x v="1"/>
    <s v="United States"/>
    <s v="Pasadena"/>
    <s v="Texas"/>
    <s v="Central"/>
    <x v="1"/>
    <x v="10"/>
    <s v="Xerox 221"/>
    <x v="557"/>
    <n v="4"/>
    <n v="0.2"/>
    <n v="7.2576000000000001"/>
  </r>
  <r>
    <n v="3262"/>
    <x v="664"/>
    <x v="2"/>
    <x v="0"/>
    <d v="2011-11-19T00:00:00"/>
    <n v="2"/>
    <x v="2"/>
    <s v="Thomas Seio"/>
    <x v="1"/>
    <s v="United States"/>
    <s v="San Francisco"/>
    <s v="California"/>
    <s v="West"/>
    <x v="2"/>
    <x v="11"/>
    <s v="Case Logic 2.4GHz Wireless Keyboard"/>
    <x v="2564"/>
    <n v="2"/>
    <n v="0"/>
    <n v="7.9984000000000002"/>
  </r>
  <r>
    <n v="3263"/>
    <x v="664"/>
    <x v="2"/>
    <x v="0"/>
    <d v="2011-11-19T00:00:00"/>
    <n v="2"/>
    <x v="2"/>
    <s v="Thomas Seio"/>
    <x v="1"/>
    <s v="United States"/>
    <s v="San Francisco"/>
    <s v="California"/>
    <s v="West"/>
    <x v="1"/>
    <x v="10"/>
    <s v="Xerox 1941"/>
    <x v="2565"/>
    <n v="7"/>
    <n v="0"/>
    <n v="352.29599999999999"/>
  </r>
  <r>
    <n v="3264"/>
    <x v="664"/>
    <x v="2"/>
    <x v="0"/>
    <d v="2011-11-19T00:00:00"/>
    <n v="2"/>
    <x v="2"/>
    <s v="Thomas Seio"/>
    <x v="1"/>
    <s v="United States"/>
    <s v="San Francisco"/>
    <s v="California"/>
    <s v="West"/>
    <x v="1"/>
    <x v="9"/>
    <s v="APC 7 Outlet Network SurgeArrest Surge Protector"/>
    <x v="2566"/>
    <n v="3"/>
    <n v="0"/>
    <n v="72.432000000000002"/>
  </r>
  <r>
    <n v="3265"/>
    <x v="758"/>
    <x v="0"/>
    <x v="10"/>
    <d v="2013-03-09T00:00:00"/>
    <n v="4"/>
    <x v="0"/>
    <s v="Randy Ferguson"/>
    <x v="1"/>
    <s v="United States"/>
    <s v="Miami"/>
    <s v="Florida"/>
    <s v="South"/>
    <x v="1"/>
    <x v="2"/>
    <s v="Avery 518"/>
    <x v="1942"/>
    <n v="4"/>
    <n v="0.2"/>
    <n v="3.528"/>
  </r>
  <r>
    <n v="3266"/>
    <x v="856"/>
    <x v="2"/>
    <x v="2"/>
    <d v="2011-10-15T00:00:00"/>
    <n v="4"/>
    <x v="1"/>
    <s v="Jill Fjeld"/>
    <x v="0"/>
    <s v="United States"/>
    <s v="Philadelphia"/>
    <s v="Pennsylvania"/>
    <s v="East"/>
    <x v="1"/>
    <x v="4"/>
    <s v="Fellowes High-Stak Drawer Files"/>
    <x v="2567"/>
    <n v="2"/>
    <n v="0.2"/>
    <n v="10.571400000000001"/>
  </r>
  <r>
    <n v="3267"/>
    <x v="856"/>
    <x v="2"/>
    <x v="2"/>
    <d v="2011-10-15T00:00:00"/>
    <n v="4"/>
    <x v="1"/>
    <s v="Jill Fjeld"/>
    <x v="0"/>
    <s v="United States"/>
    <s v="Philadelphia"/>
    <s v="Pennsylvania"/>
    <s v="East"/>
    <x v="1"/>
    <x v="12"/>
    <s v="Airmail Envelopes"/>
    <x v="2568"/>
    <n v="3"/>
    <n v="0.2"/>
    <n v="67.9833"/>
  </r>
  <r>
    <n v="3268"/>
    <x v="857"/>
    <x v="2"/>
    <x v="5"/>
    <d v="2011-05-29T00:00:00"/>
    <n v="7"/>
    <x v="1"/>
    <s v="Evan Henry"/>
    <x v="0"/>
    <s v="United States"/>
    <s v="Decatur"/>
    <s v="Alabama"/>
    <s v="South"/>
    <x v="2"/>
    <x v="7"/>
    <s v="Nortel Networks T7316 E Nt8 B27"/>
    <x v="2569"/>
    <n v="2"/>
    <n v="0"/>
    <n v="33.994999999999997"/>
  </r>
  <r>
    <n v="3269"/>
    <x v="857"/>
    <x v="2"/>
    <x v="5"/>
    <d v="2011-05-29T00:00:00"/>
    <n v="7"/>
    <x v="1"/>
    <s v="Evan Henry"/>
    <x v="0"/>
    <s v="United States"/>
    <s v="Decatur"/>
    <s v="Alabama"/>
    <s v="South"/>
    <x v="2"/>
    <x v="7"/>
    <s v="Plantronics Encore H101 Dual Earpieces Headset"/>
    <x v="2570"/>
    <n v="1"/>
    <n v="0"/>
    <n v="12.586"/>
  </r>
  <r>
    <n v="3270"/>
    <x v="858"/>
    <x v="2"/>
    <x v="7"/>
    <d v="2011-07-19T00:00:00"/>
    <n v="4"/>
    <x v="1"/>
    <s v="Victoria Wilson"/>
    <x v="1"/>
    <s v="United States"/>
    <s v="Sioux Falls"/>
    <s v="South Dakota"/>
    <s v="Central"/>
    <x v="2"/>
    <x v="11"/>
    <s v="Maxell 4.7GB DVD-R 5/Pack"/>
    <x v="1179"/>
    <n v="3"/>
    <n v="0"/>
    <n v="1.3068"/>
  </r>
  <r>
    <n v="3271"/>
    <x v="858"/>
    <x v="2"/>
    <x v="7"/>
    <d v="2011-07-19T00:00:00"/>
    <n v="4"/>
    <x v="1"/>
    <s v="Victoria Wilson"/>
    <x v="1"/>
    <s v="United States"/>
    <s v="Sioux Falls"/>
    <s v="South Dakota"/>
    <s v="Central"/>
    <x v="1"/>
    <x v="13"/>
    <s v="Advantus Push Pins"/>
    <x v="2571"/>
    <n v="3"/>
    <n v="0"/>
    <n v="2.6814"/>
  </r>
  <r>
    <n v="3272"/>
    <x v="17"/>
    <x v="1"/>
    <x v="4"/>
    <d v="2012-12-29T00:00:00"/>
    <n v="2"/>
    <x v="0"/>
    <s v="Kean Nguyen"/>
    <x v="1"/>
    <s v="United States"/>
    <s v="Visalia"/>
    <s v="California"/>
    <s v="West"/>
    <x v="2"/>
    <x v="11"/>
    <s v="Maxell 4.7GB DVD-R 5/Pack"/>
    <x v="1054"/>
    <n v="8"/>
    <n v="0"/>
    <n v="3.4847999999999999"/>
  </r>
  <r>
    <n v="3273"/>
    <x v="97"/>
    <x v="1"/>
    <x v="11"/>
    <d v="2012-02-16T00:00:00"/>
    <n v="7"/>
    <x v="1"/>
    <s v="Sarah Jordon"/>
    <x v="0"/>
    <s v="United States"/>
    <s v="Los Angeles"/>
    <s v="California"/>
    <s v="West"/>
    <x v="0"/>
    <x v="1"/>
    <s v="Global Deluxe Stacking Chair, Gray"/>
    <x v="2572"/>
    <n v="5"/>
    <n v="0.2"/>
    <n v="22.940999999999999"/>
  </r>
  <r>
    <n v="3274"/>
    <x v="540"/>
    <x v="3"/>
    <x v="5"/>
    <d v="2014-05-13T00:00:00"/>
    <n v="4"/>
    <x v="1"/>
    <s v="Penelope Sewall"/>
    <x v="2"/>
    <s v="United States"/>
    <s v="Los Angeles"/>
    <s v="California"/>
    <s v="West"/>
    <x v="2"/>
    <x v="16"/>
    <s v="Canon Imageclass D680 Copier / Fax"/>
    <x v="2573"/>
    <n v="6"/>
    <n v="0.2"/>
    <n v="1049.9849999999999"/>
  </r>
  <r>
    <n v="3275"/>
    <x v="808"/>
    <x v="3"/>
    <x v="0"/>
    <d v="2014-11-07T00:00:00"/>
    <n v="4"/>
    <x v="1"/>
    <s v="Kalyca Meade"/>
    <x v="1"/>
    <s v="United States"/>
    <s v="Overland Park"/>
    <s v="Kansas"/>
    <s v="Central"/>
    <x v="1"/>
    <x v="13"/>
    <s v="Staples"/>
    <x v="2556"/>
    <n v="3"/>
    <n v="0"/>
    <n v="9.1199999999999992"/>
  </r>
  <r>
    <n v="3276"/>
    <x v="808"/>
    <x v="3"/>
    <x v="0"/>
    <d v="2014-11-07T00:00:00"/>
    <n v="4"/>
    <x v="1"/>
    <s v="Kalyca Meade"/>
    <x v="1"/>
    <s v="United States"/>
    <s v="Overland Park"/>
    <s v="Kansas"/>
    <s v="Central"/>
    <x v="1"/>
    <x v="6"/>
    <s v="Binney &amp; Smith Crayola Metallic Colored Pencils, 8-Color Set"/>
    <x v="2574"/>
    <n v="6"/>
    <n v="0"/>
    <n v="9.1674000000000007"/>
  </r>
  <r>
    <n v="3277"/>
    <x v="267"/>
    <x v="2"/>
    <x v="3"/>
    <d v="2011-04-09T00:00:00"/>
    <n v="4"/>
    <x v="0"/>
    <s v="Greg Maxwell"/>
    <x v="1"/>
    <s v="United States"/>
    <s v="Alexandria"/>
    <s v="Virginia"/>
    <s v="South"/>
    <x v="1"/>
    <x v="6"/>
    <s v="Crayola Colored Pencils"/>
    <x v="1003"/>
    <n v="7"/>
    <n v="0"/>
    <n v="7.5768000000000004"/>
  </r>
  <r>
    <n v="3278"/>
    <x v="267"/>
    <x v="2"/>
    <x v="3"/>
    <d v="2011-04-09T00:00:00"/>
    <n v="4"/>
    <x v="0"/>
    <s v="Greg Maxwell"/>
    <x v="1"/>
    <s v="United States"/>
    <s v="Alexandria"/>
    <s v="Virginia"/>
    <s v="South"/>
    <x v="2"/>
    <x v="7"/>
    <s v="AT&amp;T CL82213"/>
    <x v="2575"/>
    <n v="1"/>
    <n v="0"/>
    <n v="8.4070999999999998"/>
  </r>
  <r>
    <n v="3279"/>
    <x v="267"/>
    <x v="2"/>
    <x v="3"/>
    <d v="2011-04-09T00:00:00"/>
    <n v="4"/>
    <x v="0"/>
    <s v="Greg Maxwell"/>
    <x v="1"/>
    <s v="United States"/>
    <s v="Alexandria"/>
    <s v="Virginia"/>
    <s v="South"/>
    <x v="1"/>
    <x v="10"/>
    <s v="Xerox 1957"/>
    <x v="91"/>
    <n v="2"/>
    <n v="0"/>
    <n v="6.3503999999999996"/>
  </r>
  <r>
    <n v="3280"/>
    <x v="267"/>
    <x v="2"/>
    <x v="3"/>
    <d v="2011-04-09T00:00:00"/>
    <n v="4"/>
    <x v="0"/>
    <s v="Greg Maxwell"/>
    <x v="1"/>
    <s v="United States"/>
    <s v="Alexandria"/>
    <s v="Virginia"/>
    <s v="South"/>
    <x v="1"/>
    <x v="6"/>
    <s v="Newell 321"/>
    <x v="1003"/>
    <n v="7"/>
    <n v="0"/>
    <n v="6.6584000000000003"/>
  </r>
  <r>
    <n v="3281"/>
    <x v="267"/>
    <x v="2"/>
    <x v="3"/>
    <d v="2011-04-09T00:00:00"/>
    <n v="4"/>
    <x v="0"/>
    <s v="Greg Maxwell"/>
    <x v="1"/>
    <s v="United States"/>
    <s v="Alexandria"/>
    <s v="Virginia"/>
    <s v="South"/>
    <x v="1"/>
    <x v="14"/>
    <s v="Martin Yale Chadless Opener Electric Letter Opener"/>
    <x v="2576"/>
    <n v="5"/>
    <n v="0"/>
    <n v="83.281000000000006"/>
  </r>
  <r>
    <n v="3282"/>
    <x v="328"/>
    <x v="2"/>
    <x v="8"/>
    <d v="2011-09-24T00:00:00"/>
    <n v="7"/>
    <x v="1"/>
    <s v="Kean Takahito"/>
    <x v="0"/>
    <s v="United States"/>
    <s v="Raleigh"/>
    <s v="North Carolina"/>
    <s v="South"/>
    <x v="2"/>
    <x v="11"/>
    <s v="Logitech Trackman Marble Mouse"/>
    <x v="730"/>
    <n v="2"/>
    <n v="0.2"/>
    <n v="13.195600000000001"/>
  </r>
  <r>
    <n v="3283"/>
    <x v="328"/>
    <x v="2"/>
    <x v="8"/>
    <d v="2011-09-24T00:00:00"/>
    <n v="7"/>
    <x v="1"/>
    <s v="Kean Takahito"/>
    <x v="0"/>
    <s v="United States"/>
    <s v="Raleigh"/>
    <s v="North Carolina"/>
    <s v="South"/>
    <x v="1"/>
    <x v="10"/>
    <s v="Xerox 1924"/>
    <x v="696"/>
    <n v="1"/>
    <n v="0.2"/>
    <n v="1.6761999999999999"/>
  </r>
  <r>
    <n v="3284"/>
    <x v="587"/>
    <x v="2"/>
    <x v="8"/>
    <d v="2011-10-06T00:00:00"/>
    <n v="6"/>
    <x v="1"/>
    <s v="Maya Herman"/>
    <x v="1"/>
    <s v="United States"/>
    <s v="New York City"/>
    <s v="New York"/>
    <s v="East"/>
    <x v="0"/>
    <x v="5"/>
    <s v="Master Caster Door Stop, Brown"/>
    <x v="593"/>
    <n v="3"/>
    <n v="0"/>
    <n v="5.1816000000000004"/>
  </r>
  <r>
    <n v="3285"/>
    <x v="171"/>
    <x v="2"/>
    <x v="8"/>
    <d v="2011-09-17T00:00:00"/>
    <n v="5"/>
    <x v="1"/>
    <s v="Art Foster"/>
    <x v="0"/>
    <s v="United States"/>
    <s v="Fairfield"/>
    <s v="Ohio"/>
    <s v="East"/>
    <x v="1"/>
    <x v="8"/>
    <s v="Premier Elliptical Ring Binder, Black"/>
    <x v="2577"/>
    <n v="7"/>
    <n v="0.7"/>
    <n v="-46.877600000000001"/>
  </r>
  <r>
    <n v="3286"/>
    <x v="297"/>
    <x v="3"/>
    <x v="11"/>
    <d v="2014-02-26T00:00:00"/>
    <n v="5"/>
    <x v="1"/>
    <s v="Julie Prescott"/>
    <x v="2"/>
    <s v="United States"/>
    <s v="Muskogee"/>
    <s v="Oklahoma"/>
    <s v="Central"/>
    <x v="1"/>
    <x v="6"/>
    <s v="Newell 351"/>
    <x v="2578"/>
    <n v="2"/>
    <n v="0"/>
    <n v="1.9024000000000001"/>
  </r>
  <r>
    <n v="3287"/>
    <x v="297"/>
    <x v="3"/>
    <x v="11"/>
    <d v="2014-02-26T00:00:00"/>
    <n v="5"/>
    <x v="1"/>
    <s v="Julie Prescott"/>
    <x v="2"/>
    <s v="United States"/>
    <s v="Muskogee"/>
    <s v="Oklahoma"/>
    <s v="Central"/>
    <x v="1"/>
    <x v="9"/>
    <s v="Disposable Triple-Filter Dust Bags"/>
    <x v="2579"/>
    <n v="3"/>
    <n v="0"/>
    <n v="3.4085999999999999"/>
  </r>
  <r>
    <n v="3288"/>
    <x v="350"/>
    <x v="1"/>
    <x v="4"/>
    <d v="2012-12-15T00:00:00"/>
    <n v="2"/>
    <x v="2"/>
    <s v="Rob Dowd"/>
    <x v="0"/>
    <s v="United States"/>
    <s v="Temecula"/>
    <s v="California"/>
    <s v="West"/>
    <x v="2"/>
    <x v="7"/>
    <s v="Plantronics Voyager Pro Legend"/>
    <x v="567"/>
    <n v="3"/>
    <n v="0.2"/>
    <n v="49.437600000000003"/>
  </r>
  <r>
    <n v="3289"/>
    <x v="350"/>
    <x v="1"/>
    <x v="4"/>
    <d v="2012-12-15T00:00:00"/>
    <n v="2"/>
    <x v="2"/>
    <s v="Rob Dowd"/>
    <x v="0"/>
    <s v="United States"/>
    <s v="Temecula"/>
    <s v="California"/>
    <s v="West"/>
    <x v="1"/>
    <x v="8"/>
    <s v="Angle-D Binders with Locking Rings, Label Holders"/>
    <x v="2580"/>
    <n v="5"/>
    <n v="0.2"/>
    <n v="9.8550000000000004"/>
  </r>
  <r>
    <n v="3290"/>
    <x v="350"/>
    <x v="1"/>
    <x v="4"/>
    <d v="2012-12-15T00:00:00"/>
    <n v="2"/>
    <x v="2"/>
    <s v="Rob Dowd"/>
    <x v="0"/>
    <s v="United States"/>
    <s v="Temecula"/>
    <s v="California"/>
    <s v="West"/>
    <x v="2"/>
    <x v="11"/>
    <s v="Logitech K350 2.4Ghz Wireless Keyboard"/>
    <x v="2581"/>
    <n v="5"/>
    <n v="0"/>
    <n v="27.3735"/>
  </r>
  <r>
    <n v="3291"/>
    <x v="350"/>
    <x v="1"/>
    <x v="4"/>
    <d v="2012-12-15T00:00:00"/>
    <n v="2"/>
    <x v="2"/>
    <s v="Rob Dowd"/>
    <x v="0"/>
    <s v="United States"/>
    <s v="Temecula"/>
    <s v="California"/>
    <s v="West"/>
    <x v="2"/>
    <x v="11"/>
    <s v="Memorex Mini Travel Drive 64 GB USB 2.0 Flash Drive"/>
    <x v="341"/>
    <n v="1"/>
    <n v="0"/>
    <n v="15.220800000000001"/>
  </r>
  <r>
    <n v="3292"/>
    <x v="859"/>
    <x v="0"/>
    <x v="2"/>
    <d v="2013-11-05T00:00:00"/>
    <n v="5"/>
    <x v="1"/>
    <s v="Jason Fortune-"/>
    <x v="0"/>
    <s v="United States"/>
    <s v="Sterling Heights"/>
    <s v="Michigan"/>
    <s v="Central"/>
    <x v="1"/>
    <x v="6"/>
    <s v="Newell 312"/>
    <x v="2582"/>
    <n v="2"/>
    <n v="0"/>
    <n v="3.504"/>
  </r>
  <r>
    <n v="3293"/>
    <x v="58"/>
    <x v="2"/>
    <x v="4"/>
    <d v="2011-12-30T00:00:00"/>
    <n v="4"/>
    <x v="1"/>
    <s v="Clytie Kelty"/>
    <x v="0"/>
    <s v="United States"/>
    <s v="San Diego"/>
    <s v="California"/>
    <s v="West"/>
    <x v="1"/>
    <x v="14"/>
    <s v="Acme Rosewood Handle Letter Opener"/>
    <x v="2583"/>
    <n v="3"/>
    <n v="0"/>
    <n v="0.1191"/>
  </r>
  <r>
    <n v="3294"/>
    <x v="58"/>
    <x v="2"/>
    <x v="4"/>
    <d v="2011-12-30T00:00:00"/>
    <n v="4"/>
    <x v="1"/>
    <s v="Clytie Kelty"/>
    <x v="0"/>
    <s v="United States"/>
    <s v="San Diego"/>
    <s v="California"/>
    <s v="West"/>
    <x v="0"/>
    <x v="5"/>
    <s v="Eldon Regeneration Recycled Desk Accessories, Smoke"/>
    <x v="2584"/>
    <n v="2"/>
    <n v="0"/>
    <n v="1.1135999999999999"/>
  </r>
  <r>
    <n v="3295"/>
    <x v="860"/>
    <x v="2"/>
    <x v="6"/>
    <d v="2011-08-18T00:00:00"/>
    <n v="3"/>
    <x v="2"/>
    <s v="Keith Herrera"/>
    <x v="0"/>
    <s v="United States"/>
    <s v="Dallas"/>
    <s v="Texas"/>
    <s v="Central"/>
    <x v="1"/>
    <x v="8"/>
    <s v="GBC Durable Plastic Covers"/>
    <x v="2585"/>
    <n v="8"/>
    <n v="0.8"/>
    <n v="-52.631999999999998"/>
  </r>
  <r>
    <n v="3296"/>
    <x v="172"/>
    <x v="3"/>
    <x v="2"/>
    <d v="2014-10-04T00:00:00"/>
    <n v="2"/>
    <x v="2"/>
    <s v="Corinna Mitchell"/>
    <x v="2"/>
    <s v="United States"/>
    <s v="New York City"/>
    <s v="New York"/>
    <s v="East"/>
    <x v="2"/>
    <x v="15"/>
    <s v="Fellowes Powershred HS-440 4-Sheet High Security Shredder"/>
    <x v="2586"/>
    <n v="11"/>
    <n v="0"/>
    <n v="767.20050000000003"/>
  </r>
  <r>
    <n v="3297"/>
    <x v="293"/>
    <x v="1"/>
    <x v="5"/>
    <d v="2012-05-30T00:00:00"/>
    <n v="7"/>
    <x v="1"/>
    <s v="Emily Burns"/>
    <x v="0"/>
    <s v="United States"/>
    <s v="Phoenix"/>
    <s v="Arizona"/>
    <s v="West"/>
    <x v="1"/>
    <x v="8"/>
    <s v="Cardinal EasyOpen D-Ring Binders"/>
    <x v="2587"/>
    <n v="7"/>
    <n v="0.7"/>
    <n v="-12.795999999999999"/>
  </r>
  <r>
    <n v="3298"/>
    <x v="293"/>
    <x v="1"/>
    <x v="5"/>
    <d v="2012-05-30T00:00:00"/>
    <n v="7"/>
    <x v="1"/>
    <s v="Emily Burns"/>
    <x v="0"/>
    <s v="United States"/>
    <s v="Phoenix"/>
    <s v="Arizona"/>
    <s v="West"/>
    <x v="1"/>
    <x v="9"/>
    <s v="Fellowes Superior 10 Outlet Split Surge Protector"/>
    <x v="1605"/>
    <n v="4"/>
    <n v="0.2"/>
    <n v="13.701599999999999"/>
  </r>
  <r>
    <n v="3299"/>
    <x v="673"/>
    <x v="3"/>
    <x v="0"/>
    <d v="2014-11-17T00:00:00"/>
    <n v="0"/>
    <x v="3"/>
    <s v="Mitch Willingham"/>
    <x v="1"/>
    <s v="United States"/>
    <s v="San Francisco"/>
    <s v="California"/>
    <s v="West"/>
    <x v="2"/>
    <x v="15"/>
    <s v="Bady BDG101FRU Card Printer"/>
    <x v="2210"/>
    <n v="3"/>
    <n v="0.2"/>
    <n v="215.9973"/>
  </r>
  <r>
    <n v="3300"/>
    <x v="728"/>
    <x v="2"/>
    <x v="0"/>
    <d v="2011-11-22T00:00:00"/>
    <n v="4"/>
    <x v="1"/>
    <s v="Carlos Soltero"/>
    <x v="0"/>
    <s v="United States"/>
    <s v="Philadelphia"/>
    <s v="Pennsylvania"/>
    <s v="East"/>
    <x v="1"/>
    <x v="8"/>
    <s v="Fellowes PB200 Plastic Comb Binding Machine"/>
    <x v="2588"/>
    <n v="1"/>
    <n v="0.7"/>
    <n v="-40.797600000000003"/>
  </r>
  <r>
    <n v="3301"/>
    <x v="728"/>
    <x v="2"/>
    <x v="0"/>
    <d v="2011-11-22T00:00:00"/>
    <n v="4"/>
    <x v="1"/>
    <s v="Carlos Soltero"/>
    <x v="0"/>
    <s v="United States"/>
    <s v="Philadelphia"/>
    <s v="Pennsylvania"/>
    <s v="East"/>
    <x v="1"/>
    <x v="4"/>
    <s v="Safco Industrial Wire Shelving"/>
    <x v="2589"/>
    <n v="1"/>
    <n v="0.2"/>
    <n v="-16.318300000000001"/>
  </r>
  <r>
    <n v="3302"/>
    <x v="728"/>
    <x v="2"/>
    <x v="0"/>
    <d v="2011-11-22T00:00:00"/>
    <n v="4"/>
    <x v="1"/>
    <s v="Carlos Soltero"/>
    <x v="0"/>
    <s v="United States"/>
    <s v="Philadelphia"/>
    <s v="Pennsylvania"/>
    <s v="East"/>
    <x v="2"/>
    <x v="7"/>
    <s v="Motorola Droid Maxx"/>
    <x v="2590"/>
    <n v="6"/>
    <n v="0.4"/>
    <n v="-107.9928"/>
  </r>
  <r>
    <n v="3303"/>
    <x v="728"/>
    <x v="2"/>
    <x v="0"/>
    <d v="2011-11-22T00:00:00"/>
    <n v="4"/>
    <x v="1"/>
    <s v="Carlos Soltero"/>
    <x v="0"/>
    <s v="United States"/>
    <s v="Philadelphia"/>
    <s v="Pennsylvania"/>
    <s v="East"/>
    <x v="0"/>
    <x v="5"/>
    <s v="Eldon Executive Woodline II Desk Accessories, Mahogany"/>
    <x v="2558"/>
    <n v="3"/>
    <n v="0.2"/>
    <n v="5.2773000000000003"/>
  </r>
  <r>
    <n v="3304"/>
    <x v="728"/>
    <x v="2"/>
    <x v="0"/>
    <d v="2011-11-22T00:00:00"/>
    <n v="4"/>
    <x v="1"/>
    <s v="Carlos Soltero"/>
    <x v="0"/>
    <s v="United States"/>
    <s v="Philadelphia"/>
    <s v="Pennsylvania"/>
    <s v="East"/>
    <x v="1"/>
    <x v="8"/>
    <s v="Peel &amp; Stick Add-On Corner Pockets"/>
    <x v="2591"/>
    <n v="3"/>
    <n v="0.7"/>
    <n v="-1.4256"/>
  </r>
  <r>
    <n v="3305"/>
    <x v="125"/>
    <x v="2"/>
    <x v="4"/>
    <d v="2012-01-01T00:00:00"/>
    <n v="2"/>
    <x v="0"/>
    <s v="Stefania Perrino"/>
    <x v="1"/>
    <s v="United States"/>
    <s v="Laredo"/>
    <s v="Texas"/>
    <s v="Central"/>
    <x v="1"/>
    <x v="12"/>
    <s v="Fashion Color Clasp Envelopes"/>
    <x v="2592"/>
    <n v="3"/>
    <n v="0.2"/>
    <n v="4.7066999999999997"/>
  </r>
  <r>
    <n v="3306"/>
    <x v="125"/>
    <x v="2"/>
    <x v="4"/>
    <d v="2012-01-01T00:00:00"/>
    <n v="2"/>
    <x v="0"/>
    <s v="Stefania Perrino"/>
    <x v="1"/>
    <s v="United States"/>
    <s v="Laredo"/>
    <s v="Texas"/>
    <s v="Central"/>
    <x v="2"/>
    <x v="7"/>
    <s v="Plantronics CS 50-USB - headset - Convertible, Monaural"/>
    <x v="2039"/>
    <n v="2"/>
    <n v="0.2"/>
    <n v="19.038599999999999"/>
  </r>
  <r>
    <n v="3307"/>
    <x v="125"/>
    <x v="2"/>
    <x v="4"/>
    <d v="2012-01-01T00:00:00"/>
    <n v="2"/>
    <x v="0"/>
    <s v="Stefania Perrino"/>
    <x v="1"/>
    <s v="United States"/>
    <s v="Laredo"/>
    <s v="Texas"/>
    <s v="Central"/>
    <x v="2"/>
    <x v="7"/>
    <s v="AT&amp;T 1080 Corded phone"/>
    <x v="2593"/>
    <n v="3"/>
    <n v="0.2"/>
    <n v="28.767900000000001"/>
  </r>
  <r>
    <n v="3308"/>
    <x v="125"/>
    <x v="2"/>
    <x v="4"/>
    <d v="2012-01-01T00:00:00"/>
    <n v="2"/>
    <x v="0"/>
    <s v="Stefania Perrino"/>
    <x v="1"/>
    <s v="United States"/>
    <s v="Laredo"/>
    <s v="Texas"/>
    <s v="Central"/>
    <x v="1"/>
    <x v="8"/>
    <s v="Acco Hanging Data Binders"/>
    <x v="2594"/>
    <n v="3"/>
    <n v="0.8"/>
    <n v="-3.6576"/>
  </r>
  <r>
    <n v="3309"/>
    <x v="125"/>
    <x v="2"/>
    <x v="4"/>
    <d v="2012-01-01T00:00:00"/>
    <n v="2"/>
    <x v="0"/>
    <s v="Stefania Perrino"/>
    <x v="1"/>
    <s v="United States"/>
    <s v="Laredo"/>
    <s v="Texas"/>
    <s v="Central"/>
    <x v="2"/>
    <x v="11"/>
    <s v="Logitech 910-002974 M325 Wireless Mouse for Web Scrolling"/>
    <x v="730"/>
    <n v="2"/>
    <n v="0.2"/>
    <n v="14.395200000000001"/>
  </r>
  <r>
    <n v="3310"/>
    <x v="599"/>
    <x v="1"/>
    <x v="0"/>
    <d v="2012-11-11T00:00:00"/>
    <n v="6"/>
    <x v="1"/>
    <s v="Grant Thornton"/>
    <x v="1"/>
    <s v="United States"/>
    <s v="New York City"/>
    <s v="New York"/>
    <s v="East"/>
    <x v="1"/>
    <x v="8"/>
    <s v="Wilson Jones 1&quot; Hanging DublLock Ring Binders"/>
    <x v="863"/>
    <n v="6"/>
    <n v="0.2"/>
    <n v="8.8704000000000001"/>
  </r>
  <r>
    <n v="3311"/>
    <x v="42"/>
    <x v="0"/>
    <x v="8"/>
    <d v="2013-09-23T00:00:00"/>
    <n v="5"/>
    <x v="1"/>
    <s v="Luke Weiss"/>
    <x v="0"/>
    <s v="United States"/>
    <s v="New York City"/>
    <s v="New York"/>
    <s v="East"/>
    <x v="1"/>
    <x v="8"/>
    <s v="Avery Arch Ring Binders"/>
    <x v="2595"/>
    <n v="5"/>
    <n v="0.2"/>
    <n v="78.435000000000002"/>
  </r>
  <r>
    <n v="3312"/>
    <x v="231"/>
    <x v="0"/>
    <x v="10"/>
    <d v="2013-03-26T00:00:00"/>
    <n v="5"/>
    <x v="0"/>
    <s v="Aaron Hawkins"/>
    <x v="1"/>
    <s v="United States"/>
    <s v="Gulfport"/>
    <s v="Mississippi"/>
    <s v="South"/>
    <x v="0"/>
    <x v="5"/>
    <s v="Eldon Image Series Desk Accessories, Ebony"/>
    <x v="2596"/>
    <n v="7"/>
    <n v="0"/>
    <n v="38.037999999999997"/>
  </r>
  <r>
    <n v="3313"/>
    <x v="127"/>
    <x v="2"/>
    <x v="8"/>
    <d v="2011-10-01T00:00:00"/>
    <n v="4"/>
    <x v="1"/>
    <s v="Thea Hendricks"/>
    <x v="0"/>
    <s v="United States"/>
    <s v="San Diego"/>
    <s v="California"/>
    <s v="West"/>
    <x v="0"/>
    <x v="1"/>
    <s v="DMI Arturo Collection Mission-style Design Wood Chair"/>
    <x v="884"/>
    <n v="5"/>
    <n v="0.2"/>
    <n v="45.293999999999997"/>
  </r>
  <r>
    <n v="3314"/>
    <x v="127"/>
    <x v="2"/>
    <x v="8"/>
    <d v="2011-10-01T00:00:00"/>
    <n v="4"/>
    <x v="1"/>
    <s v="Thea Hendricks"/>
    <x v="0"/>
    <s v="United States"/>
    <s v="San Diego"/>
    <s v="California"/>
    <s v="West"/>
    <x v="1"/>
    <x v="10"/>
    <s v="Xerox 1919"/>
    <x v="2597"/>
    <n v="2"/>
    <n v="0"/>
    <n v="40.170200000000001"/>
  </r>
  <r>
    <n v="3315"/>
    <x v="165"/>
    <x v="3"/>
    <x v="4"/>
    <d v="2014-12-29T00:00:00"/>
    <n v="4"/>
    <x v="1"/>
    <s v="Hunter Glantz"/>
    <x v="0"/>
    <s v="United States"/>
    <s v="Oceanside"/>
    <s v="New York"/>
    <s v="East"/>
    <x v="0"/>
    <x v="1"/>
    <s v="DMI Arturo Collection Mission-style Design Wood Chair"/>
    <x v="2598"/>
    <n v="2"/>
    <n v="0.1"/>
    <n v="48.313600000000001"/>
  </r>
  <r>
    <n v="3316"/>
    <x v="165"/>
    <x v="3"/>
    <x v="4"/>
    <d v="2014-12-29T00:00:00"/>
    <n v="4"/>
    <x v="1"/>
    <s v="Hunter Glantz"/>
    <x v="0"/>
    <s v="United States"/>
    <s v="Oceanside"/>
    <s v="New York"/>
    <s v="East"/>
    <x v="1"/>
    <x v="8"/>
    <s v="DXL Angle-View Binders with Locking Rings, Black"/>
    <x v="2599"/>
    <n v="3"/>
    <n v="0.2"/>
    <n v="4.8518999999999997"/>
  </r>
  <r>
    <n v="3317"/>
    <x v="468"/>
    <x v="3"/>
    <x v="0"/>
    <d v="2014-11-16T00:00:00"/>
    <n v="5"/>
    <x v="0"/>
    <s v="Edward Becker"/>
    <x v="1"/>
    <s v="United States"/>
    <s v="Round Rock"/>
    <s v="Texas"/>
    <s v="Central"/>
    <x v="0"/>
    <x v="5"/>
    <s v="Tenex Antistatic Computer Chair Mats"/>
    <x v="2600"/>
    <n v="5"/>
    <n v="0.6"/>
    <n v="-427.45"/>
  </r>
  <r>
    <n v="3318"/>
    <x v="861"/>
    <x v="1"/>
    <x v="8"/>
    <d v="2012-09-15T00:00:00"/>
    <n v="4"/>
    <x v="1"/>
    <s v="Steven Cartwright"/>
    <x v="0"/>
    <s v="United States"/>
    <s v="Redlands"/>
    <s v="California"/>
    <s v="West"/>
    <x v="1"/>
    <x v="6"/>
    <s v="Boston 19500 Mighty Mite Electric Pencil Sharpener"/>
    <x v="2601"/>
    <n v="9"/>
    <n v="0"/>
    <n v="48.964500000000001"/>
  </r>
  <r>
    <n v="3319"/>
    <x v="861"/>
    <x v="1"/>
    <x v="8"/>
    <d v="2012-09-15T00:00:00"/>
    <n v="4"/>
    <x v="1"/>
    <s v="Steven Cartwright"/>
    <x v="0"/>
    <s v="United States"/>
    <s v="Redlands"/>
    <s v="California"/>
    <s v="West"/>
    <x v="1"/>
    <x v="2"/>
    <s v="Avery 474"/>
    <x v="874"/>
    <n v="3"/>
    <n v="0"/>
    <n v="4.2336"/>
  </r>
  <r>
    <n v="3320"/>
    <x v="414"/>
    <x v="2"/>
    <x v="4"/>
    <d v="2011-12-25T00:00:00"/>
    <n v="5"/>
    <x v="1"/>
    <s v="Tony Sayre"/>
    <x v="0"/>
    <s v="United States"/>
    <s v="Columbia"/>
    <s v="Tennessee"/>
    <s v="South"/>
    <x v="1"/>
    <x v="9"/>
    <s v="Hoover Commercial Soft Guard Upright Vacuum And Disposable Filtration Bags"/>
    <x v="2602"/>
    <n v="7"/>
    <n v="0.2"/>
    <n v="3.8073000000000001"/>
  </r>
  <r>
    <n v="3321"/>
    <x v="414"/>
    <x v="2"/>
    <x v="4"/>
    <d v="2011-12-25T00:00:00"/>
    <n v="5"/>
    <x v="1"/>
    <s v="Tony Sayre"/>
    <x v="0"/>
    <s v="United States"/>
    <s v="Columbia"/>
    <s v="Tennessee"/>
    <s v="South"/>
    <x v="0"/>
    <x v="1"/>
    <s v="SAFCO Arco Folding Chair"/>
    <x v="1649"/>
    <n v="3"/>
    <n v="0.2"/>
    <n v="74.573999999999998"/>
  </r>
  <r>
    <n v="3322"/>
    <x v="414"/>
    <x v="2"/>
    <x v="4"/>
    <d v="2011-12-25T00:00:00"/>
    <n v="5"/>
    <x v="1"/>
    <s v="Tony Sayre"/>
    <x v="0"/>
    <s v="United States"/>
    <s v="Columbia"/>
    <s v="Tennessee"/>
    <s v="South"/>
    <x v="1"/>
    <x v="10"/>
    <s v="Weyerhaeuser First Choice Laser/Copy Paper (20Lb. and 88 Bright)"/>
    <x v="233"/>
    <n v="5"/>
    <n v="0.2"/>
    <n v="9.0719999999999992"/>
  </r>
  <r>
    <n v="3323"/>
    <x v="862"/>
    <x v="1"/>
    <x v="7"/>
    <d v="2012-07-27T00:00:00"/>
    <n v="4"/>
    <x v="1"/>
    <s v="Tracy Hopkins"/>
    <x v="2"/>
    <s v="United States"/>
    <s v="New York City"/>
    <s v="New York"/>
    <s v="East"/>
    <x v="1"/>
    <x v="9"/>
    <s v="Belkin F5C206VTEL 6 Outlet Surge"/>
    <x v="2603"/>
    <n v="3"/>
    <n v="0"/>
    <n v="20.681999999999999"/>
  </r>
  <r>
    <n v="3324"/>
    <x v="862"/>
    <x v="1"/>
    <x v="7"/>
    <d v="2012-07-27T00:00:00"/>
    <n v="4"/>
    <x v="1"/>
    <s v="Tracy Hopkins"/>
    <x v="2"/>
    <s v="United States"/>
    <s v="New York City"/>
    <s v="New York"/>
    <s v="East"/>
    <x v="0"/>
    <x v="5"/>
    <s v="Howard Miller 13&quot; Diameter Pewter Finish Round Wall Clock"/>
    <x v="2604"/>
    <n v="3"/>
    <n v="0"/>
    <n v="50.239800000000002"/>
  </r>
  <r>
    <n v="3325"/>
    <x v="7"/>
    <x v="2"/>
    <x v="0"/>
    <d v="2011-11-15T00:00:00"/>
    <n v="4"/>
    <x v="1"/>
    <s v="Karen Daniels"/>
    <x v="0"/>
    <s v="United States"/>
    <s v="Houston"/>
    <s v="Texas"/>
    <s v="Central"/>
    <x v="1"/>
    <x v="8"/>
    <s v="GBC DocuBind TL300 Electric Binding System"/>
    <x v="2605"/>
    <n v="5"/>
    <n v="0.8"/>
    <n v="-1480.0335"/>
  </r>
  <r>
    <n v="3326"/>
    <x v="7"/>
    <x v="2"/>
    <x v="0"/>
    <d v="2011-11-15T00:00:00"/>
    <n v="4"/>
    <x v="1"/>
    <s v="Karen Daniels"/>
    <x v="0"/>
    <s v="United States"/>
    <s v="Houston"/>
    <s v="Texas"/>
    <s v="Central"/>
    <x v="1"/>
    <x v="8"/>
    <s v="Universal Recycled Hanging Pressboard Report Binders, Letter Size"/>
    <x v="2606"/>
    <n v="1"/>
    <n v="0.8"/>
    <n v="-1.9743999999999999"/>
  </r>
  <r>
    <n v="3327"/>
    <x v="7"/>
    <x v="2"/>
    <x v="0"/>
    <d v="2011-11-15T00:00:00"/>
    <n v="4"/>
    <x v="1"/>
    <s v="Karen Daniels"/>
    <x v="0"/>
    <s v="United States"/>
    <s v="Houston"/>
    <s v="Texas"/>
    <s v="Central"/>
    <x v="1"/>
    <x v="6"/>
    <s v="Boston Electric Pencil Sharpener, Model 1818, Charcoal Black"/>
    <x v="1840"/>
    <n v="3"/>
    <n v="0.2"/>
    <n v="6.7560000000000002"/>
  </r>
  <r>
    <n v="3328"/>
    <x v="7"/>
    <x v="2"/>
    <x v="0"/>
    <d v="2011-11-15T00:00:00"/>
    <n v="4"/>
    <x v="1"/>
    <s v="Karen Daniels"/>
    <x v="0"/>
    <s v="United States"/>
    <s v="Houston"/>
    <s v="Texas"/>
    <s v="Central"/>
    <x v="1"/>
    <x v="10"/>
    <s v="Wirebound Message Book, 4 per Page"/>
    <x v="740"/>
    <n v="5"/>
    <n v="0.2"/>
    <n v="7.8734999999999999"/>
  </r>
  <r>
    <n v="3329"/>
    <x v="7"/>
    <x v="2"/>
    <x v="0"/>
    <d v="2011-11-15T00:00:00"/>
    <n v="4"/>
    <x v="1"/>
    <s v="Karen Daniels"/>
    <x v="0"/>
    <s v="United States"/>
    <s v="Houston"/>
    <s v="Texas"/>
    <s v="Central"/>
    <x v="1"/>
    <x v="10"/>
    <s v="Xerox 1893"/>
    <x v="2607"/>
    <n v="8"/>
    <n v="0.2"/>
    <n v="95.096800000000002"/>
  </r>
  <r>
    <n v="3330"/>
    <x v="7"/>
    <x v="2"/>
    <x v="0"/>
    <d v="2011-11-15T00:00:00"/>
    <n v="4"/>
    <x v="1"/>
    <s v="Karen Daniels"/>
    <x v="0"/>
    <s v="United States"/>
    <s v="Houston"/>
    <s v="Texas"/>
    <s v="Central"/>
    <x v="2"/>
    <x v="7"/>
    <s v="Geemarc AmpliPOWER60"/>
    <x v="1467"/>
    <n v="2"/>
    <n v="0.2"/>
    <n v="16.704000000000001"/>
  </r>
  <r>
    <n v="3331"/>
    <x v="7"/>
    <x v="2"/>
    <x v="0"/>
    <d v="2011-11-15T00:00:00"/>
    <n v="4"/>
    <x v="1"/>
    <s v="Karen Daniels"/>
    <x v="0"/>
    <s v="United States"/>
    <s v="Houston"/>
    <s v="Texas"/>
    <s v="Central"/>
    <x v="2"/>
    <x v="7"/>
    <s v="Classic Ivory Antique Telephone ZL1810"/>
    <x v="2608"/>
    <n v="3"/>
    <n v="0.2"/>
    <n v="15.073499999999999"/>
  </r>
  <r>
    <n v="3332"/>
    <x v="817"/>
    <x v="3"/>
    <x v="4"/>
    <d v="2014-12-21T00:00:00"/>
    <n v="6"/>
    <x v="1"/>
    <s v="Gary Mitchum"/>
    <x v="2"/>
    <s v="United States"/>
    <s v="Chicago"/>
    <s v="Illinois"/>
    <s v="Central"/>
    <x v="2"/>
    <x v="11"/>
    <s v="Kensington Expert Mouse Optical USB Trackball for PC or Mac"/>
    <x v="2609"/>
    <n v="3"/>
    <n v="0.2"/>
    <n v="28.497"/>
  </r>
  <r>
    <n v="3333"/>
    <x v="817"/>
    <x v="3"/>
    <x v="4"/>
    <d v="2014-12-21T00:00:00"/>
    <n v="6"/>
    <x v="1"/>
    <s v="Gary Mitchum"/>
    <x v="2"/>
    <s v="United States"/>
    <s v="Chicago"/>
    <s v="Illinois"/>
    <s v="Central"/>
    <x v="2"/>
    <x v="7"/>
    <s v="Samsung HM1900 Bluetooth Headset"/>
    <x v="2610"/>
    <n v="3"/>
    <n v="0.2"/>
    <n v="19.754999999999999"/>
  </r>
  <r>
    <n v="3334"/>
    <x v="817"/>
    <x v="3"/>
    <x v="4"/>
    <d v="2014-12-21T00:00:00"/>
    <n v="6"/>
    <x v="1"/>
    <s v="Gary Mitchum"/>
    <x v="2"/>
    <s v="United States"/>
    <s v="Chicago"/>
    <s v="Illinois"/>
    <s v="Central"/>
    <x v="0"/>
    <x v="5"/>
    <s v="Master Caster Door Stop, Gray"/>
    <x v="2611"/>
    <n v="1"/>
    <n v="0.6"/>
    <n v="-1.3208"/>
  </r>
  <r>
    <n v="3335"/>
    <x v="170"/>
    <x v="3"/>
    <x v="6"/>
    <d v="2014-08-23T00:00:00"/>
    <n v="1"/>
    <x v="2"/>
    <s v="Patrick Ryan"/>
    <x v="0"/>
    <s v="United States"/>
    <s v="Oakland"/>
    <s v="California"/>
    <s v="West"/>
    <x v="1"/>
    <x v="6"/>
    <s v="Newell 336"/>
    <x v="854"/>
    <n v="4"/>
    <n v="0"/>
    <n v="4.9648000000000003"/>
  </r>
  <r>
    <n v="3336"/>
    <x v="170"/>
    <x v="3"/>
    <x v="6"/>
    <d v="2014-08-23T00:00:00"/>
    <n v="1"/>
    <x v="2"/>
    <s v="Patrick Ryan"/>
    <x v="0"/>
    <s v="United States"/>
    <s v="Oakland"/>
    <s v="California"/>
    <s v="West"/>
    <x v="2"/>
    <x v="7"/>
    <s v="Cisco 8x8 Inc. 6753i IP Business Phone System"/>
    <x v="2612"/>
    <n v="4"/>
    <n v="0.2"/>
    <n v="37.797199999999997"/>
  </r>
  <r>
    <n v="3337"/>
    <x v="170"/>
    <x v="3"/>
    <x v="6"/>
    <d v="2014-08-23T00:00:00"/>
    <n v="1"/>
    <x v="2"/>
    <s v="Patrick Ryan"/>
    <x v="0"/>
    <s v="United States"/>
    <s v="Oakland"/>
    <s v="California"/>
    <s v="West"/>
    <x v="0"/>
    <x v="5"/>
    <s v="Tenex Chairmats For Use with Hard Floors"/>
    <x v="677"/>
    <n v="4"/>
    <n v="0"/>
    <n v="10.393599999999999"/>
  </r>
  <r>
    <n v="3338"/>
    <x v="170"/>
    <x v="3"/>
    <x v="6"/>
    <d v="2014-08-23T00:00:00"/>
    <n v="1"/>
    <x v="2"/>
    <s v="Patrick Ryan"/>
    <x v="0"/>
    <s v="United States"/>
    <s v="Oakland"/>
    <s v="California"/>
    <s v="West"/>
    <x v="0"/>
    <x v="3"/>
    <s v="Chromcraft Rectangular Conference Tables"/>
    <x v="2613"/>
    <n v="3"/>
    <n v="0.2"/>
    <n v="28.436399999999999"/>
  </r>
  <r>
    <n v="3339"/>
    <x v="170"/>
    <x v="3"/>
    <x v="6"/>
    <d v="2014-08-23T00:00:00"/>
    <n v="1"/>
    <x v="2"/>
    <s v="Patrick Ryan"/>
    <x v="0"/>
    <s v="United States"/>
    <s v="Oakland"/>
    <s v="California"/>
    <s v="West"/>
    <x v="1"/>
    <x v="8"/>
    <s v="Acco Flexible ACCOHIDE Square Ring Data Binder, Dark Blue, 11 1/2&quot; X 14&quot; 7/8&quot;"/>
    <x v="2614"/>
    <n v="9"/>
    <n v="0.2"/>
    <n v="42.464700000000001"/>
  </r>
  <r>
    <n v="3340"/>
    <x v="170"/>
    <x v="3"/>
    <x v="6"/>
    <d v="2014-08-23T00:00:00"/>
    <n v="1"/>
    <x v="2"/>
    <s v="Patrick Ryan"/>
    <x v="0"/>
    <s v="United States"/>
    <s v="Oakland"/>
    <s v="California"/>
    <s v="West"/>
    <x v="1"/>
    <x v="9"/>
    <s v="Fellowes Command Center 5-outlet power strip"/>
    <x v="2615"/>
    <n v="3"/>
    <n v="0"/>
    <n v="54.950400000000002"/>
  </r>
  <r>
    <n v="3341"/>
    <x v="170"/>
    <x v="3"/>
    <x v="6"/>
    <d v="2014-08-23T00:00:00"/>
    <n v="1"/>
    <x v="2"/>
    <s v="Patrick Ryan"/>
    <x v="0"/>
    <s v="United States"/>
    <s v="Oakland"/>
    <s v="California"/>
    <s v="West"/>
    <x v="1"/>
    <x v="2"/>
    <s v="Avery Address/Shipping Labels for Typewriters, 4&quot; x 2&quot;"/>
    <x v="2616"/>
    <n v="5"/>
    <n v="0"/>
    <n v="24.84"/>
  </r>
  <r>
    <n v="3342"/>
    <x v="278"/>
    <x v="0"/>
    <x v="6"/>
    <d v="2013-09-02T00:00:00"/>
    <n v="5"/>
    <x v="0"/>
    <s v="Ted Butterfield"/>
    <x v="0"/>
    <s v="United States"/>
    <s v="Quincy"/>
    <s v="Massachusetts"/>
    <s v="East"/>
    <x v="1"/>
    <x v="10"/>
    <s v="Xerox 1919"/>
    <x v="1232"/>
    <n v="3"/>
    <n v="0"/>
    <n v="60.255299999999998"/>
  </r>
  <r>
    <n v="3343"/>
    <x v="278"/>
    <x v="0"/>
    <x v="6"/>
    <d v="2013-09-02T00:00:00"/>
    <n v="5"/>
    <x v="0"/>
    <s v="Ted Butterfield"/>
    <x v="0"/>
    <s v="United States"/>
    <s v="Quincy"/>
    <s v="Massachusetts"/>
    <s v="East"/>
    <x v="0"/>
    <x v="3"/>
    <s v="SAFCO PlanMaster Heigh-Adjustable Drafting Table Base, 43w x 30d x 30-37h, Black"/>
    <x v="2617"/>
    <n v="1"/>
    <n v="0.3"/>
    <n v="20.966999999999999"/>
  </r>
  <r>
    <n v="3344"/>
    <x v="278"/>
    <x v="0"/>
    <x v="6"/>
    <d v="2013-09-02T00:00:00"/>
    <n v="5"/>
    <x v="0"/>
    <s v="Ted Butterfield"/>
    <x v="0"/>
    <s v="United States"/>
    <s v="Quincy"/>
    <s v="Massachusetts"/>
    <s v="East"/>
    <x v="2"/>
    <x v="7"/>
    <s v="PureGear Roll-On Screen Protector"/>
    <x v="127"/>
    <n v="3"/>
    <n v="0"/>
    <n v="28.785599999999999"/>
  </r>
  <r>
    <n v="3345"/>
    <x v="278"/>
    <x v="0"/>
    <x v="6"/>
    <d v="2013-09-02T00:00:00"/>
    <n v="5"/>
    <x v="0"/>
    <s v="Ted Butterfield"/>
    <x v="0"/>
    <s v="United States"/>
    <s v="Quincy"/>
    <s v="Massachusetts"/>
    <s v="East"/>
    <x v="1"/>
    <x v="10"/>
    <s v="Southworth 25% Cotton Linen-Finish Paper &amp; Envelopes"/>
    <x v="2618"/>
    <n v="9"/>
    <n v="0"/>
    <n v="36.692999999999998"/>
  </r>
  <r>
    <n v="3346"/>
    <x v="278"/>
    <x v="0"/>
    <x v="6"/>
    <d v="2013-09-02T00:00:00"/>
    <n v="5"/>
    <x v="0"/>
    <s v="Ted Butterfield"/>
    <x v="0"/>
    <s v="United States"/>
    <s v="Quincy"/>
    <s v="Massachusetts"/>
    <s v="East"/>
    <x v="1"/>
    <x v="13"/>
    <s v="Staples"/>
    <x v="2582"/>
    <n v="4"/>
    <n v="0"/>
    <n v="5.2560000000000002"/>
  </r>
  <r>
    <n v="3347"/>
    <x v="278"/>
    <x v="0"/>
    <x v="6"/>
    <d v="2013-09-02T00:00:00"/>
    <n v="5"/>
    <x v="0"/>
    <s v="Ted Butterfield"/>
    <x v="0"/>
    <s v="United States"/>
    <s v="Quincy"/>
    <s v="Massachusetts"/>
    <s v="East"/>
    <x v="1"/>
    <x v="8"/>
    <s v="Wilson Jones Clip &amp; Carry Folder Binder Tool for Ring Binders, Clear"/>
    <x v="180"/>
    <n v="5"/>
    <n v="0"/>
    <n v="13.92"/>
  </r>
  <r>
    <n v="3348"/>
    <x v="863"/>
    <x v="1"/>
    <x v="6"/>
    <d v="2012-08-20T00:00:00"/>
    <n v="7"/>
    <x v="1"/>
    <s v="Odella Nelson"/>
    <x v="1"/>
    <s v="United States"/>
    <s v="Yucaipa"/>
    <s v="California"/>
    <s v="West"/>
    <x v="1"/>
    <x v="6"/>
    <s v="50 Colored Long Pencils"/>
    <x v="2619"/>
    <n v="5"/>
    <n v="0"/>
    <n v="13.208"/>
  </r>
  <r>
    <n v="3349"/>
    <x v="60"/>
    <x v="3"/>
    <x v="0"/>
    <d v="2014-11-08T00:00:00"/>
    <n v="2"/>
    <x v="2"/>
    <s v="Alan Haines"/>
    <x v="1"/>
    <s v="United States"/>
    <s v="Chicago"/>
    <s v="Illinois"/>
    <s v="Central"/>
    <x v="1"/>
    <x v="8"/>
    <s v="Avery Recycled Flexi-View Covers for Binding Systems"/>
    <x v="2620"/>
    <n v="5"/>
    <n v="0.8"/>
    <n v="-25.648"/>
  </r>
  <r>
    <n v="3350"/>
    <x v="864"/>
    <x v="0"/>
    <x v="6"/>
    <d v="2013-08-22T00:00:00"/>
    <n v="4"/>
    <x v="1"/>
    <s v="Neoma Murray"/>
    <x v="0"/>
    <s v="United States"/>
    <s v="Seattle"/>
    <s v="Washington"/>
    <s v="West"/>
    <x v="1"/>
    <x v="8"/>
    <s v="Acco Pressboard Covers with Storage Hooks, 14 7/8&quot; x 11&quot;, Light Blue"/>
    <x v="577"/>
    <n v="4"/>
    <n v="0.2"/>
    <n v="5.6955999999999998"/>
  </r>
  <r>
    <n v="3351"/>
    <x v="482"/>
    <x v="0"/>
    <x v="4"/>
    <d v="2014-01-01T00:00:00"/>
    <n v="5"/>
    <x v="1"/>
    <s v="Andrew Roberts"/>
    <x v="0"/>
    <s v="United States"/>
    <s v="New York City"/>
    <s v="New York"/>
    <s v="East"/>
    <x v="2"/>
    <x v="11"/>
    <s v="Belkin F8E887 USB Wired Ergonomic Keyboard"/>
    <x v="1309"/>
    <n v="3"/>
    <n v="0"/>
    <n v="18.893699999999999"/>
  </r>
  <r>
    <n v="3352"/>
    <x v="865"/>
    <x v="2"/>
    <x v="8"/>
    <d v="2011-09-28T00:00:00"/>
    <n v="5"/>
    <x v="1"/>
    <s v="Brian Moss"/>
    <x v="1"/>
    <s v="United States"/>
    <s v="San Diego"/>
    <s v="California"/>
    <s v="West"/>
    <x v="0"/>
    <x v="0"/>
    <s v="Rush Hierlooms Collection 1&quot; Thick Stackable Bookcases"/>
    <x v="2621"/>
    <n v="3"/>
    <n v="0.15"/>
    <n v="20.517600000000002"/>
  </r>
  <r>
    <n v="3353"/>
    <x v="865"/>
    <x v="2"/>
    <x v="8"/>
    <d v="2011-09-28T00:00:00"/>
    <n v="5"/>
    <x v="1"/>
    <s v="Brian Moss"/>
    <x v="1"/>
    <s v="United States"/>
    <s v="San Diego"/>
    <s v="California"/>
    <s v="West"/>
    <x v="2"/>
    <x v="7"/>
    <s v="netTALK DUO VoIP Telephone Service"/>
    <x v="1396"/>
    <n v="2"/>
    <n v="0.2"/>
    <n v="31.494"/>
  </r>
  <r>
    <n v="3354"/>
    <x v="866"/>
    <x v="2"/>
    <x v="7"/>
    <d v="2011-07-24T00:00:00"/>
    <n v="5"/>
    <x v="1"/>
    <s v="Christine Abelman"/>
    <x v="1"/>
    <s v="United States"/>
    <s v="Bristol"/>
    <s v="Connecticut"/>
    <s v="East"/>
    <x v="2"/>
    <x v="7"/>
    <s v="Polycom VVX 310 VoIP phone"/>
    <x v="2622"/>
    <n v="2"/>
    <n v="0"/>
    <n v="93.594800000000006"/>
  </r>
  <r>
    <n v="3355"/>
    <x v="866"/>
    <x v="2"/>
    <x v="7"/>
    <d v="2011-07-24T00:00:00"/>
    <n v="5"/>
    <x v="1"/>
    <s v="Christine Abelman"/>
    <x v="1"/>
    <s v="United States"/>
    <s v="Bristol"/>
    <s v="Connecticut"/>
    <s v="East"/>
    <x v="0"/>
    <x v="3"/>
    <s v="Barricks 18&quot; x 48&quot; Non-Folding Utility Table with Bottom Storage Shelf"/>
    <x v="2623"/>
    <n v="1"/>
    <n v="0.3"/>
    <n v="-4.032"/>
  </r>
  <r>
    <n v="3356"/>
    <x v="866"/>
    <x v="2"/>
    <x v="7"/>
    <d v="2011-07-24T00:00:00"/>
    <n v="5"/>
    <x v="1"/>
    <s v="Christine Abelman"/>
    <x v="1"/>
    <s v="United States"/>
    <s v="Bristol"/>
    <s v="Connecticut"/>
    <s v="East"/>
    <x v="1"/>
    <x v="8"/>
    <s v="Avery 3 1/2&quot; Diskette Storage Pages, 10/Pack"/>
    <x v="1490"/>
    <n v="2"/>
    <n v="0"/>
    <n v="9.6047999999999991"/>
  </r>
  <r>
    <n v="3357"/>
    <x v="866"/>
    <x v="2"/>
    <x v="7"/>
    <d v="2011-07-24T00:00:00"/>
    <n v="5"/>
    <x v="1"/>
    <s v="Christine Abelman"/>
    <x v="1"/>
    <s v="United States"/>
    <s v="Bristol"/>
    <s v="Connecticut"/>
    <s v="East"/>
    <x v="1"/>
    <x v="8"/>
    <s v="Acco Hanging Data Binders"/>
    <x v="2624"/>
    <n v="1"/>
    <n v="0"/>
    <n v="1.8288"/>
  </r>
  <r>
    <n v="3358"/>
    <x v="210"/>
    <x v="3"/>
    <x v="8"/>
    <d v="2014-09-14T00:00:00"/>
    <n v="6"/>
    <x v="1"/>
    <s v="Nicole Fjeld"/>
    <x v="2"/>
    <s v="United States"/>
    <s v="Chicago"/>
    <s v="Illinois"/>
    <s v="Central"/>
    <x v="1"/>
    <x v="10"/>
    <s v="Staples"/>
    <x v="2625"/>
    <n v="9"/>
    <n v="0.2"/>
    <n v="26.465399999999999"/>
  </r>
  <r>
    <n v="3359"/>
    <x v="715"/>
    <x v="0"/>
    <x v="5"/>
    <d v="2013-05-11T00:00:00"/>
    <n v="4"/>
    <x v="1"/>
    <s v="Art Ferguson"/>
    <x v="0"/>
    <s v="United States"/>
    <s v="Chicago"/>
    <s v="Illinois"/>
    <s v="Central"/>
    <x v="1"/>
    <x v="8"/>
    <s v="Insertable Tab Post Binder Dividers"/>
    <x v="2626"/>
    <n v="2"/>
    <n v="0.8"/>
    <n v="-5.2931999999999997"/>
  </r>
  <r>
    <n v="3360"/>
    <x v="715"/>
    <x v="0"/>
    <x v="5"/>
    <d v="2013-05-11T00:00:00"/>
    <n v="4"/>
    <x v="1"/>
    <s v="Art Ferguson"/>
    <x v="0"/>
    <s v="United States"/>
    <s v="Chicago"/>
    <s v="Illinois"/>
    <s v="Central"/>
    <x v="2"/>
    <x v="11"/>
    <s v="Logitech Desktop MK120 Mouse and keyboard Combo"/>
    <x v="2627"/>
    <n v="2"/>
    <n v="0.2"/>
    <n v="-3.2719999999999998"/>
  </r>
  <r>
    <n v="3361"/>
    <x v="593"/>
    <x v="1"/>
    <x v="1"/>
    <d v="2012-06-08T00:00:00"/>
    <n v="4"/>
    <x v="0"/>
    <s v="Tracy Collins"/>
    <x v="2"/>
    <s v="United States"/>
    <s v="New York City"/>
    <s v="New York"/>
    <s v="East"/>
    <x v="1"/>
    <x v="10"/>
    <s v="Wirebound Message Books, Two 4 1/4&quot; x 5&quot; Forms per Page"/>
    <x v="2628"/>
    <n v="4"/>
    <n v="0"/>
    <n v="14.306800000000001"/>
  </r>
  <r>
    <n v="3362"/>
    <x v="593"/>
    <x v="1"/>
    <x v="1"/>
    <d v="2012-06-08T00:00:00"/>
    <n v="4"/>
    <x v="0"/>
    <s v="Tracy Collins"/>
    <x v="2"/>
    <s v="United States"/>
    <s v="New York City"/>
    <s v="New York"/>
    <s v="East"/>
    <x v="0"/>
    <x v="5"/>
    <s v="Executive Impressions 10&quot; Spectator Wall Clock"/>
    <x v="2629"/>
    <n v="3"/>
    <n v="0"/>
    <n v="11.995200000000001"/>
  </r>
  <r>
    <n v="3363"/>
    <x v="350"/>
    <x v="1"/>
    <x v="4"/>
    <d v="2012-12-20T00:00:00"/>
    <n v="7"/>
    <x v="1"/>
    <s v="Dean percer"/>
    <x v="2"/>
    <s v="United States"/>
    <s v="Revere"/>
    <s v="Massachusetts"/>
    <s v="East"/>
    <x v="1"/>
    <x v="10"/>
    <s v="Xerox 222"/>
    <x v="537"/>
    <n v="3"/>
    <n v="0"/>
    <n v="9.3312000000000008"/>
  </r>
  <r>
    <n v="3364"/>
    <x v="350"/>
    <x v="1"/>
    <x v="4"/>
    <d v="2012-12-20T00:00:00"/>
    <n v="7"/>
    <x v="1"/>
    <s v="Dean percer"/>
    <x v="2"/>
    <s v="United States"/>
    <s v="Revere"/>
    <s v="Massachusetts"/>
    <s v="East"/>
    <x v="1"/>
    <x v="8"/>
    <s v="Flexible Leather- Look Classic Collection Ring Binder"/>
    <x v="2630"/>
    <n v="2"/>
    <n v="0"/>
    <n v="18.940000000000001"/>
  </r>
  <r>
    <n v="3365"/>
    <x v="87"/>
    <x v="0"/>
    <x v="7"/>
    <d v="2013-07-19T00:00:00"/>
    <n v="2"/>
    <x v="0"/>
    <s v="Mark Cousins"/>
    <x v="1"/>
    <s v="United States"/>
    <s v="Houston"/>
    <s v="Texas"/>
    <s v="Central"/>
    <x v="0"/>
    <x v="5"/>
    <s v="Staples"/>
    <x v="1235"/>
    <n v="3"/>
    <n v="0.6"/>
    <n v="-3.8208000000000002"/>
  </r>
  <r>
    <n v="3366"/>
    <x v="867"/>
    <x v="2"/>
    <x v="11"/>
    <d v="2011-02-03T00:00:00"/>
    <n v="2"/>
    <x v="2"/>
    <s v="Liz Carlisle"/>
    <x v="0"/>
    <s v="United States"/>
    <s v="Mission Viejo"/>
    <s v="California"/>
    <s v="West"/>
    <x v="0"/>
    <x v="0"/>
    <s v="Sauder Facets Collection Library, Sky Alder Finish"/>
    <x v="1395"/>
    <n v="2"/>
    <n v="0.15"/>
    <n v="3.4196"/>
  </r>
  <r>
    <n v="3367"/>
    <x v="868"/>
    <x v="2"/>
    <x v="7"/>
    <d v="2011-07-15T00:00:00"/>
    <n v="6"/>
    <x v="1"/>
    <s v="Brian Moss"/>
    <x v="1"/>
    <s v="United States"/>
    <s v="Dallas"/>
    <s v="Texas"/>
    <s v="Central"/>
    <x v="1"/>
    <x v="10"/>
    <s v="Eureka Recycled Copy Paper 8 1/2&quot; x 11&quot;, Ream"/>
    <x v="559"/>
    <n v="2"/>
    <n v="0.2"/>
    <n v="3.6288"/>
  </r>
  <r>
    <n v="3368"/>
    <x v="868"/>
    <x v="2"/>
    <x v="7"/>
    <d v="2011-07-15T00:00:00"/>
    <n v="6"/>
    <x v="1"/>
    <s v="Brian Moss"/>
    <x v="1"/>
    <s v="United States"/>
    <s v="Dallas"/>
    <s v="Texas"/>
    <s v="Central"/>
    <x v="1"/>
    <x v="10"/>
    <s v="Xerox 1895"/>
    <x v="642"/>
    <n v="3"/>
    <n v="0.2"/>
    <n v="4.4850000000000003"/>
  </r>
  <r>
    <n v="3369"/>
    <x v="82"/>
    <x v="1"/>
    <x v="0"/>
    <d v="2012-11-25T00:00:00"/>
    <n v="4"/>
    <x v="1"/>
    <s v="Natalie Webber"/>
    <x v="0"/>
    <s v="United States"/>
    <s v="Las Vegas"/>
    <s v="Nevada"/>
    <s v="West"/>
    <x v="0"/>
    <x v="0"/>
    <s v="Hon Metal Bookcases, Putty"/>
    <x v="1713"/>
    <n v="2"/>
    <n v="0"/>
    <n v="41.168399999999998"/>
  </r>
  <r>
    <n v="3370"/>
    <x v="82"/>
    <x v="1"/>
    <x v="0"/>
    <d v="2012-11-25T00:00:00"/>
    <n v="4"/>
    <x v="1"/>
    <s v="Natalie Webber"/>
    <x v="0"/>
    <s v="United States"/>
    <s v="Las Vegas"/>
    <s v="Nevada"/>
    <s v="West"/>
    <x v="1"/>
    <x v="8"/>
    <s v="Square Ring Data Binders, Rigid 75 Pt. Covers, 11&quot; x 14-7/8&quot;"/>
    <x v="2631"/>
    <n v="4"/>
    <n v="0.2"/>
    <n v="23.116800000000001"/>
  </r>
  <r>
    <n v="3371"/>
    <x v="869"/>
    <x v="0"/>
    <x v="10"/>
    <d v="2013-03-26T00:00:00"/>
    <n v="0"/>
    <x v="3"/>
    <s v="Toby Braunhardt"/>
    <x v="0"/>
    <s v="United States"/>
    <s v="Norman"/>
    <s v="Oklahoma"/>
    <s v="Central"/>
    <x v="2"/>
    <x v="11"/>
    <s v="Logitech P710e Mobile Speakerphone"/>
    <x v="2632"/>
    <n v="5"/>
    <n v="0"/>
    <n v="244.6155"/>
  </r>
  <r>
    <n v="3372"/>
    <x v="397"/>
    <x v="3"/>
    <x v="8"/>
    <d v="2014-10-01T00:00:00"/>
    <n v="7"/>
    <x v="1"/>
    <s v="Bruce Stewart"/>
    <x v="0"/>
    <s v="United States"/>
    <s v="San Francisco"/>
    <s v="California"/>
    <s v="West"/>
    <x v="1"/>
    <x v="8"/>
    <s v="Acco PRESSTEX Data Binder with Storage Hooks, Light Blue, 9 1/2&quot; X 11&quot;"/>
    <x v="63"/>
    <n v="6"/>
    <n v="0.2"/>
    <n v="9.0383999999999993"/>
  </r>
  <r>
    <n v="3373"/>
    <x v="397"/>
    <x v="3"/>
    <x v="8"/>
    <d v="2014-10-01T00:00:00"/>
    <n v="7"/>
    <x v="1"/>
    <s v="Bruce Stewart"/>
    <x v="0"/>
    <s v="United States"/>
    <s v="San Francisco"/>
    <s v="California"/>
    <s v="West"/>
    <x v="1"/>
    <x v="9"/>
    <s v="APC 7 Outlet Network SurgeArrest Surge Protector"/>
    <x v="2633"/>
    <n v="2"/>
    <n v="0"/>
    <n v="48.287999999999997"/>
  </r>
  <r>
    <n v="3374"/>
    <x v="784"/>
    <x v="1"/>
    <x v="4"/>
    <d v="2012-12-10T00:00:00"/>
    <n v="6"/>
    <x v="1"/>
    <s v="Sean O'Donnell"/>
    <x v="0"/>
    <s v="United States"/>
    <s v="Hempstead"/>
    <s v="New York"/>
    <s v="East"/>
    <x v="0"/>
    <x v="5"/>
    <s v="DAX Two-Tone Rosewood/Black Document Frame, Desktop, 5 x 7"/>
    <x v="2634"/>
    <n v="3"/>
    <n v="0"/>
    <n v="11.375999999999999"/>
  </r>
  <r>
    <n v="3375"/>
    <x v="784"/>
    <x v="1"/>
    <x v="4"/>
    <d v="2012-12-10T00:00:00"/>
    <n v="6"/>
    <x v="1"/>
    <s v="Sean O'Donnell"/>
    <x v="0"/>
    <s v="United States"/>
    <s v="Hempstead"/>
    <s v="New York"/>
    <s v="East"/>
    <x v="0"/>
    <x v="1"/>
    <s v="Office Star - Ergonomically Designed Knee Chair"/>
    <x v="2635"/>
    <n v="5"/>
    <n v="0.1"/>
    <n v="8.0980000000000008"/>
  </r>
  <r>
    <n v="3376"/>
    <x v="784"/>
    <x v="1"/>
    <x v="4"/>
    <d v="2012-12-10T00:00:00"/>
    <n v="6"/>
    <x v="1"/>
    <s v="Sean O'Donnell"/>
    <x v="0"/>
    <s v="United States"/>
    <s v="Hempstead"/>
    <s v="New York"/>
    <s v="East"/>
    <x v="2"/>
    <x v="7"/>
    <s v="Square Credit Card Reader"/>
    <x v="786"/>
    <n v="4"/>
    <n v="0"/>
    <n v="10.3896"/>
  </r>
  <r>
    <n v="3377"/>
    <x v="784"/>
    <x v="1"/>
    <x v="4"/>
    <d v="2012-12-10T00:00:00"/>
    <n v="6"/>
    <x v="1"/>
    <s v="Sean O'Donnell"/>
    <x v="0"/>
    <s v="United States"/>
    <s v="Hempstead"/>
    <s v="New York"/>
    <s v="East"/>
    <x v="0"/>
    <x v="1"/>
    <s v="Global Leather Highback Executive Chair with Pneumatic Height Adjustment, Black"/>
    <x v="2636"/>
    <n v="2"/>
    <n v="0.1"/>
    <n v="68.333200000000005"/>
  </r>
  <r>
    <n v="3378"/>
    <x v="474"/>
    <x v="0"/>
    <x v="0"/>
    <d v="2013-11-05T00:00:00"/>
    <n v="3"/>
    <x v="2"/>
    <s v="Cindy Schnelling"/>
    <x v="1"/>
    <s v="United States"/>
    <s v="Conroe"/>
    <s v="Texas"/>
    <s v="Central"/>
    <x v="1"/>
    <x v="4"/>
    <s v="Tenex Personal Filing Tote With Secure Closure Lid, Black/Frost"/>
    <x v="2637"/>
    <n v="9"/>
    <n v="0.2"/>
    <n v="6.9794999999999998"/>
  </r>
  <r>
    <n v="3379"/>
    <x v="294"/>
    <x v="3"/>
    <x v="10"/>
    <d v="2014-03-22T00:00:00"/>
    <n v="4"/>
    <x v="1"/>
    <s v="Philisse Overcash"/>
    <x v="2"/>
    <s v="United States"/>
    <s v="Houston"/>
    <s v="Texas"/>
    <s v="Central"/>
    <x v="1"/>
    <x v="8"/>
    <s v="GBC Plasticlear Binding Covers"/>
    <x v="2638"/>
    <n v="6"/>
    <n v="0.8"/>
    <n v="-22.041599999999999"/>
  </r>
  <r>
    <n v="3380"/>
    <x v="294"/>
    <x v="3"/>
    <x v="10"/>
    <d v="2014-03-22T00:00:00"/>
    <n v="4"/>
    <x v="1"/>
    <s v="Philisse Overcash"/>
    <x v="2"/>
    <s v="United States"/>
    <s v="Houston"/>
    <s v="Texas"/>
    <s v="Central"/>
    <x v="1"/>
    <x v="10"/>
    <s v="Xerox 1900"/>
    <x v="1495"/>
    <n v="3"/>
    <n v="0.2"/>
    <n v="3.21"/>
  </r>
  <r>
    <n v="3381"/>
    <x v="51"/>
    <x v="3"/>
    <x v="0"/>
    <d v="2014-11-25T00:00:00"/>
    <n v="1"/>
    <x v="2"/>
    <s v="Tamara Dahlen"/>
    <x v="0"/>
    <s v="United States"/>
    <s v="Philadelphia"/>
    <s v="Pennsylvania"/>
    <s v="East"/>
    <x v="0"/>
    <x v="5"/>
    <s v="OIC Stacking Trays"/>
    <x v="2639"/>
    <n v="9"/>
    <n v="0.2"/>
    <n v="7.2144000000000004"/>
  </r>
  <r>
    <n v="3382"/>
    <x v="151"/>
    <x v="3"/>
    <x v="6"/>
    <d v="2014-08-31T00:00:00"/>
    <n v="3"/>
    <x v="2"/>
    <s v="Stefania Perrino"/>
    <x v="1"/>
    <s v="United States"/>
    <s v="Tampa"/>
    <s v="Florida"/>
    <s v="South"/>
    <x v="1"/>
    <x v="12"/>
    <s v="Convenience Packs of Business Envelopes"/>
    <x v="1671"/>
    <n v="1"/>
    <n v="0.2"/>
    <n v="0.97740000000000005"/>
  </r>
  <r>
    <n v="3383"/>
    <x v="784"/>
    <x v="1"/>
    <x v="4"/>
    <d v="2012-12-09T00:00:00"/>
    <n v="5"/>
    <x v="0"/>
    <s v="Maribeth Schnelling"/>
    <x v="0"/>
    <s v="United States"/>
    <s v="New York City"/>
    <s v="New York"/>
    <s v="East"/>
    <x v="1"/>
    <x v="12"/>
    <s v="Wausau Papers Astrobrights Colored Envelopes"/>
    <x v="1444"/>
    <n v="3"/>
    <n v="0"/>
    <n v="8.7905999999999995"/>
  </r>
  <r>
    <n v="3384"/>
    <x v="784"/>
    <x v="1"/>
    <x v="4"/>
    <d v="2012-12-09T00:00:00"/>
    <n v="5"/>
    <x v="0"/>
    <s v="Maribeth Schnelling"/>
    <x v="0"/>
    <s v="United States"/>
    <s v="New York City"/>
    <s v="New York"/>
    <s v="East"/>
    <x v="0"/>
    <x v="1"/>
    <s v="Global Armless Task Chair, Royal Blue"/>
    <x v="2640"/>
    <n v="7"/>
    <n v="0.1"/>
    <n v="29.880199999999999"/>
  </r>
  <r>
    <n v="3385"/>
    <x v="784"/>
    <x v="1"/>
    <x v="4"/>
    <d v="2012-12-09T00:00:00"/>
    <n v="5"/>
    <x v="0"/>
    <s v="Maribeth Schnelling"/>
    <x v="0"/>
    <s v="United States"/>
    <s v="New York City"/>
    <s v="New York"/>
    <s v="East"/>
    <x v="2"/>
    <x v="7"/>
    <s v="Wilson SignalBoost 841262 DB PRO Amplifier Kit"/>
    <x v="2641"/>
    <n v="5"/>
    <n v="0"/>
    <n v="539.92499999999995"/>
  </r>
  <r>
    <n v="3386"/>
    <x v="566"/>
    <x v="3"/>
    <x v="2"/>
    <d v="2014-10-12T00:00:00"/>
    <n v="4"/>
    <x v="1"/>
    <s v="Dean percer"/>
    <x v="2"/>
    <s v="United States"/>
    <s v="Charlotte"/>
    <s v="North Carolina"/>
    <s v="South"/>
    <x v="1"/>
    <x v="4"/>
    <s v="Adjustable Depth Letter/Legal Cart"/>
    <x v="2642"/>
    <n v="4"/>
    <n v="0.2"/>
    <n v="65.325599999999994"/>
  </r>
  <r>
    <n v="3387"/>
    <x v="566"/>
    <x v="3"/>
    <x v="2"/>
    <d v="2014-10-12T00:00:00"/>
    <n v="4"/>
    <x v="1"/>
    <s v="Dean percer"/>
    <x v="2"/>
    <s v="United States"/>
    <s v="Charlotte"/>
    <s v="North Carolina"/>
    <s v="South"/>
    <x v="1"/>
    <x v="13"/>
    <s v="Staples"/>
    <x v="2206"/>
    <n v="3"/>
    <n v="0.2"/>
    <n v="5.9175000000000004"/>
  </r>
  <r>
    <n v="3388"/>
    <x v="566"/>
    <x v="3"/>
    <x v="2"/>
    <d v="2014-10-12T00:00:00"/>
    <n v="4"/>
    <x v="1"/>
    <s v="Dean percer"/>
    <x v="2"/>
    <s v="United States"/>
    <s v="Charlotte"/>
    <s v="North Carolina"/>
    <s v="South"/>
    <x v="2"/>
    <x v="7"/>
    <s v="Toshiba IPT2010-SD IP Telephone"/>
    <x v="2643"/>
    <n v="2"/>
    <n v="0.2"/>
    <n v="16.678799999999999"/>
  </r>
  <r>
    <n v="3389"/>
    <x v="566"/>
    <x v="3"/>
    <x v="2"/>
    <d v="2014-10-12T00:00:00"/>
    <n v="4"/>
    <x v="1"/>
    <s v="Dean percer"/>
    <x v="2"/>
    <s v="United States"/>
    <s v="Charlotte"/>
    <s v="North Carolina"/>
    <s v="South"/>
    <x v="1"/>
    <x v="8"/>
    <s v="Performers Binder/Pad Holder, Black"/>
    <x v="2644"/>
    <n v="6"/>
    <n v="0.7"/>
    <n v="-33.636000000000003"/>
  </r>
  <r>
    <n v="3390"/>
    <x v="566"/>
    <x v="3"/>
    <x v="2"/>
    <d v="2014-10-12T00:00:00"/>
    <n v="4"/>
    <x v="1"/>
    <s v="Dean percer"/>
    <x v="2"/>
    <s v="United States"/>
    <s v="Charlotte"/>
    <s v="North Carolina"/>
    <s v="South"/>
    <x v="0"/>
    <x v="3"/>
    <s v="KI Adjustable-Height Table"/>
    <x v="1244"/>
    <n v="3"/>
    <n v="0.4"/>
    <n v="-36.111600000000003"/>
  </r>
  <r>
    <n v="3391"/>
    <x v="613"/>
    <x v="3"/>
    <x v="10"/>
    <d v="2014-03-31T00:00:00"/>
    <n v="5"/>
    <x v="0"/>
    <s v="Duane Benoit"/>
    <x v="0"/>
    <s v="United States"/>
    <s v="Dallas"/>
    <s v="Texas"/>
    <s v="Central"/>
    <x v="1"/>
    <x v="10"/>
    <s v="Xerox 1953"/>
    <x v="1297"/>
    <n v="2"/>
    <n v="0.2"/>
    <n v="2.14"/>
  </r>
  <r>
    <n v="3392"/>
    <x v="128"/>
    <x v="2"/>
    <x v="6"/>
    <d v="2011-08-13T00:00:00"/>
    <n v="4"/>
    <x v="1"/>
    <s v="Matthew Grinstein"/>
    <x v="2"/>
    <s v="United States"/>
    <s v="Seattle"/>
    <s v="Washington"/>
    <s v="West"/>
    <x v="2"/>
    <x v="7"/>
    <s v="Cisco Unified IP Phone 7945G VoIP phone"/>
    <x v="2645"/>
    <n v="4"/>
    <n v="0.2"/>
    <n v="68.197999999999993"/>
  </r>
  <r>
    <n v="3393"/>
    <x v="128"/>
    <x v="2"/>
    <x v="6"/>
    <d v="2011-08-13T00:00:00"/>
    <n v="4"/>
    <x v="1"/>
    <s v="Matthew Grinstein"/>
    <x v="2"/>
    <s v="United States"/>
    <s v="Seattle"/>
    <s v="Washington"/>
    <s v="West"/>
    <x v="2"/>
    <x v="7"/>
    <s v="Jawbone MINI JAMBOX Wireless Bluetooth Speaker"/>
    <x v="2646"/>
    <n v="2"/>
    <n v="0.2"/>
    <n v="-43.833599999999997"/>
  </r>
  <r>
    <n v="3394"/>
    <x v="754"/>
    <x v="2"/>
    <x v="0"/>
    <d v="2011-11-25T00:00:00"/>
    <n v="3"/>
    <x v="2"/>
    <s v="Evan Henry"/>
    <x v="0"/>
    <s v="United States"/>
    <s v="Pasadena"/>
    <s v="Texas"/>
    <s v="Central"/>
    <x v="1"/>
    <x v="8"/>
    <s v="Wilson Jones Heavy-Duty Casebound Ring Binders with Metal Hinges"/>
    <x v="2647"/>
    <n v="1"/>
    <n v="0.8"/>
    <n v="-11.0848"/>
  </r>
  <r>
    <n v="3395"/>
    <x v="193"/>
    <x v="3"/>
    <x v="1"/>
    <d v="2014-06-11T00:00:00"/>
    <n v="0"/>
    <x v="3"/>
    <s v="Carl Ludwig"/>
    <x v="0"/>
    <s v="United States"/>
    <s v="Philadelphia"/>
    <s v="Pennsylvania"/>
    <s v="East"/>
    <x v="1"/>
    <x v="10"/>
    <s v="REDIFORM Incoming/Outgoing Call Register, 11&quot; X 8 1/2&quot;, 100 Messages"/>
    <x v="2648"/>
    <n v="6"/>
    <n v="0.2"/>
    <n v="15.012"/>
  </r>
  <r>
    <n v="3396"/>
    <x v="870"/>
    <x v="3"/>
    <x v="7"/>
    <d v="2014-07-09T00:00:00"/>
    <n v="7"/>
    <x v="1"/>
    <s v="Karen Ferguson"/>
    <x v="2"/>
    <s v="United States"/>
    <s v="Indianapolis"/>
    <s v="Indiana"/>
    <s v="Central"/>
    <x v="1"/>
    <x v="4"/>
    <s v="Carina Mini System Audio Rack, Model AR050B"/>
    <x v="2293"/>
    <n v="4"/>
    <n v="0"/>
    <n v="13.317600000000001"/>
  </r>
  <r>
    <n v="3397"/>
    <x v="870"/>
    <x v="3"/>
    <x v="7"/>
    <d v="2014-07-09T00:00:00"/>
    <n v="7"/>
    <x v="1"/>
    <s v="Karen Ferguson"/>
    <x v="2"/>
    <s v="United States"/>
    <s v="Indianapolis"/>
    <s v="Indiana"/>
    <s v="Central"/>
    <x v="1"/>
    <x v="8"/>
    <s v="Fellowes PB200 Plastic Comb Binding Machine"/>
    <x v="2649"/>
    <n v="1"/>
    <n v="0"/>
    <n v="78.195400000000006"/>
  </r>
  <r>
    <n v="3398"/>
    <x v="870"/>
    <x v="3"/>
    <x v="7"/>
    <d v="2014-07-09T00:00:00"/>
    <n v="7"/>
    <x v="1"/>
    <s v="Karen Ferguson"/>
    <x v="2"/>
    <s v="United States"/>
    <s v="Indianapolis"/>
    <s v="Indiana"/>
    <s v="Central"/>
    <x v="1"/>
    <x v="10"/>
    <s v="Xerox 226"/>
    <x v="233"/>
    <n v="4"/>
    <n v="0"/>
    <n v="12.441599999999999"/>
  </r>
  <r>
    <n v="3399"/>
    <x v="871"/>
    <x v="2"/>
    <x v="0"/>
    <d v="2011-11-26T00:00:00"/>
    <n v="5"/>
    <x v="1"/>
    <s v="Dave Hallsten"/>
    <x v="1"/>
    <s v="United States"/>
    <s v="Richmond"/>
    <s v="Kentucky"/>
    <s v="South"/>
    <x v="2"/>
    <x v="7"/>
    <s v="Logitech B530 USB Headset - headset - Full size, Binaural"/>
    <x v="2650"/>
    <n v="1"/>
    <n v="0"/>
    <n v="9.9872999999999994"/>
  </r>
  <r>
    <n v="3400"/>
    <x v="871"/>
    <x v="2"/>
    <x v="0"/>
    <d v="2011-11-26T00:00:00"/>
    <n v="5"/>
    <x v="1"/>
    <s v="Dave Hallsten"/>
    <x v="1"/>
    <s v="United States"/>
    <s v="Richmond"/>
    <s v="Kentucky"/>
    <s v="South"/>
    <x v="1"/>
    <x v="10"/>
    <s v="Multicolor Computer Printout Paper"/>
    <x v="2651"/>
    <n v="6"/>
    <n v="0"/>
    <n v="301.96800000000002"/>
  </r>
  <r>
    <n v="3401"/>
    <x v="871"/>
    <x v="2"/>
    <x v="0"/>
    <d v="2011-11-26T00:00:00"/>
    <n v="5"/>
    <x v="1"/>
    <s v="Dave Hallsten"/>
    <x v="1"/>
    <s v="United States"/>
    <s v="Richmond"/>
    <s v="Kentucky"/>
    <s v="South"/>
    <x v="1"/>
    <x v="4"/>
    <s v="Space Solutions Commercial Steel Shelving"/>
    <x v="2652"/>
    <n v="3"/>
    <n v="0"/>
    <n v="9.6974999999999998"/>
  </r>
  <r>
    <n v="3402"/>
    <x v="871"/>
    <x v="2"/>
    <x v="0"/>
    <d v="2011-11-26T00:00:00"/>
    <n v="5"/>
    <x v="1"/>
    <s v="Dave Hallsten"/>
    <x v="1"/>
    <s v="United States"/>
    <s v="Richmond"/>
    <s v="Kentucky"/>
    <s v="South"/>
    <x v="1"/>
    <x v="6"/>
    <s v="Newell 322"/>
    <x v="1392"/>
    <n v="3"/>
    <n v="0"/>
    <n v="1.4742"/>
  </r>
  <r>
    <n v="3403"/>
    <x v="124"/>
    <x v="1"/>
    <x v="5"/>
    <d v="2012-05-05T00:00:00"/>
    <n v="1"/>
    <x v="2"/>
    <s v="Laura Armstrong"/>
    <x v="1"/>
    <s v="United States"/>
    <s v="Tinley Park"/>
    <s v="Illinois"/>
    <s v="Central"/>
    <x v="0"/>
    <x v="5"/>
    <s v="Staples"/>
    <x v="2653"/>
    <n v="7"/>
    <n v="0.6"/>
    <n v="-8.9152000000000005"/>
  </r>
  <r>
    <n v="3404"/>
    <x v="148"/>
    <x v="3"/>
    <x v="5"/>
    <d v="2014-06-06T00:00:00"/>
    <n v="7"/>
    <x v="1"/>
    <s v="Henia Zydlo"/>
    <x v="0"/>
    <s v="United States"/>
    <s v="Houston"/>
    <s v="Texas"/>
    <s v="Central"/>
    <x v="0"/>
    <x v="5"/>
    <s v="Eldon Executive Woodline II Cherry Finish Desk Accessories"/>
    <x v="2654"/>
    <n v="4"/>
    <n v="0.6"/>
    <n v="-52.339199999999998"/>
  </r>
  <r>
    <n v="3405"/>
    <x v="872"/>
    <x v="1"/>
    <x v="2"/>
    <d v="2012-10-17T00:00:00"/>
    <n v="0"/>
    <x v="3"/>
    <s v="Charlotte Melton"/>
    <x v="0"/>
    <s v="United States"/>
    <s v="Los Angeles"/>
    <s v="California"/>
    <s v="West"/>
    <x v="1"/>
    <x v="4"/>
    <s v="Eldon Base for stackable storage shelf, platinum"/>
    <x v="42"/>
    <n v="2"/>
    <n v="0"/>
    <n v="3.8940000000000001"/>
  </r>
  <r>
    <n v="3406"/>
    <x v="488"/>
    <x v="2"/>
    <x v="3"/>
    <d v="2011-04-27T00:00:00"/>
    <n v="4"/>
    <x v="1"/>
    <s v="Laurel Beltran"/>
    <x v="2"/>
    <s v="United States"/>
    <s v="Columbus"/>
    <s v="Ohio"/>
    <s v="East"/>
    <x v="0"/>
    <x v="1"/>
    <s v="Global Leather Highback Executive Chair with Pneumatic Height Adjustment, Black"/>
    <x v="2655"/>
    <n v="2"/>
    <n v="0.3"/>
    <n v="-12.0588"/>
  </r>
  <r>
    <n v="3407"/>
    <x v="488"/>
    <x v="2"/>
    <x v="3"/>
    <d v="2011-04-27T00:00:00"/>
    <n v="4"/>
    <x v="1"/>
    <s v="Laurel Beltran"/>
    <x v="2"/>
    <s v="United States"/>
    <s v="Columbus"/>
    <s v="Ohio"/>
    <s v="East"/>
    <x v="0"/>
    <x v="1"/>
    <s v="Global Leather Highback Executive Chair with Pneumatic Height Adjustment, Black"/>
    <x v="2655"/>
    <n v="2"/>
    <n v="0.3"/>
    <n v="-12.0588"/>
  </r>
  <r>
    <n v="3408"/>
    <x v="488"/>
    <x v="2"/>
    <x v="3"/>
    <d v="2011-04-27T00:00:00"/>
    <n v="4"/>
    <x v="1"/>
    <s v="Laurel Beltran"/>
    <x v="2"/>
    <s v="United States"/>
    <s v="Columbus"/>
    <s v="Ohio"/>
    <s v="East"/>
    <x v="1"/>
    <x v="8"/>
    <s v="Zipper Ring Binder Pockets"/>
    <x v="2656"/>
    <n v="8"/>
    <n v="0.7"/>
    <n v="-5.2416"/>
  </r>
  <r>
    <n v="3409"/>
    <x v="488"/>
    <x v="2"/>
    <x v="3"/>
    <d v="2011-04-27T00:00:00"/>
    <n v="4"/>
    <x v="1"/>
    <s v="Laurel Beltran"/>
    <x v="2"/>
    <s v="United States"/>
    <s v="Columbus"/>
    <s v="Ohio"/>
    <s v="East"/>
    <x v="0"/>
    <x v="5"/>
    <s v="G.E. Halogen Desk Lamp Bulbs"/>
    <x v="2657"/>
    <n v="4"/>
    <n v="0.2"/>
    <n v="7.8175999999999997"/>
  </r>
  <r>
    <n v="3410"/>
    <x v="504"/>
    <x v="3"/>
    <x v="5"/>
    <d v="2014-05-07T00:00:00"/>
    <n v="6"/>
    <x v="1"/>
    <s v="Jeremy Farry"/>
    <x v="0"/>
    <s v="United States"/>
    <s v="Columbus"/>
    <s v="Ohio"/>
    <s v="East"/>
    <x v="1"/>
    <x v="10"/>
    <s v="Xerox 222"/>
    <x v="559"/>
    <n v="2"/>
    <n v="0.2"/>
    <n v="3.6288"/>
  </r>
  <r>
    <n v="3411"/>
    <x v="873"/>
    <x v="0"/>
    <x v="8"/>
    <d v="2013-09-25T00:00:00"/>
    <n v="4"/>
    <x v="1"/>
    <s v="Greg Maxwell"/>
    <x v="1"/>
    <s v="United States"/>
    <s v="San Francisco"/>
    <s v="California"/>
    <s v="West"/>
    <x v="1"/>
    <x v="10"/>
    <s v="Strathmore Photo Frame Cards"/>
    <x v="2658"/>
    <n v="9"/>
    <n v="0"/>
    <n v="30.263400000000001"/>
  </r>
  <r>
    <n v="3412"/>
    <x v="873"/>
    <x v="0"/>
    <x v="8"/>
    <d v="2013-09-25T00:00:00"/>
    <n v="4"/>
    <x v="1"/>
    <s v="Greg Maxwell"/>
    <x v="1"/>
    <s v="United States"/>
    <s v="San Francisco"/>
    <s v="California"/>
    <s v="West"/>
    <x v="1"/>
    <x v="8"/>
    <s v="Fellowes PB200 Plastic Comb Binding Machine"/>
    <x v="2659"/>
    <n v="2"/>
    <n v="0.2"/>
    <n v="88.394800000000004"/>
  </r>
  <r>
    <n v="3413"/>
    <x v="873"/>
    <x v="0"/>
    <x v="8"/>
    <d v="2013-09-25T00:00:00"/>
    <n v="4"/>
    <x v="1"/>
    <s v="Greg Maxwell"/>
    <x v="1"/>
    <s v="United States"/>
    <s v="San Francisco"/>
    <s v="California"/>
    <s v="West"/>
    <x v="1"/>
    <x v="6"/>
    <s v="Newell 343"/>
    <x v="2660"/>
    <n v="4"/>
    <n v="0"/>
    <n v="3.1751999999999998"/>
  </r>
  <r>
    <n v="3414"/>
    <x v="873"/>
    <x v="0"/>
    <x v="8"/>
    <d v="2013-09-25T00:00:00"/>
    <n v="4"/>
    <x v="1"/>
    <s v="Greg Maxwell"/>
    <x v="1"/>
    <s v="United States"/>
    <s v="San Francisco"/>
    <s v="California"/>
    <s v="West"/>
    <x v="1"/>
    <x v="10"/>
    <s v="Xerox 1944"/>
    <x v="2661"/>
    <n v="2"/>
    <n v="0"/>
    <n v="37.9848"/>
  </r>
  <r>
    <n v="3415"/>
    <x v="873"/>
    <x v="0"/>
    <x v="8"/>
    <d v="2013-09-25T00:00:00"/>
    <n v="4"/>
    <x v="1"/>
    <s v="Greg Maxwell"/>
    <x v="1"/>
    <s v="United States"/>
    <s v="San Francisco"/>
    <s v="California"/>
    <s v="West"/>
    <x v="1"/>
    <x v="8"/>
    <s v="Ibico Plastic Spiral Binding Combs"/>
    <x v="2662"/>
    <n v="2"/>
    <n v="0.2"/>
    <n v="15.808"/>
  </r>
  <r>
    <n v="3416"/>
    <x v="476"/>
    <x v="0"/>
    <x v="8"/>
    <d v="2013-09-03T00:00:00"/>
    <n v="0"/>
    <x v="3"/>
    <s v="Sonia Sunley"/>
    <x v="0"/>
    <s v="United States"/>
    <s v="Madison"/>
    <s v="Wisconsin"/>
    <s v="Central"/>
    <x v="1"/>
    <x v="13"/>
    <s v="Colored Push Pins"/>
    <x v="2663"/>
    <n v="1"/>
    <n v="0"/>
    <n v="0.65159999999999996"/>
  </r>
  <r>
    <n v="3417"/>
    <x v="476"/>
    <x v="0"/>
    <x v="8"/>
    <d v="2013-09-03T00:00:00"/>
    <n v="0"/>
    <x v="3"/>
    <s v="Sonia Sunley"/>
    <x v="0"/>
    <s v="United States"/>
    <s v="Madison"/>
    <s v="Wisconsin"/>
    <s v="Central"/>
    <x v="1"/>
    <x v="8"/>
    <s v="ACCOHIDE 3-Ring Binder, Blue, 1&quot;"/>
    <x v="338"/>
    <n v="2"/>
    <n v="0"/>
    <n v="3.8822000000000001"/>
  </r>
  <r>
    <n v="3418"/>
    <x v="381"/>
    <x v="1"/>
    <x v="3"/>
    <d v="2012-05-02T00:00:00"/>
    <n v="5"/>
    <x v="1"/>
    <s v="Tony Chapman"/>
    <x v="2"/>
    <s v="United States"/>
    <s v="Aurora"/>
    <s v="Colorado"/>
    <s v="West"/>
    <x v="1"/>
    <x v="9"/>
    <s v="Belkin 6 Outlet Metallic Surge Strip"/>
    <x v="1875"/>
    <n v="5"/>
    <n v="0.2"/>
    <n v="3.2669999999999999"/>
  </r>
  <r>
    <n v="3419"/>
    <x v="381"/>
    <x v="1"/>
    <x v="3"/>
    <d v="2012-05-02T00:00:00"/>
    <n v="5"/>
    <x v="1"/>
    <s v="Tony Chapman"/>
    <x v="2"/>
    <s v="United States"/>
    <s v="Aurora"/>
    <s v="Colorado"/>
    <s v="West"/>
    <x v="1"/>
    <x v="14"/>
    <s v="Acme Value Line Scissors"/>
    <x v="568"/>
    <n v="2"/>
    <n v="0.2"/>
    <n v="0.73"/>
  </r>
  <r>
    <n v="3420"/>
    <x v="684"/>
    <x v="1"/>
    <x v="8"/>
    <d v="2012-09-13T00:00:00"/>
    <n v="7"/>
    <x v="1"/>
    <s v="Chuck Clark"/>
    <x v="2"/>
    <s v="United States"/>
    <s v="New York City"/>
    <s v="New York"/>
    <s v="East"/>
    <x v="0"/>
    <x v="1"/>
    <s v="Global Airflow Leather Mesh Back Chair, Black"/>
    <x v="2598"/>
    <n v="2"/>
    <n v="0.1"/>
    <n v="60.392000000000003"/>
  </r>
  <r>
    <n v="3421"/>
    <x v="316"/>
    <x v="0"/>
    <x v="5"/>
    <d v="2013-06-04T00:00:00"/>
    <n v="6"/>
    <x v="1"/>
    <s v="Clay Ludtke"/>
    <x v="0"/>
    <s v="United States"/>
    <s v="Los Angeles"/>
    <s v="California"/>
    <s v="West"/>
    <x v="1"/>
    <x v="9"/>
    <s v="Kensington 7 Outlet MasterPiece HOMEOFFICE Power Control Center"/>
    <x v="2664"/>
    <n v="2"/>
    <n v="0"/>
    <n v="78.671999999999997"/>
  </r>
  <r>
    <n v="3422"/>
    <x v="316"/>
    <x v="0"/>
    <x v="5"/>
    <d v="2013-06-04T00:00:00"/>
    <n v="6"/>
    <x v="1"/>
    <s v="Clay Ludtke"/>
    <x v="0"/>
    <s v="United States"/>
    <s v="Los Angeles"/>
    <s v="California"/>
    <s v="West"/>
    <x v="1"/>
    <x v="10"/>
    <s v="Xerox 1991"/>
    <x v="681"/>
    <n v="8"/>
    <n v="0"/>
    <n v="84.051199999999994"/>
  </r>
  <r>
    <n v="3423"/>
    <x v="316"/>
    <x v="0"/>
    <x v="5"/>
    <d v="2013-06-04T00:00:00"/>
    <n v="6"/>
    <x v="1"/>
    <s v="Clay Ludtke"/>
    <x v="0"/>
    <s v="United States"/>
    <s v="Los Angeles"/>
    <s v="California"/>
    <s v="West"/>
    <x v="2"/>
    <x v="11"/>
    <s v="Imation Clip USB flash drive - 8 GB"/>
    <x v="2665"/>
    <n v="7"/>
    <n v="0"/>
    <n v="7.8959999999999999"/>
  </r>
  <r>
    <n v="3424"/>
    <x v="316"/>
    <x v="0"/>
    <x v="5"/>
    <d v="2013-06-04T00:00:00"/>
    <n v="6"/>
    <x v="1"/>
    <s v="Clay Ludtke"/>
    <x v="0"/>
    <s v="United States"/>
    <s v="Los Angeles"/>
    <s v="California"/>
    <s v="West"/>
    <x v="1"/>
    <x v="8"/>
    <s v="Wilson Jones Hanging View Binder, White, 1&quot;"/>
    <x v="20"/>
    <n v="4"/>
    <n v="0.2"/>
    <n v="7.3840000000000003"/>
  </r>
  <r>
    <n v="3425"/>
    <x v="316"/>
    <x v="0"/>
    <x v="5"/>
    <d v="2013-06-04T00:00:00"/>
    <n v="6"/>
    <x v="1"/>
    <s v="Clay Ludtke"/>
    <x v="0"/>
    <s v="United States"/>
    <s v="Los Angeles"/>
    <s v="California"/>
    <s v="West"/>
    <x v="2"/>
    <x v="15"/>
    <s v="Okidata C331dn Printer"/>
    <x v="2666"/>
    <n v="2"/>
    <n v="0.2"/>
    <n v="41.88"/>
  </r>
  <r>
    <n v="3426"/>
    <x v="496"/>
    <x v="1"/>
    <x v="8"/>
    <d v="2012-09-28T00:00:00"/>
    <n v="4"/>
    <x v="1"/>
    <s v="Deanra Eno"/>
    <x v="2"/>
    <s v="United States"/>
    <s v="Dubuque"/>
    <s v="Iowa"/>
    <s v="Central"/>
    <x v="1"/>
    <x v="8"/>
    <s v="Acco Pressboard Covers with Storage Hooks, 14 7/8&quot; x 11&quot;, Executive Red"/>
    <x v="593"/>
    <n v="4"/>
    <n v="0"/>
    <n v="6.8579999999999997"/>
  </r>
  <r>
    <n v="3427"/>
    <x v="496"/>
    <x v="1"/>
    <x v="8"/>
    <d v="2012-09-28T00:00:00"/>
    <n v="4"/>
    <x v="1"/>
    <s v="Deanra Eno"/>
    <x v="2"/>
    <s v="United States"/>
    <s v="Dubuque"/>
    <s v="Iowa"/>
    <s v="Central"/>
    <x v="0"/>
    <x v="1"/>
    <s v="Hon Olson Stacker Stools"/>
    <x v="2667"/>
    <n v="10"/>
    <n v="0"/>
    <n v="394.26799999999997"/>
  </r>
  <r>
    <n v="3428"/>
    <x v="445"/>
    <x v="3"/>
    <x v="7"/>
    <d v="2014-07-07T00:00:00"/>
    <n v="3"/>
    <x v="0"/>
    <s v="Sam Zeldin"/>
    <x v="2"/>
    <s v="United States"/>
    <s v="Lancaster"/>
    <s v="Ohio"/>
    <s v="East"/>
    <x v="1"/>
    <x v="10"/>
    <s v="Message Book, Wirebound, Four 5 1/2&quot; X 4&quot; Forms/Pg., 200 Dupl. Sets/Book"/>
    <x v="2668"/>
    <n v="4"/>
    <n v="0.2"/>
    <n v="11.102399999999999"/>
  </r>
  <r>
    <n v="3429"/>
    <x v="445"/>
    <x v="3"/>
    <x v="7"/>
    <d v="2014-07-07T00:00:00"/>
    <n v="3"/>
    <x v="0"/>
    <s v="Sam Zeldin"/>
    <x v="2"/>
    <s v="United States"/>
    <s v="Lancaster"/>
    <s v="Ohio"/>
    <s v="East"/>
    <x v="0"/>
    <x v="3"/>
    <s v="Bevis Round Conference Table Top, X-Base"/>
    <x v="2669"/>
    <n v="2"/>
    <n v="0.4"/>
    <n v="-103.98820000000001"/>
  </r>
  <r>
    <n v="3430"/>
    <x v="445"/>
    <x v="3"/>
    <x v="7"/>
    <d v="2014-07-07T00:00:00"/>
    <n v="3"/>
    <x v="0"/>
    <s v="Sam Zeldin"/>
    <x v="2"/>
    <s v="United States"/>
    <s v="Lancaster"/>
    <s v="Ohio"/>
    <s v="East"/>
    <x v="1"/>
    <x v="10"/>
    <s v="Wirebound Four 2-3/4 x 5 Forms per Page, 400 Sets per Book"/>
    <x v="2585"/>
    <n v="6"/>
    <n v="0.2"/>
    <n v="11.223000000000001"/>
  </r>
  <r>
    <n v="3431"/>
    <x v="166"/>
    <x v="3"/>
    <x v="4"/>
    <d v="2014-12-10T00:00:00"/>
    <n v="1"/>
    <x v="2"/>
    <s v="Luke Foster"/>
    <x v="0"/>
    <s v="United States"/>
    <s v="Inglewood"/>
    <s v="California"/>
    <s v="West"/>
    <x v="1"/>
    <x v="4"/>
    <s v="Akro-Mils 12-Gallon Tote"/>
    <x v="1400"/>
    <n v="3"/>
    <n v="0"/>
    <n v="8.6390999999999991"/>
  </r>
  <r>
    <n v="3432"/>
    <x v="166"/>
    <x v="3"/>
    <x v="4"/>
    <d v="2014-12-10T00:00:00"/>
    <n v="1"/>
    <x v="2"/>
    <s v="Luke Foster"/>
    <x v="0"/>
    <s v="United States"/>
    <s v="Inglewood"/>
    <s v="California"/>
    <s v="West"/>
    <x v="0"/>
    <x v="5"/>
    <s v="Tenex Traditional Chairmats for Hard Floors, Average Lip, 36&quot; x 48&quot;"/>
    <x v="2670"/>
    <n v="2"/>
    <n v="0"/>
    <n v="15.468"/>
  </r>
  <r>
    <n v="3433"/>
    <x v="166"/>
    <x v="3"/>
    <x v="4"/>
    <d v="2014-12-10T00:00:00"/>
    <n v="1"/>
    <x v="2"/>
    <s v="Luke Foster"/>
    <x v="0"/>
    <s v="United States"/>
    <s v="Inglewood"/>
    <s v="California"/>
    <s v="West"/>
    <x v="1"/>
    <x v="10"/>
    <s v="Xerox 1968"/>
    <x v="1817"/>
    <n v="9"/>
    <n v="0"/>
    <n v="28.857600000000001"/>
  </r>
  <r>
    <n v="3434"/>
    <x v="256"/>
    <x v="3"/>
    <x v="4"/>
    <d v="2014-12-10T00:00:00"/>
    <n v="4"/>
    <x v="1"/>
    <s v="Alan Barnes"/>
    <x v="0"/>
    <s v="United States"/>
    <s v="Bellevue"/>
    <s v="Washington"/>
    <s v="West"/>
    <x v="1"/>
    <x v="8"/>
    <s v="GBC Wire Binding Combs"/>
    <x v="176"/>
    <n v="3"/>
    <n v="0.2"/>
    <n v="8.3754000000000008"/>
  </r>
  <r>
    <n v="3435"/>
    <x v="256"/>
    <x v="3"/>
    <x v="4"/>
    <d v="2014-12-10T00:00:00"/>
    <n v="4"/>
    <x v="1"/>
    <s v="Alan Barnes"/>
    <x v="0"/>
    <s v="United States"/>
    <s v="Bellevue"/>
    <s v="Washington"/>
    <s v="West"/>
    <x v="1"/>
    <x v="8"/>
    <s v="Zipper Ring Binder Pockets"/>
    <x v="2671"/>
    <n v="6"/>
    <n v="0.2"/>
    <n v="5.4287999999999998"/>
  </r>
  <r>
    <n v="3436"/>
    <x v="874"/>
    <x v="1"/>
    <x v="8"/>
    <d v="2012-09-29T00:00:00"/>
    <n v="2"/>
    <x v="2"/>
    <s v="Neoma Murray"/>
    <x v="0"/>
    <s v="United States"/>
    <s v="Chicago"/>
    <s v="Illinois"/>
    <s v="Central"/>
    <x v="1"/>
    <x v="8"/>
    <s v="Vinyl Sectional Post Binders"/>
    <x v="2672"/>
    <n v="2"/>
    <n v="0.8"/>
    <n v="-22.62"/>
  </r>
  <r>
    <n v="3437"/>
    <x v="874"/>
    <x v="1"/>
    <x v="8"/>
    <d v="2012-09-29T00:00:00"/>
    <n v="2"/>
    <x v="2"/>
    <s v="Neoma Murray"/>
    <x v="0"/>
    <s v="United States"/>
    <s v="Chicago"/>
    <s v="Illinois"/>
    <s v="Central"/>
    <x v="0"/>
    <x v="5"/>
    <s v="DAX Metal Frame, Desktop, Stepped-Edge"/>
    <x v="2673"/>
    <n v="3"/>
    <n v="0.6"/>
    <n v="-12.751200000000001"/>
  </r>
  <r>
    <n v="3438"/>
    <x v="505"/>
    <x v="3"/>
    <x v="2"/>
    <d v="2014-10-31T00:00:00"/>
    <n v="0"/>
    <x v="3"/>
    <s v="Ryan Akin"/>
    <x v="0"/>
    <s v="United States"/>
    <s v="Dallas"/>
    <s v="Texas"/>
    <s v="Central"/>
    <x v="0"/>
    <x v="5"/>
    <s v="DAX Metal Frame, Desktop, Stepped-Edge"/>
    <x v="2674"/>
    <n v="2"/>
    <n v="0.6"/>
    <n v="-8.5007999999999999"/>
  </r>
  <r>
    <n v="3439"/>
    <x v="505"/>
    <x v="3"/>
    <x v="2"/>
    <d v="2014-10-31T00:00:00"/>
    <n v="0"/>
    <x v="3"/>
    <s v="Ryan Akin"/>
    <x v="0"/>
    <s v="United States"/>
    <s v="Dallas"/>
    <s v="Texas"/>
    <s v="Central"/>
    <x v="0"/>
    <x v="3"/>
    <s v="Bevis Round Conference Table Top, X-Base"/>
    <x v="2675"/>
    <n v="2"/>
    <n v="0.3"/>
    <n v="-68.130200000000002"/>
  </r>
  <r>
    <n v="3440"/>
    <x v="505"/>
    <x v="3"/>
    <x v="2"/>
    <d v="2014-10-31T00:00:00"/>
    <n v="0"/>
    <x v="3"/>
    <s v="Ryan Akin"/>
    <x v="0"/>
    <s v="United States"/>
    <s v="Dallas"/>
    <s v="Texas"/>
    <s v="Central"/>
    <x v="1"/>
    <x v="4"/>
    <s v="X-Rack File for Hanging Folders"/>
    <x v="2676"/>
    <n v="6"/>
    <n v="0.2"/>
    <n v="4.0644"/>
  </r>
  <r>
    <n v="3441"/>
    <x v="239"/>
    <x v="1"/>
    <x v="0"/>
    <d v="2012-11-30T00:00:00"/>
    <n v="1"/>
    <x v="3"/>
    <s v="Phillina Ober"/>
    <x v="2"/>
    <s v="United States"/>
    <s v="San Francisco"/>
    <s v="California"/>
    <s v="West"/>
    <x v="1"/>
    <x v="8"/>
    <s v="Acco PRESSTEX Data Binder with Storage Hooks, Dark Blue, 14 7/8&quot; X 11&quot;"/>
    <x v="2677"/>
    <n v="1"/>
    <n v="0.2"/>
    <n v="1.5602"/>
  </r>
  <r>
    <n v="3442"/>
    <x v="518"/>
    <x v="2"/>
    <x v="10"/>
    <d v="2011-03-14T00:00:00"/>
    <n v="3"/>
    <x v="0"/>
    <s v="Kelly Andreada"/>
    <x v="0"/>
    <s v="United States"/>
    <s v="New York City"/>
    <s v="New York"/>
    <s v="East"/>
    <x v="1"/>
    <x v="10"/>
    <s v="Southworth 100% Résumé Paper, 24lb."/>
    <x v="2678"/>
    <n v="14"/>
    <n v="0"/>
    <n v="49.014000000000003"/>
  </r>
  <r>
    <n v="3443"/>
    <x v="123"/>
    <x v="3"/>
    <x v="0"/>
    <d v="2014-11-24T00:00:00"/>
    <n v="4"/>
    <x v="1"/>
    <s v="Justin Deggeller"/>
    <x v="1"/>
    <s v="United States"/>
    <s v="New York City"/>
    <s v="New York"/>
    <s v="East"/>
    <x v="1"/>
    <x v="12"/>
    <s v="Staples"/>
    <x v="80"/>
    <n v="3"/>
    <n v="0"/>
    <n v="8.3699999999999992"/>
  </r>
  <r>
    <n v="3444"/>
    <x v="123"/>
    <x v="3"/>
    <x v="0"/>
    <d v="2014-11-24T00:00:00"/>
    <n v="4"/>
    <x v="1"/>
    <s v="Justin Deggeller"/>
    <x v="1"/>
    <s v="United States"/>
    <s v="New York City"/>
    <s v="New York"/>
    <s v="East"/>
    <x v="1"/>
    <x v="9"/>
    <s v="Hoover Shoulder Vac Commercial Portable Vacuum"/>
    <x v="2679"/>
    <n v="7"/>
    <n v="0"/>
    <n v="626.18499999999995"/>
  </r>
  <r>
    <n v="3445"/>
    <x v="875"/>
    <x v="0"/>
    <x v="7"/>
    <d v="2013-08-03T00:00:00"/>
    <n v="4"/>
    <x v="1"/>
    <s v="Jack O'Briant"/>
    <x v="1"/>
    <s v="United States"/>
    <s v="Philadelphia"/>
    <s v="Pennsylvania"/>
    <s v="East"/>
    <x v="1"/>
    <x v="4"/>
    <s v="Gould Plastics 9-Pocket Panel Bin, 18-3/8w x 5-1/4d x 20-1/2h, Black"/>
    <x v="556"/>
    <n v="2"/>
    <n v="0.2"/>
    <n v="-16.956800000000001"/>
  </r>
  <r>
    <n v="3446"/>
    <x v="821"/>
    <x v="1"/>
    <x v="1"/>
    <d v="2012-06-17T00:00:00"/>
    <n v="5"/>
    <x v="1"/>
    <s v="Laurel Elliston"/>
    <x v="0"/>
    <s v="United States"/>
    <s v="Newark"/>
    <s v="Delaware"/>
    <s v="East"/>
    <x v="1"/>
    <x v="4"/>
    <s v="Perma STOR-ALL Hanging File Box, 13 1/8&quot;W x 12 1/4&quot;D x 10 1/2&quot;H"/>
    <x v="2680"/>
    <n v="5"/>
    <n v="0"/>
    <n v="5.0830000000000002"/>
  </r>
  <r>
    <n v="3447"/>
    <x v="876"/>
    <x v="0"/>
    <x v="6"/>
    <d v="2013-08-08T00:00:00"/>
    <n v="1"/>
    <x v="2"/>
    <s v="Anna Häberlin"/>
    <x v="1"/>
    <s v="United States"/>
    <s v="New York City"/>
    <s v="New York"/>
    <s v="East"/>
    <x v="1"/>
    <x v="10"/>
    <s v="Staples"/>
    <x v="2681"/>
    <n v="2"/>
    <n v="0"/>
    <n v="33.313600000000001"/>
  </r>
  <r>
    <n v="3448"/>
    <x v="532"/>
    <x v="3"/>
    <x v="1"/>
    <d v="2014-06-16T00:00:00"/>
    <n v="4"/>
    <x v="1"/>
    <s v="Kristina Nunn"/>
    <x v="2"/>
    <s v="United States"/>
    <s v="Auburn"/>
    <s v="Alabama"/>
    <s v="South"/>
    <x v="1"/>
    <x v="6"/>
    <s v="OIC #2 Pencils, Medium Soft"/>
    <x v="1053"/>
    <n v="2"/>
    <n v="0"/>
    <n v="1.0904"/>
  </r>
  <r>
    <n v="3449"/>
    <x v="877"/>
    <x v="0"/>
    <x v="2"/>
    <d v="2013-10-14T00:00:00"/>
    <n v="6"/>
    <x v="1"/>
    <s v="Tim Brockman"/>
    <x v="0"/>
    <s v="United States"/>
    <s v="Los Angeles"/>
    <s v="California"/>
    <s v="West"/>
    <x v="1"/>
    <x v="8"/>
    <s v="GBC Recycled VeloBinder Covers"/>
    <x v="2682"/>
    <n v="2"/>
    <n v="0.2"/>
    <n v="8.8607999999999993"/>
  </r>
  <r>
    <n v="3450"/>
    <x v="78"/>
    <x v="2"/>
    <x v="8"/>
    <d v="2011-09-14T00:00:00"/>
    <n v="6"/>
    <x v="1"/>
    <s v="Dennis Pardue"/>
    <x v="2"/>
    <s v="United States"/>
    <s v="San Francisco"/>
    <s v="California"/>
    <s v="West"/>
    <x v="1"/>
    <x v="9"/>
    <s v="Holmes Replacement Filter for HEPA Air Cleaner, Medium Room"/>
    <x v="2683"/>
    <n v="5"/>
    <n v="0"/>
    <n v="24.359500000000001"/>
  </r>
  <r>
    <n v="3451"/>
    <x v="78"/>
    <x v="2"/>
    <x v="8"/>
    <d v="2011-09-14T00:00:00"/>
    <n v="6"/>
    <x v="1"/>
    <s v="Dennis Pardue"/>
    <x v="2"/>
    <s v="United States"/>
    <s v="San Francisco"/>
    <s v="California"/>
    <s v="West"/>
    <x v="1"/>
    <x v="4"/>
    <s v="Pizazz Global Quick File"/>
    <x v="2684"/>
    <n v="1"/>
    <n v="0"/>
    <n v="4.1916000000000002"/>
  </r>
  <r>
    <n v="3452"/>
    <x v="78"/>
    <x v="2"/>
    <x v="8"/>
    <d v="2011-09-14T00:00:00"/>
    <n v="6"/>
    <x v="1"/>
    <s v="Dennis Pardue"/>
    <x v="2"/>
    <s v="United States"/>
    <s v="San Francisco"/>
    <s v="California"/>
    <s v="West"/>
    <x v="1"/>
    <x v="13"/>
    <s v="Ideal Clamps"/>
    <x v="133"/>
    <n v="2"/>
    <n v="0"/>
    <n v="1.9698"/>
  </r>
  <r>
    <n v="3453"/>
    <x v="878"/>
    <x v="2"/>
    <x v="10"/>
    <d v="2011-03-21T00:00:00"/>
    <n v="5"/>
    <x v="0"/>
    <s v="Kristina Nunn"/>
    <x v="2"/>
    <s v="United States"/>
    <s v="Raleigh"/>
    <s v="North Carolina"/>
    <s v="South"/>
    <x v="2"/>
    <x v="7"/>
    <s v="Polycom VoiceStation 500 Conference phone"/>
    <x v="2685"/>
    <n v="2"/>
    <n v="0.2"/>
    <n v="29.495000000000001"/>
  </r>
  <r>
    <n v="3454"/>
    <x v="879"/>
    <x v="1"/>
    <x v="11"/>
    <d v="2012-03-02T00:00:00"/>
    <n v="2"/>
    <x v="0"/>
    <s v="Shui Tom"/>
    <x v="0"/>
    <s v="United States"/>
    <s v="Macon"/>
    <s v="Georgia"/>
    <s v="South"/>
    <x v="1"/>
    <x v="8"/>
    <s v="XtraLife ClearVue Slant-D Ring Binder, White, 3&quot;"/>
    <x v="2686"/>
    <n v="4"/>
    <n v="0"/>
    <n v="27.011199999999999"/>
  </r>
  <r>
    <n v="3455"/>
    <x v="584"/>
    <x v="1"/>
    <x v="7"/>
    <d v="2012-07-14T00:00:00"/>
    <n v="5"/>
    <x v="1"/>
    <s v="Emily Burns"/>
    <x v="0"/>
    <s v="United States"/>
    <s v="Nashville"/>
    <s v="Tennessee"/>
    <s v="South"/>
    <x v="1"/>
    <x v="6"/>
    <s v="Binney &amp; Smith inkTank Desk Highlighter, Chisel Tip, Yellow, 12/Box"/>
    <x v="782"/>
    <n v="3"/>
    <n v="0.2"/>
    <n v="0.83850000000000002"/>
  </r>
  <r>
    <n v="3456"/>
    <x v="880"/>
    <x v="0"/>
    <x v="11"/>
    <d v="2013-02-27T00:00:00"/>
    <n v="7"/>
    <x v="1"/>
    <s v="Alan Hwang"/>
    <x v="0"/>
    <s v="United States"/>
    <s v="Nashville"/>
    <s v="Tennessee"/>
    <s v="South"/>
    <x v="1"/>
    <x v="10"/>
    <s v="Speediset Carbonless Redi-Letter 7&quot; x 8 1/2&quot;"/>
    <x v="2687"/>
    <n v="2"/>
    <n v="0.2"/>
    <n v="5.5674000000000001"/>
  </r>
  <r>
    <n v="3457"/>
    <x v="118"/>
    <x v="3"/>
    <x v="8"/>
    <d v="2014-09-19T00:00:00"/>
    <n v="2"/>
    <x v="2"/>
    <s v="Adam Shillingsburg"/>
    <x v="0"/>
    <s v="United States"/>
    <s v="Philadelphia"/>
    <s v="Pennsylvania"/>
    <s v="East"/>
    <x v="2"/>
    <x v="11"/>
    <s v="Logitech Trackman Marble Mouse"/>
    <x v="973"/>
    <n v="3"/>
    <n v="0.2"/>
    <n v="19.793399999999998"/>
  </r>
  <r>
    <n v="3458"/>
    <x v="118"/>
    <x v="3"/>
    <x v="8"/>
    <d v="2014-09-19T00:00:00"/>
    <n v="2"/>
    <x v="2"/>
    <s v="Adam Shillingsburg"/>
    <x v="0"/>
    <s v="United States"/>
    <s v="Philadelphia"/>
    <s v="Pennsylvania"/>
    <s v="East"/>
    <x v="0"/>
    <x v="5"/>
    <s v="Eldon Expressions Punched Metal &amp; Wood Desk Accessories, Black &amp; Cherry"/>
    <x v="2688"/>
    <n v="3"/>
    <n v="0.2"/>
    <n v="2.2511999999999999"/>
  </r>
  <r>
    <n v="3459"/>
    <x v="118"/>
    <x v="3"/>
    <x v="8"/>
    <d v="2014-09-19T00:00:00"/>
    <n v="2"/>
    <x v="2"/>
    <s v="Adam Shillingsburg"/>
    <x v="0"/>
    <s v="United States"/>
    <s v="Philadelphia"/>
    <s v="Pennsylvania"/>
    <s v="East"/>
    <x v="1"/>
    <x v="8"/>
    <s v="Binder Posts"/>
    <x v="2689"/>
    <n v="2"/>
    <n v="0.7"/>
    <n v="-2.7551999999999999"/>
  </r>
  <r>
    <n v="3460"/>
    <x v="118"/>
    <x v="3"/>
    <x v="8"/>
    <d v="2014-09-19T00:00:00"/>
    <n v="2"/>
    <x v="2"/>
    <s v="Adam Shillingsburg"/>
    <x v="0"/>
    <s v="United States"/>
    <s v="Philadelphia"/>
    <s v="Pennsylvania"/>
    <s v="East"/>
    <x v="1"/>
    <x v="8"/>
    <s v="GBC DocuBind TL300 Electric Binding System"/>
    <x v="2690"/>
    <n v="2"/>
    <n v="0.7"/>
    <n v="-412.61540000000002"/>
  </r>
  <r>
    <n v="3461"/>
    <x v="118"/>
    <x v="3"/>
    <x v="8"/>
    <d v="2014-09-19T00:00:00"/>
    <n v="2"/>
    <x v="2"/>
    <s v="Adam Shillingsburg"/>
    <x v="0"/>
    <s v="United States"/>
    <s v="Philadelphia"/>
    <s v="Pennsylvania"/>
    <s v="East"/>
    <x v="2"/>
    <x v="11"/>
    <s v="Logitech 910-002974 M325 Wireless Mouse for Web Scrolling"/>
    <x v="730"/>
    <n v="2"/>
    <n v="0.2"/>
    <n v="14.395200000000001"/>
  </r>
  <r>
    <n v="3462"/>
    <x v="60"/>
    <x v="3"/>
    <x v="0"/>
    <d v="2014-11-11T00:00:00"/>
    <n v="5"/>
    <x v="0"/>
    <s v="Elizabeth Moffitt"/>
    <x v="1"/>
    <s v="United States"/>
    <s v="Dallas"/>
    <s v="Texas"/>
    <s v="Central"/>
    <x v="2"/>
    <x v="7"/>
    <s v="Nortel Meridian M3904 Professional Digital phone"/>
    <x v="2691"/>
    <n v="4"/>
    <n v="0.2"/>
    <n v="55.436399999999999"/>
  </r>
  <r>
    <n v="3463"/>
    <x v="763"/>
    <x v="1"/>
    <x v="11"/>
    <d v="2012-02-23T00:00:00"/>
    <n v="3"/>
    <x v="0"/>
    <s v="Kelly Andreada"/>
    <x v="0"/>
    <s v="United States"/>
    <s v="Perth Amboy"/>
    <s v="New Jersey"/>
    <s v="East"/>
    <x v="1"/>
    <x v="6"/>
    <s v="Sanford 52201 APSCO Electric Pencil Sharpener"/>
    <x v="2692"/>
    <n v="7"/>
    <n v="0"/>
    <n v="74.565399999999997"/>
  </r>
  <r>
    <n v="3464"/>
    <x v="881"/>
    <x v="0"/>
    <x v="0"/>
    <d v="2013-12-01T00:00:00"/>
    <n v="5"/>
    <x v="1"/>
    <s v="Heather Jas"/>
    <x v="2"/>
    <s v="United States"/>
    <s v="Jacksonville"/>
    <s v="Florida"/>
    <s v="South"/>
    <x v="1"/>
    <x v="10"/>
    <s v="Telephone Message Books with Fax/Mobile Section, 5 1/2&quot; x 3 3/16&quot;"/>
    <x v="2693"/>
    <n v="1"/>
    <n v="0.2"/>
    <n v="1.651"/>
  </r>
  <r>
    <n v="3465"/>
    <x v="734"/>
    <x v="3"/>
    <x v="4"/>
    <d v="2014-12-06T00:00:00"/>
    <n v="2"/>
    <x v="0"/>
    <s v="Natalie DeCherney"/>
    <x v="0"/>
    <s v="United States"/>
    <s v="Jacksonville"/>
    <s v="Florida"/>
    <s v="South"/>
    <x v="2"/>
    <x v="11"/>
    <s v="Kensington Orbit Wireless Mobile Trackball for PC and Mac"/>
    <x v="1388"/>
    <n v="1"/>
    <n v="0.2"/>
    <n v="7.1988000000000003"/>
  </r>
  <r>
    <n v="3466"/>
    <x v="229"/>
    <x v="1"/>
    <x v="8"/>
    <d v="2012-09-14T00:00:00"/>
    <n v="4"/>
    <x v="1"/>
    <s v="Edward Hooks"/>
    <x v="1"/>
    <s v="United States"/>
    <s v="Revere"/>
    <s v="Massachusetts"/>
    <s v="East"/>
    <x v="1"/>
    <x v="9"/>
    <s v="Euro-Pro Shark Turbo Vacuum"/>
    <x v="1156"/>
    <n v="2"/>
    <n v="0"/>
    <n v="16.1096"/>
  </r>
  <r>
    <n v="3467"/>
    <x v="229"/>
    <x v="1"/>
    <x v="8"/>
    <d v="2012-09-14T00:00:00"/>
    <n v="4"/>
    <x v="1"/>
    <s v="Edward Hooks"/>
    <x v="1"/>
    <s v="United States"/>
    <s v="Revere"/>
    <s v="Massachusetts"/>
    <s v="East"/>
    <x v="0"/>
    <x v="0"/>
    <s v="O'Sullivan 2-Door Barrister Bookcase in Odessa Pine"/>
    <x v="2694"/>
    <n v="2"/>
    <n v="0"/>
    <n v="83.250799999999998"/>
  </r>
  <r>
    <n v="3468"/>
    <x v="229"/>
    <x v="1"/>
    <x v="8"/>
    <d v="2012-09-14T00:00:00"/>
    <n v="4"/>
    <x v="1"/>
    <s v="Edward Hooks"/>
    <x v="1"/>
    <s v="United States"/>
    <s v="Revere"/>
    <s v="Massachusetts"/>
    <s v="East"/>
    <x v="1"/>
    <x v="10"/>
    <s v="Xerox 1960"/>
    <x v="2695"/>
    <n v="9"/>
    <n v="0"/>
    <n v="125.46899999999999"/>
  </r>
  <r>
    <n v="3469"/>
    <x v="882"/>
    <x v="0"/>
    <x v="4"/>
    <d v="2013-12-20T00:00:00"/>
    <n v="5"/>
    <x v="1"/>
    <s v="Michael Chen"/>
    <x v="0"/>
    <s v="United States"/>
    <s v="Jackson"/>
    <s v="Mississippi"/>
    <s v="South"/>
    <x v="0"/>
    <x v="5"/>
    <s v="Executive Impressions 14&quot;"/>
    <x v="2696"/>
    <n v="6"/>
    <n v="0"/>
    <n v="58.687199999999997"/>
  </r>
  <r>
    <n v="3470"/>
    <x v="744"/>
    <x v="1"/>
    <x v="3"/>
    <d v="2012-04-10T00:00:00"/>
    <n v="4"/>
    <x v="1"/>
    <s v="Mark Hamilton"/>
    <x v="0"/>
    <s v="United States"/>
    <s v="Jacksonville"/>
    <s v="North Carolina"/>
    <s v="South"/>
    <x v="1"/>
    <x v="10"/>
    <s v="Xerox 1884"/>
    <x v="1097"/>
    <n v="3"/>
    <n v="0.2"/>
    <n v="16.183800000000002"/>
  </r>
  <r>
    <n v="3471"/>
    <x v="49"/>
    <x v="0"/>
    <x v="4"/>
    <d v="2013-12-06T00:00:00"/>
    <n v="4"/>
    <x v="1"/>
    <s v="Carl Ludwig"/>
    <x v="0"/>
    <s v="United States"/>
    <s v="San Francisco"/>
    <s v="California"/>
    <s v="West"/>
    <x v="0"/>
    <x v="5"/>
    <s v="Westinghouse Clip-On Gooseneck Lamps"/>
    <x v="80"/>
    <n v="2"/>
    <n v="0"/>
    <n v="4.3524000000000003"/>
  </r>
  <r>
    <n v="3472"/>
    <x v="105"/>
    <x v="3"/>
    <x v="0"/>
    <d v="2014-11-18T00:00:00"/>
    <n v="5"/>
    <x v="1"/>
    <s v="Sylvia Foulston"/>
    <x v="1"/>
    <s v="United States"/>
    <s v="Columbus"/>
    <s v="Ohio"/>
    <s v="East"/>
    <x v="1"/>
    <x v="10"/>
    <s v="Strathmore Photo Mount Cards"/>
    <x v="2697"/>
    <n v="2"/>
    <n v="0.2"/>
    <n v="3.5255999999999998"/>
  </r>
  <r>
    <n v="3473"/>
    <x v="105"/>
    <x v="3"/>
    <x v="0"/>
    <d v="2014-11-18T00:00:00"/>
    <n v="5"/>
    <x v="1"/>
    <s v="Sylvia Foulston"/>
    <x v="1"/>
    <s v="United States"/>
    <s v="Columbus"/>
    <s v="Ohio"/>
    <s v="East"/>
    <x v="2"/>
    <x v="11"/>
    <s v="Verbatim 25 GB 6x Blu-ray Single Layer Recordable Disc, 10/Pack"/>
    <x v="2698"/>
    <n v="2"/>
    <n v="0.2"/>
    <n v="3.0133999999999999"/>
  </r>
  <r>
    <n v="3474"/>
    <x v="448"/>
    <x v="3"/>
    <x v="10"/>
    <d v="2014-03-11T00:00:00"/>
    <n v="7"/>
    <x v="1"/>
    <s v="Emily Phan"/>
    <x v="0"/>
    <s v="United States"/>
    <s v="Dearborn Heights"/>
    <s v="Michigan"/>
    <s v="Central"/>
    <x v="0"/>
    <x v="1"/>
    <s v="Global Ergonomic Managers Chair"/>
    <x v="2699"/>
    <n v="1"/>
    <n v="0"/>
    <n v="47.0548"/>
  </r>
  <r>
    <n v="3475"/>
    <x v="448"/>
    <x v="3"/>
    <x v="10"/>
    <d v="2014-03-11T00:00:00"/>
    <n v="7"/>
    <x v="1"/>
    <s v="Emily Phan"/>
    <x v="0"/>
    <s v="United States"/>
    <s v="Dearborn Heights"/>
    <s v="Michigan"/>
    <s v="Central"/>
    <x v="2"/>
    <x v="11"/>
    <s v="Logitech Wireless Marathon Mouse M705"/>
    <x v="2564"/>
    <n v="2"/>
    <n v="0"/>
    <n v="42.991399999999999"/>
  </r>
  <r>
    <n v="3476"/>
    <x v="581"/>
    <x v="0"/>
    <x v="0"/>
    <d v="2013-12-01T00:00:00"/>
    <n v="3"/>
    <x v="2"/>
    <s v="Rob Williams"/>
    <x v="1"/>
    <s v="United States"/>
    <s v="Overland Park"/>
    <s v="Kansas"/>
    <s v="Central"/>
    <x v="2"/>
    <x v="11"/>
    <s v="Verbatim 25 GB 6x Blu-ray Single Layer Recordable Disc, 3/Pack"/>
    <x v="2700"/>
    <n v="5"/>
    <n v="0"/>
    <n v="15.378"/>
  </r>
  <r>
    <n v="3477"/>
    <x v="581"/>
    <x v="0"/>
    <x v="0"/>
    <d v="2013-12-01T00:00:00"/>
    <n v="3"/>
    <x v="2"/>
    <s v="Rob Williams"/>
    <x v="1"/>
    <s v="United States"/>
    <s v="Overland Park"/>
    <s v="Kansas"/>
    <s v="Central"/>
    <x v="1"/>
    <x v="8"/>
    <s v="Ibico Plastic Spiral Binding Combs"/>
    <x v="2701"/>
    <n v="5"/>
    <n v="0"/>
    <n v="69.92"/>
  </r>
  <r>
    <n v="3478"/>
    <x v="883"/>
    <x v="2"/>
    <x v="6"/>
    <d v="2011-09-05T00:00:00"/>
    <n v="5"/>
    <x v="1"/>
    <s v="Shirley Jackson"/>
    <x v="0"/>
    <s v="United States"/>
    <s v="Santa Fe"/>
    <s v="New Mexico"/>
    <s v="West"/>
    <x v="2"/>
    <x v="11"/>
    <s v="KeyTronic KT400U2 - Keyboard - Black"/>
    <x v="448"/>
    <n v="9"/>
    <n v="0"/>
    <n v="18.504000000000001"/>
  </r>
  <r>
    <n v="3479"/>
    <x v="16"/>
    <x v="0"/>
    <x v="4"/>
    <d v="2013-12-15T00:00:00"/>
    <n v="6"/>
    <x v="1"/>
    <s v="Stefania Perrino"/>
    <x v="1"/>
    <s v="United States"/>
    <s v="San Francisco"/>
    <s v="California"/>
    <s v="West"/>
    <x v="1"/>
    <x v="6"/>
    <s v="Newell 341"/>
    <x v="18"/>
    <n v="2"/>
    <n v="0"/>
    <n v="2.4824000000000002"/>
  </r>
  <r>
    <n v="3480"/>
    <x v="16"/>
    <x v="0"/>
    <x v="4"/>
    <d v="2013-12-15T00:00:00"/>
    <n v="6"/>
    <x v="1"/>
    <s v="Stefania Perrino"/>
    <x v="1"/>
    <s v="United States"/>
    <s v="San Francisco"/>
    <s v="California"/>
    <s v="West"/>
    <x v="1"/>
    <x v="10"/>
    <s v="Xerox 204"/>
    <x v="1544"/>
    <n v="7"/>
    <n v="0"/>
    <n v="21.7728"/>
  </r>
  <r>
    <n v="3481"/>
    <x v="16"/>
    <x v="0"/>
    <x v="4"/>
    <d v="2013-12-15T00:00:00"/>
    <n v="6"/>
    <x v="1"/>
    <s v="Stefania Perrino"/>
    <x v="1"/>
    <s v="United States"/>
    <s v="San Francisco"/>
    <s v="California"/>
    <s v="West"/>
    <x v="0"/>
    <x v="3"/>
    <s v="Hon 94000 Series Round Tables"/>
    <x v="2702"/>
    <n v="6"/>
    <n v="0.2"/>
    <n v="-195.47880000000001"/>
  </r>
  <r>
    <n v="3482"/>
    <x v="884"/>
    <x v="2"/>
    <x v="3"/>
    <d v="2011-04-10T00:00:00"/>
    <n v="3"/>
    <x v="2"/>
    <s v="Pauline Johnson"/>
    <x v="0"/>
    <s v="United States"/>
    <s v="Mobile"/>
    <s v="Alabama"/>
    <s v="South"/>
    <x v="0"/>
    <x v="5"/>
    <s v="Stacking Tray, Side-Loading, Legal, Smoke"/>
    <x v="2431"/>
    <n v="2"/>
    <n v="0"/>
    <n v="2.7776000000000001"/>
  </r>
  <r>
    <n v="3483"/>
    <x v="9"/>
    <x v="2"/>
    <x v="6"/>
    <d v="2011-08-29T00:00:00"/>
    <n v="2"/>
    <x v="2"/>
    <s v="Corey Catlett"/>
    <x v="1"/>
    <s v="United States"/>
    <s v="Springfield"/>
    <s v="Virginia"/>
    <s v="South"/>
    <x v="2"/>
    <x v="7"/>
    <s v="GE 30522EE2"/>
    <x v="2703"/>
    <n v="5"/>
    <n v="0"/>
    <n v="168.18549999999999"/>
  </r>
  <r>
    <n v="3484"/>
    <x v="9"/>
    <x v="2"/>
    <x v="6"/>
    <d v="2011-08-29T00:00:00"/>
    <n v="2"/>
    <x v="2"/>
    <s v="Corey Catlett"/>
    <x v="1"/>
    <s v="United States"/>
    <s v="Springfield"/>
    <s v="Virginia"/>
    <s v="South"/>
    <x v="0"/>
    <x v="5"/>
    <s v="Master Caster Door Stop, Large Neon Orange"/>
    <x v="2021"/>
    <n v="4"/>
    <n v="0"/>
    <n v="12.521599999999999"/>
  </r>
  <r>
    <n v="3485"/>
    <x v="9"/>
    <x v="2"/>
    <x v="6"/>
    <d v="2011-08-29T00:00:00"/>
    <n v="2"/>
    <x v="2"/>
    <s v="Corey Catlett"/>
    <x v="1"/>
    <s v="United States"/>
    <s v="Springfield"/>
    <s v="Virginia"/>
    <s v="South"/>
    <x v="0"/>
    <x v="3"/>
    <s v="Bretford CR8500 Series Meeting Room Furniture"/>
    <x v="2704"/>
    <n v="3"/>
    <n v="0"/>
    <n v="300.73500000000001"/>
  </r>
  <r>
    <n v="3486"/>
    <x v="147"/>
    <x v="0"/>
    <x v="2"/>
    <d v="2013-10-27T00:00:00"/>
    <n v="5"/>
    <x v="1"/>
    <s v="Muhammed Yedwab"/>
    <x v="1"/>
    <s v="United States"/>
    <s v="Newark"/>
    <s v="Delaware"/>
    <s v="East"/>
    <x v="1"/>
    <x v="8"/>
    <s v="Avery Reinforcements for Hole-Punch Pages"/>
    <x v="1054"/>
    <n v="4"/>
    <n v="0"/>
    <n v="3.5640000000000001"/>
  </r>
  <r>
    <n v="3487"/>
    <x v="885"/>
    <x v="0"/>
    <x v="4"/>
    <d v="2013-12-01T00:00:00"/>
    <n v="0"/>
    <x v="3"/>
    <s v="Dean Braden"/>
    <x v="0"/>
    <s v="United States"/>
    <s v="Hickory"/>
    <s v="North Carolina"/>
    <s v="South"/>
    <x v="2"/>
    <x v="7"/>
    <s v="AT&amp;T 17929 Lendline Telephone"/>
    <x v="2705"/>
    <n v="1"/>
    <n v="0.2"/>
    <n v="2.7143999999999999"/>
  </r>
  <r>
    <n v="3488"/>
    <x v="528"/>
    <x v="3"/>
    <x v="8"/>
    <d v="2014-09-12T00:00:00"/>
    <n v="6"/>
    <x v="1"/>
    <s v="Michael Grace"/>
    <x v="2"/>
    <s v="United States"/>
    <s v="Fort Lauderdale"/>
    <s v="Florida"/>
    <s v="South"/>
    <x v="1"/>
    <x v="4"/>
    <s v="Gould Plastics 18-Pocket Panel Bin, 34w x 5-1/4d x 20-1/2h"/>
    <x v="2706"/>
    <n v="2"/>
    <n v="0.2"/>
    <n v="-29.436800000000002"/>
  </r>
  <r>
    <n v="3489"/>
    <x v="740"/>
    <x v="1"/>
    <x v="7"/>
    <d v="2012-07-06T00:00:00"/>
    <n v="4"/>
    <x v="1"/>
    <s v="Rob Haberlin"/>
    <x v="0"/>
    <s v="United States"/>
    <s v="Carol Stream"/>
    <s v="Illinois"/>
    <s v="Central"/>
    <x v="0"/>
    <x v="1"/>
    <s v="Hon 4070 Series Pagoda Armless Upholstered Stacking Chairs"/>
    <x v="2335"/>
    <n v="2"/>
    <n v="0.3"/>
    <n v="-5.8346"/>
  </r>
  <r>
    <n v="3490"/>
    <x v="740"/>
    <x v="1"/>
    <x v="7"/>
    <d v="2012-07-06T00:00:00"/>
    <n v="4"/>
    <x v="1"/>
    <s v="Rob Haberlin"/>
    <x v="0"/>
    <s v="United States"/>
    <s v="Carol Stream"/>
    <s v="Illinois"/>
    <s v="Central"/>
    <x v="0"/>
    <x v="1"/>
    <s v="Global Wood Trimmed Manager's Task Chair, Khaki"/>
    <x v="2707"/>
    <n v="6"/>
    <n v="0.3"/>
    <n v="-92.799599999999998"/>
  </r>
  <r>
    <n v="3491"/>
    <x v="740"/>
    <x v="1"/>
    <x v="7"/>
    <d v="2012-07-06T00:00:00"/>
    <n v="4"/>
    <x v="1"/>
    <s v="Rob Haberlin"/>
    <x v="0"/>
    <s v="United States"/>
    <s v="Carol Stream"/>
    <s v="Illinois"/>
    <s v="Central"/>
    <x v="1"/>
    <x v="4"/>
    <s v="Advantus Rolling Storage Box"/>
    <x v="644"/>
    <n v="5"/>
    <n v="0.2"/>
    <n v="6.0025000000000004"/>
  </r>
  <r>
    <n v="3492"/>
    <x v="740"/>
    <x v="1"/>
    <x v="7"/>
    <d v="2012-07-06T00:00:00"/>
    <n v="4"/>
    <x v="1"/>
    <s v="Rob Haberlin"/>
    <x v="0"/>
    <s v="United States"/>
    <s v="Carol Stream"/>
    <s v="Illinois"/>
    <s v="Central"/>
    <x v="1"/>
    <x v="4"/>
    <s v="Adjustable Depth Letter/Legal Cart"/>
    <x v="2708"/>
    <n v="3"/>
    <n v="0.2"/>
    <n v="48.994199999999999"/>
  </r>
  <r>
    <n v="3493"/>
    <x v="740"/>
    <x v="1"/>
    <x v="7"/>
    <d v="2012-07-06T00:00:00"/>
    <n v="4"/>
    <x v="1"/>
    <s v="Rob Haberlin"/>
    <x v="0"/>
    <s v="United States"/>
    <s v="Carol Stream"/>
    <s v="Illinois"/>
    <s v="Central"/>
    <x v="1"/>
    <x v="10"/>
    <s v="Adams Phone Message Book, Professional, 400 Message Capacity, 5 3/6” x 11”"/>
    <x v="1492"/>
    <n v="2"/>
    <n v="0.2"/>
    <n v="3.7692000000000001"/>
  </r>
  <r>
    <n v="3494"/>
    <x v="241"/>
    <x v="3"/>
    <x v="8"/>
    <d v="2014-09-29T00:00:00"/>
    <n v="4"/>
    <x v="1"/>
    <s v="Karen Bern"/>
    <x v="1"/>
    <s v="United States"/>
    <s v="Saint Cloud"/>
    <s v="Minnesota"/>
    <s v="Central"/>
    <x v="2"/>
    <x v="11"/>
    <s v="KeyTronic E03601U1 - Keyboard - Beige"/>
    <x v="2709"/>
    <n v="4"/>
    <n v="0"/>
    <n v="12.96"/>
  </r>
  <r>
    <n v="3495"/>
    <x v="241"/>
    <x v="3"/>
    <x v="8"/>
    <d v="2014-09-29T00:00:00"/>
    <n v="4"/>
    <x v="1"/>
    <s v="Karen Bern"/>
    <x v="1"/>
    <s v="United States"/>
    <s v="Saint Cloud"/>
    <s v="Minnesota"/>
    <s v="Central"/>
    <x v="2"/>
    <x v="11"/>
    <s v="Imation Bio 2GB USB Flash Drive Imation Corp"/>
    <x v="2710"/>
    <n v="5"/>
    <n v="0"/>
    <n v="275.47800000000001"/>
  </r>
  <r>
    <n v="3496"/>
    <x v="241"/>
    <x v="3"/>
    <x v="8"/>
    <d v="2014-09-29T00:00:00"/>
    <n v="4"/>
    <x v="1"/>
    <s v="Karen Bern"/>
    <x v="1"/>
    <s v="United States"/>
    <s v="Saint Cloud"/>
    <s v="Minnesota"/>
    <s v="Central"/>
    <x v="0"/>
    <x v="1"/>
    <s v="Global Airflow Leather Mesh Back Chair, Black"/>
    <x v="884"/>
    <n v="4"/>
    <n v="0"/>
    <n v="181.17599999999999"/>
  </r>
  <r>
    <n v="3497"/>
    <x v="590"/>
    <x v="0"/>
    <x v="6"/>
    <d v="2013-08-16T00:00:00"/>
    <n v="7"/>
    <x v="1"/>
    <s v="Cathy Armstrong"/>
    <x v="2"/>
    <s v="United States"/>
    <s v="Los Angeles"/>
    <s v="California"/>
    <s v="West"/>
    <x v="0"/>
    <x v="3"/>
    <s v="Chromcraft 48&quot; x 96&quot; Racetrack Double Pedestal Table"/>
    <x v="2711"/>
    <n v="2"/>
    <n v="0.2"/>
    <n v="12.8256"/>
  </r>
  <r>
    <n v="3498"/>
    <x v="590"/>
    <x v="0"/>
    <x v="6"/>
    <d v="2013-08-16T00:00:00"/>
    <n v="7"/>
    <x v="1"/>
    <s v="Cathy Armstrong"/>
    <x v="2"/>
    <s v="United States"/>
    <s v="Los Angeles"/>
    <s v="California"/>
    <s v="West"/>
    <x v="1"/>
    <x v="9"/>
    <s v="Kensington 4 Outlet MasterPiece Compact Power Control Center"/>
    <x v="2712"/>
    <n v="6"/>
    <n v="0"/>
    <n v="136.61760000000001"/>
  </r>
  <r>
    <n v="3499"/>
    <x v="590"/>
    <x v="0"/>
    <x v="6"/>
    <d v="2013-08-16T00:00:00"/>
    <n v="7"/>
    <x v="1"/>
    <s v="Cathy Armstrong"/>
    <x v="2"/>
    <s v="United States"/>
    <s v="Los Angeles"/>
    <s v="California"/>
    <s v="West"/>
    <x v="1"/>
    <x v="8"/>
    <s v="Acco Hanging Data Binders"/>
    <x v="593"/>
    <n v="5"/>
    <n v="0.2"/>
    <n v="5.3339999999999996"/>
  </r>
  <r>
    <n v="3500"/>
    <x v="321"/>
    <x v="0"/>
    <x v="8"/>
    <d v="2013-10-04T00:00:00"/>
    <n v="4"/>
    <x v="1"/>
    <s v="Joe Kamberova"/>
    <x v="0"/>
    <s v="United States"/>
    <s v="Mobile"/>
    <s v="Alabama"/>
    <s v="South"/>
    <x v="2"/>
    <x v="11"/>
    <s v="Logitech G500s Laser Gaming Mouse with Adjustable Weight Tuning"/>
    <x v="2713"/>
    <n v="3"/>
    <n v="0"/>
    <n v="71.389799999999994"/>
  </r>
  <r>
    <n v="3501"/>
    <x v="321"/>
    <x v="0"/>
    <x v="8"/>
    <d v="2013-10-04T00:00:00"/>
    <n v="4"/>
    <x v="1"/>
    <s v="Joe Kamberova"/>
    <x v="0"/>
    <s v="United States"/>
    <s v="Mobile"/>
    <s v="Alabama"/>
    <s v="South"/>
    <x v="1"/>
    <x v="8"/>
    <s v="Premium Transparent Presentation Covers by GBC"/>
    <x v="2714"/>
    <n v="3"/>
    <n v="0"/>
    <n v="30.211200000000002"/>
  </r>
  <r>
    <n v="3502"/>
    <x v="321"/>
    <x v="0"/>
    <x v="8"/>
    <d v="2013-10-04T00:00:00"/>
    <n v="4"/>
    <x v="1"/>
    <s v="Joe Kamberova"/>
    <x v="0"/>
    <s v="United States"/>
    <s v="Mobile"/>
    <s v="Alabama"/>
    <s v="South"/>
    <x v="1"/>
    <x v="6"/>
    <s v="Sanford Colorific Colored Pencils, 12/Box"/>
    <x v="233"/>
    <n v="9"/>
    <n v="0"/>
    <n v="7.7759999999999998"/>
  </r>
  <r>
    <n v="3503"/>
    <x v="318"/>
    <x v="3"/>
    <x v="3"/>
    <d v="2014-04-11T00:00:00"/>
    <n v="0"/>
    <x v="3"/>
    <s v="Russell D'Ascenzo"/>
    <x v="0"/>
    <s v="United States"/>
    <s v="Austin"/>
    <s v="Texas"/>
    <s v="Central"/>
    <x v="1"/>
    <x v="10"/>
    <s v="Xerox 1894"/>
    <x v="559"/>
    <n v="2"/>
    <n v="0.2"/>
    <n v="3.6288"/>
  </r>
  <r>
    <n v="3504"/>
    <x v="318"/>
    <x v="3"/>
    <x v="3"/>
    <d v="2014-04-11T00:00:00"/>
    <n v="0"/>
    <x v="3"/>
    <s v="Russell D'Ascenzo"/>
    <x v="0"/>
    <s v="United States"/>
    <s v="Austin"/>
    <s v="Texas"/>
    <s v="Central"/>
    <x v="2"/>
    <x v="11"/>
    <s v="Logitech MX Performance Wireless Mouse"/>
    <x v="2715"/>
    <n v="3"/>
    <n v="0.2"/>
    <n v="20.343900000000001"/>
  </r>
  <r>
    <n v="3505"/>
    <x v="122"/>
    <x v="0"/>
    <x v="4"/>
    <d v="2013-12-21T00:00:00"/>
    <n v="2"/>
    <x v="0"/>
    <s v="Julie Kriz"/>
    <x v="2"/>
    <s v="United States"/>
    <s v="New York City"/>
    <s v="New York"/>
    <s v="East"/>
    <x v="1"/>
    <x v="4"/>
    <s v="Tennsco Double-Tier Lockers"/>
    <x v="1706"/>
    <n v="4"/>
    <n v="0"/>
    <n v="117.0104"/>
  </r>
  <r>
    <n v="3506"/>
    <x v="886"/>
    <x v="2"/>
    <x v="1"/>
    <d v="2011-06-24T00:00:00"/>
    <n v="4"/>
    <x v="1"/>
    <s v="Sam Craven"/>
    <x v="0"/>
    <s v="United States"/>
    <s v="Plano"/>
    <s v="Texas"/>
    <s v="Central"/>
    <x v="2"/>
    <x v="7"/>
    <s v="HTC One Mini"/>
    <x v="1212"/>
    <n v="2"/>
    <n v="0.2"/>
    <n v="20.1584"/>
  </r>
  <r>
    <n v="3507"/>
    <x v="886"/>
    <x v="2"/>
    <x v="1"/>
    <d v="2011-06-24T00:00:00"/>
    <n v="4"/>
    <x v="1"/>
    <s v="Sam Craven"/>
    <x v="0"/>
    <s v="United States"/>
    <s v="Plano"/>
    <s v="Texas"/>
    <s v="Central"/>
    <x v="1"/>
    <x v="8"/>
    <s v="Storex DuraTech Recycled Plastic Frosted Binders"/>
    <x v="882"/>
    <n v="4"/>
    <n v="0.8"/>
    <n v="-5.0880000000000001"/>
  </r>
  <r>
    <n v="3508"/>
    <x v="886"/>
    <x v="2"/>
    <x v="1"/>
    <d v="2011-06-24T00:00:00"/>
    <n v="4"/>
    <x v="1"/>
    <s v="Sam Craven"/>
    <x v="0"/>
    <s v="United States"/>
    <s v="Plano"/>
    <s v="Texas"/>
    <s v="Central"/>
    <x v="0"/>
    <x v="0"/>
    <s v="Hon Metal Bookcases, Black"/>
    <x v="2716"/>
    <n v="4"/>
    <n v="0.32"/>
    <n v="-19.874400000000001"/>
  </r>
  <r>
    <n v="3509"/>
    <x v="886"/>
    <x v="2"/>
    <x v="1"/>
    <d v="2011-06-24T00:00:00"/>
    <n v="4"/>
    <x v="1"/>
    <s v="Sam Craven"/>
    <x v="0"/>
    <s v="United States"/>
    <s v="Plano"/>
    <s v="Texas"/>
    <s v="Central"/>
    <x v="1"/>
    <x v="10"/>
    <s v="Xerox 2"/>
    <x v="12"/>
    <n v="3"/>
    <n v="0.2"/>
    <n v="5.4432"/>
  </r>
  <r>
    <n v="3510"/>
    <x v="886"/>
    <x v="2"/>
    <x v="1"/>
    <d v="2011-06-24T00:00:00"/>
    <n v="4"/>
    <x v="1"/>
    <s v="Sam Craven"/>
    <x v="0"/>
    <s v="United States"/>
    <s v="Plano"/>
    <s v="Texas"/>
    <s v="Central"/>
    <x v="1"/>
    <x v="10"/>
    <s v="Array Parchment Paper, Assorted Colors"/>
    <x v="25"/>
    <n v="2"/>
    <n v="0.2"/>
    <n v="4.0768000000000004"/>
  </r>
  <r>
    <n v="3511"/>
    <x v="886"/>
    <x v="2"/>
    <x v="1"/>
    <d v="2011-06-24T00:00:00"/>
    <n v="4"/>
    <x v="1"/>
    <s v="Sam Craven"/>
    <x v="0"/>
    <s v="United States"/>
    <s v="Plano"/>
    <s v="Texas"/>
    <s v="Central"/>
    <x v="2"/>
    <x v="15"/>
    <s v="Okidata C331dn Printer"/>
    <x v="2717"/>
    <n v="2"/>
    <n v="0.4"/>
    <n v="-97.72"/>
  </r>
  <r>
    <n v="3512"/>
    <x v="886"/>
    <x v="2"/>
    <x v="1"/>
    <d v="2011-06-24T00:00:00"/>
    <n v="4"/>
    <x v="1"/>
    <s v="Sam Craven"/>
    <x v="0"/>
    <s v="United States"/>
    <s v="Plano"/>
    <s v="Texas"/>
    <s v="Central"/>
    <x v="1"/>
    <x v="4"/>
    <s v="Safco Industrial Wire Shelving System"/>
    <x v="2718"/>
    <n v="7"/>
    <n v="0.2"/>
    <n v="-127.372"/>
  </r>
  <r>
    <n v="3513"/>
    <x v="507"/>
    <x v="3"/>
    <x v="8"/>
    <d v="2014-09-07T00:00:00"/>
    <n v="2"/>
    <x v="2"/>
    <s v="Helen Wasserman"/>
    <x v="1"/>
    <s v="United States"/>
    <s v="Chicago"/>
    <s v="Illinois"/>
    <s v="Central"/>
    <x v="0"/>
    <x v="0"/>
    <s v="Bush Birmingham Collection Bookcase, Dark Cherry"/>
    <x v="2719"/>
    <n v="9"/>
    <n v="0.3"/>
    <n v="-117.88200000000001"/>
  </r>
  <r>
    <n v="3514"/>
    <x v="507"/>
    <x v="3"/>
    <x v="8"/>
    <d v="2014-09-07T00:00:00"/>
    <n v="2"/>
    <x v="2"/>
    <s v="Helen Wasserman"/>
    <x v="1"/>
    <s v="United States"/>
    <s v="Chicago"/>
    <s v="Illinois"/>
    <s v="Central"/>
    <x v="1"/>
    <x v="10"/>
    <s v="It's Hot Message Books with Stickers, 2 3/4&quot; x 5&quot;"/>
    <x v="2720"/>
    <n v="3"/>
    <n v="0.2"/>
    <n v="5.55"/>
  </r>
  <r>
    <n v="3515"/>
    <x v="507"/>
    <x v="3"/>
    <x v="8"/>
    <d v="2014-09-07T00:00:00"/>
    <n v="2"/>
    <x v="2"/>
    <s v="Helen Wasserman"/>
    <x v="1"/>
    <s v="United States"/>
    <s v="Chicago"/>
    <s v="Illinois"/>
    <s v="Central"/>
    <x v="1"/>
    <x v="6"/>
    <s v="Sanford Colorific Colored Pencils, 12/Box"/>
    <x v="2721"/>
    <n v="3"/>
    <n v="0.2"/>
    <n v="0.86399999999999999"/>
  </r>
  <r>
    <n v="3516"/>
    <x v="887"/>
    <x v="0"/>
    <x v="4"/>
    <d v="2013-12-25T00:00:00"/>
    <n v="4"/>
    <x v="1"/>
    <s v="Stuart Calhoun"/>
    <x v="0"/>
    <s v="United States"/>
    <s v="Jackson"/>
    <s v="Mississippi"/>
    <s v="South"/>
    <x v="2"/>
    <x v="11"/>
    <s v="SanDisk Ultra 32 GB MicroSDHC Class 10 Memory Card"/>
    <x v="2722"/>
    <n v="3"/>
    <n v="0"/>
    <n v="8.6189999999999998"/>
  </r>
  <r>
    <n v="3517"/>
    <x v="888"/>
    <x v="0"/>
    <x v="6"/>
    <d v="2013-08-13T00:00:00"/>
    <n v="3"/>
    <x v="2"/>
    <s v="Helen Andreada"/>
    <x v="0"/>
    <s v="United States"/>
    <s v="Fayetteville"/>
    <s v="North Carolina"/>
    <s v="South"/>
    <x v="1"/>
    <x v="10"/>
    <s v="Xerox 199"/>
    <x v="2723"/>
    <n v="9"/>
    <n v="0.2"/>
    <n v="9.6300000000000008"/>
  </r>
  <r>
    <n v="3518"/>
    <x v="888"/>
    <x v="0"/>
    <x v="6"/>
    <d v="2013-08-13T00:00:00"/>
    <n v="3"/>
    <x v="2"/>
    <s v="Helen Andreada"/>
    <x v="0"/>
    <s v="United States"/>
    <s v="Fayetteville"/>
    <s v="North Carolina"/>
    <s v="South"/>
    <x v="2"/>
    <x v="7"/>
    <s v="Apple EarPods with Remote and Mic"/>
    <x v="2488"/>
    <n v="2"/>
    <n v="0.2"/>
    <n v="4.4783999999999997"/>
  </r>
  <r>
    <n v="3519"/>
    <x v="888"/>
    <x v="0"/>
    <x v="6"/>
    <d v="2013-08-13T00:00:00"/>
    <n v="3"/>
    <x v="2"/>
    <s v="Helen Andreada"/>
    <x v="0"/>
    <s v="United States"/>
    <s v="Fayetteville"/>
    <s v="North Carolina"/>
    <s v="South"/>
    <x v="1"/>
    <x v="9"/>
    <s v="Kensington 7 Outlet MasterPiece Power Center"/>
    <x v="2724"/>
    <n v="4"/>
    <n v="0.2"/>
    <n v="64.072800000000001"/>
  </r>
  <r>
    <n v="3520"/>
    <x v="137"/>
    <x v="1"/>
    <x v="1"/>
    <d v="2012-06-25T00:00:00"/>
    <n v="3"/>
    <x v="2"/>
    <s v="Michael Grace"/>
    <x v="2"/>
    <s v="United States"/>
    <s v="Aurora"/>
    <s v="Illinois"/>
    <s v="Central"/>
    <x v="0"/>
    <x v="3"/>
    <s v="Hon Rectangular Conference Tables"/>
    <x v="2725"/>
    <n v="7"/>
    <n v="0.5"/>
    <n v="-525.64049999999997"/>
  </r>
  <r>
    <n v="3521"/>
    <x v="889"/>
    <x v="1"/>
    <x v="3"/>
    <d v="2012-04-15T00:00:00"/>
    <n v="5"/>
    <x v="1"/>
    <s v="Dario Medina"/>
    <x v="1"/>
    <s v="United States"/>
    <s v="Sacramento"/>
    <s v="California"/>
    <s v="West"/>
    <x v="1"/>
    <x v="8"/>
    <s v="Insertable Tab Post Binder Dividers"/>
    <x v="2726"/>
    <n v="2"/>
    <n v="0.2"/>
    <n v="4.3308"/>
  </r>
  <r>
    <n v="3522"/>
    <x v="831"/>
    <x v="0"/>
    <x v="0"/>
    <d v="2013-11-26T00:00:00"/>
    <n v="4"/>
    <x v="0"/>
    <s v="Denise Monton"/>
    <x v="1"/>
    <s v="United States"/>
    <s v="Des Moines"/>
    <s v="Iowa"/>
    <s v="Central"/>
    <x v="1"/>
    <x v="10"/>
    <s v="Xerox 1987"/>
    <x v="1304"/>
    <n v="7"/>
    <n v="0"/>
    <n v="19.825399999999998"/>
  </r>
  <r>
    <n v="3523"/>
    <x v="831"/>
    <x v="0"/>
    <x v="0"/>
    <d v="2013-11-26T00:00:00"/>
    <n v="4"/>
    <x v="0"/>
    <s v="Denise Monton"/>
    <x v="1"/>
    <s v="United States"/>
    <s v="Des Moines"/>
    <s v="Iowa"/>
    <s v="Central"/>
    <x v="2"/>
    <x v="7"/>
    <s v="Logitech Mobile Speakerphone P710e - speaker phone"/>
    <x v="2727"/>
    <n v="3"/>
    <n v="0"/>
    <n v="109.3338"/>
  </r>
  <r>
    <n v="3524"/>
    <x v="64"/>
    <x v="0"/>
    <x v="8"/>
    <d v="2013-09-11T00:00:00"/>
    <n v="5"/>
    <x v="1"/>
    <s v="Marina Lichtenstein"/>
    <x v="1"/>
    <s v="United States"/>
    <s v="San Diego"/>
    <s v="California"/>
    <s v="West"/>
    <x v="2"/>
    <x v="11"/>
    <s v="HP Standard 104 key PS/2 Keyboard"/>
    <x v="2728"/>
    <n v="8"/>
    <n v="0"/>
    <n v="29"/>
  </r>
  <r>
    <n v="3525"/>
    <x v="390"/>
    <x v="0"/>
    <x v="0"/>
    <d v="2013-11-29T00:00:00"/>
    <n v="4"/>
    <x v="1"/>
    <s v="George Ashbrook"/>
    <x v="0"/>
    <s v="United States"/>
    <s v="Dallas"/>
    <s v="Texas"/>
    <s v="Central"/>
    <x v="2"/>
    <x v="7"/>
    <s v="AT&amp;T 1080 Phone"/>
    <x v="2729"/>
    <n v="6"/>
    <n v="0.2"/>
    <n v="49.316400000000002"/>
  </r>
  <r>
    <n v="3526"/>
    <x v="389"/>
    <x v="3"/>
    <x v="4"/>
    <d v="2014-12-16T00:00:00"/>
    <n v="5"/>
    <x v="0"/>
    <s v="Stephanie Ulpright"/>
    <x v="2"/>
    <s v="United States"/>
    <s v="Jackson"/>
    <s v="Mississippi"/>
    <s v="South"/>
    <x v="2"/>
    <x v="11"/>
    <s v="Razer Tiamat Over Ear 7.1 Surround Sound PC Gaming Headset"/>
    <x v="2730"/>
    <n v="3"/>
    <n v="0"/>
    <n v="257.9871"/>
  </r>
  <r>
    <n v="3527"/>
    <x v="389"/>
    <x v="3"/>
    <x v="4"/>
    <d v="2014-12-16T00:00:00"/>
    <n v="5"/>
    <x v="0"/>
    <s v="Stephanie Ulpright"/>
    <x v="2"/>
    <s v="United States"/>
    <s v="Jackson"/>
    <s v="Mississippi"/>
    <s v="South"/>
    <x v="2"/>
    <x v="7"/>
    <s v="Cyber Acoustics AC-202b Speech Recognition Stereo Headset"/>
    <x v="2731"/>
    <n v="3"/>
    <n v="0"/>
    <n v="0.77939999999999998"/>
  </r>
  <r>
    <n v="3528"/>
    <x v="389"/>
    <x v="3"/>
    <x v="4"/>
    <d v="2014-12-16T00:00:00"/>
    <n v="5"/>
    <x v="0"/>
    <s v="Stephanie Ulpright"/>
    <x v="2"/>
    <s v="United States"/>
    <s v="Jackson"/>
    <s v="Mississippi"/>
    <s v="South"/>
    <x v="1"/>
    <x v="8"/>
    <s v="Avery Metallic Poly Binders"/>
    <x v="2732"/>
    <n v="8"/>
    <n v="0"/>
    <n v="22.0032"/>
  </r>
  <r>
    <n v="3529"/>
    <x v="890"/>
    <x v="0"/>
    <x v="1"/>
    <d v="2013-06-30T00:00:00"/>
    <n v="5"/>
    <x v="1"/>
    <s v="Bill Donatelli"/>
    <x v="0"/>
    <s v="United States"/>
    <s v="San Diego"/>
    <s v="California"/>
    <s v="West"/>
    <x v="2"/>
    <x v="7"/>
    <s v="Macally Suction Cup Mount"/>
    <x v="2733"/>
    <n v="4"/>
    <n v="0.2"/>
    <n v="-9.56"/>
  </r>
  <r>
    <n v="3530"/>
    <x v="14"/>
    <x v="1"/>
    <x v="8"/>
    <d v="2012-09-23T00:00:00"/>
    <n v="6"/>
    <x v="1"/>
    <s v="Denny Blanton"/>
    <x v="0"/>
    <s v="United States"/>
    <s v="Orlando"/>
    <s v="Florida"/>
    <s v="South"/>
    <x v="2"/>
    <x v="11"/>
    <s v="SanDisk Cruzer 64 GB USB Flash Drive"/>
    <x v="2734"/>
    <n v="3"/>
    <n v="0.2"/>
    <n v="10.896000000000001"/>
  </r>
  <r>
    <n v="3531"/>
    <x v="288"/>
    <x v="0"/>
    <x v="5"/>
    <d v="2013-05-24T00:00:00"/>
    <n v="4"/>
    <x v="1"/>
    <s v="Roy Phan"/>
    <x v="1"/>
    <s v="United States"/>
    <s v="Lafayette"/>
    <s v="Indiana"/>
    <s v="Central"/>
    <x v="1"/>
    <x v="6"/>
    <s v="Newell 341"/>
    <x v="1567"/>
    <n v="5"/>
    <n v="0"/>
    <n v="6.2060000000000004"/>
  </r>
  <r>
    <n v="3532"/>
    <x v="316"/>
    <x v="0"/>
    <x v="5"/>
    <d v="2013-05-29T00:00:00"/>
    <n v="0"/>
    <x v="3"/>
    <s v="Edward Hooks"/>
    <x v="1"/>
    <s v="United States"/>
    <s v="New York City"/>
    <s v="New York"/>
    <s v="East"/>
    <x v="1"/>
    <x v="14"/>
    <s v="Fiskars Softgrip Scissors"/>
    <x v="2735"/>
    <n v="5"/>
    <n v="0"/>
    <n v="15.372"/>
  </r>
  <r>
    <n v="3533"/>
    <x v="891"/>
    <x v="2"/>
    <x v="3"/>
    <d v="2011-04-23T00:00:00"/>
    <n v="5"/>
    <x v="1"/>
    <s v="John Lee"/>
    <x v="0"/>
    <s v="United States"/>
    <s v="Los Angeles"/>
    <s v="California"/>
    <s v="West"/>
    <x v="2"/>
    <x v="15"/>
    <s v="Ativa MDM8000 8-Sheet Micro-Cut Shredder"/>
    <x v="2736"/>
    <n v="4"/>
    <n v="0.2"/>
    <n v="97.1892"/>
  </r>
  <r>
    <n v="3534"/>
    <x v="891"/>
    <x v="2"/>
    <x v="3"/>
    <d v="2011-04-23T00:00:00"/>
    <n v="5"/>
    <x v="1"/>
    <s v="John Lee"/>
    <x v="0"/>
    <s v="United States"/>
    <s v="Los Angeles"/>
    <s v="California"/>
    <s v="West"/>
    <x v="1"/>
    <x v="6"/>
    <s v="Newell 351"/>
    <x v="1317"/>
    <n v="4"/>
    <n v="0"/>
    <n v="3.8048000000000002"/>
  </r>
  <r>
    <n v="3535"/>
    <x v="891"/>
    <x v="2"/>
    <x v="3"/>
    <d v="2011-04-23T00:00:00"/>
    <n v="5"/>
    <x v="1"/>
    <s v="John Lee"/>
    <x v="0"/>
    <s v="United States"/>
    <s v="Los Angeles"/>
    <s v="California"/>
    <s v="West"/>
    <x v="1"/>
    <x v="6"/>
    <s v="Binney &amp; Smith inkTank Desk Highlighter, Chisel Tip, Yellow, 12/Box"/>
    <x v="2737"/>
    <n v="5"/>
    <n v="0"/>
    <n v="3.5474999999999999"/>
  </r>
  <r>
    <n v="3536"/>
    <x v="891"/>
    <x v="2"/>
    <x v="3"/>
    <d v="2011-04-23T00:00:00"/>
    <n v="5"/>
    <x v="1"/>
    <s v="John Lee"/>
    <x v="0"/>
    <s v="United States"/>
    <s v="Los Angeles"/>
    <s v="California"/>
    <s v="West"/>
    <x v="1"/>
    <x v="13"/>
    <s v="Advantus Push Pins, Aluminum Head"/>
    <x v="2738"/>
    <n v="2"/>
    <n v="0"/>
    <n v="3.6021999999999998"/>
  </r>
  <r>
    <n v="3537"/>
    <x v="26"/>
    <x v="0"/>
    <x v="1"/>
    <d v="2013-06-21T00:00:00"/>
    <n v="3"/>
    <x v="0"/>
    <s v="Fred McMath"/>
    <x v="0"/>
    <s v="United States"/>
    <s v="New York City"/>
    <s v="New York"/>
    <s v="East"/>
    <x v="1"/>
    <x v="4"/>
    <s v="Rogers Jumbo File, Granite"/>
    <x v="1344"/>
    <n v="3"/>
    <n v="0"/>
    <n v="0.40739999999999998"/>
  </r>
  <r>
    <n v="3538"/>
    <x v="309"/>
    <x v="2"/>
    <x v="5"/>
    <d v="2011-05-09T00:00:00"/>
    <n v="0"/>
    <x v="3"/>
    <s v="Sean Braxton"/>
    <x v="1"/>
    <s v="United States"/>
    <s v="Henderson"/>
    <s v="Kentucky"/>
    <s v="South"/>
    <x v="1"/>
    <x v="4"/>
    <s v="Fellowes Super Stor/Drawer"/>
    <x v="2739"/>
    <n v="3"/>
    <n v="0"/>
    <n v="14.984999999999999"/>
  </r>
  <r>
    <n v="3539"/>
    <x v="309"/>
    <x v="2"/>
    <x v="5"/>
    <d v="2011-05-09T00:00:00"/>
    <n v="0"/>
    <x v="3"/>
    <s v="Sean Braxton"/>
    <x v="1"/>
    <s v="United States"/>
    <s v="Henderson"/>
    <s v="Kentucky"/>
    <s v="South"/>
    <x v="1"/>
    <x v="2"/>
    <s v="Avery 518"/>
    <x v="1227"/>
    <n v="3"/>
    <n v="0"/>
    <n v="4.5359999999999996"/>
  </r>
  <r>
    <n v="3540"/>
    <x v="309"/>
    <x v="2"/>
    <x v="5"/>
    <d v="2011-05-09T00:00:00"/>
    <n v="0"/>
    <x v="3"/>
    <s v="Sean Braxton"/>
    <x v="1"/>
    <s v="United States"/>
    <s v="Henderson"/>
    <s v="Kentucky"/>
    <s v="South"/>
    <x v="1"/>
    <x v="2"/>
    <s v="Avery 506"/>
    <x v="2740"/>
    <n v="5"/>
    <n v="0"/>
    <n v="9.4990000000000006"/>
  </r>
  <r>
    <n v="3541"/>
    <x v="309"/>
    <x v="2"/>
    <x v="5"/>
    <d v="2011-05-09T00:00:00"/>
    <n v="0"/>
    <x v="3"/>
    <s v="Sean Braxton"/>
    <x v="1"/>
    <s v="United States"/>
    <s v="Henderson"/>
    <s v="Kentucky"/>
    <s v="South"/>
    <x v="1"/>
    <x v="10"/>
    <s v="Weyerhaeuser First Choice Laser/Copy Paper (20Lb. and 88 Bright)"/>
    <x v="1544"/>
    <n v="7"/>
    <n v="0"/>
    <n v="21.7728"/>
  </r>
  <r>
    <n v="3542"/>
    <x v="31"/>
    <x v="0"/>
    <x v="8"/>
    <d v="2013-09-21T00:00:00"/>
    <n v="2"/>
    <x v="2"/>
    <s v="Seth Vernon"/>
    <x v="0"/>
    <s v="United States"/>
    <s v="Columbus"/>
    <s v="Ohio"/>
    <s v="East"/>
    <x v="0"/>
    <x v="5"/>
    <s v="Eldon Pizzaz Desk Accessories"/>
    <x v="2741"/>
    <n v="3"/>
    <n v="0.2"/>
    <n v="1.6055999999999999"/>
  </r>
  <r>
    <n v="3543"/>
    <x v="31"/>
    <x v="0"/>
    <x v="8"/>
    <d v="2013-09-21T00:00:00"/>
    <n v="2"/>
    <x v="2"/>
    <s v="Seth Vernon"/>
    <x v="0"/>
    <s v="United States"/>
    <s v="Columbus"/>
    <s v="Ohio"/>
    <s v="East"/>
    <x v="0"/>
    <x v="1"/>
    <s v="Situations Contoured Folding Chairs, 4/Set"/>
    <x v="2742"/>
    <n v="2"/>
    <n v="0.3"/>
    <n v="-7.0979999999999999"/>
  </r>
  <r>
    <n v="3544"/>
    <x v="31"/>
    <x v="0"/>
    <x v="8"/>
    <d v="2013-09-21T00:00:00"/>
    <n v="2"/>
    <x v="2"/>
    <s v="Seth Vernon"/>
    <x v="0"/>
    <s v="United States"/>
    <s v="Columbus"/>
    <s v="Ohio"/>
    <s v="East"/>
    <x v="1"/>
    <x v="6"/>
    <s v="Eldon Spacemaker Box, Quick-Snap Lid, Clear"/>
    <x v="2743"/>
    <n v="1"/>
    <n v="0.2"/>
    <n v="0.3674"/>
  </r>
  <r>
    <n v="3545"/>
    <x v="331"/>
    <x v="3"/>
    <x v="4"/>
    <d v="2014-12-26T00:00:00"/>
    <n v="2"/>
    <x v="0"/>
    <s v="Michael Moore"/>
    <x v="0"/>
    <s v="United States"/>
    <s v="College Station"/>
    <s v="Texas"/>
    <s v="Central"/>
    <x v="1"/>
    <x v="10"/>
    <s v="Spiral Phone Message Books with Labels by Adams"/>
    <x v="2744"/>
    <n v="8"/>
    <n v="0.2"/>
    <n v="10.393599999999999"/>
  </r>
  <r>
    <n v="3546"/>
    <x v="331"/>
    <x v="3"/>
    <x v="4"/>
    <d v="2014-12-26T00:00:00"/>
    <n v="2"/>
    <x v="0"/>
    <s v="Michael Moore"/>
    <x v="0"/>
    <s v="United States"/>
    <s v="College Station"/>
    <s v="Texas"/>
    <s v="Central"/>
    <x v="1"/>
    <x v="9"/>
    <s v="Acco 6 Outlet Guardian Premium Plus Surge Suppressor"/>
    <x v="2745"/>
    <n v="8"/>
    <n v="0.8"/>
    <n v="-74.745599999999996"/>
  </r>
  <r>
    <n v="3547"/>
    <x v="505"/>
    <x v="3"/>
    <x v="2"/>
    <d v="2014-11-02T00:00:00"/>
    <n v="2"/>
    <x v="2"/>
    <s v="Ross DeVincentis"/>
    <x v="2"/>
    <s v="United States"/>
    <s v="Richmond"/>
    <s v="Kentucky"/>
    <s v="South"/>
    <x v="1"/>
    <x v="4"/>
    <s v="Eldon Gobal File Keepers"/>
    <x v="2746"/>
    <n v="7"/>
    <n v="0"/>
    <n v="4.2392000000000003"/>
  </r>
  <r>
    <n v="3548"/>
    <x v="505"/>
    <x v="3"/>
    <x v="2"/>
    <d v="2014-11-02T00:00:00"/>
    <n v="2"/>
    <x v="2"/>
    <s v="Ross DeVincentis"/>
    <x v="2"/>
    <s v="United States"/>
    <s v="Richmond"/>
    <s v="Kentucky"/>
    <s v="South"/>
    <x v="1"/>
    <x v="14"/>
    <s v="Acme 10&quot; Easy Grip Assistive Scissors"/>
    <x v="1507"/>
    <n v="2"/>
    <n v="0"/>
    <n v="10.518000000000001"/>
  </r>
  <r>
    <n v="3549"/>
    <x v="505"/>
    <x v="3"/>
    <x v="2"/>
    <d v="2014-11-02T00:00:00"/>
    <n v="2"/>
    <x v="2"/>
    <s v="Ross DeVincentis"/>
    <x v="2"/>
    <s v="United States"/>
    <s v="Richmond"/>
    <s v="Kentucky"/>
    <s v="South"/>
    <x v="0"/>
    <x v="1"/>
    <s v="Metal Folding Chairs, Beige, 4/Carton"/>
    <x v="2747"/>
    <n v="1"/>
    <n v="0"/>
    <n v="9.1638000000000002"/>
  </r>
  <r>
    <n v="3550"/>
    <x v="505"/>
    <x v="3"/>
    <x v="2"/>
    <d v="2014-11-02T00:00:00"/>
    <n v="2"/>
    <x v="2"/>
    <s v="Ross DeVincentis"/>
    <x v="2"/>
    <s v="United States"/>
    <s v="Richmond"/>
    <s v="Kentucky"/>
    <s v="South"/>
    <x v="1"/>
    <x v="2"/>
    <s v="Smead Alpha-Z Color-Coded Name Labels First Letter Starter Set"/>
    <x v="59"/>
    <n v="8"/>
    <n v="0"/>
    <n v="14.4"/>
  </r>
  <r>
    <n v="3551"/>
    <x v="892"/>
    <x v="0"/>
    <x v="10"/>
    <d v="2013-04-03T00:00:00"/>
    <n v="4"/>
    <x v="0"/>
    <s v="Maria Etezadi"/>
    <x v="2"/>
    <s v="United States"/>
    <s v="Chicago"/>
    <s v="Illinois"/>
    <s v="Central"/>
    <x v="1"/>
    <x v="10"/>
    <s v="Computer Printout Paper with Letter-Trim Perforations"/>
    <x v="2748"/>
    <n v="3"/>
    <n v="0.2"/>
    <n v="15.934799999999999"/>
  </r>
  <r>
    <n v="3552"/>
    <x v="892"/>
    <x v="0"/>
    <x v="10"/>
    <d v="2013-04-03T00:00:00"/>
    <n v="4"/>
    <x v="0"/>
    <s v="Maria Etezadi"/>
    <x v="2"/>
    <s v="United States"/>
    <s v="Chicago"/>
    <s v="Illinois"/>
    <s v="Central"/>
    <x v="0"/>
    <x v="1"/>
    <s v="Global Leather Highback Executive Chair with Pneumatic Height Adjustment, Black"/>
    <x v="2749"/>
    <n v="6"/>
    <n v="0.3"/>
    <n v="-36.176400000000001"/>
  </r>
  <r>
    <n v="3553"/>
    <x v="892"/>
    <x v="0"/>
    <x v="10"/>
    <d v="2013-04-03T00:00:00"/>
    <n v="4"/>
    <x v="0"/>
    <s v="Maria Etezadi"/>
    <x v="2"/>
    <s v="United States"/>
    <s v="Chicago"/>
    <s v="Illinois"/>
    <s v="Central"/>
    <x v="2"/>
    <x v="7"/>
    <s v="Jabra BIZ 2300 Duo QD Duo Corded Headset"/>
    <x v="2750"/>
    <n v="8"/>
    <n v="0.2"/>
    <n v="60.955199999999998"/>
  </r>
  <r>
    <n v="3554"/>
    <x v="51"/>
    <x v="3"/>
    <x v="0"/>
    <d v="2014-11-27T00:00:00"/>
    <n v="3"/>
    <x v="0"/>
    <s v="Frank Hawley"/>
    <x v="1"/>
    <s v="United States"/>
    <s v="Philadelphia"/>
    <s v="Pennsylvania"/>
    <s v="East"/>
    <x v="1"/>
    <x v="8"/>
    <s v="GBC Standard Therm-A-Bind Covers"/>
    <x v="2751"/>
    <n v="1"/>
    <n v="0.7"/>
    <n v="-5.9808000000000003"/>
  </r>
  <r>
    <n v="3555"/>
    <x v="893"/>
    <x v="2"/>
    <x v="10"/>
    <d v="2011-03-26T00:00:00"/>
    <n v="3"/>
    <x v="0"/>
    <s v="Patrick O'Donnell"/>
    <x v="0"/>
    <s v="United States"/>
    <s v="Los Angeles"/>
    <s v="California"/>
    <s v="West"/>
    <x v="1"/>
    <x v="4"/>
    <s v="Economy Rollaway Files"/>
    <x v="606"/>
    <n v="2"/>
    <n v="0"/>
    <n v="85.903999999999996"/>
  </r>
  <r>
    <n v="3556"/>
    <x v="893"/>
    <x v="2"/>
    <x v="10"/>
    <d v="2011-03-26T00:00:00"/>
    <n v="3"/>
    <x v="0"/>
    <s v="Patrick O'Donnell"/>
    <x v="0"/>
    <s v="United States"/>
    <s v="Los Angeles"/>
    <s v="California"/>
    <s v="West"/>
    <x v="2"/>
    <x v="7"/>
    <s v="Ooma Telo VoIP Home Phone System"/>
    <x v="2752"/>
    <n v="6"/>
    <n v="0.2"/>
    <n v="37.796999999999997"/>
  </r>
  <r>
    <n v="3557"/>
    <x v="96"/>
    <x v="3"/>
    <x v="4"/>
    <d v="2014-12-06T00:00:00"/>
    <n v="4"/>
    <x v="1"/>
    <s v="Clay Cheatham"/>
    <x v="0"/>
    <s v="United States"/>
    <s v="Los Angeles"/>
    <s v="California"/>
    <s v="West"/>
    <x v="1"/>
    <x v="10"/>
    <s v="Xerox 1905"/>
    <x v="1544"/>
    <n v="7"/>
    <n v="0"/>
    <n v="21.7728"/>
  </r>
  <r>
    <n v="3558"/>
    <x v="96"/>
    <x v="3"/>
    <x v="4"/>
    <d v="2014-12-06T00:00:00"/>
    <n v="4"/>
    <x v="1"/>
    <s v="Clay Cheatham"/>
    <x v="0"/>
    <s v="United States"/>
    <s v="Los Angeles"/>
    <s v="California"/>
    <s v="West"/>
    <x v="1"/>
    <x v="8"/>
    <s v="Cardinal HOLDit! Binder Insert Strips,Extra Strips"/>
    <x v="2753"/>
    <n v="2"/>
    <n v="0.2"/>
    <n v="3.6714000000000002"/>
  </r>
  <r>
    <n v="3559"/>
    <x v="659"/>
    <x v="3"/>
    <x v="0"/>
    <d v="2014-11-13T00:00:00"/>
    <n v="5"/>
    <x v="1"/>
    <s v="Tony Sayre"/>
    <x v="0"/>
    <s v="United States"/>
    <s v="San Francisco"/>
    <s v="California"/>
    <s v="West"/>
    <x v="1"/>
    <x v="8"/>
    <s v="Avery Self-Adhesive Photo Pockets for Polaroid Photos"/>
    <x v="2754"/>
    <n v="4"/>
    <n v="0.2"/>
    <n v="7.6272000000000002"/>
  </r>
  <r>
    <n v="3560"/>
    <x v="659"/>
    <x v="3"/>
    <x v="0"/>
    <d v="2014-11-13T00:00:00"/>
    <n v="5"/>
    <x v="1"/>
    <s v="Tony Sayre"/>
    <x v="0"/>
    <s v="United States"/>
    <s v="San Francisco"/>
    <s v="California"/>
    <s v="West"/>
    <x v="2"/>
    <x v="11"/>
    <s v="Plantronics Audio 995 Wireless Stereo Headset"/>
    <x v="2755"/>
    <n v="4"/>
    <n v="0"/>
    <n v="145.13399999999999"/>
  </r>
  <r>
    <n v="3561"/>
    <x v="507"/>
    <x v="3"/>
    <x v="8"/>
    <d v="2014-09-10T00:00:00"/>
    <n v="5"/>
    <x v="0"/>
    <s v="Maribeth Dona"/>
    <x v="0"/>
    <s v="United States"/>
    <s v="Akron"/>
    <s v="Ohio"/>
    <s v="East"/>
    <x v="1"/>
    <x v="6"/>
    <s v="DIXON Oriole Pencils"/>
    <x v="2756"/>
    <n v="4"/>
    <n v="0.2"/>
    <n v="0.61919999999999997"/>
  </r>
  <r>
    <n v="3562"/>
    <x v="507"/>
    <x v="3"/>
    <x v="8"/>
    <d v="2014-09-10T00:00:00"/>
    <n v="5"/>
    <x v="0"/>
    <s v="Maribeth Dona"/>
    <x v="0"/>
    <s v="United States"/>
    <s v="Akron"/>
    <s v="Ohio"/>
    <s v="East"/>
    <x v="1"/>
    <x v="8"/>
    <s v="GBC Recycled VeloBinder Covers"/>
    <x v="2757"/>
    <n v="5"/>
    <n v="0.7"/>
    <n v="-20.448"/>
  </r>
  <r>
    <n v="3563"/>
    <x v="507"/>
    <x v="3"/>
    <x v="8"/>
    <d v="2014-09-10T00:00:00"/>
    <n v="5"/>
    <x v="0"/>
    <s v="Maribeth Dona"/>
    <x v="0"/>
    <s v="United States"/>
    <s v="Akron"/>
    <s v="Ohio"/>
    <s v="East"/>
    <x v="1"/>
    <x v="8"/>
    <s v="Wilson Jones Active Use Binders"/>
    <x v="964"/>
    <n v="2"/>
    <n v="0.7"/>
    <n v="-3.0575999999999999"/>
  </r>
  <r>
    <n v="3564"/>
    <x v="507"/>
    <x v="3"/>
    <x v="8"/>
    <d v="2014-09-10T00:00:00"/>
    <n v="5"/>
    <x v="0"/>
    <s v="Maribeth Dona"/>
    <x v="0"/>
    <s v="United States"/>
    <s v="Akron"/>
    <s v="Ohio"/>
    <s v="East"/>
    <x v="1"/>
    <x v="10"/>
    <s v="Telephone Message Books with Fax/Mobile Section, 4 1/4&quot; x 6&quot;"/>
    <x v="132"/>
    <n v="4"/>
    <n v="0.2"/>
    <n v="3.7440000000000002"/>
  </r>
  <r>
    <n v="3565"/>
    <x v="894"/>
    <x v="0"/>
    <x v="7"/>
    <d v="2013-07-07T00:00:00"/>
    <n v="3"/>
    <x v="2"/>
    <s v="Guy Thornton"/>
    <x v="0"/>
    <s v="United States"/>
    <s v="Los Angeles"/>
    <s v="California"/>
    <s v="West"/>
    <x v="1"/>
    <x v="10"/>
    <s v="Xerox 200"/>
    <x v="91"/>
    <n v="2"/>
    <n v="0"/>
    <n v="6.2207999999999997"/>
  </r>
  <r>
    <n v="3566"/>
    <x v="894"/>
    <x v="0"/>
    <x v="7"/>
    <d v="2013-07-07T00:00:00"/>
    <n v="3"/>
    <x v="2"/>
    <s v="Guy Thornton"/>
    <x v="0"/>
    <s v="United States"/>
    <s v="Los Angeles"/>
    <s v="California"/>
    <s v="West"/>
    <x v="1"/>
    <x v="13"/>
    <s v="Brites Rubber Bands, 1 1/2 oz. Box"/>
    <x v="532"/>
    <n v="2"/>
    <n v="0"/>
    <n v="7.9200000000000007E-2"/>
  </r>
  <r>
    <n v="3567"/>
    <x v="210"/>
    <x v="3"/>
    <x v="8"/>
    <d v="2014-09-15T00:00:00"/>
    <n v="7"/>
    <x v="1"/>
    <s v="Robert Dilbeck"/>
    <x v="2"/>
    <s v="United States"/>
    <s v="Independence"/>
    <s v="Missouri"/>
    <s v="Central"/>
    <x v="1"/>
    <x v="8"/>
    <s v="GBC DocuBind 300 Electric Binding Machine"/>
    <x v="2758"/>
    <n v="3"/>
    <n v="0"/>
    <n v="757.41120000000001"/>
  </r>
  <r>
    <n v="3568"/>
    <x v="369"/>
    <x v="0"/>
    <x v="8"/>
    <d v="2013-09-15T00:00:00"/>
    <n v="5"/>
    <x v="0"/>
    <s v="Daniel Byrd"/>
    <x v="2"/>
    <s v="United States"/>
    <s v="Dallas"/>
    <s v="Texas"/>
    <s v="Central"/>
    <x v="0"/>
    <x v="5"/>
    <s v="Eldon Expressions Punched Metal &amp; Wood Desk Accessories, Black &amp; Cherry"/>
    <x v="1632"/>
    <n v="4"/>
    <n v="0.6"/>
    <n v="-12.006399999999999"/>
  </r>
  <r>
    <n v="3569"/>
    <x v="445"/>
    <x v="3"/>
    <x v="7"/>
    <d v="2014-07-04T00:00:00"/>
    <n v="0"/>
    <x v="3"/>
    <s v="Jim Kriz"/>
    <x v="2"/>
    <s v="United States"/>
    <s v="Seattle"/>
    <s v="Washington"/>
    <s v="West"/>
    <x v="2"/>
    <x v="11"/>
    <s v="Logitech 910-002974 M325 Wireless Mouse for Web Scrolling"/>
    <x v="2759"/>
    <n v="2"/>
    <n v="0"/>
    <n v="26.391200000000001"/>
  </r>
  <r>
    <n v="3570"/>
    <x v="445"/>
    <x v="3"/>
    <x v="7"/>
    <d v="2014-07-04T00:00:00"/>
    <n v="0"/>
    <x v="3"/>
    <s v="Jim Kriz"/>
    <x v="2"/>
    <s v="United States"/>
    <s v="Seattle"/>
    <s v="Washington"/>
    <s v="West"/>
    <x v="2"/>
    <x v="15"/>
    <s v="Okidata MB491 Multifunction Printer"/>
    <x v="2760"/>
    <n v="6"/>
    <n v="0.2"/>
    <n v="209.58"/>
  </r>
  <r>
    <n v="3571"/>
    <x v="445"/>
    <x v="3"/>
    <x v="7"/>
    <d v="2014-07-04T00:00:00"/>
    <n v="0"/>
    <x v="3"/>
    <s v="Jim Kriz"/>
    <x v="2"/>
    <s v="United States"/>
    <s v="Seattle"/>
    <s v="Washington"/>
    <s v="West"/>
    <x v="2"/>
    <x v="11"/>
    <s v="Plantronics Savi W720 Multi-Device Wireless Headset System"/>
    <x v="2761"/>
    <n v="4"/>
    <n v="0"/>
    <n v="742.63199999999995"/>
  </r>
  <r>
    <n v="3572"/>
    <x v="445"/>
    <x v="3"/>
    <x v="7"/>
    <d v="2014-07-04T00:00:00"/>
    <n v="0"/>
    <x v="3"/>
    <s v="Jim Kriz"/>
    <x v="2"/>
    <s v="United States"/>
    <s v="Seattle"/>
    <s v="Washington"/>
    <s v="West"/>
    <x v="2"/>
    <x v="7"/>
    <s v="Square Credit Card Reader, 4 1/2&quot; x 4 1/2&quot; x 1&quot;, White"/>
    <x v="462"/>
    <n v="1"/>
    <n v="0.2"/>
    <n v="2.6972999999999998"/>
  </r>
  <r>
    <n v="3573"/>
    <x v="222"/>
    <x v="3"/>
    <x v="1"/>
    <d v="2014-07-05T00:00:00"/>
    <n v="5"/>
    <x v="1"/>
    <s v="Fred Chung"/>
    <x v="1"/>
    <s v="United States"/>
    <s v="Mesquite"/>
    <s v="Texas"/>
    <s v="Central"/>
    <x v="1"/>
    <x v="10"/>
    <s v="Xerox 218"/>
    <x v="1170"/>
    <n v="1"/>
    <n v="0.2"/>
    <n v="1.8144"/>
  </r>
  <r>
    <n v="3574"/>
    <x v="783"/>
    <x v="3"/>
    <x v="6"/>
    <d v="2014-08-13T00:00:00"/>
    <n v="5"/>
    <x v="1"/>
    <s v="Joni Wasserman"/>
    <x v="0"/>
    <s v="United States"/>
    <s v="Long Beach"/>
    <s v="New York"/>
    <s v="East"/>
    <x v="1"/>
    <x v="6"/>
    <s v="Quartet Omega Colored Chalk, 12/Pack"/>
    <x v="2582"/>
    <n v="2"/>
    <n v="0"/>
    <n v="5.4896000000000003"/>
  </r>
  <r>
    <n v="3575"/>
    <x v="783"/>
    <x v="3"/>
    <x v="6"/>
    <d v="2014-08-13T00:00:00"/>
    <n v="5"/>
    <x v="1"/>
    <s v="Joni Wasserman"/>
    <x v="0"/>
    <s v="United States"/>
    <s v="Long Beach"/>
    <s v="New York"/>
    <s v="East"/>
    <x v="1"/>
    <x v="6"/>
    <s v="Staples"/>
    <x v="2762"/>
    <n v="10"/>
    <n v="0"/>
    <n v="26.2"/>
  </r>
  <r>
    <n v="3576"/>
    <x v="531"/>
    <x v="1"/>
    <x v="10"/>
    <d v="2012-03-24T00:00:00"/>
    <n v="5"/>
    <x v="1"/>
    <s v="Dan Campbell"/>
    <x v="0"/>
    <s v="United States"/>
    <s v="North Miami"/>
    <s v="Florida"/>
    <s v="South"/>
    <x v="1"/>
    <x v="10"/>
    <s v="Adams Telephone Message Books, 5 1/4” x 11”"/>
    <x v="2763"/>
    <n v="3"/>
    <n v="0.2"/>
    <n v="4.8924000000000003"/>
  </r>
  <r>
    <n v="3577"/>
    <x v="843"/>
    <x v="0"/>
    <x v="1"/>
    <d v="2013-06-12T00:00:00"/>
    <n v="4"/>
    <x v="1"/>
    <s v="Frank Merwin"/>
    <x v="2"/>
    <s v="United States"/>
    <s v="Bakersfield"/>
    <s v="California"/>
    <s v="West"/>
    <x v="1"/>
    <x v="8"/>
    <s v="Avery Hanging File Binders"/>
    <x v="2764"/>
    <n v="1"/>
    <n v="0.2"/>
    <n v="1.5548"/>
  </r>
  <r>
    <n v="3578"/>
    <x v="843"/>
    <x v="0"/>
    <x v="1"/>
    <d v="2013-06-12T00:00:00"/>
    <n v="4"/>
    <x v="1"/>
    <s v="Frank Merwin"/>
    <x v="2"/>
    <s v="United States"/>
    <s v="Bakersfield"/>
    <s v="California"/>
    <s v="West"/>
    <x v="1"/>
    <x v="10"/>
    <s v="While You Were Out Pads, 50 per Pad, 4 x 5 1/4, Green Cycle"/>
    <x v="2765"/>
    <n v="1"/>
    <n v="0"/>
    <n v="2.3176999999999999"/>
  </r>
  <r>
    <n v="3579"/>
    <x v="197"/>
    <x v="0"/>
    <x v="7"/>
    <d v="2013-07-30T00:00:00"/>
    <n v="4"/>
    <x v="1"/>
    <s v="Meg Tillman"/>
    <x v="0"/>
    <s v="United States"/>
    <s v="Jackson"/>
    <s v="Mississippi"/>
    <s v="South"/>
    <x v="1"/>
    <x v="4"/>
    <s v="Akro Stacking Bins"/>
    <x v="2766"/>
    <n v="1"/>
    <n v="0"/>
    <n v="0.31559999999999999"/>
  </r>
  <r>
    <n v="3580"/>
    <x v="197"/>
    <x v="0"/>
    <x v="7"/>
    <d v="2013-07-30T00:00:00"/>
    <n v="4"/>
    <x v="1"/>
    <s v="Meg Tillman"/>
    <x v="0"/>
    <s v="United States"/>
    <s v="Jackson"/>
    <s v="Mississippi"/>
    <s v="South"/>
    <x v="1"/>
    <x v="10"/>
    <s v="Advantus Motivational Note Cards"/>
    <x v="2767"/>
    <n v="5"/>
    <n v="0"/>
    <n v="32.094999999999999"/>
  </r>
  <r>
    <n v="3581"/>
    <x v="197"/>
    <x v="0"/>
    <x v="7"/>
    <d v="2013-07-30T00:00:00"/>
    <n v="4"/>
    <x v="1"/>
    <s v="Meg Tillman"/>
    <x v="0"/>
    <s v="United States"/>
    <s v="Jackson"/>
    <s v="Mississippi"/>
    <s v="South"/>
    <x v="0"/>
    <x v="3"/>
    <s v="Office Impressions End Table, 20-1/2&quot;H x 24&quot;W x 20&quot;D"/>
    <x v="2768"/>
    <n v="8"/>
    <n v="0"/>
    <n v="388.81279999999998"/>
  </r>
  <r>
    <n v="3582"/>
    <x v="172"/>
    <x v="3"/>
    <x v="2"/>
    <d v="2014-10-08T00:00:00"/>
    <n v="6"/>
    <x v="1"/>
    <s v="Dave Kipp"/>
    <x v="0"/>
    <s v="United States"/>
    <s v="Fremont"/>
    <s v="Nebraska"/>
    <s v="Central"/>
    <x v="1"/>
    <x v="10"/>
    <s v="Xerox 1915"/>
    <x v="1230"/>
    <n v="1"/>
    <n v="0"/>
    <n v="50.328000000000003"/>
  </r>
  <r>
    <n v="3583"/>
    <x v="895"/>
    <x v="1"/>
    <x v="4"/>
    <d v="2012-12-16T00:00:00"/>
    <n v="6"/>
    <x v="1"/>
    <s v="Keith Dawkins"/>
    <x v="1"/>
    <s v="United States"/>
    <s v="Jackson"/>
    <s v="Michigan"/>
    <s v="Central"/>
    <x v="1"/>
    <x v="6"/>
    <s v="Avery Hi-Liter Comfort Grip Fluorescent Highlighter, Yellow Ink"/>
    <x v="2769"/>
    <n v="2"/>
    <n v="0"/>
    <n v="1.5209999999999999"/>
  </r>
  <r>
    <n v="3584"/>
    <x v="895"/>
    <x v="1"/>
    <x v="4"/>
    <d v="2012-12-16T00:00:00"/>
    <n v="6"/>
    <x v="1"/>
    <s v="Keith Dawkins"/>
    <x v="1"/>
    <s v="United States"/>
    <s v="Jackson"/>
    <s v="Michigan"/>
    <s v="Central"/>
    <x v="0"/>
    <x v="3"/>
    <s v="Bretford CR8500 Series Meeting Room Furniture"/>
    <x v="2770"/>
    <n v="2"/>
    <n v="0"/>
    <n v="200.49"/>
  </r>
  <r>
    <n v="3585"/>
    <x v="895"/>
    <x v="1"/>
    <x v="4"/>
    <d v="2012-12-16T00:00:00"/>
    <n v="6"/>
    <x v="1"/>
    <s v="Keith Dawkins"/>
    <x v="1"/>
    <s v="United States"/>
    <s v="Jackson"/>
    <s v="Michigan"/>
    <s v="Central"/>
    <x v="0"/>
    <x v="1"/>
    <s v="Global Super Steno Chair"/>
    <x v="2771"/>
    <n v="2"/>
    <n v="0"/>
    <n v="32.633200000000002"/>
  </r>
  <r>
    <n v="3586"/>
    <x v="895"/>
    <x v="1"/>
    <x v="4"/>
    <d v="2012-12-16T00:00:00"/>
    <n v="6"/>
    <x v="1"/>
    <s v="Keith Dawkins"/>
    <x v="1"/>
    <s v="United States"/>
    <s v="Jackson"/>
    <s v="Michigan"/>
    <s v="Central"/>
    <x v="1"/>
    <x v="2"/>
    <s v="Permanent Self-Adhesive File Folder Labels for Typewriters by Universal"/>
    <x v="533"/>
    <n v="1"/>
    <n v="0"/>
    <n v="1.2005999999999999"/>
  </r>
  <r>
    <n v="3587"/>
    <x v="213"/>
    <x v="3"/>
    <x v="8"/>
    <d v="2014-09-09T00:00:00"/>
    <n v="5"/>
    <x v="1"/>
    <s v="Aleksandra Gannaway"/>
    <x v="1"/>
    <s v="United States"/>
    <s v="San Francisco"/>
    <s v="California"/>
    <s v="West"/>
    <x v="1"/>
    <x v="6"/>
    <s v="Premium Writing Pencils, Soft, #2 by Central Association for the Blind"/>
    <x v="456"/>
    <n v="2"/>
    <n v="0"/>
    <n v="1.6688000000000001"/>
  </r>
  <r>
    <n v="3588"/>
    <x v="241"/>
    <x v="3"/>
    <x v="8"/>
    <d v="2014-09-29T00:00:00"/>
    <n v="4"/>
    <x v="1"/>
    <s v="Mick Hernandez"/>
    <x v="2"/>
    <s v="United States"/>
    <s v="Lancaster"/>
    <s v="Ohio"/>
    <s v="East"/>
    <x v="2"/>
    <x v="7"/>
    <s v="Apple iPhone 5"/>
    <x v="2772"/>
    <n v="3"/>
    <n v="0.4"/>
    <n v="-253.43369999999999"/>
  </r>
  <r>
    <n v="3589"/>
    <x v="484"/>
    <x v="3"/>
    <x v="4"/>
    <d v="2014-12-22T00:00:00"/>
    <n v="2"/>
    <x v="2"/>
    <s v="Amy Cox"/>
    <x v="0"/>
    <s v="United States"/>
    <s v="Lafayette"/>
    <s v="Louisiana"/>
    <s v="South"/>
    <x v="1"/>
    <x v="14"/>
    <s v="Martin Yale Chadless Opener Electric Letter Opener"/>
    <x v="2773"/>
    <n v="2"/>
    <n v="0"/>
    <n v="33.312399999999997"/>
  </r>
  <r>
    <n v="3590"/>
    <x v="221"/>
    <x v="3"/>
    <x v="0"/>
    <d v="2014-12-01T00:00:00"/>
    <n v="6"/>
    <x v="1"/>
    <s v="Frank Merwin"/>
    <x v="2"/>
    <s v="United States"/>
    <s v="Richmond"/>
    <s v="Kentucky"/>
    <s v="South"/>
    <x v="1"/>
    <x v="8"/>
    <s v="Avery Durable Binders"/>
    <x v="704"/>
    <n v="1"/>
    <n v="0"/>
    <n v="1.4112"/>
  </r>
  <r>
    <n v="3591"/>
    <x v="221"/>
    <x v="3"/>
    <x v="0"/>
    <d v="2014-12-01T00:00:00"/>
    <n v="6"/>
    <x v="1"/>
    <s v="Frank Merwin"/>
    <x v="2"/>
    <s v="United States"/>
    <s v="Richmond"/>
    <s v="Kentucky"/>
    <s v="South"/>
    <x v="1"/>
    <x v="4"/>
    <s v="Iceberg Mobile Mega Data/Printer Cart "/>
    <x v="2774"/>
    <n v="12"/>
    <n v="0"/>
    <n v="375.42959999999999"/>
  </r>
  <r>
    <n v="3592"/>
    <x v="736"/>
    <x v="2"/>
    <x v="4"/>
    <d v="2011-12-15T00:00:00"/>
    <n v="2"/>
    <x v="0"/>
    <s v="Ralph Arnett"/>
    <x v="0"/>
    <s v="United States"/>
    <s v="Houston"/>
    <s v="Texas"/>
    <s v="Central"/>
    <x v="1"/>
    <x v="14"/>
    <s v="Acme Value Line Scissors"/>
    <x v="2775"/>
    <n v="1"/>
    <n v="0.2"/>
    <n v="0.36499999999999999"/>
  </r>
  <r>
    <n v="3593"/>
    <x v="5"/>
    <x v="0"/>
    <x v="4"/>
    <d v="2013-12-08T00:00:00"/>
    <n v="2"/>
    <x v="0"/>
    <s v="James Galang"/>
    <x v="0"/>
    <s v="United States"/>
    <s v="New York City"/>
    <s v="New York"/>
    <s v="East"/>
    <x v="1"/>
    <x v="4"/>
    <s v="Dual Level, Single-Width Filing Carts"/>
    <x v="2776"/>
    <n v="3"/>
    <n v="0"/>
    <n v="120.9468"/>
  </r>
  <r>
    <n v="3594"/>
    <x v="108"/>
    <x v="0"/>
    <x v="8"/>
    <d v="2013-09-18T00:00:00"/>
    <n v="6"/>
    <x v="1"/>
    <s v="Nick Zandusky"/>
    <x v="2"/>
    <s v="United States"/>
    <s v="Toledo"/>
    <s v="Ohio"/>
    <s v="East"/>
    <x v="1"/>
    <x v="8"/>
    <s v="GBC Standard Therm-A-Bind Covers"/>
    <x v="2777"/>
    <n v="3"/>
    <n v="0.7"/>
    <n v="-17.942399999999999"/>
  </r>
  <r>
    <n v="3595"/>
    <x v="108"/>
    <x v="0"/>
    <x v="8"/>
    <d v="2013-09-18T00:00:00"/>
    <n v="6"/>
    <x v="1"/>
    <s v="Nick Zandusky"/>
    <x v="2"/>
    <s v="United States"/>
    <s v="Toledo"/>
    <s v="Ohio"/>
    <s v="East"/>
    <x v="1"/>
    <x v="4"/>
    <s v="Staples"/>
    <x v="2778"/>
    <n v="5"/>
    <n v="0.2"/>
    <n v="3.7519999999999998"/>
  </r>
  <r>
    <n v="3596"/>
    <x v="34"/>
    <x v="3"/>
    <x v="4"/>
    <d v="2014-12-16T00:00:00"/>
    <n v="6"/>
    <x v="1"/>
    <s v="Kalyca Meade"/>
    <x v="1"/>
    <s v="United States"/>
    <s v="Philadelphia"/>
    <s v="Pennsylvania"/>
    <s v="East"/>
    <x v="1"/>
    <x v="6"/>
    <s v="Crayola Colored Pencils"/>
    <x v="367"/>
    <n v="1"/>
    <n v="0.2"/>
    <n v="0.4264"/>
  </r>
  <r>
    <n v="3597"/>
    <x v="340"/>
    <x v="2"/>
    <x v="8"/>
    <d v="2011-09-14T00:00:00"/>
    <n v="5"/>
    <x v="0"/>
    <s v="Logan Currie"/>
    <x v="0"/>
    <s v="United States"/>
    <s v="Philadelphia"/>
    <s v="Pennsylvania"/>
    <s v="East"/>
    <x v="1"/>
    <x v="10"/>
    <s v="Xerox 210"/>
    <x v="12"/>
    <n v="3"/>
    <n v="0.2"/>
    <n v="5.4432"/>
  </r>
  <r>
    <n v="3598"/>
    <x v="340"/>
    <x v="2"/>
    <x v="8"/>
    <d v="2011-09-14T00:00:00"/>
    <n v="5"/>
    <x v="0"/>
    <s v="Logan Currie"/>
    <x v="0"/>
    <s v="United States"/>
    <s v="Philadelphia"/>
    <s v="Pennsylvania"/>
    <s v="East"/>
    <x v="2"/>
    <x v="11"/>
    <s v="Rosewill 107 Normal Keys USB Wired Standard Keyboard"/>
    <x v="2779"/>
    <n v="6"/>
    <n v="0.2"/>
    <n v="-4.8528000000000002"/>
  </r>
  <r>
    <n v="3599"/>
    <x v="340"/>
    <x v="2"/>
    <x v="8"/>
    <d v="2011-09-14T00:00:00"/>
    <n v="5"/>
    <x v="0"/>
    <s v="Logan Currie"/>
    <x v="0"/>
    <s v="United States"/>
    <s v="Philadelphia"/>
    <s v="Pennsylvania"/>
    <s v="East"/>
    <x v="0"/>
    <x v="5"/>
    <s v="Master Caster Door Stop, Large Neon Orange"/>
    <x v="1121"/>
    <n v="3"/>
    <n v="0.2"/>
    <n v="5.0232000000000001"/>
  </r>
  <r>
    <n v="3600"/>
    <x v="340"/>
    <x v="2"/>
    <x v="8"/>
    <d v="2011-09-14T00:00:00"/>
    <n v="5"/>
    <x v="0"/>
    <s v="Logan Currie"/>
    <x v="0"/>
    <s v="United States"/>
    <s v="Philadelphia"/>
    <s v="Pennsylvania"/>
    <s v="East"/>
    <x v="2"/>
    <x v="7"/>
    <s v="Polycom SoundPoint IP 450 VoIP phone"/>
    <x v="2780"/>
    <n v="1"/>
    <n v="0.4"/>
    <n v="-31.6204"/>
  </r>
  <r>
    <n v="3601"/>
    <x v="335"/>
    <x v="3"/>
    <x v="1"/>
    <d v="2014-07-01T00:00:00"/>
    <n v="4"/>
    <x v="1"/>
    <s v="Nora Preis"/>
    <x v="0"/>
    <s v="United States"/>
    <s v="Denver"/>
    <s v="Colorado"/>
    <s v="West"/>
    <x v="2"/>
    <x v="11"/>
    <s v="Kensington Orbit Wireless Mobile Trackball for PC and Mac"/>
    <x v="1065"/>
    <n v="9"/>
    <n v="0.2"/>
    <n v="64.789199999999994"/>
  </r>
  <r>
    <n v="3602"/>
    <x v="664"/>
    <x v="2"/>
    <x v="0"/>
    <d v="2011-11-24T00:00:00"/>
    <n v="7"/>
    <x v="1"/>
    <s v="Randy Bradley"/>
    <x v="0"/>
    <s v="United States"/>
    <s v="Philadelphia"/>
    <s v="Pennsylvania"/>
    <s v="East"/>
    <x v="1"/>
    <x v="10"/>
    <s v="Southworth 100% Résumé Paper, 24lb."/>
    <x v="2781"/>
    <n v="2"/>
    <n v="0.2"/>
    <n v="3.89"/>
  </r>
  <r>
    <n v="3603"/>
    <x v="664"/>
    <x v="2"/>
    <x v="0"/>
    <d v="2011-11-24T00:00:00"/>
    <n v="7"/>
    <x v="1"/>
    <s v="Randy Bradley"/>
    <x v="0"/>
    <s v="United States"/>
    <s v="Philadelphia"/>
    <s v="Pennsylvania"/>
    <s v="East"/>
    <x v="0"/>
    <x v="1"/>
    <s v="Hon Every-Day Series Multi-Task Chairs"/>
    <x v="2782"/>
    <n v="5"/>
    <n v="0.3"/>
    <n v="-93.99"/>
  </r>
  <r>
    <n v="3604"/>
    <x v="170"/>
    <x v="3"/>
    <x v="6"/>
    <d v="2014-08-28T00:00:00"/>
    <n v="6"/>
    <x v="1"/>
    <s v="Tracy Hopkins"/>
    <x v="2"/>
    <s v="United States"/>
    <s v="Columbia"/>
    <s v="Maryland"/>
    <s v="East"/>
    <x v="1"/>
    <x v="10"/>
    <s v="Xerox 1888"/>
    <x v="1928"/>
    <n v="5"/>
    <n v="0"/>
    <n v="133.15199999999999"/>
  </r>
  <r>
    <n v="3605"/>
    <x v="170"/>
    <x v="3"/>
    <x v="6"/>
    <d v="2014-08-28T00:00:00"/>
    <n v="6"/>
    <x v="1"/>
    <s v="Tracy Hopkins"/>
    <x v="2"/>
    <s v="United States"/>
    <s v="Columbia"/>
    <s v="Maryland"/>
    <s v="East"/>
    <x v="0"/>
    <x v="5"/>
    <s v="DAX Executive Solid Wood Document Frame, Desktop or Hang, Mahogany, 5 x 7"/>
    <x v="2783"/>
    <n v="2"/>
    <n v="0"/>
    <n v="8.5543999999999993"/>
  </r>
  <r>
    <n v="3606"/>
    <x v="170"/>
    <x v="3"/>
    <x v="6"/>
    <d v="2014-08-28T00:00:00"/>
    <n v="6"/>
    <x v="1"/>
    <s v="Tracy Hopkins"/>
    <x v="2"/>
    <s v="United States"/>
    <s v="Columbia"/>
    <s v="Maryland"/>
    <s v="East"/>
    <x v="0"/>
    <x v="5"/>
    <s v="Seth Thomas 12&quot; Clock w/ Goldtone Case"/>
    <x v="2784"/>
    <n v="4"/>
    <n v="0"/>
    <n v="31.252800000000001"/>
  </r>
  <r>
    <n v="3607"/>
    <x v="299"/>
    <x v="0"/>
    <x v="10"/>
    <d v="2013-03-17T00:00:00"/>
    <n v="4"/>
    <x v="0"/>
    <s v="Clytie Kelty"/>
    <x v="0"/>
    <s v="United States"/>
    <s v="New York City"/>
    <s v="New York"/>
    <s v="East"/>
    <x v="1"/>
    <x v="12"/>
    <s v="Staples"/>
    <x v="1599"/>
    <n v="3"/>
    <n v="0"/>
    <n v="13.4964"/>
  </r>
  <r>
    <n v="3608"/>
    <x v="865"/>
    <x v="2"/>
    <x v="8"/>
    <d v="2011-09-28T00:00:00"/>
    <n v="5"/>
    <x v="0"/>
    <s v="Shui Tom"/>
    <x v="0"/>
    <s v="United States"/>
    <s v="New York City"/>
    <s v="New York"/>
    <s v="East"/>
    <x v="1"/>
    <x v="8"/>
    <s v="Avery Arch Ring Binders"/>
    <x v="2785"/>
    <n v="3"/>
    <n v="0.2"/>
    <n v="47.061"/>
  </r>
  <r>
    <n v="3609"/>
    <x v="582"/>
    <x v="2"/>
    <x v="3"/>
    <d v="2011-05-03T00:00:00"/>
    <n v="5"/>
    <x v="1"/>
    <s v="George Bell"/>
    <x v="1"/>
    <s v="United States"/>
    <s v="Newark"/>
    <s v="Ohio"/>
    <s v="East"/>
    <x v="1"/>
    <x v="2"/>
    <s v="Avery File Folder Labels"/>
    <x v="2721"/>
    <n v="3"/>
    <n v="0.2"/>
    <n v="2.5055999999999998"/>
  </r>
  <r>
    <n v="3610"/>
    <x v="582"/>
    <x v="2"/>
    <x v="3"/>
    <d v="2011-05-03T00:00:00"/>
    <n v="5"/>
    <x v="1"/>
    <s v="George Bell"/>
    <x v="1"/>
    <s v="United States"/>
    <s v="Newark"/>
    <s v="Ohio"/>
    <s v="East"/>
    <x v="1"/>
    <x v="4"/>
    <s v="X-Rack File for Hanging Folders"/>
    <x v="2786"/>
    <n v="3"/>
    <n v="0.2"/>
    <n v="2.0322"/>
  </r>
  <r>
    <n v="3611"/>
    <x v="582"/>
    <x v="2"/>
    <x v="3"/>
    <d v="2011-05-03T00:00:00"/>
    <n v="5"/>
    <x v="1"/>
    <s v="George Bell"/>
    <x v="1"/>
    <s v="United States"/>
    <s v="Newark"/>
    <s v="Ohio"/>
    <s v="East"/>
    <x v="1"/>
    <x v="4"/>
    <s v="Carina Mini System Audio Rack, Model AR050B"/>
    <x v="2787"/>
    <n v="2"/>
    <n v="0.2"/>
    <n v="-37.733199999999997"/>
  </r>
  <r>
    <n v="3612"/>
    <x v="896"/>
    <x v="0"/>
    <x v="0"/>
    <d v="2013-12-02T00:00:00"/>
    <n v="2"/>
    <x v="0"/>
    <s v="Nick Crebassa"/>
    <x v="1"/>
    <s v="United States"/>
    <s v="Dallas"/>
    <s v="Texas"/>
    <s v="Central"/>
    <x v="2"/>
    <x v="11"/>
    <s v="Memorex Micro Travel Drive 32 GB"/>
    <x v="2788"/>
    <n v="2"/>
    <n v="0.2"/>
    <n v="16.794599999999999"/>
  </r>
  <r>
    <n v="3613"/>
    <x v="155"/>
    <x v="1"/>
    <x v="4"/>
    <d v="2012-12-08T00:00:00"/>
    <n v="5"/>
    <x v="1"/>
    <s v="Alejandro Ballentine"/>
    <x v="2"/>
    <s v="United States"/>
    <s v="Philadelphia"/>
    <s v="Pennsylvania"/>
    <s v="East"/>
    <x v="1"/>
    <x v="10"/>
    <s v="Message Book, Wirebound, Four 5 1/2&quot; X 4&quot; Forms/Pg., 200 Dupl. Sets/Book"/>
    <x v="2789"/>
    <n v="2"/>
    <n v="0.2"/>
    <n v="5.5511999999999997"/>
  </r>
  <r>
    <n v="3614"/>
    <x v="155"/>
    <x v="1"/>
    <x v="4"/>
    <d v="2012-12-08T00:00:00"/>
    <n v="5"/>
    <x v="1"/>
    <s v="Alejandro Ballentine"/>
    <x v="2"/>
    <s v="United States"/>
    <s v="Philadelphia"/>
    <s v="Pennsylvania"/>
    <s v="East"/>
    <x v="2"/>
    <x v="11"/>
    <s v="Verbatim 25 GB 6x Blu-ray Single Layer Recordable Disc, 25/Pack"/>
    <x v="2790"/>
    <n v="2"/>
    <n v="0.2"/>
    <n v="10.5754"/>
  </r>
  <r>
    <n v="3615"/>
    <x v="123"/>
    <x v="3"/>
    <x v="0"/>
    <d v="2014-11-22T00:00:00"/>
    <n v="2"/>
    <x v="2"/>
    <s v="Stewart Carmichael"/>
    <x v="1"/>
    <s v="United States"/>
    <s v="San Antonio"/>
    <s v="Texas"/>
    <s v="Central"/>
    <x v="0"/>
    <x v="3"/>
    <s v="Bush Andora Conference Table, Maple/Graphite Gray Finish"/>
    <x v="2791"/>
    <n v="6"/>
    <n v="0.3"/>
    <n v="-71.811599999999999"/>
  </r>
  <r>
    <n v="3616"/>
    <x v="123"/>
    <x v="3"/>
    <x v="0"/>
    <d v="2014-11-22T00:00:00"/>
    <n v="2"/>
    <x v="2"/>
    <s v="Stewart Carmichael"/>
    <x v="1"/>
    <s v="United States"/>
    <s v="San Antonio"/>
    <s v="Texas"/>
    <s v="Central"/>
    <x v="1"/>
    <x v="6"/>
    <s v="Peel-Off China Markers"/>
    <x v="2792"/>
    <n v="4"/>
    <n v="0.2"/>
    <n v="8.7384000000000004"/>
  </r>
  <r>
    <n v="3617"/>
    <x v="64"/>
    <x v="0"/>
    <x v="8"/>
    <d v="2013-09-10T00:00:00"/>
    <n v="4"/>
    <x v="1"/>
    <s v="Jasper Cacioppo"/>
    <x v="0"/>
    <s v="United States"/>
    <s v="Philadelphia"/>
    <s v="Pennsylvania"/>
    <s v="East"/>
    <x v="1"/>
    <x v="8"/>
    <s v="C-Line Peel &amp; Stick Add-On Filing Pockets, 8-3/4 x 5-1/8, 10/Pack"/>
    <x v="2793"/>
    <n v="5"/>
    <n v="0.7"/>
    <n v="-7.3254999999999999"/>
  </r>
  <r>
    <n v="3618"/>
    <x v="507"/>
    <x v="3"/>
    <x v="8"/>
    <d v="2014-09-09T00:00:00"/>
    <n v="4"/>
    <x v="1"/>
    <s v="Ralph Arnett"/>
    <x v="0"/>
    <s v="United States"/>
    <s v="Los Angeles"/>
    <s v="California"/>
    <s v="West"/>
    <x v="1"/>
    <x v="8"/>
    <s v="Ibico Hi-Tech Manual Binding System"/>
    <x v="1611"/>
    <n v="2"/>
    <n v="0.2"/>
    <n v="152.495"/>
  </r>
  <r>
    <n v="3619"/>
    <x v="507"/>
    <x v="3"/>
    <x v="8"/>
    <d v="2014-09-09T00:00:00"/>
    <n v="4"/>
    <x v="1"/>
    <s v="Ralph Arnett"/>
    <x v="0"/>
    <s v="United States"/>
    <s v="Los Angeles"/>
    <s v="California"/>
    <s v="West"/>
    <x v="2"/>
    <x v="7"/>
    <s v="QVS USB Car Charger 2-Port 2.1Amp for iPod/iPhone/iPad/iPad 2/iPad 3"/>
    <x v="345"/>
    <n v="1"/>
    <n v="0.2"/>
    <n v="1.7375"/>
  </r>
  <r>
    <n v="3620"/>
    <x v="507"/>
    <x v="3"/>
    <x v="8"/>
    <d v="2014-09-09T00:00:00"/>
    <n v="4"/>
    <x v="1"/>
    <s v="Ralph Arnett"/>
    <x v="0"/>
    <s v="United States"/>
    <s v="Los Angeles"/>
    <s v="California"/>
    <s v="West"/>
    <x v="1"/>
    <x v="4"/>
    <s v="Trav-L-File Heavy-Duty Shuttle II, Black"/>
    <x v="2794"/>
    <n v="5"/>
    <n v="0"/>
    <n v="65.355000000000004"/>
  </r>
  <r>
    <n v="3621"/>
    <x v="897"/>
    <x v="0"/>
    <x v="8"/>
    <d v="2013-09-30T00:00:00"/>
    <n v="7"/>
    <x v="1"/>
    <s v="Sally Hughsby"/>
    <x v="1"/>
    <s v="United States"/>
    <s v="Smyrna"/>
    <s v="Tennessee"/>
    <s v="South"/>
    <x v="1"/>
    <x v="6"/>
    <s v="Berol Giant Pencil Sharpener"/>
    <x v="2795"/>
    <n v="3"/>
    <n v="0.2"/>
    <n v="4.5872999999999999"/>
  </r>
  <r>
    <n v="3622"/>
    <x v="897"/>
    <x v="0"/>
    <x v="8"/>
    <d v="2013-09-30T00:00:00"/>
    <n v="7"/>
    <x v="1"/>
    <s v="Sally Hughsby"/>
    <x v="1"/>
    <s v="United States"/>
    <s v="Smyrna"/>
    <s v="Tennessee"/>
    <s v="South"/>
    <x v="2"/>
    <x v="7"/>
    <s v="PayAnywhere Card Reader"/>
    <x v="2796"/>
    <n v="8"/>
    <n v="0.2"/>
    <n v="5.5944000000000003"/>
  </r>
  <r>
    <n v="3623"/>
    <x v="80"/>
    <x v="2"/>
    <x v="8"/>
    <d v="2011-09-19T00:00:00"/>
    <n v="5"/>
    <x v="1"/>
    <s v="John Castell"/>
    <x v="0"/>
    <s v="United States"/>
    <s v="Macon"/>
    <s v="Georgia"/>
    <s v="South"/>
    <x v="0"/>
    <x v="5"/>
    <s v="Seth Thomas 14&quot; Day/Date Wall Clock"/>
    <x v="2797"/>
    <n v="5"/>
    <n v="0"/>
    <n v="52.688000000000002"/>
  </r>
  <r>
    <n v="3624"/>
    <x v="80"/>
    <x v="2"/>
    <x v="8"/>
    <d v="2011-09-19T00:00:00"/>
    <n v="5"/>
    <x v="1"/>
    <s v="John Castell"/>
    <x v="0"/>
    <s v="United States"/>
    <s v="Macon"/>
    <s v="Georgia"/>
    <s v="South"/>
    <x v="1"/>
    <x v="8"/>
    <s v="Avery Poly Binder Pockets"/>
    <x v="181"/>
    <n v="2"/>
    <n v="0"/>
    <n v="3.4367999999999999"/>
  </r>
  <r>
    <n v="3625"/>
    <x v="240"/>
    <x v="3"/>
    <x v="5"/>
    <d v="2014-05-22T00:00:00"/>
    <n v="2"/>
    <x v="0"/>
    <s v="Becky Castell"/>
    <x v="2"/>
    <s v="United States"/>
    <s v="San Francisco"/>
    <s v="California"/>
    <s v="West"/>
    <x v="0"/>
    <x v="1"/>
    <s v="Situations Contoured Folding Chairs, 4/Set"/>
    <x v="2798"/>
    <n v="12"/>
    <n v="0.2"/>
    <n v="42.588000000000001"/>
  </r>
  <r>
    <n v="3626"/>
    <x v="240"/>
    <x v="3"/>
    <x v="5"/>
    <d v="2014-05-22T00:00:00"/>
    <n v="2"/>
    <x v="0"/>
    <s v="Becky Castell"/>
    <x v="2"/>
    <s v="United States"/>
    <s v="San Francisco"/>
    <s v="California"/>
    <s v="West"/>
    <x v="1"/>
    <x v="6"/>
    <s v="Newell 310"/>
    <x v="2799"/>
    <n v="2"/>
    <n v="0"/>
    <n v="1.0207999999999999"/>
  </r>
  <r>
    <n v="3627"/>
    <x v="240"/>
    <x v="3"/>
    <x v="5"/>
    <d v="2014-05-22T00:00:00"/>
    <n v="2"/>
    <x v="0"/>
    <s v="Becky Castell"/>
    <x v="2"/>
    <s v="United States"/>
    <s v="San Francisco"/>
    <s v="California"/>
    <s v="West"/>
    <x v="1"/>
    <x v="6"/>
    <s v="Newell 314"/>
    <x v="2228"/>
    <n v="1"/>
    <n v="0"/>
    <n v="1.395"/>
  </r>
  <r>
    <n v="3628"/>
    <x v="240"/>
    <x v="3"/>
    <x v="5"/>
    <d v="2014-05-22T00:00:00"/>
    <n v="2"/>
    <x v="0"/>
    <s v="Becky Castell"/>
    <x v="2"/>
    <s v="United States"/>
    <s v="San Francisco"/>
    <s v="California"/>
    <s v="West"/>
    <x v="2"/>
    <x v="11"/>
    <s v="SanDisk Cruzer 64 GB USB Flash Drive"/>
    <x v="2800"/>
    <n v="1"/>
    <n v="0"/>
    <n v="10.896000000000001"/>
  </r>
  <r>
    <n v="3629"/>
    <x v="128"/>
    <x v="2"/>
    <x v="6"/>
    <d v="2011-08-13T00:00:00"/>
    <n v="4"/>
    <x v="1"/>
    <s v="Joseph Holt"/>
    <x v="0"/>
    <s v="United States"/>
    <s v="Seattle"/>
    <s v="Washington"/>
    <s v="West"/>
    <x v="1"/>
    <x v="8"/>
    <s v="Ibico Ibimaster 300 Manual Binding System"/>
    <x v="2801"/>
    <n v="7"/>
    <n v="0.2"/>
    <n v="643.98249999999996"/>
  </r>
  <r>
    <n v="3630"/>
    <x v="200"/>
    <x v="3"/>
    <x v="0"/>
    <d v="2014-12-01T00:00:00"/>
    <n v="4"/>
    <x v="1"/>
    <s v="Corey Catlett"/>
    <x v="1"/>
    <s v="United States"/>
    <s v="Columbus"/>
    <s v="Ohio"/>
    <s v="East"/>
    <x v="1"/>
    <x v="9"/>
    <s v="Holmes HEPA Air Purifier"/>
    <x v="2413"/>
    <n v="3"/>
    <n v="0.2"/>
    <n v="9.8010000000000002"/>
  </r>
  <r>
    <n v="3631"/>
    <x v="200"/>
    <x v="3"/>
    <x v="0"/>
    <d v="2014-12-01T00:00:00"/>
    <n v="4"/>
    <x v="1"/>
    <s v="Corey Catlett"/>
    <x v="1"/>
    <s v="United States"/>
    <s v="Columbus"/>
    <s v="Ohio"/>
    <s v="East"/>
    <x v="1"/>
    <x v="9"/>
    <s v="Fellowes Superior 10 Outlet Split Surge Protector"/>
    <x v="2802"/>
    <n v="7"/>
    <n v="0.2"/>
    <n v="23.977799999999998"/>
  </r>
  <r>
    <n v="3632"/>
    <x v="898"/>
    <x v="3"/>
    <x v="5"/>
    <d v="2014-05-09T00:00:00"/>
    <n v="5"/>
    <x v="0"/>
    <s v="Darren Budd"/>
    <x v="1"/>
    <s v="United States"/>
    <s v="Los Angeles"/>
    <s v="California"/>
    <s v="West"/>
    <x v="1"/>
    <x v="4"/>
    <s v="Multi-Use Personal File Cart and Caster Set, Three Stacking Bins"/>
    <x v="2803"/>
    <n v="2"/>
    <n v="0"/>
    <n v="19.465599999999998"/>
  </r>
  <r>
    <n v="3633"/>
    <x v="898"/>
    <x v="3"/>
    <x v="5"/>
    <d v="2014-05-09T00:00:00"/>
    <n v="5"/>
    <x v="0"/>
    <s v="Darren Budd"/>
    <x v="1"/>
    <s v="United States"/>
    <s v="Los Angeles"/>
    <s v="California"/>
    <s v="West"/>
    <x v="1"/>
    <x v="4"/>
    <s v="Fellowes Stor/Drawer Steel Plus Storage Drawers"/>
    <x v="2804"/>
    <n v="8"/>
    <n v="0"/>
    <n v="45.806399999999996"/>
  </r>
  <r>
    <n v="3634"/>
    <x v="338"/>
    <x v="0"/>
    <x v="0"/>
    <d v="2013-11-15T00:00:00"/>
    <n v="4"/>
    <x v="1"/>
    <s v="Paul Prost"/>
    <x v="2"/>
    <s v="United States"/>
    <s v="Springfield"/>
    <s v="Ohio"/>
    <s v="East"/>
    <x v="1"/>
    <x v="2"/>
    <s v="Avery File Folder Labels"/>
    <x v="2106"/>
    <n v="4"/>
    <n v="0.2"/>
    <n v="3.3408000000000002"/>
  </r>
  <r>
    <n v="3635"/>
    <x v="338"/>
    <x v="0"/>
    <x v="0"/>
    <d v="2013-11-15T00:00:00"/>
    <n v="4"/>
    <x v="1"/>
    <s v="Paul Prost"/>
    <x v="2"/>
    <s v="United States"/>
    <s v="Springfield"/>
    <s v="Ohio"/>
    <s v="East"/>
    <x v="2"/>
    <x v="7"/>
    <s v="Square Credit Card Reader"/>
    <x v="2805"/>
    <n v="7"/>
    <n v="0.4"/>
    <n v="-9.7902000000000005"/>
  </r>
  <r>
    <n v="3636"/>
    <x v="338"/>
    <x v="0"/>
    <x v="0"/>
    <d v="2013-11-15T00:00:00"/>
    <n v="4"/>
    <x v="1"/>
    <s v="Paul Prost"/>
    <x v="2"/>
    <s v="United States"/>
    <s v="Springfield"/>
    <s v="Ohio"/>
    <s v="East"/>
    <x v="1"/>
    <x v="10"/>
    <s v="Xerox 1882"/>
    <x v="2806"/>
    <n v="2"/>
    <n v="0.2"/>
    <n v="32.468400000000003"/>
  </r>
  <r>
    <n v="3637"/>
    <x v="338"/>
    <x v="0"/>
    <x v="0"/>
    <d v="2013-11-15T00:00:00"/>
    <n v="4"/>
    <x v="1"/>
    <s v="Paul Prost"/>
    <x v="2"/>
    <s v="United States"/>
    <s v="Springfield"/>
    <s v="Ohio"/>
    <s v="East"/>
    <x v="1"/>
    <x v="10"/>
    <s v="Wirebound Message Books, Four 2 3/4&quot; x 5&quot; Forms per Page, 600 Sets per Book"/>
    <x v="2807"/>
    <n v="3"/>
    <n v="0.2"/>
    <n v="7.5087000000000002"/>
  </r>
  <r>
    <n v="3638"/>
    <x v="338"/>
    <x v="0"/>
    <x v="0"/>
    <d v="2013-11-15T00:00:00"/>
    <n v="4"/>
    <x v="1"/>
    <s v="Paul Prost"/>
    <x v="2"/>
    <s v="United States"/>
    <s v="Springfield"/>
    <s v="Ohio"/>
    <s v="East"/>
    <x v="1"/>
    <x v="9"/>
    <s v="Eureka The Boss Plus 12-Amp Hard Box Upright Vacuum, Red"/>
    <x v="2808"/>
    <n v="4"/>
    <n v="0.2"/>
    <n v="29.302"/>
  </r>
  <r>
    <n v="3639"/>
    <x v="338"/>
    <x v="0"/>
    <x v="0"/>
    <d v="2013-11-15T00:00:00"/>
    <n v="4"/>
    <x v="1"/>
    <s v="Paul Prost"/>
    <x v="2"/>
    <s v="United States"/>
    <s v="Springfield"/>
    <s v="Ohio"/>
    <s v="East"/>
    <x v="0"/>
    <x v="5"/>
    <s v="DAX Natural Wood-Tone Poster Frame"/>
    <x v="2809"/>
    <n v="7"/>
    <n v="0.2"/>
    <n v="29.657599999999999"/>
  </r>
  <r>
    <n v="3640"/>
    <x v="338"/>
    <x v="0"/>
    <x v="0"/>
    <d v="2013-11-15T00:00:00"/>
    <n v="4"/>
    <x v="1"/>
    <s v="Paul Prost"/>
    <x v="2"/>
    <s v="United States"/>
    <s v="Springfield"/>
    <s v="Ohio"/>
    <s v="East"/>
    <x v="1"/>
    <x v="10"/>
    <s v="Xerox 1924"/>
    <x v="696"/>
    <n v="1"/>
    <n v="0.2"/>
    <n v="1.6761999999999999"/>
  </r>
  <r>
    <n v="3641"/>
    <x v="338"/>
    <x v="0"/>
    <x v="0"/>
    <d v="2013-11-15T00:00:00"/>
    <n v="4"/>
    <x v="1"/>
    <s v="Paul Prost"/>
    <x v="2"/>
    <s v="United States"/>
    <s v="Springfield"/>
    <s v="Ohio"/>
    <s v="East"/>
    <x v="2"/>
    <x v="11"/>
    <s v="Memorex 25GB 6X Branded Blu-Ray Recordable Disc, 30/Pack"/>
    <x v="2810"/>
    <n v="7"/>
    <n v="0.2"/>
    <n v="-29.0745"/>
  </r>
  <r>
    <n v="3642"/>
    <x v="338"/>
    <x v="0"/>
    <x v="0"/>
    <d v="2013-11-15T00:00:00"/>
    <n v="4"/>
    <x v="1"/>
    <s v="Paul Prost"/>
    <x v="2"/>
    <s v="United States"/>
    <s v="Springfield"/>
    <s v="Ohio"/>
    <s v="East"/>
    <x v="1"/>
    <x v="8"/>
    <s v="GBC Twin Loop Wire Binding Elements"/>
    <x v="2811"/>
    <n v="7"/>
    <n v="0.7"/>
    <n v="-46.591999999999999"/>
  </r>
  <r>
    <n v="3643"/>
    <x v="414"/>
    <x v="2"/>
    <x v="4"/>
    <d v="2011-12-23T00:00:00"/>
    <n v="3"/>
    <x v="0"/>
    <s v="Michael Chen"/>
    <x v="0"/>
    <s v="United States"/>
    <s v="Los Angeles"/>
    <s v="California"/>
    <s v="West"/>
    <x v="1"/>
    <x v="8"/>
    <s v="Ibico Hi-Tech Manual Binding System"/>
    <x v="1611"/>
    <n v="2"/>
    <n v="0.2"/>
    <n v="152.495"/>
  </r>
  <r>
    <n v="3644"/>
    <x v="414"/>
    <x v="2"/>
    <x v="4"/>
    <d v="2011-12-23T00:00:00"/>
    <n v="3"/>
    <x v="0"/>
    <s v="Michael Chen"/>
    <x v="0"/>
    <s v="United States"/>
    <s v="Los Angeles"/>
    <s v="California"/>
    <s v="West"/>
    <x v="1"/>
    <x v="6"/>
    <s v="Boston Home &amp; Office Model 2000 Electric Pencil Sharpeners"/>
    <x v="2812"/>
    <n v="2"/>
    <n v="0"/>
    <n v="12.298"/>
  </r>
  <r>
    <n v="3645"/>
    <x v="414"/>
    <x v="2"/>
    <x v="4"/>
    <d v="2011-12-23T00:00:00"/>
    <n v="3"/>
    <x v="0"/>
    <s v="Michael Chen"/>
    <x v="0"/>
    <s v="United States"/>
    <s v="Los Angeles"/>
    <s v="California"/>
    <s v="West"/>
    <x v="1"/>
    <x v="6"/>
    <s v="Newell 31"/>
    <x v="1508"/>
    <n v="1"/>
    <n v="0"/>
    <n v="1.1564000000000001"/>
  </r>
  <r>
    <n v="3646"/>
    <x v="414"/>
    <x v="2"/>
    <x v="4"/>
    <d v="2011-12-23T00:00:00"/>
    <n v="3"/>
    <x v="0"/>
    <s v="Michael Chen"/>
    <x v="0"/>
    <s v="United States"/>
    <s v="Los Angeles"/>
    <s v="California"/>
    <s v="West"/>
    <x v="1"/>
    <x v="8"/>
    <s v="Premium Transparent Presentation Covers, No Pattern/Clear, 8 1/2&quot; x 11&quot;"/>
    <x v="2813"/>
    <n v="5"/>
    <n v="0.2"/>
    <n v="50.414000000000001"/>
  </r>
  <r>
    <n v="3647"/>
    <x v="739"/>
    <x v="2"/>
    <x v="7"/>
    <d v="2011-07-27T00:00:00"/>
    <n v="2"/>
    <x v="0"/>
    <s v="Vicky Freymann"/>
    <x v="2"/>
    <s v="United States"/>
    <s v="Los Angeles"/>
    <s v="California"/>
    <s v="West"/>
    <x v="1"/>
    <x v="10"/>
    <s v="Xerox 1966"/>
    <x v="90"/>
    <n v="1"/>
    <n v="0"/>
    <n v="3.1751999999999998"/>
  </r>
  <r>
    <n v="3648"/>
    <x v="739"/>
    <x v="2"/>
    <x v="7"/>
    <d v="2011-07-27T00:00:00"/>
    <n v="2"/>
    <x v="0"/>
    <s v="Vicky Freymann"/>
    <x v="2"/>
    <s v="United States"/>
    <s v="Los Angeles"/>
    <s v="California"/>
    <s v="West"/>
    <x v="1"/>
    <x v="14"/>
    <s v="Acme Kleen Earth Office Shears"/>
    <x v="2814"/>
    <n v="4"/>
    <n v="0"/>
    <n v="4.5007999999999999"/>
  </r>
  <r>
    <n v="3649"/>
    <x v="6"/>
    <x v="1"/>
    <x v="0"/>
    <d v="2012-11-27T00:00:00"/>
    <n v="5"/>
    <x v="1"/>
    <s v="Marc Crier"/>
    <x v="0"/>
    <s v="United States"/>
    <s v="Memphis"/>
    <s v="Tennessee"/>
    <s v="South"/>
    <x v="1"/>
    <x v="8"/>
    <s v="Acco Pressboard Covers with Storage Hooks, 14 7/8&quot; x 11&quot;, Light Blue"/>
    <x v="194"/>
    <n v="2"/>
    <n v="0.7"/>
    <n v="-2.0621999999999998"/>
  </r>
  <r>
    <n v="3650"/>
    <x v="6"/>
    <x v="1"/>
    <x v="0"/>
    <d v="2012-11-27T00:00:00"/>
    <n v="5"/>
    <x v="1"/>
    <s v="Marc Crier"/>
    <x v="0"/>
    <s v="United States"/>
    <s v="Memphis"/>
    <s v="Tennessee"/>
    <s v="South"/>
    <x v="1"/>
    <x v="13"/>
    <s v="Vinyl Coated Wire Paper Clips in Organizer Box, 800/Box"/>
    <x v="2815"/>
    <n v="6"/>
    <n v="0.2"/>
    <n v="18.5976"/>
  </r>
  <r>
    <n v="3651"/>
    <x v="34"/>
    <x v="3"/>
    <x v="4"/>
    <d v="2014-12-12T00:00:00"/>
    <n v="2"/>
    <x v="0"/>
    <s v="Dean Braden"/>
    <x v="0"/>
    <s v="United States"/>
    <s v="Detroit"/>
    <s v="Michigan"/>
    <s v="Central"/>
    <x v="2"/>
    <x v="11"/>
    <s v="Maxell Pro 80 Minute CD-R, 10/Pack"/>
    <x v="2816"/>
    <n v="6"/>
    <n v="0"/>
    <n v="41.951999999999998"/>
  </r>
  <r>
    <n v="3652"/>
    <x v="34"/>
    <x v="3"/>
    <x v="4"/>
    <d v="2014-12-12T00:00:00"/>
    <n v="2"/>
    <x v="0"/>
    <s v="Dean Braden"/>
    <x v="0"/>
    <s v="United States"/>
    <s v="Detroit"/>
    <s v="Michigan"/>
    <s v="Central"/>
    <x v="1"/>
    <x v="6"/>
    <s v="BIC Liqua Brite Liner"/>
    <x v="2817"/>
    <n v="5"/>
    <n v="0"/>
    <n v="12.492000000000001"/>
  </r>
  <r>
    <n v="3653"/>
    <x v="34"/>
    <x v="3"/>
    <x v="4"/>
    <d v="2014-12-12T00:00:00"/>
    <n v="2"/>
    <x v="0"/>
    <s v="Dean Braden"/>
    <x v="0"/>
    <s v="United States"/>
    <s v="Detroit"/>
    <s v="Michigan"/>
    <s v="Central"/>
    <x v="1"/>
    <x v="8"/>
    <s v="Ibico Plastic and Wire Spiral Binding Combs"/>
    <x v="2818"/>
    <n v="4"/>
    <n v="0"/>
    <n v="15.511200000000001"/>
  </r>
  <r>
    <n v="3654"/>
    <x v="34"/>
    <x v="3"/>
    <x v="4"/>
    <d v="2014-12-12T00:00:00"/>
    <n v="2"/>
    <x v="0"/>
    <s v="Dean Braden"/>
    <x v="0"/>
    <s v="United States"/>
    <s v="Detroit"/>
    <s v="Michigan"/>
    <s v="Central"/>
    <x v="1"/>
    <x v="10"/>
    <s v="Staples"/>
    <x v="1801"/>
    <n v="3"/>
    <n v="0"/>
    <n v="7.0217999999999998"/>
  </r>
  <r>
    <n v="3655"/>
    <x v="515"/>
    <x v="3"/>
    <x v="8"/>
    <d v="2014-09-06T00:00:00"/>
    <n v="5"/>
    <x v="1"/>
    <s v="Ashley Jarboe"/>
    <x v="0"/>
    <s v="United States"/>
    <s v="Lawrence"/>
    <s v="Indiana"/>
    <s v="Central"/>
    <x v="1"/>
    <x v="9"/>
    <s v="Tripp Lite Isotel 8 Ultra 8 Outlet Metal Surge"/>
    <x v="2819"/>
    <n v="9"/>
    <n v="0"/>
    <n v="166.06979999999999"/>
  </r>
  <r>
    <n v="3656"/>
    <x v="558"/>
    <x v="3"/>
    <x v="3"/>
    <d v="2014-05-01T00:00:00"/>
    <n v="6"/>
    <x v="1"/>
    <s v="Christine Phan"/>
    <x v="1"/>
    <s v="United States"/>
    <s v="Jacksonville"/>
    <s v="Florida"/>
    <s v="South"/>
    <x v="1"/>
    <x v="4"/>
    <s v="Sensible Storage WireTech Storage Systems"/>
    <x v="391"/>
    <n v="2"/>
    <n v="0.2"/>
    <n v="-21.294"/>
  </r>
  <r>
    <n v="3657"/>
    <x v="565"/>
    <x v="3"/>
    <x v="8"/>
    <d v="2014-09-15T00:00:00"/>
    <n v="6"/>
    <x v="1"/>
    <s v="Dorothy Badders"/>
    <x v="1"/>
    <s v="United States"/>
    <s v="Dublin"/>
    <s v="Ohio"/>
    <s v="East"/>
    <x v="2"/>
    <x v="11"/>
    <s v="Imation Swivel Flash Drive USB flash drive - 8 GB"/>
    <x v="2820"/>
    <n v="1"/>
    <n v="0.2"/>
    <n v="1.7055"/>
  </r>
  <r>
    <n v="3658"/>
    <x v="899"/>
    <x v="1"/>
    <x v="10"/>
    <d v="2012-03-17T00:00:00"/>
    <n v="5"/>
    <x v="1"/>
    <s v="Edward Becker"/>
    <x v="1"/>
    <s v="United States"/>
    <s v="Plantation"/>
    <s v="Florida"/>
    <s v="South"/>
    <x v="1"/>
    <x v="12"/>
    <s v="Convenience Packs of Business Envelopes"/>
    <x v="2821"/>
    <n v="3"/>
    <n v="0.2"/>
    <n v="2.9321999999999999"/>
  </r>
  <r>
    <n v="3659"/>
    <x v="899"/>
    <x v="1"/>
    <x v="10"/>
    <d v="2012-03-17T00:00:00"/>
    <n v="5"/>
    <x v="1"/>
    <s v="Edward Becker"/>
    <x v="1"/>
    <s v="United States"/>
    <s v="Plantation"/>
    <s v="Florida"/>
    <s v="South"/>
    <x v="0"/>
    <x v="5"/>
    <s v="Eldon Expressions Desk Accessory, Wood Pencil Holder, Oak"/>
    <x v="2822"/>
    <n v="4"/>
    <n v="0.2"/>
    <n v="3.86"/>
  </r>
  <r>
    <n v="3660"/>
    <x v="899"/>
    <x v="1"/>
    <x v="10"/>
    <d v="2012-03-17T00:00:00"/>
    <n v="5"/>
    <x v="1"/>
    <s v="Edward Becker"/>
    <x v="1"/>
    <s v="United States"/>
    <s v="Plantation"/>
    <s v="Florida"/>
    <s v="South"/>
    <x v="0"/>
    <x v="5"/>
    <s v="Acrylic Self-Standing Desk Frames"/>
    <x v="1669"/>
    <n v="3"/>
    <n v="0.2"/>
    <n v="1.4418"/>
  </r>
  <r>
    <n v="3661"/>
    <x v="427"/>
    <x v="0"/>
    <x v="7"/>
    <d v="2013-07-24T00:00:00"/>
    <n v="5"/>
    <x v="1"/>
    <s v="Jennifer Patt"/>
    <x v="1"/>
    <s v="United States"/>
    <s v="Glendale"/>
    <s v="Arizona"/>
    <s v="West"/>
    <x v="1"/>
    <x v="14"/>
    <s v="Elite 5&quot; Scissors"/>
    <x v="2823"/>
    <n v="5"/>
    <n v="0.2"/>
    <n v="4.2249999999999996"/>
  </r>
  <r>
    <n v="3662"/>
    <x v="900"/>
    <x v="0"/>
    <x v="1"/>
    <d v="2013-06-16T00:00:00"/>
    <n v="2"/>
    <x v="0"/>
    <s v="Sample Company A"/>
    <x v="2"/>
    <s v="United States"/>
    <s v="Jackson"/>
    <s v="Michigan"/>
    <s v="Central"/>
    <x v="2"/>
    <x v="7"/>
    <s v="Ooma Telo VoIP Home Phone System"/>
    <x v="2216"/>
    <n v="3"/>
    <n v="0"/>
    <n v="94.492500000000007"/>
  </r>
  <r>
    <n v="3663"/>
    <x v="445"/>
    <x v="3"/>
    <x v="7"/>
    <d v="2014-07-10T00:00:00"/>
    <n v="6"/>
    <x v="1"/>
    <s v="Frank Merwin"/>
    <x v="2"/>
    <s v="United States"/>
    <s v="Quincy"/>
    <s v="Massachusetts"/>
    <s v="East"/>
    <x v="2"/>
    <x v="11"/>
    <s v="TRENDnet 56K USB 2.0 Phone, Internet and Fax Modem"/>
    <x v="2824"/>
    <n v="10"/>
    <n v="0"/>
    <n v="93.203999999999994"/>
  </r>
  <r>
    <n v="3664"/>
    <x v="445"/>
    <x v="3"/>
    <x v="7"/>
    <d v="2014-07-10T00:00:00"/>
    <n v="6"/>
    <x v="1"/>
    <s v="Frank Merwin"/>
    <x v="2"/>
    <s v="United States"/>
    <s v="Quincy"/>
    <s v="Massachusetts"/>
    <s v="East"/>
    <x v="1"/>
    <x v="10"/>
    <s v="Xerox 1881"/>
    <x v="332"/>
    <n v="2"/>
    <n v="0"/>
    <n v="11.543200000000001"/>
  </r>
  <r>
    <n v="3665"/>
    <x v="589"/>
    <x v="2"/>
    <x v="4"/>
    <d v="2011-12-13T00:00:00"/>
    <n v="5"/>
    <x v="1"/>
    <s v="Tim Brockman"/>
    <x v="0"/>
    <s v="United States"/>
    <s v="Salem"/>
    <s v="Oregon"/>
    <s v="West"/>
    <x v="1"/>
    <x v="2"/>
    <s v="Avery 499"/>
    <x v="2825"/>
    <n v="7"/>
    <n v="0.2"/>
    <n v="9.0635999999999992"/>
  </r>
  <r>
    <n v="3666"/>
    <x v="589"/>
    <x v="2"/>
    <x v="4"/>
    <d v="2011-12-13T00:00:00"/>
    <n v="5"/>
    <x v="1"/>
    <s v="Tim Brockman"/>
    <x v="0"/>
    <s v="United States"/>
    <s v="Salem"/>
    <s v="Oregon"/>
    <s v="West"/>
    <x v="1"/>
    <x v="8"/>
    <s v="Acco PRESSTEX Data Binder with Storage Hooks, Dark Blue, 9 1/2&quot; X 11&quot;"/>
    <x v="2826"/>
    <n v="4"/>
    <n v="0.7"/>
    <n v="-4.5191999999999997"/>
  </r>
  <r>
    <n v="3667"/>
    <x v="589"/>
    <x v="2"/>
    <x v="4"/>
    <d v="2011-12-13T00:00:00"/>
    <n v="5"/>
    <x v="1"/>
    <s v="Tim Brockman"/>
    <x v="0"/>
    <s v="United States"/>
    <s v="Salem"/>
    <s v="Oregon"/>
    <s v="West"/>
    <x v="2"/>
    <x v="7"/>
    <s v="Samsung HM1900 Bluetooth Headset"/>
    <x v="2610"/>
    <n v="3"/>
    <n v="0.2"/>
    <n v="19.754999999999999"/>
  </r>
  <r>
    <n v="3668"/>
    <x v="589"/>
    <x v="2"/>
    <x v="4"/>
    <d v="2011-12-13T00:00:00"/>
    <n v="5"/>
    <x v="1"/>
    <s v="Tim Brockman"/>
    <x v="0"/>
    <s v="United States"/>
    <s v="Salem"/>
    <s v="Oregon"/>
    <s v="West"/>
    <x v="1"/>
    <x v="14"/>
    <s v="Acco Side-Punched Conventional Columnar Pads"/>
    <x v="2827"/>
    <n v="5"/>
    <n v="0.2"/>
    <n v="-2.6025"/>
  </r>
  <r>
    <n v="3669"/>
    <x v="589"/>
    <x v="2"/>
    <x v="4"/>
    <d v="2011-12-13T00:00:00"/>
    <n v="5"/>
    <x v="1"/>
    <s v="Tim Brockman"/>
    <x v="0"/>
    <s v="United States"/>
    <s v="Salem"/>
    <s v="Oregon"/>
    <s v="West"/>
    <x v="2"/>
    <x v="11"/>
    <s v="SanDisk Ultra 16 GB MicroSDHC Class 10 Memory Card"/>
    <x v="434"/>
    <n v="10"/>
    <n v="0.2"/>
    <n v="-18.186"/>
  </r>
  <r>
    <n v="3670"/>
    <x v="589"/>
    <x v="2"/>
    <x v="4"/>
    <d v="2011-12-13T00:00:00"/>
    <n v="5"/>
    <x v="1"/>
    <s v="Tim Brockman"/>
    <x v="0"/>
    <s v="United States"/>
    <s v="Salem"/>
    <s v="Oregon"/>
    <s v="West"/>
    <x v="1"/>
    <x v="2"/>
    <s v="Avery 492"/>
    <x v="132"/>
    <n v="5"/>
    <n v="0.2"/>
    <n v="3.7440000000000002"/>
  </r>
  <r>
    <n v="3671"/>
    <x v="589"/>
    <x v="2"/>
    <x v="4"/>
    <d v="2011-12-13T00:00:00"/>
    <n v="5"/>
    <x v="1"/>
    <s v="Tim Brockman"/>
    <x v="0"/>
    <s v="United States"/>
    <s v="Salem"/>
    <s v="Oregon"/>
    <s v="West"/>
    <x v="1"/>
    <x v="10"/>
    <s v="Xerox 232"/>
    <x v="559"/>
    <n v="2"/>
    <n v="0.2"/>
    <n v="3.6288"/>
  </r>
  <r>
    <n v="3672"/>
    <x v="589"/>
    <x v="2"/>
    <x v="4"/>
    <d v="2011-12-13T00:00:00"/>
    <n v="5"/>
    <x v="1"/>
    <s v="Tim Brockman"/>
    <x v="0"/>
    <s v="United States"/>
    <s v="Salem"/>
    <s v="Oregon"/>
    <s v="West"/>
    <x v="1"/>
    <x v="4"/>
    <s v="Adjustable Personal File Tote"/>
    <x v="381"/>
    <n v="3"/>
    <n v="0.2"/>
    <n v="2.9304000000000001"/>
  </r>
  <r>
    <n v="3673"/>
    <x v="143"/>
    <x v="0"/>
    <x v="3"/>
    <d v="2013-04-15T00:00:00"/>
    <n v="6"/>
    <x v="1"/>
    <s v="Eugene Hildebrand"/>
    <x v="2"/>
    <s v="United States"/>
    <s v="Troy"/>
    <s v="Ohio"/>
    <s v="East"/>
    <x v="1"/>
    <x v="12"/>
    <s v="#10 Self-Seal White Envelopes"/>
    <x v="2828"/>
    <n v="1"/>
    <n v="0.2"/>
    <n v="3.2161"/>
  </r>
  <r>
    <n v="3674"/>
    <x v="143"/>
    <x v="0"/>
    <x v="3"/>
    <d v="2013-04-15T00:00:00"/>
    <n v="6"/>
    <x v="1"/>
    <s v="Eugene Hildebrand"/>
    <x v="2"/>
    <s v="United States"/>
    <s v="Troy"/>
    <s v="Ohio"/>
    <s v="East"/>
    <x v="1"/>
    <x v="8"/>
    <s v="Catalog Binders with Expanding Posts"/>
    <x v="1425"/>
    <n v="6"/>
    <n v="0.7"/>
    <n v="-100.92"/>
  </r>
  <r>
    <n v="3675"/>
    <x v="44"/>
    <x v="3"/>
    <x v="0"/>
    <d v="2014-11-12T00:00:00"/>
    <n v="5"/>
    <x v="1"/>
    <s v="Maris LaWare"/>
    <x v="0"/>
    <s v="United States"/>
    <s v="Philadelphia"/>
    <s v="Pennsylvania"/>
    <s v="East"/>
    <x v="0"/>
    <x v="1"/>
    <s v="Global Wood Trimmed Manager's Task Chair, Khaki"/>
    <x v="2829"/>
    <n v="2"/>
    <n v="0.3"/>
    <n v="-30.933199999999999"/>
  </r>
  <r>
    <n v="3676"/>
    <x v="44"/>
    <x v="3"/>
    <x v="0"/>
    <d v="2014-11-12T00:00:00"/>
    <n v="5"/>
    <x v="1"/>
    <s v="Maris LaWare"/>
    <x v="0"/>
    <s v="United States"/>
    <s v="Philadelphia"/>
    <s v="Pennsylvania"/>
    <s v="East"/>
    <x v="1"/>
    <x v="10"/>
    <s v="Xerox 191"/>
    <x v="1097"/>
    <n v="3"/>
    <n v="0.2"/>
    <n v="16.183800000000002"/>
  </r>
  <r>
    <n v="3677"/>
    <x v="901"/>
    <x v="1"/>
    <x v="4"/>
    <d v="2012-12-09T00:00:00"/>
    <n v="4"/>
    <x v="1"/>
    <s v="Matt Hagelstein"/>
    <x v="1"/>
    <s v="United States"/>
    <s v="San Diego"/>
    <s v="California"/>
    <s v="West"/>
    <x v="0"/>
    <x v="5"/>
    <s v="Executive Impressions 14&quot; Contract Wall Clock"/>
    <x v="785"/>
    <n v="2"/>
    <n v="0"/>
    <n v="14.671799999999999"/>
  </r>
  <r>
    <n v="3678"/>
    <x v="584"/>
    <x v="1"/>
    <x v="7"/>
    <d v="2012-07-14T00:00:00"/>
    <n v="5"/>
    <x v="1"/>
    <s v="Brian Thompson"/>
    <x v="0"/>
    <s v="United States"/>
    <s v="Clinton"/>
    <s v="Maryland"/>
    <s v="East"/>
    <x v="1"/>
    <x v="13"/>
    <s v="Advantus Map Pennant Flags and Round Head Tacks"/>
    <x v="2347"/>
    <n v="4"/>
    <n v="0"/>
    <n v="5.056"/>
  </r>
  <r>
    <n v="3679"/>
    <x v="584"/>
    <x v="1"/>
    <x v="7"/>
    <d v="2012-07-14T00:00:00"/>
    <n v="5"/>
    <x v="1"/>
    <s v="Brian Thompson"/>
    <x v="0"/>
    <s v="United States"/>
    <s v="Clinton"/>
    <s v="Maryland"/>
    <s v="East"/>
    <x v="2"/>
    <x v="15"/>
    <s v="Fellowes Powershred HS-440 4-Sheet High Security Shredder"/>
    <x v="2830"/>
    <n v="3"/>
    <n v="0"/>
    <n v="209.23650000000001"/>
  </r>
  <r>
    <n v="3680"/>
    <x v="584"/>
    <x v="1"/>
    <x v="7"/>
    <d v="2012-07-14T00:00:00"/>
    <n v="5"/>
    <x v="1"/>
    <s v="Brian Thompson"/>
    <x v="0"/>
    <s v="United States"/>
    <s v="Clinton"/>
    <s v="Maryland"/>
    <s v="East"/>
    <x v="0"/>
    <x v="5"/>
    <s v="Eldon ClusterMat Chair Mat with Cordless Antistatic Protection"/>
    <x v="2831"/>
    <n v="2"/>
    <n v="0"/>
    <n v="20.015599999999999"/>
  </r>
  <r>
    <n v="3681"/>
    <x v="584"/>
    <x v="1"/>
    <x v="7"/>
    <d v="2012-07-14T00:00:00"/>
    <n v="5"/>
    <x v="1"/>
    <s v="Brian Thompson"/>
    <x v="0"/>
    <s v="United States"/>
    <s v="Clinton"/>
    <s v="Maryland"/>
    <s v="East"/>
    <x v="1"/>
    <x v="2"/>
    <s v="Avery 05222 Permanent Self-Adhesive File Folder Labels for Typewriters, on Rolls, White, 250/Roll"/>
    <x v="708"/>
    <n v="3"/>
    <n v="0"/>
    <n v="5.6993999999999998"/>
  </r>
  <r>
    <n v="3682"/>
    <x v="584"/>
    <x v="1"/>
    <x v="7"/>
    <d v="2012-07-14T00:00:00"/>
    <n v="5"/>
    <x v="1"/>
    <s v="Brian Thompson"/>
    <x v="0"/>
    <s v="United States"/>
    <s v="Clinton"/>
    <s v="Maryland"/>
    <s v="East"/>
    <x v="1"/>
    <x v="8"/>
    <s v="Performers Binder/Pad Holder, Black"/>
    <x v="2832"/>
    <n v="3"/>
    <n v="0"/>
    <n v="42.045000000000002"/>
  </r>
  <r>
    <n v="3683"/>
    <x v="584"/>
    <x v="1"/>
    <x v="7"/>
    <d v="2012-07-14T00:00:00"/>
    <n v="5"/>
    <x v="1"/>
    <s v="Brian Thompson"/>
    <x v="0"/>
    <s v="United States"/>
    <s v="Clinton"/>
    <s v="Maryland"/>
    <s v="East"/>
    <x v="1"/>
    <x v="6"/>
    <s v="Prismacolor Color Pencil Set"/>
    <x v="1362"/>
    <n v="4"/>
    <n v="0"/>
    <n v="32.537599999999998"/>
  </r>
  <r>
    <n v="3684"/>
    <x v="584"/>
    <x v="1"/>
    <x v="7"/>
    <d v="2012-07-14T00:00:00"/>
    <n v="5"/>
    <x v="1"/>
    <s v="Brian Thompson"/>
    <x v="0"/>
    <s v="United States"/>
    <s v="Clinton"/>
    <s v="Maryland"/>
    <s v="East"/>
    <x v="1"/>
    <x v="8"/>
    <s v="GBC Recycled VeloBinder Covers"/>
    <x v="2833"/>
    <n v="9"/>
    <n v="0"/>
    <n v="70.545599999999993"/>
  </r>
  <r>
    <n v="3685"/>
    <x v="584"/>
    <x v="1"/>
    <x v="7"/>
    <d v="2012-07-14T00:00:00"/>
    <n v="5"/>
    <x v="1"/>
    <s v="Brian Thompson"/>
    <x v="0"/>
    <s v="United States"/>
    <s v="Clinton"/>
    <s v="Maryland"/>
    <s v="East"/>
    <x v="1"/>
    <x v="8"/>
    <s v="Wilson Jones Active Use Binders"/>
    <x v="2834"/>
    <n v="6"/>
    <n v="0"/>
    <n v="21.403199999999998"/>
  </r>
  <r>
    <n v="3686"/>
    <x v="584"/>
    <x v="1"/>
    <x v="7"/>
    <d v="2012-07-14T00:00:00"/>
    <n v="5"/>
    <x v="1"/>
    <s v="Brian Thompson"/>
    <x v="0"/>
    <s v="United States"/>
    <s v="Clinton"/>
    <s v="Maryland"/>
    <s v="East"/>
    <x v="1"/>
    <x v="4"/>
    <s v="Project Tote Personal File"/>
    <x v="2835"/>
    <n v="7"/>
    <n v="0"/>
    <n v="28.480899999999998"/>
  </r>
  <r>
    <n v="3687"/>
    <x v="180"/>
    <x v="0"/>
    <x v="4"/>
    <d v="2013-12-20T00:00:00"/>
    <n v="6"/>
    <x v="1"/>
    <s v="Jasper Cacioppo"/>
    <x v="0"/>
    <s v="United States"/>
    <s v="Riverside"/>
    <s v="California"/>
    <s v="West"/>
    <x v="1"/>
    <x v="6"/>
    <s v="Crayola Colored Pencils"/>
    <x v="294"/>
    <n v="3"/>
    <n v="0"/>
    <n v="3.2471999999999999"/>
  </r>
  <r>
    <n v="3688"/>
    <x v="244"/>
    <x v="0"/>
    <x v="5"/>
    <d v="2013-05-25T00:00:00"/>
    <n v="4"/>
    <x v="1"/>
    <s v="Dean Braden"/>
    <x v="0"/>
    <s v="United States"/>
    <s v="Port Saint Lucie"/>
    <s v="Florida"/>
    <s v="South"/>
    <x v="1"/>
    <x v="8"/>
    <s v="Avery Non-Stick Binders"/>
    <x v="986"/>
    <n v="2"/>
    <n v="0.7"/>
    <n v="-2.2450000000000001"/>
  </r>
  <r>
    <n v="3689"/>
    <x v="455"/>
    <x v="3"/>
    <x v="1"/>
    <d v="2014-06-06T00:00:00"/>
    <n v="3"/>
    <x v="0"/>
    <s v="Denny Ordway"/>
    <x v="0"/>
    <s v="United States"/>
    <s v="Mesa"/>
    <s v="Arizona"/>
    <s v="West"/>
    <x v="1"/>
    <x v="10"/>
    <s v="Xerox 4200 Series MultiUse Premium Copy Paper (20Lb. and 84 Bright)"/>
    <x v="863"/>
    <n v="6"/>
    <n v="0.2"/>
    <n v="7.92"/>
  </r>
  <r>
    <n v="3690"/>
    <x v="455"/>
    <x v="3"/>
    <x v="1"/>
    <d v="2014-06-06T00:00:00"/>
    <n v="3"/>
    <x v="0"/>
    <s v="Denny Ordway"/>
    <x v="0"/>
    <s v="United States"/>
    <s v="Mesa"/>
    <s v="Arizona"/>
    <s v="West"/>
    <x v="1"/>
    <x v="12"/>
    <s v="Manila Recycled Extra-Heavyweight Clasp Envelopes, 6&quot; x 9&quot;"/>
    <x v="2836"/>
    <n v="5"/>
    <n v="0.2"/>
    <n v="15.920999999999999"/>
  </r>
  <r>
    <n v="3691"/>
    <x v="628"/>
    <x v="1"/>
    <x v="2"/>
    <d v="2012-11-02T00:00:00"/>
    <n v="3"/>
    <x v="0"/>
    <s v="Frank Atkinson"/>
    <x v="1"/>
    <s v="United States"/>
    <s v="Denver"/>
    <s v="Colorado"/>
    <s v="West"/>
    <x v="2"/>
    <x v="15"/>
    <s v="Lexmark S315 Color Inkjet Printer"/>
    <x v="2837"/>
    <n v="2"/>
    <n v="0.7"/>
    <n v="-45.995399999999997"/>
  </r>
  <r>
    <n v="3692"/>
    <x v="628"/>
    <x v="1"/>
    <x v="2"/>
    <d v="2012-11-02T00:00:00"/>
    <n v="3"/>
    <x v="0"/>
    <s v="Frank Atkinson"/>
    <x v="1"/>
    <s v="United States"/>
    <s v="Denver"/>
    <s v="Colorado"/>
    <s v="West"/>
    <x v="2"/>
    <x v="16"/>
    <s v="Sharp 1540cs Digital Laser Copier"/>
    <x v="2838"/>
    <n v="1"/>
    <n v="0.2"/>
    <n v="164.99700000000001"/>
  </r>
  <r>
    <n v="3693"/>
    <x v="628"/>
    <x v="1"/>
    <x v="2"/>
    <d v="2012-11-02T00:00:00"/>
    <n v="3"/>
    <x v="0"/>
    <s v="Frank Atkinson"/>
    <x v="1"/>
    <s v="United States"/>
    <s v="Denver"/>
    <s v="Colorado"/>
    <s v="West"/>
    <x v="2"/>
    <x v="7"/>
    <s v="OtterBox Commuter Series Case - iPhone 5 &amp; 5s"/>
    <x v="2839"/>
    <n v="5"/>
    <n v="0.2"/>
    <n v="30.786000000000001"/>
  </r>
  <r>
    <n v="3694"/>
    <x v="628"/>
    <x v="1"/>
    <x v="2"/>
    <d v="2012-11-02T00:00:00"/>
    <n v="3"/>
    <x v="0"/>
    <s v="Frank Atkinson"/>
    <x v="1"/>
    <s v="United States"/>
    <s v="Denver"/>
    <s v="Colorado"/>
    <s v="West"/>
    <x v="0"/>
    <x v="5"/>
    <s v="Eldon Regeneration Recycled Desk Accessories, Black"/>
    <x v="2840"/>
    <n v="4"/>
    <n v="0.2"/>
    <n v="3.6783999999999999"/>
  </r>
  <r>
    <n v="3695"/>
    <x v="680"/>
    <x v="0"/>
    <x v="2"/>
    <d v="2013-10-21T00:00:00"/>
    <n v="5"/>
    <x v="1"/>
    <s v="Quincy Jones"/>
    <x v="1"/>
    <s v="United States"/>
    <s v="Springfield"/>
    <s v="Virginia"/>
    <s v="South"/>
    <x v="1"/>
    <x v="8"/>
    <s v="GBC Twin Loop Wire Binding Elements"/>
    <x v="2841"/>
    <n v="7"/>
    <n v="0"/>
    <n v="116.48"/>
  </r>
  <r>
    <n v="3696"/>
    <x v="680"/>
    <x v="0"/>
    <x v="2"/>
    <d v="2013-10-21T00:00:00"/>
    <n v="5"/>
    <x v="1"/>
    <s v="Quincy Jones"/>
    <x v="1"/>
    <s v="United States"/>
    <s v="Springfield"/>
    <s v="Virginia"/>
    <s v="South"/>
    <x v="1"/>
    <x v="12"/>
    <s v="#10 Self-Seal White Envelopes"/>
    <x v="2842"/>
    <n v="6"/>
    <n v="0"/>
    <n v="32.604599999999998"/>
  </r>
  <r>
    <n v="3697"/>
    <x v="680"/>
    <x v="0"/>
    <x v="2"/>
    <d v="2013-10-21T00:00:00"/>
    <n v="5"/>
    <x v="1"/>
    <s v="Quincy Jones"/>
    <x v="1"/>
    <s v="United States"/>
    <s v="Springfield"/>
    <s v="Virginia"/>
    <s v="South"/>
    <x v="1"/>
    <x v="9"/>
    <s v="Holmes Odor Grabber"/>
    <x v="1874"/>
    <n v="3"/>
    <n v="0"/>
    <n v="14.2758"/>
  </r>
  <r>
    <n v="3698"/>
    <x v="902"/>
    <x v="1"/>
    <x v="0"/>
    <d v="2012-11-21T00:00:00"/>
    <n v="2"/>
    <x v="0"/>
    <s v="Tony Chapman"/>
    <x v="2"/>
    <s v="United States"/>
    <s v="Seattle"/>
    <s v="Washington"/>
    <s v="West"/>
    <x v="0"/>
    <x v="5"/>
    <s v="Tenex V2T-RE Standard Weight Series Chair Mat, 45&quot; x 53&quot;, Lip 25&quot; x 12&quot;"/>
    <x v="1713"/>
    <n v="2"/>
    <n v="0"/>
    <n v="22.7136"/>
  </r>
  <r>
    <n v="3699"/>
    <x v="103"/>
    <x v="2"/>
    <x v="8"/>
    <d v="2011-09-17T00:00:00"/>
    <n v="4"/>
    <x v="1"/>
    <s v="Odella Nelson"/>
    <x v="1"/>
    <s v="United States"/>
    <s v="Tempe"/>
    <s v="Arizona"/>
    <s v="West"/>
    <x v="1"/>
    <x v="4"/>
    <s v="Eldon File Chest Portable File"/>
    <x v="2843"/>
    <n v="5"/>
    <n v="0.2"/>
    <n v="5.9550000000000001"/>
  </r>
  <r>
    <n v="3700"/>
    <x v="38"/>
    <x v="3"/>
    <x v="0"/>
    <d v="2014-11-19T00:00:00"/>
    <n v="5"/>
    <x v="0"/>
    <s v="Alan Dominguez"/>
    <x v="2"/>
    <s v="United States"/>
    <s v="Yonkers"/>
    <s v="New York"/>
    <s v="East"/>
    <x v="2"/>
    <x v="11"/>
    <s v="KeyTronic 6101 Series - Keyboard - Black"/>
    <x v="2844"/>
    <n v="4"/>
    <n v="0"/>
    <n v="70.502799999999993"/>
  </r>
  <r>
    <n v="3701"/>
    <x v="165"/>
    <x v="3"/>
    <x v="4"/>
    <d v="2014-12-30T00:00:00"/>
    <n v="5"/>
    <x v="1"/>
    <s v="Ann Chong"/>
    <x v="1"/>
    <s v="United States"/>
    <s v="Rochester"/>
    <s v="New York"/>
    <s v="East"/>
    <x v="0"/>
    <x v="5"/>
    <s v="Eldon Delta Triangular Chair Mat, 52&quot; x 58&quot;, Clear"/>
    <x v="2845"/>
    <n v="1"/>
    <n v="0"/>
    <n v="6.8273999999999999"/>
  </r>
  <r>
    <n v="3702"/>
    <x v="850"/>
    <x v="0"/>
    <x v="9"/>
    <d v="2013-01-13T00:00:00"/>
    <n v="4"/>
    <x v="0"/>
    <s v="Maureen Fritzler"/>
    <x v="1"/>
    <s v="United States"/>
    <s v="Toledo"/>
    <s v="Ohio"/>
    <s v="East"/>
    <x v="0"/>
    <x v="5"/>
    <s v="DAX Two-Tone Rosewood/Black Document Frame, Desktop, 5 x 7"/>
    <x v="2846"/>
    <n v="2"/>
    <n v="0.2"/>
    <n v="3.7919999999999998"/>
  </r>
  <r>
    <n v="3703"/>
    <x v="385"/>
    <x v="1"/>
    <x v="1"/>
    <d v="2012-06-19T00:00:00"/>
    <n v="6"/>
    <x v="1"/>
    <s v="Dave Hallsten"/>
    <x v="1"/>
    <s v="United States"/>
    <s v="Decatur"/>
    <s v="Alabama"/>
    <s v="South"/>
    <x v="1"/>
    <x v="6"/>
    <s v="Newell 31"/>
    <x v="2847"/>
    <n v="6"/>
    <n v="0"/>
    <n v="6.9383999999999997"/>
  </r>
  <r>
    <n v="3704"/>
    <x v="385"/>
    <x v="1"/>
    <x v="1"/>
    <d v="2012-06-19T00:00:00"/>
    <n v="6"/>
    <x v="1"/>
    <s v="Dave Hallsten"/>
    <x v="1"/>
    <s v="United States"/>
    <s v="Decatur"/>
    <s v="Alabama"/>
    <s v="South"/>
    <x v="1"/>
    <x v="8"/>
    <s v="Avery Heavy-Duty EZD View Binder with Locking Rings"/>
    <x v="2848"/>
    <n v="3"/>
    <n v="0"/>
    <n v="8.8043999999999993"/>
  </r>
  <r>
    <n v="3705"/>
    <x v="385"/>
    <x v="1"/>
    <x v="1"/>
    <d v="2012-06-19T00:00:00"/>
    <n v="6"/>
    <x v="1"/>
    <s v="Dave Hallsten"/>
    <x v="1"/>
    <s v="United States"/>
    <s v="Decatur"/>
    <s v="Alabama"/>
    <s v="South"/>
    <x v="2"/>
    <x v="16"/>
    <s v="Brother DCP1000 Digital 3 in 1 Multifunction Machine"/>
    <x v="2849"/>
    <n v="3"/>
    <n v="0"/>
    <n v="314.98950000000002"/>
  </r>
  <r>
    <n v="3706"/>
    <x v="385"/>
    <x v="1"/>
    <x v="1"/>
    <d v="2012-06-19T00:00:00"/>
    <n v="6"/>
    <x v="1"/>
    <s v="Dave Hallsten"/>
    <x v="1"/>
    <s v="United States"/>
    <s v="Decatur"/>
    <s v="Alabama"/>
    <s v="South"/>
    <x v="1"/>
    <x v="10"/>
    <s v="Xerox 204"/>
    <x v="56"/>
    <n v="5"/>
    <n v="0"/>
    <n v="15.552"/>
  </r>
  <r>
    <n v="3707"/>
    <x v="257"/>
    <x v="3"/>
    <x v="10"/>
    <d v="2014-03-23T00:00:00"/>
    <n v="4"/>
    <x v="1"/>
    <s v="Edward Nazzal"/>
    <x v="0"/>
    <s v="United States"/>
    <s v="Dallas"/>
    <s v="Texas"/>
    <s v="Central"/>
    <x v="1"/>
    <x v="6"/>
    <s v="Peel-Off China Markers"/>
    <x v="358"/>
    <n v="3"/>
    <n v="0.2"/>
    <n v="6.5537999999999998"/>
  </r>
  <r>
    <n v="3708"/>
    <x v="533"/>
    <x v="2"/>
    <x v="0"/>
    <d v="2011-11-27T00:00:00"/>
    <n v="4"/>
    <x v="1"/>
    <s v="Saphhira Shifley"/>
    <x v="1"/>
    <s v="United States"/>
    <s v="Mesquite"/>
    <s v="Texas"/>
    <s v="Central"/>
    <x v="0"/>
    <x v="5"/>
    <s v="Staples"/>
    <x v="2850"/>
    <n v="2"/>
    <n v="0.6"/>
    <n v="-2.5472000000000001"/>
  </r>
  <r>
    <n v="3709"/>
    <x v="533"/>
    <x v="2"/>
    <x v="0"/>
    <d v="2011-11-27T00:00:00"/>
    <n v="4"/>
    <x v="1"/>
    <s v="Saphhira Shifley"/>
    <x v="1"/>
    <s v="United States"/>
    <s v="Mesquite"/>
    <s v="Texas"/>
    <s v="Central"/>
    <x v="1"/>
    <x v="9"/>
    <s v="Conquest 14 Commercial Heavy-Duty Upright Vacuum, Collection System, Accessory Kit"/>
    <x v="2851"/>
    <n v="3"/>
    <n v="0.8"/>
    <n v="-87.148799999999994"/>
  </r>
  <r>
    <n v="3710"/>
    <x v="533"/>
    <x v="2"/>
    <x v="0"/>
    <d v="2011-11-27T00:00:00"/>
    <n v="4"/>
    <x v="1"/>
    <s v="Saphhira Shifley"/>
    <x v="1"/>
    <s v="United States"/>
    <s v="Mesquite"/>
    <s v="Texas"/>
    <s v="Central"/>
    <x v="2"/>
    <x v="11"/>
    <s v="Maxell 4.7GB DVD-R 5/Pack"/>
    <x v="2852"/>
    <n v="7"/>
    <n v="0.2"/>
    <n v="1.6632"/>
  </r>
  <r>
    <n v="3711"/>
    <x v="453"/>
    <x v="3"/>
    <x v="2"/>
    <d v="2014-10-18T00:00:00"/>
    <n v="2"/>
    <x v="2"/>
    <s v="Roland Schwarz"/>
    <x v="1"/>
    <s v="United States"/>
    <s v="Los Angeles"/>
    <s v="California"/>
    <s v="West"/>
    <x v="0"/>
    <x v="3"/>
    <s v="Bush Advantage Collection Round Conference Table"/>
    <x v="2853"/>
    <n v="3"/>
    <n v="0.2"/>
    <n v="6.3780000000000001"/>
  </r>
  <r>
    <n v="3712"/>
    <x v="453"/>
    <x v="3"/>
    <x v="2"/>
    <d v="2014-10-18T00:00:00"/>
    <n v="2"/>
    <x v="2"/>
    <s v="Roland Schwarz"/>
    <x v="1"/>
    <s v="United States"/>
    <s v="Los Angeles"/>
    <s v="California"/>
    <s v="West"/>
    <x v="1"/>
    <x v="10"/>
    <s v="Xerox 1919"/>
    <x v="2854"/>
    <n v="5"/>
    <n v="0"/>
    <n v="100.4255"/>
  </r>
  <r>
    <n v="3713"/>
    <x v="81"/>
    <x v="3"/>
    <x v="3"/>
    <d v="2014-04-25T00:00:00"/>
    <n v="3"/>
    <x v="2"/>
    <s v="Joni Wasserman"/>
    <x v="0"/>
    <s v="United States"/>
    <s v="Seattle"/>
    <s v="Washington"/>
    <s v="West"/>
    <x v="2"/>
    <x v="11"/>
    <s v="Verbatim Slim CD and DVD Storage Cases, 50/Pack"/>
    <x v="1034"/>
    <n v="1"/>
    <n v="0"/>
    <n v="3.4620000000000002"/>
  </r>
  <r>
    <n v="3714"/>
    <x v="81"/>
    <x v="3"/>
    <x v="3"/>
    <d v="2014-04-25T00:00:00"/>
    <n v="3"/>
    <x v="2"/>
    <s v="Joni Wasserman"/>
    <x v="0"/>
    <s v="United States"/>
    <s v="Seattle"/>
    <s v="Washington"/>
    <s v="West"/>
    <x v="0"/>
    <x v="5"/>
    <s v="Eldon Advantage Foldable Chair Mats for Low Pile Carpets"/>
    <x v="2855"/>
    <n v="3"/>
    <n v="0"/>
    <n v="34.146000000000001"/>
  </r>
  <r>
    <n v="3715"/>
    <x v="589"/>
    <x v="2"/>
    <x v="4"/>
    <d v="2011-12-10T00:00:00"/>
    <n v="2"/>
    <x v="0"/>
    <s v="Jim Karlsson"/>
    <x v="0"/>
    <s v="United States"/>
    <s v="Olympia"/>
    <s v="Washington"/>
    <s v="West"/>
    <x v="1"/>
    <x v="10"/>
    <s v="Xerox 1964"/>
    <x v="1816"/>
    <n v="2"/>
    <n v="0"/>
    <n v="21.012799999999999"/>
  </r>
  <r>
    <n v="3716"/>
    <x v="589"/>
    <x v="2"/>
    <x v="4"/>
    <d v="2011-12-10T00:00:00"/>
    <n v="2"/>
    <x v="0"/>
    <s v="Jim Karlsson"/>
    <x v="0"/>
    <s v="United States"/>
    <s v="Olympia"/>
    <s v="Washington"/>
    <s v="West"/>
    <x v="0"/>
    <x v="1"/>
    <s v="DMI Arturo Collection Mission-style Design Wood Chair"/>
    <x v="884"/>
    <n v="5"/>
    <n v="0.2"/>
    <n v="45.293999999999997"/>
  </r>
  <r>
    <n v="3717"/>
    <x v="148"/>
    <x v="3"/>
    <x v="5"/>
    <d v="2014-06-03T00:00:00"/>
    <n v="4"/>
    <x v="1"/>
    <s v="Jesus Ocampo"/>
    <x v="2"/>
    <s v="United States"/>
    <s v="Omaha"/>
    <s v="Nebraska"/>
    <s v="Central"/>
    <x v="1"/>
    <x v="13"/>
    <s v="Plymouth Boxed Rubber Bands by Plymouth"/>
    <x v="2856"/>
    <n v="5"/>
    <n v="0"/>
    <n v="1.1775"/>
  </r>
  <r>
    <n v="3718"/>
    <x v="251"/>
    <x v="0"/>
    <x v="8"/>
    <d v="2013-09-24T00:00:00"/>
    <n v="4"/>
    <x v="1"/>
    <s v="Theone Pippenger"/>
    <x v="0"/>
    <s v="United States"/>
    <s v="Columbus"/>
    <s v="Georgia"/>
    <s v="South"/>
    <x v="1"/>
    <x v="14"/>
    <s v="Letter Slitter"/>
    <x v="1310"/>
    <n v="2"/>
    <n v="0"/>
    <n v="0.1512"/>
  </r>
  <r>
    <n v="3719"/>
    <x v="251"/>
    <x v="0"/>
    <x v="8"/>
    <d v="2013-09-24T00:00:00"/>
    <n v="4"/>
    <x v="1"/>
    <s v="Theone Pippenger"/>
    <x v="0"/>
    <s v="United States"/>
    <s v="Columbus"/>
    <s v="Georgia"/>
    <s v="South"/>
    <x v="2"/>
    <x v="11"/>
    <s v="Logitech Wireless Marathon Mouse M705"/>
    <x v="2857"/>
    <n v="5"/>
    <n v="0"/>
    <n v="107.4785"/>
  </r>
  <r>
    <n v="3720"/>
    <x v="42"/>
    <x v="0"/>
    <x v="8"/>
    <d v="2013-09-24T00:00:00"/>
    <n v="6"/>
    <x v="1"/>
    <s v="Brendan Sweed"/>
    <x v="1"/>
    <s v="United States"/>
    <s v="Columbus"/>
    <s v="Indiana"/>
    <s v="Central"/>
    <x v="1"/>
    <x v="6"/>
    <s v="Sanford Liquid Accent Highlighters"/>
    <x v="653"/>
    <n v="5"/>
    <n v="0"/>
    <n v="12.358000000000001"/>
  </r>
  <r>
    <n v="3721"/>
    <x v="887"/>
    <x v="0"/>
    <x v="4"/>
    <d v="2013-12-25T00:00:00"/>
    <n v="4"/>
    <x v="1"/>
    <s v="Alejandro Ballentine"/>
    <x v="2"/>
    <s v="United States"/>
    <s v="Jackson"/>
    <s v="Mississippi"/>
    <s v="South"/>
    <x v="0"/>
    <x v="5"/>
    <s v="C-Line Cubicle Keepers Polyproplyene Holder With Velcro Backings"/>
    <x v="2858"/>
    <n v="4"/>
    <n v="0"/>
    <n v="7.3788"/>
  </r>
  <r>
    <n v="3722"/>
    <x v="887"/>
    <x v="0"/>
    <x v="4"/>
    <d v="2013-12-25T00:00:00"/>
    <n v="4"/>
    <x v="1"/>
    <s v="Alejandro Ballentine"/>
    <x v="2"/>
    <s v="United States"/>
    <s v="Jackson"/>
    <s v="Mississippi"/>
    <s v="South"/>
    <x v="1"/>
    <x v="8"/>
    <s v="DXL Angle-View Binders with Locking Rings by Samsill"/>
    <x v="735"/>
    <n v="2"/>
    <n v="0"/>
    <n v="6.9390000000000001"/>
  </r>
  <r>
    <n v="3723"/>
    <x v="903"/>
    <x v="3"/>
    <x v="0"/>
    <d v="2014-11-27T00:00:00"/>
    <n v="4"/>
    <x v="1"/>
    <s v="Frank Olsen"/>
    <x v="0"/>
    <s v="United States"/>
    <s v="Houston"/>
    <s v="Texas"/>
    <s v="Central"/>
    <x v="1"/>
    <x v="6"/>
    <s v="Newell 314"/>
    <x v="2859"/>
    <n v="8"/>
    <n v="0.2"/>
    <n v="2.2320000000000002"/>
  </r>
  <r>
    <n v="3724"/>
    <x v="125"/>
    <x v="2"/>
    <x v="4"/>
    <d v="2012-01-04T00:00:00"/>
    <n v="5"/>
    <x v="1"/>
    <s v="Maureen Fritzler"/>
    <x v="1"/>
    <s v="United States"/>
    <s v="Phoenix"/>
    <s v="Arizona"/>
    <s v="West"/>
    <x v="1"/>
    <x v="8"/>
    <s v="Ibico Ibimaster 300 Manual Binding System"/>
    <x v="2860"/>
    <n v="5"/>
    <n v="0.7"/>
    <n v="-459.98750000000001"/>
  </r>
  <r>
    <n v="3725"/>
    <x v="355"/>
    <x v="3"/>
    <x v="3"/>
    <d v="2014-04-06T00:00:00"/>
    <n v="2"/>
    <x v="2"/>
    <s v="Sue Ann Reed"/>
    <x v="0"/>
    <s v="United States"/>
    <s v="Chicago"/>
    <s v="Illinois"/>
    <s v="Central"/>
    <x v="1"/>
    <x v="6"/>
    <s v="Prang Colored Pencils"/>
    <x v="2559"/>
    <n v="3"/>
    <n v="0.2"/>
    <n v="2.2050000000000001"/>
  </r>
  <r>
    <n v="3726"/>
    <x v="482"/>
    <x v="0"/>
    <x v="4"/>
    <d v="2014-01-03T00:00:00"/>
    <n v="7"/>
    <x v="1"/>
    <s v="Sally Hughsby"/>
    <x v="1"/>
    <s v="United States"/>
    <s v="Denver"/>
    <s v="Colorado"/>
    <s v="West"/>
    <x v="1"/>
    <x v="9"/>
    <s v="Harmony HEPA Quiet Air Purifiers"/>
    <x v="690"/>
    <n v="2"/>
    <n v="0.2"/>
    <n v="3.51"/>
  </r>
  <r>
    <n v="3727"/>
    <x v="410"/>
    <x v="0"/>
    <x v="1"/>
    <d v="2013-06-12T00:00:00"/>
    <n v="6"/>
    <x v="1"/>
    <s v="Janet Lee"/>
    <x v="0"/>
    <s v="United States"/>
    <s v="Newark"/>
    <s v="Delaware"/>
    <s v="East"/>
    <x v="1"/>
    <x v="4"/>
    <s v="Standard Rollaway File with Lock"/>
    <x v="2861"/>
    <n v="2"/>
    <n v="0"/>
    <n v="93.698800000000006"/>
  </r>
  <r>
    <n v="3728"/>
    <x v="410"/>
    <x v="0"/>
    <x v="1"/>
    <d v="2013-06-12T00:00:00"/>
    <n v="6"/>
    <x v="1"/>
    <s v="Janet Lee"/>
    <x v="0"/>
    <s v="United States"/>
    <s v="Newark"/>
    <s v="Delaware"/>
    <s v="East"/>
    <x v="1"/>
    <x v="6"/>
    <s v="Newell 314"/>
    <x v="946"/>
    <n v="2"/>
    <n v="0"/>
    <n v="2.79"/>
  </r>
  <r>
    <n v="3729"/>
    <x v="410"/>
    <x v="0"/>
    <x v="1"/>
    <d v="2013-06-12T00:00:00"/>
    <n v="6"/>
    <x v="1"/>
    <s v="Janet Lee"/>
    <x v="0"/>
    <s v="United States"/>
    <s v="Newark"/>
    <s v="Delaware"/>
    <s v="East"/>
    <x v="1"/>
    <x v="2"/>
    <s v="Avery White Multi-Purpose Labels"/>
    <x v="1801"/>
    <n v="3"/>
    <n v="0"/>
    <n v="6.8723999999999998"/>
  </r>
  <r>
    <n v="3730"/>
    <x v="227"/>
    <x v="1"/>
    <x v="8"/>
    <d v="2012-09-23T00:00:00"/>
    <n v="5"/>
    <x v="1"/>
    <s v="Ken Heidel"/>
    <x v="1"/>
    <s v="United States"/>
    <s v="Clinton"/>
    <s v="Maryland"/>
    <s v="East"/>
    <x v="1"/>
    <x v="4"/>
    <s v="Acco Perma 3000 Stacking Storage Drawers"/>
    <x v="108"/>
    <n v="2"/>
    <n v="0"/>
    <n v="7.9724000000000004"/>
  </r>
  <r>
    <n v="3731"/>
    <x v="227"/>
    <x v="1"/>
    <x v="8"/>
    <d v="2012-09-23T00:00:00"/>
    <n v="5"/>
    <x v="1"/>
    <s v="Ken Heidel"/>
    <x v="1"/>
    <s v="United States"/>
    <s v="Clinton"/>
    <s v="Maryland"/>
    <s v="East"/>
    <x v="1"/>
    <x v="4"/>
    <s v="Safco Industrial Wire Shelving System"/>
    <x v="2862"/>
    <n v="7"/>
    <n v="0"/>
    <n v="0"/>
  </r>
  <r>
    <n v="3732"/>
    <x v="227"/>
    <x v="1"/>
    <x v="8"/>
    <d v="2012-09-23T00:00:00"/>
    <n v="5"/>
    <x v="1"/>
    <s v="Ken Heidel"/>
    <x v="1"/>
    <s v="United States"/>
    <s v="Clinton"/>
    <s v="Maryland"/>
    <s v="East"/>
    <x v="2"/>
    <x v="7"/>
    <s v="Samsung Galaxy S4 Active"/>
    <x v="2863"/>
    <n v="1"/>
    <n v="0"/>
    <n v="129.9974"/>
  </r>
  <r>
    <n v="3733"/>
    <x v="227"/>
    <x v="1"/>
    <x v="8"/>
    <d v="2012-09-23T00:00:00"/>
    <n v="5"/>
    <x v="1"/>
    <s v="Ken Heidel"/>
    <x v="1"/>
    <s v="United States"/>
    <s v="Clinton"/>
    <s v="Maryland"/>
    <s v="East"/>
    <x v="2"/>
    <x v="7"/>
    <s v="Polycom VVX 310 VoIP phone"/>
    <x v="2864"/>
    <n v="7"/>
    <n v="0"/>
    <n v="327.58179999999999"/>
  </r>
  <r>
    <n v="3734"/>
    <x v="227"/>
    <x v="1"/>
    <x v="8"/>
    <d v="2012-09-23T00:00:00"/>
    <n v="5"/>
    <x v="1"/>
    <s v="Ken Heidel"/>
    <x v="1"/>
    <s v="United States"/>
    <s v="Clinton"/>
    <s v="Maryland"/>
    <s v="East"/>
    <x v="1"/>
    <x v="8"/>
    <s v="Acco Flexible ACCOHIDE Square Ring Data Binder, Dark Blue, 11 1/2&quot; X 14&quot; 7/8&quot;"/>
    <x v="2865"/>
    <n v="4"/>
    <n v="0"/>
    <n v="31.889199999999999"/>
  </r>
  <r>
    <n v="3735"/>
    <x v="904"/>
    <x v="3"/>
    <x v="10"/>
    <d v="2014-03-12T00:00:00"/>
    <n v="5"/>
    <x v="0"/>
    <s v="Roland Murray"/>
    <x v="0"/>
    <s v="United States"/>
    <s v="New York City"/>
    <s v="New York"/>
    <s v="East"/>
    <x v="1"/>
    <x v="10"/>
    <s v="Xerox 1883"/>
    <x v="970"/>
    <n v="1"/>
    <n v="0"/>
    <n v="12.1348"/>
  </r>
  <r>
    <n v="3736"/>
    <x v="904"/>
    <x v="3"/>
    <x v="10"/>
    <d v="2014-03-12T00:00:00"/>
    <n v="5"/>
    <x v="0"/>
    <s v="Roland Murray"/>
    <x v="0"/>
    <s v="United States"/>
    <s v="New York City"/>
    <s v="New York"/>
    <s v="East"/>
    <x v="0"/>
    <x v="5"/>
    <s v="Westinghouse Floor Lamp with Metal Mesh Shade, Black"/>
    <x v="2866"/>
    <n v="3"/>
    <n v="0"/>
    <n v="16.553100000000001"/>
  </r>
  <r>
    <n v="3737"/>
    <x v="716"/>
    <x v="0"/>
    <x v="10"/>
    <d v="2013-03-18T00:00:00"/>
    <n v="0"/>
    <x v="3"/>
    <s v="Vivian Mathis"/>
    <x v="0"/>
    <s v="United States"/>
    <s v="Newark"/>
    <s v="Delaware"/>
    <s v="East"/>
    <x v="2"/>
    <x v="7"/>
    <s v="Plantronics Voyager Pro HD - Bluetooth Headset"/>
    <x v="2214"/>
    <n v="2"/>
    <n v="0"/>
    <n v="62.3904"/>
  </r>
  <r>
    <n v="3738"/>
    <x v="716"/>
    <x v="0"/>
    <x v="10"/>
    <d v="2013-03-18T00:00:00"/>
    <n v="0"/>
    <x v="3"/>
    <s v="Vivian Mathis"/>
    <x v="0"/>
    <s v="United States"/>
    <s v="Newark"/>
    <s v="Delaware"/>
    <s v="East"/>
    <x v="1"/>
    <x v="8"/>
    <s v="Acco Flexible ACCOHIDE Square Ring Data Binder, Dark Blue, 11 1/2&quot; X 14&quot; 7/8&quot;"/>
    <x v="2867"/>
    <n v="2"/>
    <n v="0"/>
    <n v="15.944599999999999"/>
  </r>
  <r>
    <n v="3739"/>
    <x v="10"/>
    <x v="0"/>
    <x v="4"/>
    <d v="2013-12-14T00:00:00"/>
    <n v="4"/>
    <x v="1"/>
    <s v="Logan Haushalter"/>
    <x v="0"/>
    <s v="United States"/>
    <s v="Jackson"/>
    <s v="Michigan"/>
    <s v="Central"/>
    <x v="2"/>
    <x v="7"/>
    <s v="LF Elite 3D Dazzle Designer Hard Case Cover, Lf Stylus Pen and Wiper For Apple Iphone 5c Mini Lite"/>
    <x v="2868"/>
    <n v="1"/>
    <n v="0"/>
    <n v="3.052"/>
  </r>
  <r>
    <n v="3740"/>
    <x v="10"/>
    <x v="0"/>
    <x v="4"/>
    <d v="2013-12-14T00:00:00"/>
    <n v="4"/>
    <x v="1"/>
    <s v="Logan Haushalter"/>
    <x v="0"/>
    <s v="United States"/>
    <s v="Jackson"/>
    <s v="Michigan"/>
    <s v="Central"/>
    <x v="2"/>
    <x v="11"/>
    <s v="Logitech Trackman Marble Mouse"/>
    <x v="2759"/>
    <n v="2"/>
    <n v="0"/>
    <n v="25.191600000000001"/>
  </r>
  <r>
    <n v="3741"/>
    <x v="10"/>
    <x v="0"/>
    <x v="4"/>
    <d v="2013-12-14T00:00:00"/>
    <n v="4"/>
    <x v="1"/>
    <s v="Logan Haushalter"/>
    <x v="0"/>
    <s v="United States"/>
    <s v="Jackson"/>
    <s v="Michigan"/>
    <s v="Central"/>
    <x v="1"/>
    <x v="9"/>
    <s v="Holmes Replacement Filter for HEPA Air Cleaner, Very Large Room, HEPA Filter"/>
    <x v="2869"/>
    <n v="1"/>
    <n v="0.1"/>
    <n v="23.395399999999999"/>
  </r>
  <r>
    <n v="3742"/>
    <x v="804"/>
    <x v="0"/>
    <x v="9"/>
    <d v="2013-01-21T00:00:00"/>
    <n v="6"/>
    <x v="1"/>
    <s v="William Brown"/>
    <x v="0"/>
    <s v="United States"/>
    <s v="New York City"/>
    <s v="New York"/>
    <s v="East"/>
    <x v="1"/>
    <x v="12"/>
    <s v="#10 Gummed Flap White Envelopes, 100/Box"/>
    <x v="1045"/>
    <n v="4"/>
    <n v="0"/>
    <n v="7.5991999999999997"/>
  </r>
  <r>
    <n v="3743"/>
    <x v="804"/>
    <x v="0"/>
    <x v="9"/>
    <d v="2013-01-21T00:00:00"/>
    <n v="6"/>
    <x v="1"/>
    <s v="William Brown"/>
    <x v="0"/>
    <s v="United States"/>
    <s v="New York City"/>
    <s v="New York"/>
    <s v="East"/>
    <x v="1"/>
    <x v="10"/>
    <s v="Xerox 1959"/>
    <x v="1817"/>
    <n v="9"/>
    <n v="0"/>
    <n v="28.857600000000001"/>
  </r>
  <r>
    <n v="3744"/>
    <x v="804"/>
    <x v="0"/>
    <x v="9"/>
    <d v="2013-01-21T00:00:00"/>
    <n v="6"/>
    <x v="1"/>
    <s v="William Brown"/>
    <x v="0"/>
    <s v="United States"/>
    <s v="New York City"/>
    <s v="New York"/>
    <s v="East"/>
    <x v="1"/>
    <x v="8"/>
    <s v="Square Ring Data Binders, Rigid 75 Pt. Covers, 11&quot; x 14-7/8&quot;"/>
    <x v="361"/>
    <n v="3"/>
    <n v="0.2"/>
    <n v="17.337599999999998"/>
  </r>
  <r>
    <n v="3745"/>
    <x v="745"/>
    <x v="2"/>
    <x v="2"/>
    <d v="2011-10-24T00:00:00"/>
    <n v="0"/>
    <x v="3"/>
    <s v="Arthur Prichep"/>
    <x v="0"/>
    <s v="United States"/>
    <s v="Rock Hill"/>
    <s v="South Carolina"/>
    <s v="South"/>
    <x v="1"/>
    <x v="13"/>
    <s v="Advantus Map Pennant Flags and Round Head Tacks"/>
    <x v="2870"/>
    <n v="3"/>
    <n v="0"/>
    <n v="3.7919999999999998"/>
  </r>
  <r>
    <n v="3746"/>
    <x v="713"/>
    <x v="0"/>
    <x v="8"/>
    <d v="2013-09-29T00:00:00"/>
    <n v="5"/>
    <x v="0"/>
    <s v="Russell Applegate"/>
    <x v="0"/>
    <s v="United States"/>
    <s v="Columbus"/>
    <s v="Georgia"/>
    <s v="South"/>
    <x v="1"/>
    <x v="4"/>
    <s v="Eldon Mobile Mega Data Cart  Mega Stackable  Add-On Trays"/>
    <x v="2871"/>
    <n v="5"/>
    <n v="0"/>
    <n v="34.292499999999997"/>
  </r>
  <r>
    <n v="3747"/>
    <x v="713"/>
    <x v="0"/>
    <x v="8"/>
    <d v="2013-09-29T00:00:00"/>
    <n v="5"/>
    <x v="0"/>
    <s v="Russell Applegate"/>
    <x v="0"/>
    <s v="United States"/>
    <s v="Columbus"/>
    <s v="Georgia"/>
    <s v="South"/>
    <x v="0"/>
    <x v="1"/>
    <s v="Hon Mobius Operator's Chair"/>
    <x v="2363"/>
    <n v="3"/>
    <n v="0"/>
    <n v="81.173400000000001"/>
  </r>
  <r>
    <n v="3748"/>
    <x v="151"/>
    <x v="3"/>
    <x v="6"/>
    <d v="2014-08-30T00:00:00"/>
    <n v="2"/>
    <x v="0"/>
    <s v="Dan Reichenbach"/>
    <x v="1"/>
    <s v="United States"/>
    <s v="Inglewood"/>
    <s v="California"/>
    <s v="West"/>
    <x v="0"/>
    <x v="5"/>
    <s v="GE 48&quot; Fluorescent Tube, Cool White Energy Saver, 34 Watts, 30/Box"/>
    <x v="1403"/>
    <n v="2"/>
    <n v="0"/>
    <n v="99.23"/>
  </r>
  <r>
    <n v="3749"/>
    <x v="151"/>
    <x v="3"/>
    <x v="6"/>
    <d v="2014-08-30T00:00:00"/>
    <n v="2"/>
    <x v="0"/>
    <s v="Dan Reichenbach"/>
    <x v="1"/>
    <s v="United States"/>
    <s v="Inglewood"/>
    <s v="California"/>
    <s v="West"/>
    <x v="1"/>
    <x v="9"/>
    <s v="APC 7 Outlet Network SurgeArrest Surge Protector"/>
    <x v="2872"/>
    <n v="4"/>
    <n v="0"/>
    <n v="96.575999999999993"/>
  </r>
  <r>
    <n v="3750"/>
    <x v="151"/>
    <x v="3"/>
    <x v="6"/>
    <d v="2014-08-30T00:00:00"/>
    <n v="2"/>
    <x v="0"/>
    <s v="Dan Reichenbach"/>
    <x v="1"/>
    <s v="United States"/>
    <s v="Inglewood"/>
    <s v="California"/>
    <s v="West"/>
    <x v="2"/>
    <x v="16"/>
    <s v="Sharp 1540cs Digital Laser Copier"/>
    <x v="2873"/>
    <n v="2"/>
    <n v="0.2"/>
    <n v="329.99400000000003"/>
  </r>
  <r>
    <n v="3751"/>
    <x v="151"/>
    <x v="3"/>
    <x v="6"/>
    <d v="2014-08-30T00:00:00"/>
    <n v="2"/>
    <x v="0"/>
    <s v="Dan Reichenbach"/>
    <x v="1"/>
    <s v="United States"/>
    <s v="Inglewood"/>
    <s v="California"/>
    <s v="West"/>
    <x v="1"/>
    <x v="14"/>
    <s v="Acme Preferred Stainless Steel Scissors"/>
    <x v="158"/>
    <n v="5"/>
    <n v="0"/>
    <n v="8.2360000000000007"/>
  </r>
  <r>
    <n v="3752"/>
    <x v="151"/>
    <x v="3"/>
    <x v="6"/>
    <d v="2014-08-30T00:00:00"/>
    <n v="2"/>
    <x v="0"/>
    <s v="Dan Reichenbach"/>
    <x v="1"/>
    <s v="United States"/>
    <s v="Inglewood"/>
    <s v="California"/>
    <s v="West"/>
    <x v="0"/>
    <x v="1"/>
    <s v="Bevis Steel Folding Chairs"/>
    <x v="2145"/>
    <n v="3"/>
    <n v="0.2"/>
    <n v="23.027999999999999"/>
  </r>
  <r>
    <n v="3753"/>
    <x v="151"/>
    <x v="3"/>
    <x v="6"/>
    <d v="2014-08-30T00:00:00"/>
    <n v="2"/>
    <x v="0"/>
    <s v="Dan Reichenbach"/>
    <x v="1"/>
    <s v="United States"/>
    <s v="Inglewood"/>
    <s v="California"/>
    <s v="West"/>
    <x v="1"/>
    <x v="10"/>
    <s v="White Computer Printout Paper by Universal"/>
    <x v="2207"/>
    <n v="3"/>
    <n v="0"/>
    <n v="56.977200000000003"/>
  </r>
  <r>
    <n v="3754"/>
    <x v="151"/>
    <x v="3"/>
    <x v="6"/>
    <d v="2014-08-30T00:00:00"/>
    <n v="2"/>
    <x v="0"/>
    <s v="Dan Reichenbach"/>
    <x v="1"/>
    <s v="United States"/>
    <s v="Inglewood"/>
    <s v="California"/>
    <s v="West"/>
    <x v="1"/>
    <x v="8"/>
    <s v="GBC DocuBind 300 Electric Binding Machine"/>
    <x v="841"/>
    <n v="2"/>
    <n v="0.2"/>
    <n v="294.54880000000003"/>
  </r>
  <r>
    <n v="3755"/>
    <x v="151"/>
    <x v="3"/>
    <x v="6"/>
    <d v="2014-08-30T00:00:00"/>
    <n v="2"/>
    <x v="0"/>
    <s v="Dan Reichenbach"/>
    <x v="1"/>
    <s v="United States"/>
    <s v="Inglewood"/>
    <s v="California"/>
    <s v="West"/>
    <x v="1"/>
    <x v="4"/>
    <s v="Sensible Storage WireTech Storage Systems"/>
    <x v="1367"/>
    <n v="5"/>
    <n v="0"/>
    <n v="17.745000000000001"/>
  </r>
  <r>
    <n v="3756"/>
    <x v="840"/>
    <x v="0"/>
    <x v="10"/>
    <d v="2013-03-07T00:00:00"/>
    <n v="3"/>
    <x v="2"/>
    <s v="Jason Gross"/>
    <x v="1"/>
    <s v="United States"/>
    <s v="Odessa"/>
    <s v="Texas"/>
    <s v="Central"/>
    <x v="1"/>
    <x v="10"/>
    <s v="Rediform Wirebound &quot;Phone Memo&quot; Message Book, 11 x 5-3/4"/>
    <x v="2874"/>
    <n v="7"/>
    <n v="0.2"/>
    <n v="15.5092"/>
  </r>
  <r>
    <n v="3757"/>
    <x v="840"/>
    <x v="0"/>
    <x v="10"/>
    <d v="2013-03-07T00:00:00"/>
    <n v="3"/>
    <x v="2"/>
    <s v="Jason Gross"/>
    <x v="1"/>
    <s v="United States"/>
    <s v="Odessa"/>
    <s v="Texas"/>
    <s v="Central"/>
    <x v="0"/>
    <x v="1"/>
    <s v="Office Star - Mid Back Dual function Ergonomic High Back Chair with 2-Way Adjustable Arms"/>
    <x v="2875"/>
    <n v="5"/>
    <n v="0.3"/>
    <n v="-56.343000000000004"/>
  </r>
  <r>
    <n v="3758"/>
    <x v="905"/>
    <x v="0"/>
    <x v="10"/>
    <d v="2013-03-05T00:00:00"/>
    <n v="4"/>
    <x v="1"/>
    <s v="Lena Cacioppo"/>
    <x v="0"/>
    <s v="United States"/>
    <s v="Newark"/>
    <s v="Ohio"/>
    <s v="East"/>
    <x v="1"/>
    <x v="6"/>
    <s v="Newell 34"/>
    <x v="2876"/>
    <n v="7"/>
    <n v="0.2"/>
    <n v="8.3328000000000007"/>
  </r>
  <r>
    <n v="3759"/>
    <x v="227"/>
    <x v="1"/>
    <x v="8"/>
    <d v="2012-09-23T00:00:00"/>
    <n v="5"/>
    <x v="1"/>
    <s v="George Bell"/>
    <x v="1"/>
    <s v="United States"/>
    <s v="Los Angeles"/>
    <s v="California"/>
    <s v="West"/>
    <x v="1"/>
    <x v="6"/>
    <s v="Quartet Omega Colored Chalk, 12/Pack"/>
    <x v="2582"/>
    <n v="2"/>
    <n v="0"/>
    <n v="5.4896000000000003"/>
  </r>
  <r>
    <n v="3760"/>
    <x v="227"/>
    <x v="1"/>
    <x v="8"/>
    <d v="2012-09-23T00:00:00"/>
    <n v="5"/>
    <x v="1"/>
    <s v="George Bell"/>
    <x v="1"/>
    <s v="United States"/>
    <s v="Los Angeles"/>
    <s v="California"/>
    <s v="West"/>
    <x v="1"/>
    <x v="14"/>
    <s v="Elite 5&quot; Scissors"/>
    <x v="2877"/>
    <n v="2"/>
    <n v="0"/>
    <n v="5.07"/>
  </r>
  <r>
    <n v="3761"/>
    <x v="227"/>
    <x v="1"/>
    <x v="8"/>
    <d v="2012-09-23T00:00:00"/>
    <n v="5"/>
    <x v="1"/>
    <s v="George Bell"/>
    <x v="1"/>
    <s v="United States"/>
    <s v="Los Angeles"/>
    <s v="California"/>
    <s v="West"/>
    <x v="0"/>
    <x v="5"/>
    <s v="Advantus Panel Wall Certificate Holder - 8.5x11"/>
    <x v="2878"/>
    <n v="2"/>
    <n v="0"/>
    <n v="10.247999999999999"/>
  </r>
  <r>
    <n v="3762"/>
    <x v="605"/>
    <x v="3"/>
    <x v="5"/>
    <d v="2014-05-18T00:00:00"/>
    <n v="5"/>
    <x v="1"/>
    <s v="Chloris Kastensmidt"/>
    <x v="0"/>
    <s v="United States"/>
    <s v="Everett"/>
    <s v="Massachusetts"/>
    <s v="East"/>
    <x v="1"/>
    <x v="10"/>
    <s v="TOPS Carbonless Receipt Book, Four 2-3/4 x 7-1/4 Money Receipts per Page"/>
    <x v="2879"/>
    <n v="5"/>
    <n v="0"/>
    <n v="42.048000000000002"/>
  </r>
  <r>
    <n v="3763"/>
    <x v="572"/>
    <x v="0"/>
    <x v="6"/>
    <d v="2013-08-19T00:00:00"/>
    <n v="5"/>
    <x v="0"/>
    <s v="Theresa Swint"/>
    <x v="1"/>
    <s v="United States"/>
    <s v="West Allis"/>
    <s v="Wisconsin"/>
    <s v="Central"/>
    <x v="0"/>
    <x v="0"/>
    <s v="O'Sullivan Living Dimensions 2-Shelf Bookcases"/>
    <x v="1776"/>
    <n v="2"/>
    <n v="0"/>
    <n v="24.196000000000002"/>
  </r>
  <r>
    <n v="3764"/>
    <x v="572"/>
    <x v="0"/>
    <x v="6"/>
    <d v="2013-08-19T00:00:00"/>
    <n v="5"/>
    <x v="0"/>
    <s v="Theresa Swint"/>
    <x v="1"/>
    <s v="United States"/>
    <s v="West Allis"/>
    <s v="Wisconsin"/>
    <s v="Central"/>
    <x v="1"/>
    <x v="8"/>
    <s v="Avery Round Ring Poly Binders"/>
    <x v="2880"/>
    <n v="3"/>
    <n v="0"/>
    <n v="4.1748000000000003"/>
  </r>
  <r>
    <n v="3765"/>
    <x v="906"/>
    <x v="3"/>
    <x v="11"/>
    <d v="2014-03-03T00:00:00"/>
    <n v="5"/>
    <x v="1"/>
    <s v="Michelle Huthwaite"/>
    <x v="0"/>
    <s v="United States"/>
    <s v="Chicago"/>
    <s v="Illinois"/>
    <s v="Central"/>
    <x v="1"/>
    <x v="8"/>
    <s v="Avery Hidden Tab Dividers for Binding Systems"/>
    <x v="99"/>
    <n v="3"/>
    <n v="0.8"/>
    <n v="-3.0396000000000001"/>
  </r>
  <r>
    <n v="3766"/>
    <x v="844"/>
    <x v="0"/>
    <x v="10"/>
    <d v="2013-03-26T00:00:00"/>
    <n v="4"/>
    <x v="1"/>
    <s v="Dario Medina"/>
    <x v="1"/>
    <s v="United States"/>
    <s v="Houston"/>
    <s v="Texas"/>
    <s v="Central"/>
    <x v="0"/>
    <x v="3"/>
    <s v="Safco Drafting Table"/>
    <x v="2742"/>
    <n v="2"/>
    <n v="0.3"/>
    <n v="-1.4196"/>
  </r>
  <r>
    <n v="3767"/>
    <x v="844"/>
    <x v="0"/>
    <x v="10"/>
    <d v="2013-03-26T00:00:00"/>
    <n v="4"/>
    <x v="1"/>
    <s v="Dario Medina"/>
    <x v="1"/>
    <s v="United States"/>
    <s v="Houston"/>
    <s v="Texas"/>
    <s v="Central"/>
    <x v="1"/>
    <x v="6"/>
    <s v="Prang Dustless Chalk Sticks"/>
    <x v="2000"/>
    <n v="1"/>
    <n v="0.2"/>
    <n v="0.504"/>
  </r>
  <r>
    <n v="3768"/>
    <x v="575"/>
    <x v="1"/>
    <x v="4"/>
    <d v="2012-12-10T00:00:00"/>
    <n v="2"/>
    <x v="0"/>
    <s v="Joel Jenkins"/>
    <x v="2"/>
    <s v="United States"/>
    <s v="Houston"/>
    <s v="Texas"/>
    <s v="Central"/>
    <x v="2"/>
    <x v="7"/>
    <s v="Nokia Lumia 521 (T-Mobile)"/>
    <x v="664"/>
    <n v="5"/>
    <n v="0.2"/>
    <n v="11.996"/>
  </r>
  <r>
    <n v="3769"/>
    <x v="757"/>
    <x v="2"/>
    <x v="4"/>
    <d v="2011-12-20T00:00:00"/>
    <n v="4"/>
    <x v="0"/>
    <s v="Ken Black"/>
    <x v="1"/>
    <s v="United States"/>
    <s v="Hialeah"/>
    <s v="Florida"/>
    <s v="South"/>
    <x v="0"/>
    <x v="1"/>
    <s v="Hon Olson Stacker Stools"/>
    <x v="2881"/>
    <n v="9"/>
    <n v="0.2"/>
    <n v="101.3832"/>
  </r>
  <r>
    <n v="3770"/>
    <x v="757"/>
    <x v="2"/>
    <x v="4"/>
    <d v="2011-12-20T00:00:00"/>
    <n v="4"/>
    <x v="0"/>
    <s v="Ken Black"/>
    <x v="1"/>
    <s v="United States"/>
    <s v="Hialeah"/>
    <s v="Florida"/>
    <s v="South"/>
    <x v="1"/>
    <x v="13"/>
    <s v="OIC Binder Clips, Mini, 1/4&quot; Capacity, Black"/>
    <x v="2882"/>
    <n v="2"/>
    <n v="0.2"/>
    <n v="0.66959999999999997"/>
  </r>
  <r>
    <n v="3771"/>
    <x v="907"/>
    <x v="0"/>
    <x v="4"/>
    <d v="2013-12-22T00:00:00"/>
    <n v="4"/>
    <x v="1"/>
    <s v="Charles McCrossin"/>
    <x v="0"/>
    <s v="United States"/>
    <s v="San Francisco"/>
    <s v="California"/>
    <s v="West"/>
    <x v="0"/>
    <x v="3"/>
    <s v="Bretford “Just In Time” Height-Adjustable Multi-Task Work Tables"/>
    <x v="2883"/>
    <n v="6"/>
    <n v="0.2"/>
    <n v="-325.572"/>
  </r>
  <r>
    <n v="3772"/>
    <x v="536"/>
    <x v="0"/>
    <x v="5"/>
    <d v="2013-05-18T00:00:00"/>
    <n v="5"/>
    <x v="1"/>
    <s v="Filia McAdams"/>
    <x v="1"/>
    <s v="United States"/>
    <s v="Philadelphia"/>
    <s v="Pennsylvania"/>
    <s v="East"/>
    <x v="1"/>
    <x v="4"/>
    <s v="Belkin 19&quot; Vented Equipment Shelf, Black"/>
    <x v="249"/>
    <n v="2"/>
    <n v="0.2"/>
    <n v="-19.5624"/>
  </r>
  <r>
    <n v="3773"/>
    <x v="908"/>
    <x v="2"/>
    <x v="6"/>
    <d v="2011-08-11T00:00:00"/>
    <n v="5"/>
    <x v="0"/>
    <s v="Roland Fjeld"/>
    <x v="0"/>
    <s v="United States"/>
    <s v="Columbia"/>
    <s v="South Carolina"/>
    <s v="South"/>
    <x v="2"/>
    <x v="11"/>
    <s v="Maxell 74 Minute CD-R Spindle, 50/Pack"/>
    <x v="2884"/>
    <n v="3"/>
    <n v="0"/>
    <n v="22.647600000000001"/>
  </r>
  <r>
    <n v="3774"/>
    <x v="909"/>
    <x v="2"/>
    <x v="3"/>
    <d v="2011-04-13T00:00:00"/>
    <n v="2"/>
    <x v="0"/>
    <s v="Jay Kimmel"/>
    <x v="0"/>
    <s v="United States"/>
    <s v="Miami"/>
    <s v="Florida"/>
    <s v="South"/>
    <x v="1"/>
    <x v="13"/>
    <s v="Acco Banker's Clasps, 5 3/4&quot;-Long"/>
    <x v="2721"/>
    <n v="3"/>
    <n v="0.2"/>
    <n v="2.3328000000000002"/>
  </r>
  <r>
    <n v="3775"/>
    <x v="909"/>
    <x v="2"/>
    <x v="3"/>
    <d v="2011-04-13T00:00:00"/>
    <n v="2"/>
    <x v="0"/>
    <s v="Jay Kimmel"/>
    <x v="0"/>
    <s v="United States"/>
    <s v="Miami"/>
    <s v="Florida"/>
    <s v="South"/>
    <x v="2"/>
    <x v="11"/>
    <s v="Logitech Wireless Gaming Headset G930"/>
    <x v="2885"/>
    <n v="3"/>
    <n v="0.2"/>
    <n v="81.594899999999996"/>
  </r>
  <r>
    <n v="3776"/>
    <x v="909"/>
    <x v="2"/>
    <x v="3"/>
    <d v="2011-04-13T00:00:00"/>
    <n v="2"/>
    <x v="0"/>
    <s v="Jay Kimmel"/>
    <x v="0"/>
    <s v="United States"/>
    <s v="Miami"/>
    <s v="Florida"/>
    <s v="South"/>
    <x v="1"/>
    <x v="10"/>
    <s v="Xerox 224"/>
    <x v="559"/>
    <n v="2"/>
    <n v="0.2"/>
    <n v="3.6288"/>
  </r>
  <r>
    <n v="3777"/>
    <x v="909"/>
    <x v="2"/>
    <x v="3"/>
    <d v="2011-04-13T00:00:00"/>
    <n v="2"/>
    <x v="0"/>
    <s v="Jay Kimmel"/>
    <x v="0"/>
    <s v="United States"/>
    <s v="Miami"/>
    <s v="Florida"/>
    <s v="South"/>
    <x v="2"/>
    <x v="11"/>
    <s v="Logitech Wireless Anywhere Mouse MX for PC and Mac"/>
    <x v="2886"/>
    <n v="7"/>
    <n v="0.2"/>
    <n v="41.993000000000002"/>
  </r>
  <r>
    <n v="3778"/>
    <x v="910"/>
    <x v="1"/>
    <x v="5"/>
    <d v="2012-05-08T00:00:00"/>
    <n v="5"/>
    <x v="1"/>
    <s v="Julia Barnett"/>
    <x v="2"/>
    <s v="United States"/>
    <s v="Chula Vista"/>
    <s v="California"/>
    <s v="West"/>
    <x v="0"/>
    <x v="5"/>
    <s v="Rubbermaid ClusterMat Chairmats, Mat Size- 66&quot; x 60&quot;, Lip 20&quot; x 11&quot; -90 Degree Angle"/>
    <x v="16"/>
    <n v="6"/>
    <n v="0"/>
    <n v="106.5408"/>
  </r>
  <r>
    <n v="3779"/>
    <x v="329"/>
    <x v="3"/>
    <x v="4"/>
    <d v="2014-12-03T00:00:00"/>
    <n v="2"/>
    <x v="0"/>
    <s v="Parhena Norris"/>
    <x v="2"/>
    <s v="United States"/>
    <s v="Miami"/>
    <s v="Florida"/>
    <s v="South"/>
    <x v="2"/>
    <x v="7"/>
    <s v="OtterBox Defender Series Case - Samsung Galaxy S4"/>
    <x v="973"/>
    <n v="3"/>
    <n v="0.2"/>
    <n v="8.9969999999999999"/>
  </r>
  <r>
    <n v="3780"/>
    <x v="911"/>
    <x v="3"/>
    <x v="11"/>
    <d v="2014-02-21T00:00:00"/>
    <n v="4"/>
    <x v="1"/>
    <s v="Luke Foster"/>
    <x v="0"/>
    <s v="United States"/>
    <s v="New York City"/>
    <s v="New York"/>
    <s v="East"/>
    <x v="1"/>
    <x v="10"/>
    <s v="Xerox 1912"/>
    <x v="2428"/>
    <n v="2"/>
    <n v="0"/>
    <n v="18.211200000000002"/>
  </r>
  <r>
    <n v="3781"/>
    <x v="912"/>
    <x v="2"/>
    <x v="0"/>
    <d v="2011-11-20T00:00:00"/>
    <n v="4"/>
    <x v="1"/>
    <s v="Rick Huthwaite"/>
    <x v="2"/>
    <s v="United States"/>
    <s v="Manhattan"/>
    <s v="Kansas"/>
    <s v="Central"/>
    <x v="2"/>
    <x v="7"/>
    <s v="Jawbone MINI JAMBOX Wireless Bluetooth Speaker"/>
    <x v="2887"/>
    <n v="2"/>
    <n v="0"/>
    <n v="10.958399999999999"/>
  </r>
  <r>
    <n v="3782"/>
    <x v="584"/>
    <x v="1"/>
    <x v="7"/>
    <d v="2012-07-14T00:00:00"/>
    <n v="5"/>
    <x v="0"/>
    <s v="Matt Collins"/>
    <x v="0"/>
    <s v="United States"/>
    <s v="Philadelphia"/>
    <s v="Pennsylvania"/>
    <s v="East"/>
    <x v="2"/>
    <x v="7"/>
    <s v="Panasonic KX-TG9541B DECT 6.0 Digital 2-Line Expandable Cordless Phone With Digital Answering System"/>
    <x v="2888"/>
    <n v="3"/>
    <n v="0.4"/>
    <n v="40.497300000000003"/>
  </r>
  <r>
    <n v="3783"/>
    <x v="38"/>
    <x v="3"/>
    <x v="0"/>
    <d v="2014-11-17T00:00:00"/>
    <n v="3"/>
    <x v="0"/>
    <s v="Michael Nguyen"/>
    <x v="0"/>
    <s v="United States"/>
    <s v="Memphis"/>
    <s v="Tennessee"/>
    <s v="South"/>
    <x v="1"/>
    <x v="10"/>
    <s v="&quot;While you Were Out&quot; Message Book, One Form per Page"/>
    <x v="821"/>
    <n v="3"/>
    <n v="0.2"/>
    <n v="3.339"/>
  </r>
  <r>
    <n v="3784"/>
    <x v="38"/>
    <x v="3"/>
    <x v="0"/>
    <d v="2014-11-17T00:00:00"/>
    <n v="3"/>
    <x v="0"/>
    <s v="Michael Nguyen"/>
    <x v="0"/>
    <s v="United States"/>
    <s v="Memphis"/>
    <s v="Tennessee"/>
    <s v="South"/>
    <x v="1"/>
    <x v="4"/>
    <s v="Tennsco Double-Tier Lockers"/>
    <x v="2889"/>
    <n v="4"/>
    <n v="0.2"/>
    <n v="-63.005600000000001"/>
  </r>
  <r>
    <n v="3785"/>
    <x v="689"/>
    <x v="3"/>
    <x v="6"/>
    <d v="2014-08-05T00:00:00"/>
    <n v="4"/>
    <x v="1"/>
    <s v="Eugene Hildebrand"/>
    <x v="2"/>
    <s v="United States"/>
    <s v="Fort Lauderdale"/>
    <s v="Florida"/>
    <s v="South"/>
    <x v="2"/>
    <x v="11"/>
    <s v="TRENDnet 56K USB 2.0 Phone, Internet and Fax Modem"/>
    <x v="2890"/>
    <n v="2"/>
    <n v="0.2"/>
    <n v="8.2848000000000006"/>
  </r>
  <r>
    <n v="3786"/>
    <x v="377"/>
    <x v="3"/>
    <x v="4"/>
    <d v="2014-12-31T00:00:00"/>
    <n v="4"/>
    <x v="1"/>
    <s v="Tracy Collins"/>
    <x v="2"/>
    <s v="United States"/>
    <s v="Columbus"/>
    <s v="Ohio"/>
    <s v="East"/>
    <x v="1"/>
    <x v="8"/>
    <s v="Acco Economy Flexible Poly Round Ring Binder"/>
    <x v="2891"/>
    <n v="2"/>
    <n v="0.7"/>
    <n v="-2.61"/>
  </r>
  <r>
    <n v="3787"/>
    <x v="731"/>
    <x v="0"/>
    <x v="0"/>
    <d v="2013-11-05T00:00:00"/>
    <n v="4"/>
    <x v="1"/>
    <s v="Jonathan Doherty"/>
    <x v="1"/>
    <s v="United States"/>
    <s v="Los Angeles"/>
    <s v="California"/>
    <s v="West"/>
    <x v="1"/>
    <x v="4"/>
    <s v="Dual Level, Single-Width Filing Carts"/>
    <x v="2892"/>
    <n v="7"/>
    <n v="0"/>
    <n v="282.20920000000001"/>
  </r>
  <r>
    <n v="3788"/>
    <x v="913"/>
    <x v="0"/>
    <x v="8"/>
    <d v="2013-09-10T00:00:00"/>
    <n v="5"/>
    <x v="1"/>
    <s v="Ivan Liston"/>
    <x v="0"/>
    <s v="United States"/>
    <s v="Houston"/>
    <s v="Texas"/>
    <s v="Central"/>
    <x v="1"/>
    <x v="6"/>
    <s v="Faber Castell Col-Erase Pencils"/>
    <x v="2893"/>
    <n v="1"/>
    <n v="0.2"/>
    <n v="1.0268999999999999"/>
  </r>
  <r>
    <n v="3789"/>
    <x v="913"/>
    <x v="0"/>
    <x v="8"/>
    <d v="2013-09-10T00:00:00"/>
    <n v="5"/>
    <x v="1"/>
    <s v="Ivan Liston"/>
    <x v="0"/>
    <s v="United States"/>
    <s v="Houston"/>
    <s v="Texas"/>
    <s v="Central"/>
    <x v="1"/>
    <x v="6"/>
    <s v="BOSTON Ranger #55 Pencil Sharpener, Black"/>
    <x v="2894"/>
    <n v="3"/>
    <n v="0.2"/>
    <n v="7.0172999999999996"/>
  </r>
  <r>
    <n v="3790"/>
    <x v="764"/>
    <x v="0"/>
    <x v="3"/>
    <d v="2013-04-22T00:00:00"/>
    <n v="4"/>
    <x v="1"/>
    <s v="Sean Wendt"/>
    <x v="2"/>
    <s v="United States"/>
    <s v="Omaha"/>
    <s v="Nebraska"/>
    <s v="Central"/>
    <x v="1"/>
    <x v="13"/>
    <s v="Advantus Push Pins, Aluminum Head"/>
    <x v="2895"/>
    <n v="5"/>
    <n v="0"/>
    <n v="9.0054999999999996"/>
  </r>
  <r>
    <n v="3791"/>
    <x v="260"/>
    <x v="2"/>
    <x v="7"/>
    <d v="2011-07-11T00:00:00"/>
    <n v="6"/>
    <x v="1"/>
    <s v="Dennis Pardue"/>
    <x v="2"/>
    <s v="United States"/>
    <s v="Los Angeles"/>
    <s v="California"/>
    <s v="West"/>
    <x v="1"/>
    <x v="8"/>
    <s v="Vinyl Sectional Post Binders"/>
    <x v="2131"/>
    <n v="6"/>
    <n v="0.2"/>
    <n v="67.86"/>
  </r>
  <r>
    <n v="3792"/>
    <x v="914"/>
    <x v="1"/>
    <x v="11"/>
    <d v="2012-02-28T00:00:00"/>
    <n v="1"/>
    <x v="2"/>
    <s v="Bill Tyler"/>
    <x v="1"/>
    <s v="United States"/>
    <s v="Altoona"/>
    <s v="Pennsylvania"/>
    <s v="East"/>
    <x v="1"/>
    <x v="8"/>
    <s v="Pressboard Covers with Storage Hooks, 9 1/2&quot; x 11&quot;, Light Blue"/>
    <x v="2896"/>
    <n v="3"/>
    <n v="0.7"/>
    <n v="-3.3879000000000001"/>
  </r>
  <r>
    <n v="3793"/>
    <x v="914"/>
    <x v="1"/>
    <x v="11"/>
    <d v="2012-02-28T00:00:00"/>
    <n v="1"/>
    <x v="2"/>
    <s v="Bill Tyler"/>
    <x v="1"/>
    <s v="United States"/>
    <s v="Altoona"/>
    <s v="Pennsylvania"/>
    <s v="East"/>
    <x v="1"/>
    <x v="6"/>
    <s v="Eldon Spacemaker Box, Quick-Snap Lid, Clear"/>
    <x v="2897"/>
    <n v="6"/>
    <n v="0.2"/>
    <n v="2.2044000000000001"/>
  </r>
  <r>
    <n v="3794"/>
    <x v="154"/>
    <x v="1"/>
    <x v="0"/>
    <d v="2012-12-01T00:00:00"/>
    <n v="4"/>
    <x v="1"/>
    <s v="Jeremy Ellison"/>
    <x v="0"/>
    <s v="United States"/>
    <s v="New York City"/>
    <s v="New York"/>
    <s v="East"/>
    <x v="1"/>
    <x v="6"/>
    <s v="Peel-Off China Markers"/>
    <x v="1400"/>
    <n v="3"/>
    <n v="0"/>
    <n v="12.511799999999999"/>
  </r>
  <r>
    <n v="3795"/>
    <x v="915"/>
    <x v="2"/>
    <x v="9"/>
    <d v="2011-02-03T00:00:00"/>
    <n v="6"/>
    <x v="1"/>
    <s v="Ed Jacobs"/>
    <x v="0"/>
    <s v="United States"/>
    <s v="San Diego"/>
    <s v="California"/>
    <s v="West"/>
    <x v="1"/>
    <x v="4"/>
    <s v="Recycled Steel Personal File for Hanging File Folders"/>
    <x v="2898"/>
    <n v="1"/>
    <n v="0"/>
    <n v="14.307499999999999"/>
  </r>
  <r>
    <n v="3796"/>
    <x v="915"/>
    <x v="2"/>
    <x v="9"/>
    <d v="2011-02-03T00:00:00"/>
    <n v="6"/>
    <x v="1"/>
    <s v="Ed Jacobs"/>
    <x v="0"/>
    <s v="United States"/>
    <s v="San Diego"/>
    <s v="California"/>
    <s v="West"/>
    <x v="0"/>
    <x v="3"/>
    <s v="Balt Split Level Computer Training Table"/>
    <x v="2899"/>
    <n v="3"/>
    <n v="0.2"/>
    <n v="-16.649999999999999"/>
  </r>
  <r>
    <n v="3797"/>
    <x v="915"/>
    <x v="2"/>
    <x v="9"/>
    <d v="2011-02-03T00:00:00"/>
    <n v="6"/>
    <x v="1"/>
    <s v="Ed Jacobs"/>
    <x v="0"/>
    <s v="United States"/>
    <s v="San Diego"/>
    <s v="California"/>
    <s v="West"/>
    <x v="1"/>
    <x v="6"/>
    <s v="Dixon Ticonderoga Core-Lock Colored Pencils"/>
    <x v="2900"/>
    <n v="4"/>
    <n v="0"/>
    <n v="12.0252"/>
  </r>
  <r>
    <n v="3798"/>
    <x v="397"/>
    <x v="3"/>
    <x v="8"/>
    <d v="2014-09-27T00:00:00"/>
    <n v="3"/>
    <x v="2"/>
    <s v="Bobby Elias"/>
    <x v="0"/>
    <s v="United States"/>
    <s v="Miami"/>
    <s v="Florida"/>
    <s v="South"/>
    <x v="1"/>
    <x v="10"/>
    <s v="Xerox 1941"/>
    <x v="1140"/>
    <n v="3"/>
    <n v="0.2"/>
    <n v="88.073999999999998"/>
  </r>
  <r>
    <n v="3799"/>
    <x v="259"/>
    <x v="3"/>
    <x v="0"/>
    <d v="2014-11-06T00:00:00"/>
    <n v="1"/>
    <x v="2"/>
    <s v="Kelly Lampkin"/>
    <x v="1"/>
    <s v="United States"/>
    <s v="Greensboro"/>
    <s v="North Carolina"/>
    <s v="South"/>
    <x v="0"/>
    <x v="3"/>
    <s v="Hon 5100 Series Wood Tables"/>
    <x v="2901"/>
    <n v="3"/>
    <n v="0.4"/>
    <n v="-192.04679999999999"/>
  </r>
  <r>
    <n v="3800"/>
    <x v="259"/>
    <x v="3"/>
    <x v="0"/>
    <d v="2014-11-06T00:00:00"/>
    <n v="1"/>
    <x v="2"/>
    <s v="Kelly Lampkin"/>
    <x v="1"/>
    <s v="United States"/>
    <s v="Greensboro"/>
    <s v="North Carolina"/>
    <s v="South"/>
    <x v="2"/>
    <x v="7"/>
    <s v="Motorola Moto X"/>
    <x v="2902"/>
    <n v="5"/>
    <n v="0.2"/>
    <n v="118.9965"/>
  </r>
  <r>
    <n v="3801"/>
    <x v="500"/>
    <x v="0"/>
    <x v="2"/>
    <d v="2013-10-21T00:00:00"/>
    <n v="6"/>
    <x v="1"/>
    <s v="Nathan Cano"/>
    <x v="0"/>
    <s v="United States"/>
    <s v="Jacksonville"/>
    <s v="North Carolina"/>
    <s v="South"/>
    <x v="0"/>
    <x v="1"/>
    <s v="SAFCO Folding Chair Trolley"/>
    <x v="2903"/>
    <n v="1"/>
    <n v="0.2"/>
    <n v="10.2592"/>
  </r>
  <r>
    <n v="3802"/>
    <x v="500"/>
    <x v="0"/>
    <x v="2"/>
    <d v="2013-10-21T00:00:00"/>
    <n v="6"/>
    <x v="1"/>
    <s v="Nathan Cano"/>
    <x v="0"/>
    <s v="United States"/>
    <s v="Jacksonville"/>
    <s v="North Carolina"/>
    <s v="South"/>
    <x v="2"/>
    <x v="11"/>
    <s v="Maxell 4.7GB DVD-R"/>
    <x v="216"/>
    <n v="1"/>
    <n v="0.2"/>
    <n v="5.9598000000000004"/>
  </r>
  <r>
    <n v="3803"/>
    <x v="500"/>
    <x v="0"/>
    <x v="2"/>
    <d v="2013-10-21T00:00:00"/>
    <n v="6"/>
    <x v="1"/>
    <s v="Nathan Cano"/>
    <x v="0"/>
    <s v="United States"/>
    <s v="Jacksonville"/>
    <s v="North Carolina"/>
    <s v="South"/>
    <x v="1"/>
    <x v="10"/>
    <s v="Xerox 1944"/>
    <x v="2502"/>
    <n v="3"/>
    <n v="0.2"/>
    <n v="33.721200000000003"/>
  </r>
  <r>
    <n v="3804"/>
    <x v="500"/>
    <x v="0"/>
    <x v="2"/>
    <d v="2013-10-21T00:00:00"/>
    <n v="6"/>
    <x v="1"/>
    <s v="Nathan Cano"/>
    <x v="0"/>
    <s v="United States"/>
    <s v="Jacksonville"/>
    <s v="North Carolina"/>
    <s v="South"/>
    <x v="1"/>
    <x v="14"/>
    <s v="Staples"/>
    <x v="2543"/>
    <n v="2"/>
    <n v="0.2"/>
    <n v="1.4363999999999999"/>
  </r>
  <r>
    <n v="3805"/>
    <x v="500"/>
    <x v="0"/>
    <x v="2"/>
    <d v="2013-10-21T00:00:00"/>
    <n v="6"/>
    <x v="1"/>
    <s v="Nathan Cano"/>
    <x v="0"/>
    <s v="United States"/>
    <s v="Jacksonville"/>
    <s v="North Carolina"/>
    <s v="South"/>
    <x v="1"/>
    <x v="12"/>
    <s v="White Business Envelopes with Contemporary Seam, Recycled White Business Envelopes"/>
    <x v="2904"/>
    <n v="4"/>
    <n v="0.2"/>
    <n v="13.128"/>
  </r>
  <r>
    <n v="3806"/>
    <x v="500"/>
    <x v="0"/>
    <x v="2"/>
    <d v="2013-10-21T00:00:00"/>
    <n v="6"/>
    <x v="1"/>
    <s v="Nathan Cano"/>
    <x v="0"/>
    <s v="United States"/>
    <s v="Jacksonville"/>
    <s v="North Carolina"/>
    <s v="South"/>
    <x v="1"/>
    <x v="10"/>
    <s v="Xerox 1916"/>
    <x v="2905"/>
    <n v="1"/>
    <n v="0.2"/>
    <n v="14.682"/>
  </r>
  <r>
    <n v="3807"/>
    <x v="768"/>
    <x v="1"/>
    <x v="0"/>
    <d v="2012-11-19T00:00:00"/>
    <n v="7"/>
    <x v="1"/>
    <s v="Anna Häberlin"/>
    <x v="1"/>
    <s v="United States"/>
    <s v="Plantation"/>
    <s v="Florida"/>
    <s v="South"/>
    <x v="1"/>
    <x v="6"/>
    <s v="Newell 317"/>
    <x v="2660"/>
    <n v="5"/>
    <n v="0.2"/>
    <n v="1.323"/>
  </r>
  <r>
    <n v="3808"/>
    <x v="768"/>
    <x v="1"/>
    <x v="0"/>
    <d v="2012-11-19T00:00:00"/>
    <n v="7"/>
    <x v="1"/>
    <s v="Anna Häberlin"/>
    <x v="1"/>
    <s v="United States"/>
    <s v="Plantation"/>
    <s v="Florida"/>
    <s v="South"/>
    <x v="1"/>
    <x v="8"/>
    <s v="Wilson Jones Leather-Like Binders with DublLock Round Rings"/>
    <x v="2906"/>
    <n v="2"/>
    <n v="0.7"/>
    <n v="-4.0157999999999996"/>
  </r>
  <r>
    <n v="3809"/>
    <x v="768"/>
    <x v="1"/>
    <x v="0"/>
    <d v="2012-11-19T00:00:00"/>
    <n v="7"/>
    <x v="1"/>
    <s v="Anna Häberlin"/>
    <x v="1"/>
    <s v="United States"/>
    <s v="Plantation"/>
    <s v="Florida"/>
    <s v="South"/>
    <x v="1"/>
    <x v="8"/>
    <s v="SlimView Poly Binder, 3/8&quot;"/>
    <x v="2907"/>
    <n v="3"/>
    <n v="0.7"/>
    <n v="-3.7296"/>
  </r>
  <r>
    <n v="3810"/>
    <x v="768"/>
    <x v="1"/>
    <x v="0"/>
    <d v="2012-11-19T00:00:00"/>
    <n v="7"/>
    <x v="1"/>
    <s v="Anna Häberlin"/>
    <x v="1"/>
    <s v="United States"/>
    <s v="Plantation"/>
    <s v="Florida"/>
    <s v="South"/>
    <x v="0"/>
    <x v="1"/>
    <s v="Office Star - Contemporary Task Swivel chair with Loop Arms, Charcoal"/>
    <x v="2908"/>
    <n v="5"/>
    <n v="0.2"/>
    <n v="-72.039000000000001"/>
  </r>
  <r>
    <n v="3811"/>
    <x v="768"/>
    <x v="1"/>
    <x v="0"/>
    <d v="2012-11-19T00:00:00"/>
    <n v="7"/>
    <x v="1"/>
    <s v="Anna Häberlin"/>
    <x v="1"/>
    <s v="United States"/>
    <s v="Plantation"/>
    <s v="Florida"/>
    <s v="South"/>
    <x v="2"/>
    <x v="7"/>
    <s v="VTech DS6151"/>
    <x v="515"/>
    <n v="1"/>
    <n v="0.2"/>
    <n v="10.0792"/>
  </r>
  <r>
    <n v="3812"/>
    <x v="768"/>
    <x v="1"/>
    <x v="0"/>
    <d v="2012-11-19T00:00:00"/>
    <n v="7"/>
    <x v="1"/>
    <s v="Anna Häberlin"/>
    <x v="1"/>
    <s v="United States"/>
    <s v="Plantation"/>
    <s v="Florida"/>
    <s v="South"/>
    <x v="0"/>
    <x v="1"/>
    <s v="Global Push Button Manager's Chair, Indigo"/>
    <x v="2909"/>
    <n v="3"/>
    <n v="0.2"/>
    <n v="16.440300000000001"/>
  </r>
  <r>
    <n v="3813"/>
    <x v="916"/>
    <x v="3"/>
    <x v="10"/>
    <d v="2014-03-06T00:00:00"/>
    <n v="0"/>
    <x v="3"/>
    <s v="Pete Kriz"/>
    <x v="0"/>
    <s v="United States"/>
    <s v="Milwaukee"/>
    <s v="Wisconsin"/>
    <s v="Central"/>
    <x v="1"/>
    <x v="2"/>
    <s v="Avery 515"/>
    <x v="2910"/>
    <n v="2"/>
    <n v="0"/>
    <n v="11.7782"/>
  </r>
  <r>
    <n v="3814"/>
    <x v="599"/>
    <x v="1"/>
    <x v="0"/>
    <d v="2012-11-09T00:00:00"/>
    <n v="4"/>
    <x v="1"/>
    <s v="Nathan Gelder"/>
    <x v="0"/>
    <s v="United States"/>
    <s v="Quincy"/>
    <s v="Illinois"/>
    <s v="Central"/>
    <x v="1"/>
    <x v="2"/>
    <s v="Avery 476"/>
    <x v="2911"/>
    <n v="6"/>
    <n v="0.2"/>
    <n v="6.4428000000000001"/>
  </r>
  <r>
    <n v="3815"/>
    <x v="630"/>
    <x v="0"/>
    <x v="7"/>
    <d v="2013-07-09T00:00:00"/>
    <n v="0"/>
    <x v="3"/>
    <s v="Zuschuss Donatelli"/>
    <x v="0"/>
    <s v="United States"/>
    <s v="Jacksonville"/>
    <s v="Florida"/>
    <s v="South"/>
    <x v="2"/>
    <x v="7"/>
    <s v="Jabra SPEAK 410 Multidevice Speakerphone"/>
    <x v="2912"/>
    <n v="5"/>
    <n v="0.2"/>
    <n v="51.497500000000002"/>
  </r>
  <r>
    <n v="3816"/>
    <x v="630"/>
    <x v="0"/>
    <x v="7"/>
    <d v="2013-07-09T00:00:00"/>
    <n v="0"/>
    <x v="3"/>
    <s v="Zuschuss Donatelli"/>
    <x v="0"/>
    <s v="United States"/>
    <s v="Jacksonville"/>
    <s v="Florida"/>
    <s v="South"/>
    <x v="1"/>
    <x v="10"/>
    <s v="Xerox 1921"/>
    <x v="2913"/>
    <n v="2"/>
    <n v="0.2"/>
    <n v="4.9950000000000001"/>
  </r>
  <r>
    <n v="3817"/>
    <x v="426"/>
    <x v="1"/>
    <x v="8"/>
    <d v="2012-09-19T00:00:00"/>
    <n v="4"/>
    <x v="1"/>
    <s v="Natalie Webber"/>
    <x v="0"/>
    <s v="United States"/>
    <s v="Mobile"/>
    <s v="Alabama"/>
    <s v="South"/>
    <x v="0"/>
    <x v="3"/>
    <s v="Bretford CR8500 Series Meeting Room Furniture"/>
    <x v="2770"/>
    <n v="2"/>
    <n v="0"/>
    <n v="200.49"/>
  </r>
  <r>
    <n v="3818"/>
    <x v="426"/>
    <x v="1"/>
    <x v="8"/>
    <d v="2012-09-19T00:00:00"/>
    <n v="4"/>
    <x v="1"/>
    <s v="Natalie Webber"/>
    <x v="0"/>
    <s v="United States"/>
    <s v="Mobile"/>
    <s v="Alabama"/>
    <s v="South"/>
    <x v="2"/>
    <x v="7"/>
    <s v="Anker Astro Mini 3000mAh Ultra-Compact Portable Charger"/>
    <x v="127"/>
    <n v="3"/>
    <n v="0"/>
    <n v="0"/>
  </r>
  <r>
    <n v="3819"/>
    <x v="426"/>
    <x v="1"/>
    <x v="8"/>
    <d v="2012-09-19T00:00:00"/>
    <n v="4"/>
    <x v="1"/>
    <s v="Natalie Webber"/>
    <x v="0"/>
    <s v="United States"/>
    <s v="Mobile"/>
    <s v="Alabama"/>
    <s v="South"/>
    <x v="0"/>
    <x v="1"/>
    <s v="Global Manager's Adjustable Task Chair, Storm"/>
    <x v="2914"/>
    <n v="7"/>
    <n v="0"/>
    <n v="306.48939999999999"/>
  </r>
  <r>
    <n v="3820"/>
    <x v="449"/>
    <x v="3"/>
    <x v="2"/>
    <d v="2014-10-15T00:00:00"/>
    <n v="5"/>
    <x v="1"/>
    <s v="Harry Greene"/>
    <x v="0"/>
    <s v="United States"/>
    <s v="New York City"/>
    <s v="New York"/>
    <s v="East"/>
    <x v="1"/>
    <x v="8"/>
    <s v="Pressboard Data Binders by Wilson Jones"/>
    <x v="2915"/>
    <n v="3"/>
    <n v="0.2"/>
    <n v="4.3254000000000001"/>
  </r>
  <r>
    <n v="3821"/>
    <x v="449"/>
    <x v="3"/>
    <x v="2"/>
    <d v="2014-10-15T00:00:00"/>
    <n v="5"/>
    <x v="1"/>
    <s v="Harry Greene"/>
    <x v="0"/>
    <s v="United States"/>
    <s v="New York City"/>
    <s v="New York"/>
    <s v="East"/>
    <x v="0"/>
    <x v="0"/>
    <s v="O'Sullivan Elevations Bookcase, Cherry Finish"/>
    <x v="2317"/>
    <n v="3"/>
    <n v="0.2"/>
    <n v="-15.717599999999999"/>
  </r>
  <r>
    <n v="3822"/>
    <x v="449"/>
    <x v="3"/>
    <x v="2"/>
    <d v="2014-10-15T00:00:00"/>
    <n v="5"/>
    <x v="1"/>
    <s v="Harry Greene"/>
    <x v="0"/>
    <s v="United States"/>
    <s v="New York City"/>
    <s v="New York"/>
    <s v="East"/>
    <x v="1"/>
    <x v="10"/>
    <s v="TOPS 4 x 6 Fluorescent Color Memo Sheets, 500 Sheets per Pack"/>
    <x v="2916"/>
    <n v="2"/>
    <n v="0"/>
    <n v="8.9206000000000003"/>
  </r>
  <r>
    <n v="3823"/>
    <x v="449"/>
    <x v="3"/>
    <x v="2"/>
    <d v="2014-10-15T00:00:00"/>
    <n v="5"/>
    <x v="1"/>
    <s v="Harry Greene"/>
    <x v="0"/>
    <s v="United States"/>
    <s v="New York City"/>
    <s v="New York"/>
    <s v="East"/>
    <x v="1"/>
    <x v="8"/>
    <s v="Durable Pressboard Binders"/>
    <x v="2556"/>
    <n v="6"/>
    <n v="0.2"/>
    <n v="6.1559999999999997"/>
  </r>
  <r>
    <n v="3824"/>
    <x v="471"/>
    <x v="1"/>
    <x v="8"/>
    <d v="2012-09-18T00:00:00"/>
    <n v="4"/>
    <x v="1"/>
    <s v="Craig Carroll"/>
    <x v="0"/>
    <s v="United States"/>
    <s v="New York City"/>
    <s v="New York"/>
    <s v="East"/>
    <x v="1"/>
    <x v="4"/>
    <s v="Economy Rollaway Files"/>
    <x v="2917"/>
    <n v="6"/>
    <n v="0"/>
    <n v="257.71199999999999"/>
  </r>
  <r>
    <n v="3825"/>
    <x v="471"/>
    <x v="1"/>
    <x v="8"/>
    <d v="2012-09-18T00:00:00"/>
    <n v="4"/>
    <x v="1"/>
    <s v="Craig Carroll"/>
    <x v="0"/>
    <s v="United States"/>
    <s v="New York City"/>
    <s v="New York"/>
    <s v="East"/>
    <x v="2"/>
    <x v="16"/>
    <s v="Sharp 1540cs Digital Laser Copier"/>
    <x v="2873"/>
    <n v="2"/>
    <n v="0.2"/>
    <n v="329.99400000000003"/>
  </r>
  <r>
    <n v="3826"/>
    <x v="471"/>
    <x v="1"/>
    <x v="8"/>
    <d v="2012-09-18T00:00:00"/>
    <n v="4"/>
    <x v="1"/>
    <s v="Craig Carroll"/>
    <x v="0"/>
    <s v="United States"/>
    <s v="New York City"/>
    <s v="New York"/>
    <s v="East"/>
    <x v="1"/>
    <x v="8"/>
    <s v="Wilson Jones Easy Flow II Sheet Lifters"/>
    <x v="91"/>
    <n v="9"/>
    <n v="0.2"/>
    <n v="4.5359999999999996"/>
  </r>
  <r>
    <n v="3827"/>
    <x v="273"/>
    <x v="2"/>
    <x v="2"/>
    <d v="2011-10-12T00:00:00"/>
    <n v="5"/>
    <x v="1"/>
    <s v="John Grady"/>
    <x v="1"/>
    <s v="United States"/>
    <s v="Dallas"/>
    <s v="Texas"/>
    <s v="Central"/>
    <x v="1"/>
    <x v="4"/>
    <s v="Fellowes Personal Hanging Folder Files, Navy"/>
    <x v="2025"/>
    <n v="10"/>
    <n v="0.2"/>
    <n v="10.744"/>
  </r>
  <r>
    <n v="3828"/>
    <x v="917"/>
    <x v="3"/>
    <x v="5"/>
    <d v="2014-05-12T00:00:00"/>
    <n v="4"/>
    <x v="1"/>
    <s v="Rick Wilson"/>
    <x v="1"/>
    <s v="United States"/>
    <s v="Detroit"/>
    <s v="Michigan"/>
    <s v="Central"/>
    <x v="0"/>
    <x v="1"/>
    <s v="Hon 4070 Series Pagoda Armless Upholstered Stacking Chairs"/>
    <x v="2918"/>
    <n v="5"/>
    <n v="0"/>
    <n v="423.00850000000003"/>
  </r>
  <r>
    <n v="3829"/>
    <x v="917"/>
    <x v="3"/>
    <x v="5"/>
    <d v="2014-05-12T00:00:00"/>
    <n v="4"/>
    <x v="1"/>
    <s v="Rick Wilson"/>
    <x v="1"/>
    <s v="United States"/>
    <s v="Detroit"/>
    <s v="Michigan"/>
    <s v="Central"/>
    <x v="0"/>
    <x v="1"/>
    <s v="SAFCO Optional Arm Kit for Workspace Cribbage Stacking Chair"/>
    <x v="2919"/>
    <n v="1"/>
    <n v="0"/>
    <n v="7.4592000000000001"/>
  </r>
  <r>
    <n v="3830"/>
    <x v="917"/>
    <x v="3"/>
    <x v="5"/>
    <d v="2014-05-12T00:00:00"/>
    <n v="4"/>
    <x v="1"/>
    <s v="Rick Wilson"/>
    <x v="1"/>
    <s v="United States"/>
    <s v="Detroit"/>
    <s v="Michigan"/>
    <s v="Central"/>
    <x v="0"/>
    <x v="1"/>
    <s v="Safco Contoured Stacking Chairs"/>
    <x v="2920"/>
    <n v="2"/>
    <n v="0"/>
    <n v="119.2"/>
  </r>
  <r>
    <n v="3831"/>
    <x v="917"/>
    <x v="3"/>
    <x v="5"/>
    <d v="2014-05-12T00:00:00"/>
    <n v="4"/>
    <x v="1"/>
    <s v="Rick Wilson"/>
    <x v="1"/>
    <s v="United States"/>
    <s v="Detroit"/>
    <s v="Michigan"/>
    <s v="Central"/>
    <x v="1"/>
    <x v="9"/>
    <s v="Belkin Premiere Surge Master II 8-outlet surge protector"/>
    <x v="2921"/>
    <n v="2"/>
    <n v="0.1"/>
    <n v="18.4604"/>
  </r>
  <r>
    <n v="3832"/>
    <x v="717"/>
    <x v="1"/>
    <x v="0"/>
    <d v="2012-11-19T00:00:00"/>
    <n v="5"/>
    <x v="1"/>
    <s v="Lycoris Saunders"/>
    <x v="0"/>
    <s v="United States"/>
    <s v="Dover"/>
    <s v="Delaware"/>
    <s v="East"/>
    <x v="0"/>
    <x v="5"/>
    <s v="Executive Impressions 13&quot; Chairman Wall Clock"/>
    <x v="2922"/>
    <n v="3"/>
    <n v="0"/>
    <n v="26.649000000000001"/>
  </r>
  <r>
    <n v="3833"/>
    <x v="717"/>
    <x v="1"/>
    <x v="0"/>
    <d v="2012-11-19T00:00:00"/>
    <n v="5"/>
    <x v="1"/>
    <s v="Lycoris Saunders"/>
    <x v="0"/>
    <s v="United States"/>
    <s v="Dover"/>
    <s v="Delaware"/>
    <s v="East"/>
    <x v="1"/>
    <x v="8"/>
    <s v="Avery Framed View Binder, EZD Ring (Locking), Navy, 1 1/2&quot;"/>
    <x v="2923"/>
    <n v="2"/>
    <n v="0"/>
    <n v="9.3811999999999998"/>
  </r>
  <r>
    <n v="3834"/>
    <x v="156"/>
    <x v="2"/>
    <x v="0"/>
    <d v="2011-11-24T00:00:00"/>
    <n v="0"/>
    <x v="3"/>
    <s v="Muhammed Yedwab"/>
    <x v="1"/>
    <s v="United States"/>
    <s v="Columbus"/>
    <s v="Ohio"/>
    <s v="East"/>
    <x v="2"/>
    <x v="7"/>
    <s v="Samsung Galaxy S III - 16GB - pebble blue (T-Mobile)"/>
    <x v="2924"/>
    <n v="5"/>
    <n v="0.4"/>
    <n v="-209.994"/>
  </r>
  <r>
    <n v="3835"/>
    <x v="156"/>
    <x v="2"/>
    <x v="0"/>
    <d v="2011-11-24T00:00:00"/>
    <n v="0"/>
    <x v="3"/>
    <s v="Muhammed Yedwab"/>
    <x v="1"/>
    <s v="United States"/>
    <s v="Columbus"/>
    <s v="Ohio"/>
    <s v="East"/>
    <x v="0"/>
    <x v="1"/>
    <s v="Global Executive Mid-Back Manager's Chair"/>
    <x v="2925"/>
    <n v="3"/>
    <n v="0.3"/>
    <n v="-34.9176"/>
  </r>
  <r>
    <n v="3836"/>
    <x v="918"/>
    <x v="2"/>
    <x v="3"/>
    <d v="2011-04-15T00:00:00"/>
    <n v="7"/>
    <x v="1"/>
    <s v="Jim Mitchum"/>
    <x v="1"/>
    <s v="United States"/>
    <s v="Glendale"/>
    <s v="Arizona"/>
    <s v="West"/>
    <x v="1"/>
    <x v="13"/>
    <s v="Binder Clips by OIC"/>
    <x v="2926"/>
    <n v="2"/>
    <n v="0.2"/>
    <n v="0.82879999999999998"/>
  </r>
  <r>
    <n v="3837"/>
    <x v="918"/>
    <x v="2"/>
    <x v="3"/>
    <d v="2011-04-15T00:00:00"/>
    <n v="7"/>
    <x v="1"/>
    <s v="Jim Mitchum"/>
    <x v="1"/>
    <s v="United States"/>
    <s v="Glendale"/>
    <s v="Arizona"/>
    <s v="West"/>
    <x v="1"/>
    <x v="10"/>
    <s v="Things To Do Today Spiral Book"/>
    <x v="2927"/>
    <n v="3"/>
    <n v="0.2"/>
    <n v="6.8903999999999996"/>
  </r>
  <r>
    <n v="3838"/>
    <x v="711"/>
    <x v="2"/>
    <x v="7"/>
    <d v="2011-08-02T00:00:00"/>
    <n v="7"/>
    <x v="1"/>
    <s v="Kunst Miller"/>
    <x v="0"/>
    <s v="United States"/>
    <s v="North Las Vegas"/>
    <s v="Nevada"/>
    <s v="West"/>
    <x v="2"/>
    <x v="7"/>
    <s v="Apple iPhone 5S"/>
    <x v="2928"/>
    <n v="2"/>
    <n v="0.2"/>
    <n v="113.998"/>
  </r>
  <r>
    <n v="3839"/>
    <x v="711"/>
    <x v="2"/>
    <x v="7"/>
    <d v="2011-08-02T00:00:00"/>
    <n v="7"/>
    <x v="1"/>
    <s v="Kunst Miller"/>
    <x v="0"/>
    <s v="United States"/>
    <s v="North Las Vegas"/>
    <s v="Nevada"/>
    <s v="West"/>
    <x v="0"/>
    <x v="1"/>
    <s v="Hon 2090 “Pillow Soft” Series Mid Back Swivel/Tilt Chairs"/>
    <x v="2929"/>
    <n v="3"/>
    <n v="0.2"/>
    <n v="-109.5822"/>
  </r>
  <r>
    <n v="3840"/>
    <x v="711"/>
    <x v="2"/>
    <x v="7"/>
    <d v="2011-08-02T00:00:00"/>
    <n v="7"/>
    <x v="1"/>
    <s v="Kunst Miller"/>
    <x v="0"/>
    <s v="United States"/>
    <s v="North Las Vegas"/>
    <s v="Nevada"/>
    <s v="West"/>
    <x v="0"/>
    <x v="5"/>
    <s v="Tensor Computer Mounted Lamp"/>
    <x v="2930"/>
    <n v="9"/>
    <n v="0"/>
    <n v="36.182699999999997"/>
  </r>
  <r>
    <n v="3841"/>
    <x v="711"/>
    <x v="2"/>
    <x v="7"/>
    <d v="2011-08-02T00:00:00"/>
    <n v="7"/>
    <x v="1"/>
    <s v="Kunst Miller"/>
    <x v="0"/>
    <s v="United States"/>
    <s v="North Las Vegas"/>
    <s v="Nevada"/>
    <s v="West"/>
    <x v="2"/>
    <x v="11"/>
    <s v="Logitech Illuminated Ultrathin Keyboard with Backlighting"/>
    <x v="2931"/>
    <n v="3"/>
    <n v="0"/>
    <n v="70.097700000000003"/>
  </r>
  <r>
    <n v="3842"/>
    <x v="785"/>
    <x v="2"/>
    <x v="1"/>
    <d v="2011-06-12T00:00:00"/>
    <n v="4"/>
    <x v="1"/>
    <s v="Katrina Edelman"/>
    <x v="1"/>
    <s v="United States"/>
    <s v="Bristol"/>
    <s v="Tennessee"/>
    <s v="South"/>
    <x v="0"/>
    <x v="1"/>
    <s v="Situations Contoured Folding Chairs, 4/Set"/>
    <x v="2932"/>
    <n v="3"/>
    <n v="0.2"/>
    <n v="10.647"/>
  </r>
  <r>
    <n v="3843"/>
    <x v="919"/>
    <x v="2"/>
    <x v="2"/>
    <d v="2011-10-31T00:00:00"/>
    <n v="3"/>
    <x v="2"/>
    <s v="Todd Sumrall"/>
    <x v="1"/>
    <s v="United States"/>
    <s v="Los Angeles"/>
    <s v="California"/>
    <s v="West"/>
    <x v="1"/>
    <x v="8"/>
    <s v="Avery Non-Stick Binders"/>
    <x v="1576"/>
    <n v="2"/>
    <n v="0.2"/>
    <n v="2.2450000000000001"/>
  </r>
  <r>
    <n v="3844"/>
    <x v="919"/>
    <x v="2"/>
    <x v="2"/>
    <d v="2011-10-31T00:00:00"/>
    <n v="3"/>
    <x v="2"/>
    <s v="Todd Sumrall"/>
    <x v="1"/>
    <s v="United States"/>
    <s v="Los Angeles"/>
    <s v="California"/>
    <s v="West"/>
    <x v="1"/>
    <x v="14"/>
    <s v="Serrated Blade or Curved Handle Hand Letter Openers"/>
    <x v="2933"/>
    <n v="2"/>
    <n v="0"/>
    <n v="6.2799999999999995E-2"/>
  </r>
  <r>
    <n v="3845"/>
    <x v="919"/>
    <x v="2"/>
    <x v="2"/>
    <d v="2011-10-31T00:00:00"/>
    <n v="3"/>
    <x v="2"/>
    <s v="Todd Sumrall"/>
    <x v="1"/>
    <s v="United States"/>
    <s v="Los Angeles"/>
    <s v="California"/>
    <s v="West"/>
    <x v="1"/>
    <x v="14"/>
    <s v="Premier Automatic Letter Opener"/>
    <x v="2934"/>
    <n v="2"/>
    <n v="0"/>
    <n v="14.4222"/>
  </r>
  <r>
    <n v="3846"/>
    <x v="919"/>
    <x v="2"/>
    <x v="2"/>
    <d v="2011-10-31T00:00:00"/>
    <n v="3"/>
    <x v="2"/>
    <s v="Todd Sumrall"/>
    <x v="1"/>
    <s v="United States"/>
    <s v="Los Angeles"/>
    <s v="California"/>
    <s v="West"/>
    <x v="0"/>
    <x v="0"/>
    <s v="O'Sullivan Living Dimensions 2-Shelf Bookcases"/>
    <x v="2935"/>
    <n v="6"/>
    <n v="0.15"/>
    <n v="-36.293999999999997"/>
  </r>
  <r>
    <n v="3847"/>
    <x v="919"/>
    <x v="2"/>
    <x v="2"/>
    <d v="2011-10-31T00:00:00"/>
    <n v="3"/>
    <x v="2"/>
    <s v="Todd Sumrall"/>
    <x v="1"/>
    <s v="United States"/>
    <s v="Los Angeles"/>
    <s v="California"/>
    <s v="West"/>
    <x v="1"/>
    <x v="4"/>
    <s v="Eldon Portable Mobile Manager"/>
    <x v="1581"/>
    <n v="5"/>
    <n v="0"/>
    <n v="38.177999999999997"/>
  </r>
  <r>
    <n v="3848"/>
    <x v="920"/>
    <x v="3"/>
    <x v="0"/>
    <d v="2014-11-28T00:00:00"/>
    <n v="2"/>
    <x v="0"/>
    <s v="Sam Zeldin"/>
    <x v="2"/>
    <s v="United States"/>
    <s v="Canton"/>
    <s v="Michigan"/>
    <s v="Central"/>
    <x v="1"/>
    <x v="4"/>
    <s v="Office Impressions Heavy Duty Welded Shelving &amp; Multimedia Storage Drawers"/>
    <x v="875"/>
    <n v="3"/>
    <n v="0"/>
    <n v="0"/>
  </r>
  <r>
    <n v="3849"/>
    <x v="585"/>
    <x v="3"/>
    <x v="8"/>
    <d v="2014-09-24T00:00:00"/>
    <n v="1"/>
    <x v="2"/>
    <s v="Joel Eaton"/>
    <x v="0"/>
    <s v="United States"/>
    <s v="Fayetteville"/>
    <s v="Arkansas"/>
    <s v="South"/>
    <x v="1"/>
    <x v="8"/>
    <s v="Ibico EB-19 Dual Function Manual Binding System"/>
    <x v="2936"/>
    <n v="4"/>
    <n v="0"/>
    <n v="318.30160000000001"/>
  </r>
  <r>
    <n v="3850"/>
    <x v="585"/>
    <x v="3"/>
    <x v="8"/>
    <d v="2014-09-24T00:00:00"/>
    <n v="1"/>
    <x v="2"/>
    <s v="Joel Eaton"/>
    <x v="0"/>
    <s v="United States"/>
    <s v="Fayetteville"/>
    <s v="Arkansas"/>
    <s v="South"/>
    <x v="2"/>
    <x v="11"/>
    <s v="Verbatim 25 GB 6x Blu-ray Single Layer Recordable Disc, 3/Pack"/>
    <x v="2700"/>
    <n v="5"/>
    <n v="0"/>
    <n v="15.378"/>
  </r>
  <r>
    <n v="3851"/>
    <x v="784"/>
    <x v="1"/>
    <x v="4"/>
    <d v="2012-12-09T00:00:00"/>
    <n v="5"/>
    <x v="1"/>
    <s v="Michael Stewart"/>
    <x v="1"/>
    <s v="United States"/>
    <s v="Springfield"/>
    <s v="Missouri"/>
    <s v="Central"/>
    <x v="1"/>
    <x v="10"/>
    <s v="Xerox 1881"/>
    <x v="2937"/>
    <n v="7"/>
    <n v="0"/>
    <n v="40.401200000000003"/>
  </r>
  <r>
    <n v="3852"/>
    <x v="481"/>
    <x v="1"/>
    <x v="8"/>
    <d v="2012-09-21T00:00:00"/>
    <n v="0"/>
    <x v="3"/>
    <s v="Duane Huffman"/>
    <x v="2"/>
    <s v="United States"/>
    <s v="Quincy"/>
    <s v="Massachusetts"/>
    <s v="East"/>
    <x v="0"/>
    <x v="5"/>
    <s v="Deflect-o DuraMat Lighweight, Studded, Beveled Mat for Low Pile Carpeting"/>
    <x v="2938"/>
    <n v="2"/>
    <n v="0"/>
    <n v="14.500999999999999"/>
  </r>
  <r>
    <n v="3853"/>
    <x v="200"/>
    <x v="3"/>
    <x v="0"/>
    <d v="2014-11-30T00:00:00"/>
    <n v="3"/>
    <x v="2"/>
    <s v="Guy Thornton"/>
    <x v="0"/>
    <s v="United States"/>
    <s v="Rockford"/>
    <s v="Illinois"/>
    <s v="Central"/>
    <x v="1"/>
    <x v="8"/>
    <s v="GBC Premium Transparent Covers with Diagonal Lined Pattern"/>
    <x v="2939"/>
    <n v="8"/>
    <n v="0.8"/>
    <n v="-53.708799999999997"/>
  </r>
  <r>
    <n v="3854"/>
    <x v="921"/>
    <x v="3"/>
    <x v="1"/>
    <d v="2014-06-11T00:00:00"/>
    <n v="4"/>
    <x v="1"/>
    <s v="Gary Hansen"/>
    <x v="2"/>
    <s v="United States"/>
    <s v="San Francisco"/>
    <s v="California"/>
    <s v="West"/>
    <x v="0"/>
    <x v="5"/>
    <s v="Eldon 300 Class Desk Accessories, Black"/>
    <x v="1900"/>
    <n v="1"/>
    <n v="0"/>
    <n v="2.1779999999999999"/>
  </r>
  <r>
    <n v="3855"/>
    <x v="921"/>
    <x v="3"/>
    <x v="1"/>
    <d v="2014-06-11T00:00:00"/>
    <n v="4"/>
    <x v="1"/>
    <s v="Gary Hansen"/>
    <x v="2"/>
    <s v="United States"/>
    <s v="San Francisco"/>
    <s v="California"/>
    <s v="West"/>
    <x v="1"/>
    <x v="4"/>
    <s v="Sterilite Show Offs Storage Containers"/>
    <x v="1579"/>
    <n v="5"/>
    <n v="0"/>
    <n v="0"/>
  </r>
  <r>
    <n v="3856"/>
    <x v="436"/>
    <x v="3"/>
    <x v="2"/>
    <d v="2014-10-29T00:00:00"/>
    <n v="5"/>
    <x v="0"/>
    <s v="Darrin Martin"/>
    <x v="0"/>
    <s v="United States"/>
    <s v="San Antonio"/>
    <s v="Texas"/>
    <s v="Central"/>
    <x v="1"/>
    <x v="8"/>
    <s v="Storex Dura Pro Binders"/>
    <x v="2940"/>
    <n v="3"/>
    <n v="0.8"/>
    <n v="-6.2370000000000001"/>
  </r>
  <r>
    <n v="3857"/>
    <x v="436"/>
    <x v="3"/>
    <x v="2"/>
    <d v="2014-10-29T00:00:00"/>
    <n v="5"/>
    <x v="0"/>
    <s v="Darrin Martin"/>
    <x v="0"/>
    <s v="United States"/>
    <s v="San Antonio"/>
    <s v="Texas"/>
    <s v="Central"/>
    <x v="2"/>
    <x v="7"/>
    <s v="Jabra SPEAK 410 Multidevice Speakerphone"/>
    <x v="2912"/>
    <n v="5"/>
    <n v="0.2"/>
    <n v="51.497500000000002"/>
  </r>
  <r>
    <n v="3858"/>
    <x v="436"/>
    <x v="3"/>
    <x v="2"/>
    <d v="2014-10-29T00:00:00"/>
    <n v="5"/>
    <x v="0"/>
    <s v="Darrin Martin"/>
    <x v="0"/>
    <s v="United States"/>
    <s v="San Antonio"/>
    <s v="Texas"/>
    <s v="Central"/>
    <x v="1"/>
    <x v="6"/>
    <s v="Newell 320"/>
    <x v="1495"/>
    <n v="3"/>
    <n v="0.2"/>
    <n v="0.89880000000000004"/>
  </r>
  <r>
    <n v="3859"/>
    <x v="414"/>
    <x v="2"/>
    <x v="4"/>
    <d v="2011-12-20T00:00:00"/>
    <n v="0"/>
    <x v="3"/>
    <s v="Toby Carlisle"/>
    <x v="0"/>
    <s v="United States"/>
    <s v="Thornton"/>
    <s v="Colorado"/>
    <s v="West"/>
    <x v="2"/>
    <x v="11"/>
    <s v="Logitech G430 Surround Sound Gaming Headset with Dolby 7.1 Technology"/>
    <x v="2941"/>
    <n v="7"/>
    <n v="0.2"/>
    <n v="89.588800000000006"/>
  </r>
  <r>
    <n v="3860"/>
    <x v="922"/>
    <x v="3"/>
    <x v="11"/>
    <d v="2014-02-23T00:00:00"/>
    <n v="5"/>
    <x v="1"/>
    <s v="Julie Kriz"/>
    <x v="2"/>
    <s v="United States"/>
    <s v="Chicago"/>
    <s v="Illinois"/>
    <s v="Central"/>
    <x v="0"/>
    <x v="3"/>
    <s v="Chromcraft 48&quot; x 96&quot; Racetrack Double Pedestal Table"/>
    <x v="2942"/>
    <n v="3"/>
    <n v="0.5"/>
    <n v="-269.33760000000001"/>
  </r>
  <r>
    <n v="3861"/>
    <x v="922"/>
    <x v="3"/>
    <x v="11"/>
    <d v="2014-02-23T00:00:00"/>
    <n v="5"/>
    <x v="1"/>
    <s v="Julie Kriz"/>
    <x v="2"/>
    <s v="United States"/>
    <s v="Chicago"/>
    <s v="Illinois"/>
    <s v="Central"/>
    <x v="2"/>
    <x v="7"/>
    <s v="LG Exalt"/>
    <x v="1858"/>
    <n v="1"/>
    <n v="0.2"/>
    <n v="10.9193"/>
  </r>
  <r>
    <n v="3862"/>
    <x v="523"/>
    <x v="2"/>
    <x v="5"/>
    <d v="2011-05-10T00:00:00"/>
    <n v="7"/>
    <x v="1"/>
    <s v="Nathan Cano"/>
    <x v="0"/>
    <s v="United States"/>
    <s v="Yonkers"/>
    <s v="New York"/>
    <s v="East"/>
    <x v="1"/>
    <x v="8"/>
    <s v="GBC Poly Designer Binding Covers"/>
    <x v="2943"/>
    <n v="3"/>
    <n v="0.2"/>
    <n v="14.563800000000001"/>
  </r>
  <r>
    <n v="3863"/>
    <x v="523"/>
    <x v="2"/>
    <x v="5"/>
    <d v="2011-05-10T00:00:00"/>
    <n v="7"/>
    <x v="1"/>
    <s v="Nathan Cano"/>
    <x v="0"/>
    <s v="United States"/>
    <s v="Yonkers"/>
    <s v="New York"/>
    <s v="East"/>
    <x v="1"/>
    <x v="8"/>
    <s v="Avery Durable Plastic 1&quot; Binders"/>
    <x v="2944"/>
    <n v="3"/>
    <n v="0.2"/>
    <n v="3.9498000000000002"/>
  </r>
  <r>
    <n v="3864"/>
    <x v="161"/>
    <x v="3"/>
    <x v="2"/>
    <d v="2014-10-20T00:00:00"/>
    <n v="2"/>
    <x v="0"/>
    <s v="Astrea Jones"/>
    <x v="0"/>
    <s v="United States"/>
    <s v="San Diego"/>
    <s v="California"/>
    <s v="West"/>
    <x v="1"/>
    <x v="6"/>
    <s v="Economy #2 Pencils"/>
    <x v="2945"/>
    <n v="4"/>
    <n v="0"/>
    <n v="2.7664"/>
  </r>
  <r>
    <n v="3865"/>
    <x v="109"/>
    <x v="1"/>
    <x v="0"/>
    <d v="2012-12-03T00:00:00"/>
    <n v="5"/>
    <x v="1"/>
    <s v="Lena Creighton"/>
    <x v="0"/>
    <s v="United States"/>
    <s v="Champaign"/>
    <s v="Illinois"/>
    <s v="Central"/>
    <x v="0"/>
    <x v="5"/>
    <s v="Eldon &quot;L&quot; Workstation Diamond Chairmat"/>
    <x v="2946"/>
    <n v="5"/>
    <n v="0.6"/>
    <n v="-182.352"/>
  </r>
  <r>
    <n v="3866"/>
    <x v="923"/>
    <x v="2"/>
    <x v="7"/>
    <d v="2011-07-29T00:00:00"/>
    <n v="2"/>
    <x v="0"/>
    <s v="Giulietta Weimer"/>
    <x v="0"/>
    <s v="United States"/>
    <s v="San Francisco"/>
    <s v="California"/>
    <s v="West"/>
    <x v="2"/>
    <x v="11"/>
    <s v="WD My Passport Ultra 2TB Portable External Hard Drive"/>
    <x v="1657"/>
    <n v="2"/>
    <n v="0"/>
    <n v="38.08"/>
  </r>
  <r>
    <n v="3867"/>
    <x v="756"/>
    <x v="3"/>
    <x v="3"/>
    <d v="2014-04-26T00:00:00"/>
    <n v="2"/>
    <x v="0"/>
    <s v="Sean Christensen"/>
    <x v="0"/>
    <s v="United States"/>
    <s v="Lawrence"/>
    <s v="Indiana"/>
    <s v="Central"/>
    <x v="2"/>
    <x v="11"/>
    <s v="TRENDnet 56K USB 2.0 Phone, Internet and Fax Modem"/>
    <x v="2947"/>
    <n v="6"/>
    <n v="0"/>
    <n v="55.922400000000003"/>
  </r>
  <r>
    <n v="3868"/>
    <x v="924"/>
    <x v="1"/>
    <x v="2"/>
    <d v="2012-10-27T00:00:00"/>
    <n v="4"/>
    <x v="0"/>
    <s v="Jay Fein"/>
    <x v="0"/>
    <s v="United States"/>
    <s v="San Diego"/>
    <s v="California"/>
    <s v="West"/>
    <x v="2"/>
    <x v="11"/>
    <s v="Maxell DVD-RAM Discs"/>
    <x v="2948"/>
    <n v="9"/>
    <n v="0"/>
    <n v="63.7776"/>
  </r>
  <r>
    <n v="3869"/>
    <x v="924"/>
    <x v="1"/>
    <x v="2"/>
    <d v="2012-10-27T00:00:00"/>
    <n v="4"/>
    <x v="0"/>
    <s v="Jay Fein"/>
    <x v="0"/>
    <s v="United States"/>
    <s v="San Diego"/>
    <s v="California"/>
    <s v="West"/>
    <x v="0"/>
    <x v="1"/>
    <s v="Global Leather and Oak Executive Chair, Black"/>
    <x v="2949"/>
    <n v="1"/>
    <n v="0.2"/>
    <n v="27.088200000000001"/>
  </r>
  <r>
    <n v="3870"/>
    <x v="924"/>
    <x v="1"/>
    <x v="2"/>
    <d v="2012-10-27T00:00:00"/>
    <n v="4"/>
    <x v="0"/>
    <s v="Jay Fein"/>
    <x v="0"/>
    <s v="United States"/>
    <s v="San Diego"/>
    <s v="California"/>
    <s v="West"/>
    <x v="0"/>
    <x v="1"/>
    <s v="Global Chrome Stack Chair"/>
    <x v="2950"/>
    <n v="7"/>
    <n v="0.2"/>
    <n v="16.7972"/>
  </r>
  <r>
    <n v="3871"/>
    <x v="924"/>
    <x v="1"/>
    <x v="2"/>
    <d v="2012-10-27T00:00:00"/>
    <n v="4"/>
    <x v="0"/>
    <s v="Jay Fein"/>
    <x v="0"/>
    <s v="United States"/>
    <s v="San Diego"/>
    <s v="California"/>
    <s v="West"/>
    <x v="1"/>
    <x v="10"/>
    <s v="Xerox 196"/>
    <x v="1049"/>
    <n v="2"/>
    <n v="0"/>
    <n v="5.6643999999999997"/>
  </r>
  <r>
    <n v="3872"/>
    <x v="924"/>
    <x v="1"/>
    <x v="2"/>
    <d v="2012-10-27T00:00:00"/>
    <n v="4"/>
    <x v="0"/>
    <s v="Jay Fein"/>
    <x v="0"/>
    <s v="United States"/>
    <s v="San Diego"/>
    <s v="California"/>
    <s v="West"/>
    <x v="1"/>
    <x v="12"/>
    <s v="Redi-Strip #10 Envelopes, 4 1/8 x 9 1/2"/>
    <x v="2951"/>
    <n v="4"/>
    <n v="0"/>
    <n v="5.6639999999999997"/>
  </r>
  <r>
    <n v="3873"/>
    <x v="924"/>
    <x v="1"/>
    <x v="2"/>
    <d v="2012-10-27T00:00:00"/>
    <n v="4"/>
    <x v="0"/>
    <s v="Jay Fein"/>
    <x v="0"/>
    <s v="United States"/>
    <s v="San Diego"/>
    <s v="California"/>
    <s v="West"/>
    <x v="0"/>
    <x v="1"/>
    <s v="Office Star - Professional Matrix Back Chair with 2-to-1 Synchro Tilt and Mesh Fabric Seat"/>
    <x v="2952"/>
    <n v="3"/>
    <n v="0.2"/>
    <n v="42.117600000000003"/>
  </r>
  <r>
    <n v="3874"/>
    <x v="64"/>
    <x v="0"/>
    <x v="8"/>
    <d v="2013-09-08T00:00:00"/>
    <n v="2"/>
    <x v="0"/>
    <s v="Darrin Martin"/>
    <x v="0"/>
    <s v="United States"/>
    <s v="Johnson City"/>
    <s v="Tennessee"/>
    <s v="South"/>
    <x v="1"/>
    <x v="12"/>
    <s v="Staples"/>
    <x v="2953"/>
    <n v="3"/>
    <n v="0.2"/>
    <n v="7.6284000000000001"/>
  </r>
  <r>
    <n v="3875"/>
    <x v="64"/>
    <x v="0"/>
    <x v="8"/>
    <d v="2013-09-08T00:00:00"/>
    <n v="2"/>
    <x v="0"/>
    <s v="Darrin Martin"/>
    <x v="0"/>
    <s v="United States"/>
    <s v="Johnson City"/>
    <s v="Tennessee"/>
    <s v="South"/>
    <x v="1"/>
    <x v="8"/>
    <s v="Wilson Jones Ledger-Size, Piano-Hinge Binder, 2&quot;, Blue"/>
    <x v="2954"/>
    <n v="7"/>
    <n v="0.7"/>
    <n v="-63.109200000000001"/>
  </r>
  <r>
    <n v="3876"/>
    <x v="64"/>
    <x v="0"/>
    <x v="8"/>
    <d v="2013-09-08T00:00:00"/>
    <n v="2"/>
    <x v="0"/>
    <s v="Darrin Martin"/>
    <x v="0"/>
    <s v="United States"/>
    <s v="Johnson City"/>
    <s v="Tennessee"/>
    <s v="South"/>
    <x v="2"/>
    <x v="7"/>
    <s v="Nortel Networks T7316 E Nt8 B27"/>
    <x v="2955"/>
    <n v="2"/>
    <n v="0.2"/>
    <n v="6.7990000000000004"/>
  </r>
  <r>
    <n v="3877"/>
    <x v="64"/>
    <x v="0"/>
    <x v="8"/>
    <d v="2013-09-08T00:00:00"/>
    <n v="2"/>
    <x v="0"/>
    <s v="Darrin Martin"/>
    <x v="0"/>
    <s v="United States"/>
    <s v="Johnson City"/>
    <s v="Tennessee"/>
    <s v="South"/>
    <x v="1"/>
    <x v="10"/>
    <s v="Xerox 1971"/>
    <x v="1495"/>
    <n v="3"/>
    <n v="0.2"/>
    <n v="3.21"/>
  </r>
  <r>
    <n v="3878"/>
    <x v="99"/>
    <x v="0"/>
    <x v="2"/>
    <d v="2013-11-03T00:00:00"/>
    <n v="5"/>
    <x v="1"/>
    <s v="Emily Phan"/>
    <x v="0"/>
    <s v="United States"/>
    <s v="Tampa"/>
    <s v="Florida"/>
    <s v="South"/>
    <x v="1"/>
    <x v="8"/>
    <s v="Canvas Sectional Post Binders"/>
    <x v="2956"/>
    <n v="5"/>
    <n v="0.7"/>
    <n v="-26.733000000000001"/>
  </r>
  <r>
    <n v="3879"/>
    <x v="267"/>
    <x v="2"/>
    <x v="3"/>
    <d v="2011-04-07T00:00:00"/>
    <n v="2"/>
    <x v="2"/>
    <s v="John Grady"/>
    <x v="1"/>
    <s v="United States"/>
    <s v="Decatur"/>
    <s v="Illinois"/>
    <s v="Central"/>
    <x v="1"/>
    <x v="4"/>
    <s v="Tenex File Box, Personal Filing Tote with Lid, Black"/>
    <x v="1587"/>
    <n v="4"/>
    <n v="0.2"/>
    <n v="3.7223999999999999"/>
  </r>
  <r>
    <n v="3880"/>
    <x v="267"/>
    <x v="2"/>
    <x v="3"/>
    <d v="2011-04-07T00:00:00"/>
    <n v="2"/>
    <x v="2"/>
    <s v="John Grady"/>
    <x v="1"/>
    <s v="United States"/>
    <s v="Decatur"/>
    <s v="Illinois"/>
    <s v="Central"/>
    <x v="1"/>
    <x v="4"/>
    <s v="Adjustable Personal File Tote"/>
    <x v="2957"/>
    <n v="4"/>
    <n v="0.2"/>
    <n v="3.9072"/>
  </r>
  <r>
    <n v="3881"/>
    <x v="925"/>
    <x v="1"/>
    <x v="1"/>
    <d v="2012-06-20T00:00:00"/>
    <n v="5"/>
    <x v="1"/>
    <s v="Peter Fuller"/>
    <x v="0"/>
    <s v="United States"/>
    <s v="Gilbert"/>
    <s v="Arizona"/>
    <s v="West"/>
    <x v="1"/>
    <x v="10"/>
    <s v="Xerox 1895"/>
    <x v="380"/>
    <n v="2"/>
    <n v="0.2"/>
    <n v="2.99"/>
  </r>
  <r>
    <n v="3882"/>
    <x v="925"/>
    <x v="1"/>
    <x v="1"/>
    <d v="2012-06-20T00:00:00"/>
    <n v="5"/>
    <x v="1"/>
    <s v="Peter Fuller"/>
    <x v="0"/>
    <s v="United States"/>
    <s v="Gilbert"/>
    <s v="Arizona"/>
    <s v="West"/>
    <x v="1"/>
    <x v="4"/>
    <s v="Belkin 19&quot; Vented Equipment Shelf, Black"/>
    <x v="249"/>
    <n v="2"/>
    <n v="0.2"/>
    <n v="-19.5624"/>
  </r>
  <r>
    <n v="3883"/>
    <x v="925"/>
    <x v="1"/>
    <x v="1"/>
    <d v="2012-06-20T00:00:00"/>
    <n v="5"/>
    <x v="1"/>
    <s v="Peter Fuller"/>
    <x v="0"/>
    <s v="United States"/>
    <s v="Gilbert"/>
    <s v="Arizona"/>
    <s v="West"/>
    <x v="0"/>
    <x v="5"/>
    <s v="Eldon &quot;L&quot; Workstation Diamond Chairmat"/>
    <x v="2958"/>
    <n v="6"/>
    <n v="0.2"/>
    <n v="-36.470399999999998"/>
  </r>
  <r>
    <n v="3884"/>
    <x v="925"/>
    <x v="1"/>
    <x v="1"/>
    <d v="2012-06-20T00:00:00"/>
    <n v="5"/>
    <x v="1"/>
    <s v="Peter Fuller"/>
    <x v="0"/>
    <s v="United States"/>
    <s v="Gilbert"/>
    <s v="Arizona"/>
    <s v="West"/>
    <x v="0"/>
    <x v="5"/>
    <s v="DAX Copper Panel Document Frame, 5 x 7 Size"/>
    <x v="2959"/>
    <n v="4"/>
    <n v="0.2"/>
    <n v="11.070399999999999"/>
  </r>
  <r>
    <n v="3885"/>
    <x v="260"/>
    <x v="2"/>
    <x v="7"/>
    <d v="2011-07-12T00:00:00"/>
    <n v="7"/>
    <x v="1"/>
    <s v="David Wiener"/>
    <x v="1"/>
    <s v="United States"/>
    <s v="Knoxville"/>
    <s v="Tennessee"/>
    <s v="South"/>
    <x v="1"/>
    <x v="6"/>
    <s v="Newell 322"/>
    <x v="964"/>
    <n v="3"/>
    <n v="0.2"/>
    <n v="0.38219999999999998"/>
  </r>
  <r>
    <n v="3886"/>
    <x v="926"/>
    <x v="3"/>
    <x v="9"/>
    <d v="2014-02-03T00:00:00"/>
    <n v="4"/>
    <x v="1"/>
    <s v="Clytie Kelty"/>
    <x v="0"/>
    <s v="United States"/>
    <s v="Chicago"/>
    <s v="Illinois"/>
    <s v="Central"/>
    <x v="1"/>
    <x v="8"/>
    <s v="GBC Clear Cover, 8-1/2 x 11, unpunched, 25 covers per pack"/>
    <x v="2960"/>
    <n v="4"/>
    <n v="0.8"/>
    <n v="-20.617599999999999"/>
  </r>
  <r>
    <n v="3887"/>
    <x v="840"/>
    <x v="0"/>
    <x v="10"/>
    <d v="2013-03-09T00:00:00"/>
    <n v="5"/>
    <x v="0"/>
    <s v="Craig Carreira"/>
    <x v="0"/>
    <s v="United States"/>
    <s v="Bloomington"/>
    <s v="Indiana"/>
    <s v="Central"/>
    <x v="2"/>
    <x v="7"/>
    <s v="Plantronics Encore H101 Dual Earpieces Headset"/>
    <x v="2961"/>
    <n v="3"/>
    <n v="0"/>
    <n v="37.758000000000003"/>
  </r>
  <r>
    <n v="3888"/>
    <x v="270"/>
    <x v="2"/>
    <x v="1"/>
    <d v="2011-06-06T00:00:00"/>
    <n v="4"/>
    <x v="1"/>
    <s v="Stewart Visinsky"/>
    <x v="0"/>
    <s v="United States"/>
    <s v="Roswell"/>
    <s v="Georgia"/>
    <s v="South"/>
    <x v="1"/>
    <x v="6"/>
    <s v="Sanford Colorific Scented Colored Pencils, 12/Pack"/>
    <x v="18"/>
    <n v="2"/>
    <n v="0"/>
    <n v="2.6536"/>
  </r>
  <r>
    <n v="3889"/>
    <x v="270"/>
    <x v="2"/>
    <x v="1"/>
    <d v="2011-06-06T00:00:00"/>
    <n v="4"/>
    <x v="1"/>
    <s v="Stewart Visinsky"/>
    <x v="0"/>
    <s v="United States"/>
    <s v="Roswell"/>
    <s v="Georgia"/>
    <s v="South"/>
    <x v="2"/>
    <x v="7"/>
    <s v="Mophie Juice Pack Helium for iPhone"/>
    <x v="758"/>
    <n v="3"/>
    <n v="0"/>
    <n v="67.191599999999994"/>
  </r>
  <r>
    <n v="3890"/>
    <x v="270"/>
    <x v="2"/>
    <x v="1"/>
    <d v="2011-06-06T00:00:00"/>
    <n v="4"/>
    <x v="1"/>
    <s v="Stewart Visinsky"/>
    <x v="0"/>
    <s v="United States"/>
    <s v="Roswell"/>
    <s v="Georgia"/>
    <s v="South"/>
    <x v="1"/>
    <x v="4"/>
    <s v="Hot File 7-Pocket, Floor Stand"/>
    <x v="2962"/>
    <n v="2"/>
    <n v="0"/>
    <n v="107.08199999999999"/>
  </r>
  <r>
    <n v="3891"/>
    <x v="390"/>
    <x v="0"/>
    <x v="0"/>
    <d v="2013-12-01T00:00:00"/>
    <n v="6"/>
    <x v="1"/>
    <s v="Sung Pak"/>
    <x v="1"/>
    <s v="United States"/>
    <s v="Los Angeles"/>
    <s v="California"/>
    <s v="West"/>
    <x v="2"/>
    <x v="11"/>
    <s v="Plantronics CS510 - Over-the-Head monaural Wireless Headset System"/>
    <x v="2963"/>
    <n v="2"/>
    <n v="0"/>
    <n v="217.767"/>
  </r>
  <r>
    <n v="3892"/>
    <x v="390"/>
    <x v="0"/>
    <x v="0"/>
    <d v="2013-12-01T00:00:00"/>
    <n v="6"/>
    <x v="1"/>
    <s v="Sung Pak"/>
    <x v="1"/>
    <s v="United States"/>
    <s v="Los Angeles"/>
    <s v="California"/>
    <s v="West"/>
    <x v="0"/>
    <x v="1"/>
    <s v="Global Leather Executive Chair"/>
    <x v="2964"/>
    <n v="6"/>
    <n v="0.2"/>
    <n v="210.59399999999999"/>
  </r>
  <r>
    <n v="3893"/>
    <x v="390"/>
    <x v="0"/>
    <x v="0"/>
    <d v="2013-12-01T00:00:00"/>
    <n v="6"/>
    <x v="1"/>
    <s v="Sung Pak"/>
    <x v="1"/>
    <s v="United States"/>
    <s v="Los Angeles"/>
    <s v="California"/>
    <s v="West"/>
    <x v="2"/>
    <x v="11"/>
    <s v="Logitech G500s Laser Gaming Mouse with Adjustable Weight Tuning"/>
    <x v="2965"/>
    <n v="8"/>
    <n v="0"/>
    <n v="190.37280000000001"/>
  </r>
  <r>
    <n v="3894"/>
    <x v="338"/>
    <x v="0"/>
    <x v="0"/>
    <d v="2013-11-15T00:00:00"/>
    <n v="4"/>
    <x v="1"/>
    <s v="Maxwell Schwartz"/>
    <x v="0"/>
    <s v="United States"/>
    <s v="Houston"/>
    <s v="Texas"/>
    <s v="Central"/>
    <x v="2"/>
    <x v="11"/>
    <s v="Kensington SlimBlade Notebook Wireless Mouse with Nano Receiver "/>
    <x v="1761"/>
    <n v="7"/>
    <n v="0.2"/>
    <n v="48.990200000000002"/>
  </r>
  <r>
    <n v="3895"/>
    <x v="754"/>
    <x v="2"/>
    <x v="0"/>
    <d v="2011-11-28T00:00:00"/>
    <n v="6"/>
    <x v="1"/>
    <s v="Tony Chapman"/>
    <x v="2"/>
    <s v="United States"/>
    <s v="Bolingbrook"/>
    <s v="Illinois"/>
    <s v="Central"/>
    <x v="1"/>
    <x v="8"/>
    <s v="Avery Framed View Binder, EZD Ring (Locking), Navy, 1 1/2&quot;"/>
    <x v="2966"/>
    <n v="5"/>
    <n v="0.8"/>
    <n v="-16.466999999999999"/>
  </r>
  <r>
    <n v="3896"/>
    <x v="927"/>
    <x v="3"/>
    <x v="5"/>
    <d v="2014-05-06T00:00:00"/>
    <n v="4"/>
    <x v="1"/>
    <s v="Sanjit Jacobs"/>
    <x v="2"/>
    <s v="United States"/>
    <s v="Texarkana"/>
    <s v="Arkansas"/>
    <s v="South"/>
    <x v="2"/>
    <x v="11"/>
    <s v="Maxell 74 Minute CDR, 10/Pack"/>
    <x v="2967"/>
    <n v="5"/>
    <n v="0"/>
    <n v="18.093"/>
  </r>
  <r>
    <n v="3897"/>
    <x v="226"/>
    <x v="3"/>
    <x v="4"/>
    <d v="2014-12-13T00:00:00"/>
    <n v="5"/>
    <x v="1"/>
    <s v="David Smith"/>
    <x v="1"/>
    <s v="United States"/>
    <s v="San Antonio"/>
    <s v="Texas"/>
    <s v="Central"/>
    <x v="1"/>
    <x v="13"/>
    <s v="Binder Clips by OIC"/>
    <x v="1480"/>
    <n v="3"/>
    <n v="0.2"/>
    <n v="1.2432000000000001"/>
  </r>
  <r>
    <n v="3898"/>
    <x v="226"/>
    <x v="3"/>
    <x v="4"/>
    <d v="2014-12-13T00:00:00"/>
    <n v="5"/>
    <x v="1"/>
    <s v="David Smith"/>
    <x v="1"/>
    <s v="United States"/>
    <s v="San Antonio"/>
    <s v="Texas"/>
    <s v="Central"/>
    <x v="1"/>
    <x v="10"/>
    <s v="Xerox 1995"/>
    <x v="12"/>
    <n v="3"/>
    <n v="0.2"/>
    <n v="5.4432"/>
  </r>
  <r>
    <n v="3899"/>
    <x v="329"/>
    <x v="3"/>
    <x v="4"/>
    <d v="2014-12-05T00:00:00"/>
    <n v="4"/>
    <x v="1"/>
    <s v="Stuart Calhoun"/>
    <x v="0"/>
    <s v="United States"/>
    <s v="Edinburg"/>
    <s v="Texas"/>
    <s v="Central"/>
    <x v="1"/>
    <x v="13"/>
    <s v="Binder Clips by OIC"/>
    <x v="2926"/>
    <n v="2"/>
    <n v="0.2"/>
    <n v="0.82879999999999998"/>
  </r>
  <r>
    <n v="3900"/>
    <x v="226"/>
    <x v="3"/>
    <x v="4"/>
    <d v="2014-12-10T00:00:00"/>
    <n v="2"/>
    <x v="2"/>
    <s v="Shahid Hopkins"/>
    <x v="0"/>
    <s v="United States"/>
    <s v="Toledo"/>
    <s v="Ohio"/>
    <s v="East"/>
    <x v="2"/>
    <x v="11"/>
    <s v="Logitech G602 Wireless Gaming Mouse"/>
    <x v="2454"/>
    <n v="2"/>
    <n v="0.2"/>
    <n v="25.596800000000002"/>
  </r>
  <r>
    <n v="3901"/>
    <x v="928"/>
    <x v="1"/>
    <x v="9"/>
    <d v="2012-01-08T00:00:00"/>
    <n v="5"/>
    <x v="1"/>
    <s v="Sylvia Foulston"/>
    <x v="1"/>
    <s v="United States"/>
    <s v="Baytown"/>
    <s v="Texas"/>
    <s v="Central"/>
    <x v="1"/>
    <x v="10"/>
    <s v="Xerox 21"/>
    <x v="559"/>
    <n v="2"/>
    <n v="0.2"/>
    <n v="3.6288"/>
  </r>
  <r>
    <n v="3902"/>
    <x v="717"/>
    <x v="1"/>
    <x v="0"/>
    <d v="2012-11-20T00:00:00"/>
    <n v="6"/>
    <x v="1"/>
    <s v="Maureen Gastineau"/>
    <x v="2"/>
    <s v="United States"/>
    <s v="Philadelphia"/>
    <s v="Pennsylvania"/>
    <s v="East"/>
    <x v="2"/>
    <x v="11"/>
    <s v="Micro Innovations Wireless Classic Keyboard with Mouse"/>
    <x v="730"/>
    <n v="2"/>
    <n v="0.2"/>
    <n v="-1.1996"/>
  </r>
  <r>
    <n v="3903"/>
    <x v="653"/>
    <x v="1"/>
    <x v="2"/>
    <d v="2012-10-07T00:00:00"/>
    <n v="5"/>
    <x v="0"/>
    <s v="Christopher Schild"/>
    <x v="2"/>
    <s v="United States"/>
    <s v="Los Angeles"/>
    <s v="California"/>
    <s v="West"/>
    <x v="1"/>
    <x v="4"/>
    <s v="Eldon ProFile File 'N Store Portable File Tub Letter/Legal Size Black"/>
    <x v="2968"/>
    <n v="14"/>
    <n v="0"/>
    <n v="75.6952"/>
  </r>
  <r>
    <n v="3904"/>
    <x v="57"/>
    <x v="1"/>
    <x v="3"/>
    <d v="2012-04-10T00:00:00"/>
    <n v="5"/>
    <x v="1"/>
    <s v="Valerie Takahito"/>
    <x v="2"/>
    <s v="United States"/>
    <s v="Philadelphia"/>
    <s v="Pennsylvania"/>
    <s v="East"/>
    <x v="1"/>
    <x v="9"/>
    <s v="Bionaire 99.97% HEPA Air Cleaner"/>
    <x v="2969"/>
    <n v="7"/>
    <n v="0.2"/>
    <n v="18.396000000000001"/>
  </r>
  <r>
    <n v="3905"/>
    <x v="57"/>
    <x v="1"/>
    <x v="3"/>
    <d v="2012-04-10T00:00:00"/>
    <n v="5"/>
    <x v="1"/>
    <s v="Valerie Takahito"/>
    <x v="2"/>
    <s v="United States"/>
    <s v="Philadelphia"/>
    <s v="Pennsylvania"/>
    <s v="East"/>
    <x v="1"/>
    <x v="4"/>
    <s v="Fellowes High-Stak Drawer Files"/>
    <x v="2480"/>
    <n v="4"/>
    <n v="0.2"/>
    <n v="21.142800000000001"/>
  </r>
  <r>
    <n v="3906"/>
    <x v="57"/>
    <x v="1"/>
    <x v="3"/>
    <d v="2012-04-10T00:00:00"/>
    <n v="5"/>
    <x v="1"/>
    <s v="Valerie Takahito"/>
    <x v="2"/>
    <s v="United States"/>
    <s v="Philadelphia"/>
    <s v="Pennsylvania"/>
    <s v="East"/>
    <x v="1"/>
    <x v="8"/>
    <s v="Cardinal Slant-D Ring Binders"/>
    <x v="2970"/>
    <n v="4"/>
    <n v="0.7"/>
    <n v="-6.952"/>
  </r>
  <r>
    <n v="3907"/>
    <x v="57"/>
    <x v="1"/>
    <x v="3"/>
    <d v="2012-04-10T00:00:00"/>
    <n v="5"/>
    <x v="1"/>
    <s v="Valerie Takahito"/>
    <x v="2"/>
    <s v="United States"/>
    <s v="Philadelphia"/>
    <s v="Pennsylvania"/>
    <s v="East"/>
    <x v="0"/>
    <x v="5"/>
    <s v="Tenex Antistatic Computer Chair Mats"/>
    <x v="1926"/>
    <n v="4"/>
    <n v="0.2"/>
    <n v="-68.391999999999996"/>
  </r>
  <r>
    <n v="3908"/>
    <x v="57"/>
    <x v="1"/>
    <x v="3"/>
    <d v="2012-04-10T00:00:00"/>
    <n v="5"/>
    <x v="1"/>
    <s v="Valerie Takahito"/>
    <x v="2"/>
    <s v="United States"/>
    <s v="Philadelphia"/>
    <s v="Pennsylvania"/>
    <s v="East"/>
    <x v="2"/>
    <x v="7"/>
    <s v="Cush Cases Heavy Duty Rugged Cover Case for Samsung Galaxy S5 - Purple"/>
    <x v="542"/>
    <n v="5"/>
    <n v="0.4"/>
    <n v="-3.2174999999999998"/>
  </r>
  <r>
    <n v="3909"/>
    <x v="57"/>
    <x v="1"/>
    <x v="3"/>
    <d v="2012-04-10T00:00:00"/>
    <n v="5"/>
    <x v="1"/>
    <s v="Valerie Takahito"/>
    <x v="2"/>
    <s v="United States"/>
    <s v="Philadelphia"/>
    <s v="Pennsylvania"/>
    <s v="East"/>
    <x v="2"/>
    <x v="7"/>
    <s v="Speck Products Candyshell Flip Case"/>
    <x v="2971"/>
    <n v="2"/>
    <n v="0.4"/>
    <n v="-9.7972000000000001"/>
  </r>
  <r>
    <n v="3910"/>
    <x v="57"/>
    <x v="1"/>
    <x v="3"/>
    <d v="2012-04-10T00:00:00"/>
    <n v="5"/>
    <x v="1"/>
    <s v="Valerie Takahito"/>
    <x v="2"/>
    <s v="United States"/>
    <s v="Philadelphia"/>
    <s v="Pennsylvania"/>
    <s v="East"/>
    <x v="0"/>
    <x v="5"/>
    <s v="DAX Charcoal/Nickel-Tone Document Frame, 5 x 7"/>
    <x v="2972"/>
    <n v="1"/>
    <n v="0.2"/>
    <n v="2.37"/>
  </r>
  <r>
    <n v="3911"/>
    <x v="57"/>
    <x v="1"/>
    <x v="3"/>
    <d v="2012-04-10T00:00:00"/>
    <n v="5"/>
    <x v="1"/>
    <s v="Valerie Takahito"/>
    <x v="2"/>
    <s v="United States"/>
    <s v="Philadelphia"/>
    <s v="Pennsylvania"/>
    <s v="East"/>
    <x v="0"/>
    <x v="0"/>
    <s v="Bush Heritage Pine Collection 5-Shelf Bookcase, Albany Pine Finish, *Special Order"/>
    <x v="2973"/>
    <n v="5"/>
    <n v="0.5"/>
    <n v="-211.47"/>
  </r>
  <r>
    <n v="3912"/>
    <x v="929"/>
    <x v="3"/>
    <x v="1"/>
    <d v="2014-06-07T00:00:00"/>
    <n v="1"/>
    <x v="2"/>
    <s v="Adrian Barton"/>
    <x v="0"/>
    <s v="United States"/>
    <s v="Pearland"/>
    <s v="Texas"/>
    <s v="Central"/>
    <x v="2"/>
    <x v="7"/>
    <s v="LG G3"/>
    <x v="549"/>
    <n v="3"/>
    <n v="0.2"/>
    <n v="52.917299999999997"/>
  </r>
  <r>
    <n v="3913"/>
    <x v="65"/>
    <x v="3"/>
    <x v="8"/>
    <d v="2014-09-26T00:00:00"/>
    <n v="7"/>
    <x v="1"/>
    <s v="Muhammed MacIntyre"/>
    <x v="1"/>
    <s v="United States"/>
    <s v="New York City"/>
    <s v="New York"/>
    <s v="East"/>
    <x v="1"/>
    <x v="10"/>
    <s v="Xerox 203"/>
    <x v="537"/>
    <n v="3"/>
    <n v="0"/>
    <n v="9.3312000000000008"/>
  </r>
  <r>
    <n v="3914"/>
    <x v="65"/>
    <x v="3"/>
    <x v="8"/>
    <d v="2014-09-26T00:00:00"/>
    <n v="7"/>
    <x v="1"/>
    <s v="Muhammed MacIntyre"/>
    <x v="1"/>
    <s v="United States"/>
    <s v="New York City"/>
    <s v="New York"/>
    <s v="East"/>
    <x v="0"/>
    <x v="5"/>
    <s v="Ultra Door Push Plate"/>
    <x v="759"/>
    <n v="2"/>
    <n v="0"/>
    <n v="3.2406000000000001"/>
  </r>
  <r>
    <n v="3915"/>
    <x v="930"/>
    <x v="3"/>
    <x v="7"/>
    <d v="2014-07-24T00:00:00"/>
    <n v="5"/>
    <x v="1"/>
    <s v="Maris LaWare"/>
    <x v="0"/>
    <s v="United States"/>
    <s v="Phoenix"/>
    <s v="Arizona"/>
    <s v="West"/>
    <x v="0"/>
    <x v="3"/>
    <s v="Chromcraft 48&quot; x 96&quot; Racetrack Double Pedestal Table"/>
    <x v="2974"/>
    <n v="5"/>
    <n v="0.5"/>
    <n v="-448.89600000000002"/>
  </r>
  <r>
    <n v="3916"/>
    <x v="930"/>
    <x v="3"/>
    <x v="7"/>
    <d v="2014-07-24T00:00:00"/>
    <n v="5"/>
    <x v="1"/>
    <s v="Maris LaWare"/>
    <x v="0"/>
    <s v="United States"/>
    <s v="Phoenix"/>
    <s v="Arizona"/>
    <s v="West"/>
    <x v="0"/>
    <x v="1"/>
    <s v="Global Fabric Manager's Chair, Dark Gray"/>
    <x v="224"/>
    <n v="2"/>
    <n v="0.2"/>
    <n v="10.098000000000001"/>
  </r>
  <r>
    <n v="3917"/>
    <x v="930"/>
    <x v="3"/>
    <x v="7"/>
    <d v="2014-07-24T00:00:00"/>
    <n v="5"/>
    <x v="1"/>
    <s v="Maris LaWare"/>
    <x v="0"/>
    <s v="United States"/>
    <s v="Phoenix"/>
    <s v="Arizona"/>
    <s v="West"/>
    <x v="1"/>
    <x v="10"/>
    <s v="Riverleaf Stik-Withit Designer Note Cubes"/>
    <x v="2975"/>
    <n v="2"/>
    <n v="0.2"/>
    <n v="5.2312000000000003"/>
  </r>
  <r>
    <n v="3918"/>
    <x v="930"/>
    <x v="3"/>
    <x v="7"/>
    <d v="2014-07-24T00:00:00"/>
    <n v="5"/>
    <x v="1"/>
    <s v="Maris LaWare"/>
    <x v="0"/>
    <s v="United States"/>
    <s v="Phoenix"/>
    <s v="Arizona"/>
    <s v="West"/>
    <x v="1"/>
    <x v="8"/>
    <s v="Acco Expandable Hanging Binders"/>
    <x v="2976"/>
    <n v="4"/>
    <n v="0.7"/>
    <n v="-6.1247999999999996"/>
  </r>
  <r>
    <n v="3919"/>
    <x v="930"/>
    <x v="3"/>
    <x v="7"/>
    <d v="2014-07-24T00:00:00"/>
    <n v="5"/>
    <x v="1"/>
    <s v="Maris LaWare"/>
    <x v="0"/>
    <s v="United States"/>
    <s v="Phoenix"/>
    <s v="Arizona"/>
    <s v="West"/>
    <x v="0"/>
    <x v="1"/>
    <s v="High-Back Leather Manager's Chair"/>
    <x v="2977"/>
    <n v="3"/>
    <n v="0.2"/>
    <n v="-42.896700000000003"/>
  </r>
  <r>
    <n v="3920"/>
    <x v="494"/>
    <x v="1"/>
    <x v="4"/>
    <d v="2012-12-07T00:00:00"/>
    <n v="6"/>
    <x v="1"/>
    <s v="Keith Dawkins"/>
    <x v="1"/>
    <s v="United States"/>
    <s v="Chesapeake"/>
    <s v="Virginia"/>
    <s v="South"/>
    <x v="1"/>
    <x v="4"/>
    <s v="Decoflex Hanging Personal Folder File, Blue"/>
    <x v="2978"/>
    <n v="4"/>
    <n v="0"/>
    <n v="16.653600000000001"/>
  </r>
  <r>
    <n v="3921"/>
    <x v="494"/>
    <x v="1"/>
    <x v="4"/>
    <d v="2012-12-07T00:00:00"/>
    <n v="6"/>
    <x v="1"/>
    <s v="Keith Dawkins"/>
    <x v="1"/>
    <s v="United States"/>
    <s v="Chesapeake"/>
    <s v="Virginia"/>
    <s v="South"/>
    <x v="1"/>
    <x v="8"/>
    <s v="GBC Pre-Punched Binding Paper, Plastic, White, 8-1/2&quot; x 11&quot;"/>
    <x v="1458"/>
    <n v="4"/>
    <n v="0"/>
    <n v="30.700800000000001"/>
  </r>
  <r>
    <n v="3922"/>
    <x v="931"/>
    <x v="0"/>
    <x v="1"/>
    <d v="2013-07-03T00:00:00"/>
    <n v="4"/>
    <x v="0"/>
    <s v="Roland Fjeld"/>
    <x v="0"/>
    <s v="United States"/>
    <s v="Chicago"/>
    <s v="Illinois"/>
    <s v="Central"/>
    <x v="2"/>
    <x v="7"/>
    <s v="Polycom CX300 Desktop Phone USB VoIP phone"/>
    <x v="1988"/>
    <n v="3"/>
    <n v="0.2"/>
    <n v="35.997599999999998"/>
  </r>
  <r>
    <n v="3923"/>
    <x v="735"/>
    <x v="3"/>
    <x v="6"/>
    <d v="2014-09-02T00:00:00"/>
    <n v="4"/>
    <x v="1"/>
    <s v="Sean Christensen"/>
    <x v="0"/>
    <s v="United States"/>
    <s v="Chicago"/>
    <s v="Illinois"/>
    <s v="Central"/>
    <x v="1"/>
    <x v="10"/>
    <s v="Xerox 4200 Series MultiUse Premium Copy Paper (20Lb. and 84 Bright)"/>
    <x v="863"/>
    <n v="6"/>
    <n v="0.2"/>
    <n v="7.92"/>
  </r>
  <r>
    <n v="3924"/>
    <x v="735"/>
    <x v="3"/>
    <x v="6"/>
    <d v="2014-09-02T00:00:00"/>
    <n v="4"/>
    <x v="1"/>
    <s v="Sean Christensen"/>
    <x v="0"/>
    <s v="United States"/>
    <s v="Chicago"/>
    <s v="Illinois"/>
    <s v="Central"/>
    <x v="1"/>
    <x v="10"/>
    <s v="HP Office Paper (20Lb. and 87 Bright)"/>
    <x v="2979"/>
    <n v="5"/>
    <n v="0.2"/>
    <n v="9.3520000000000003"/>
  </r>
  <r>
    <n v="3925"/>
    <x v="328"/>
    <x v="2"/>
    <x v="8"/>
    <d v="2011-09-21T00:00:00"/>
    <n v="4"/>
    <x v="1"/>
    <s v="Bradley Nguyen"/>
    <x v="0"/>
    <s v="United States"/>
    <s v="Seattle"/>
    <s v="Washington"/>
    <s v="West"/>
    <x v="1"/>
    <x v="4"/>
    <s v="Eldon Gobal File Keepers"/>
    <x v="2980"/>
    <n v="2"/>
    <n v="0"/>
    <n v="1.2112000000000001"/>
  </r>
  <r>
    <n v="3926"/>
    <x v="328"/>
    <x v="2"/>
    <x v="8"/>
    <d v="2011-09-21T00:00:00"/>
    <n v="4"/>
    <x v="1"/>
    <s v="Bradley Nguyen"/>
    <x v="0"/>
    <s v="United States"/>
    <s v="Seattle"/>
    <s v="Washington"/>
    <s v="West"/>
    <x v="1"/>
    <x v="4"/>
    <s v="Eldon ProFile File 'N Store Portable File Tub Letter/Legal Size Black"/>
    <x v="2981"/>
    <n v="3"/>
    <n v="0"/>
    <n v="16.220400000000001"/>
  </r>
  <r>
    <n v="3927"/>
    <x v="328"/>
    <x v="2"/>
    <x v="8"/>
    <d v="2011-09-21T00:00:00"/>
    <n v="4"/>
    <x v="1"/>
    <s v="Bradley Nguyen"/>
    <x v="0"/>
    <s v="United States"/>
    <s v="Seattle"/>
    <s v="Washington"/>
    <s v="West"/>
    <x v="0"/>
    <x v="5"/>
    <s v="Executive Impressions 12&quot; Wall Clock"/>
    <x v="2233"/>
    <n v="2"/>
    <n v="0"/>
    <n v="13.4292"/>
  </r>
  <r>
    <n v="3928"/>
    <x v="328"/>
    <x v="2"/>
    <x v="8"/>
    <d v="2011-09-21T00:00:00"/>
    <n v="4"/>
    <x v="1"/>
    <s v="Bradley Nguyen"/>
    <x v="0"/>
    <s v="United States"/>
    <s v="Seattle"/>
    <s v="Washington"/>
    <s v="West"/>
    <x v="1"/>
    <x v="8"/>
    <s v="GBC Prestige Therm-A-Bind Covers"/>
    <x v="1944"/>
    <n v="5"/>
    <n v="0.2"/>
    <n v="46.3185"/>
  </r>
  <r>
    <n v="3929"/>
    <x v="560"/>
    <x v="0"/>
    <x v="10"/>
    <d v="2013-03-18T00:00:00"/>
    <n v="3"/>
    <x v="2"/>
    <s v="John Stevenson"/>
    <x v="0"/>
    <s v="United States"/>
    <s v="Harlingen"/>
    <s v="Texas"/>
    <s v="Central"/>
    <x v="0"/>
    <x v="0"/>
    <s v="Safco Value Mate Series Steel Bookcases, Baked Enamel Finish on Steel, Gray"/>
    <x v="2982"/>
    <n v="5"/>
    <n v="0.32"/>
    <n v="-14.196"/>
  </r>
  <r>
    <n v="3930"/>
    <x v="560"/>
    <x v="0"/>
    <x v="10"/>
    <d v="2013-03-18T00:00:00"/>
    <n v="3"/>
    <x v="2"/>
    <s v="John Stevenson"/>
    <x v="0"/>
    <s v="United States"/>
    <s v="Harlingen"/>
    <s v="Texas"/>
    <s v="Central"/>
    <x v="1"/>
    <x v="10"/>
    <s v="Xerox 1993"/>
    <x v="1170"/>
    <n v="1"/>
    <n v="0.2"/>
    <n v="1.8792"/>
  </r>
  <r>
    <n v="3931"/>
    <x v="560"/>
    <x v="0"/>
    <x v="10"/>
    <d v="2013-03-18T00:00:00"/>
    <n v="3"/>
    <x v="2"/>
    <s v="John Stevenson"/>
    <x v="0"/>
    <s v="United States"/>
    <s v="Harlingen"/>
    <s v="Texas"/>
    <s v="Central"/>
    <x v="1"/>
    <x v="6"/>
    <s v="BOSTON Ranger #55 Pencil Sharpener, Black"/>
    <x v="2983"/>
    <n v="7"/>
    <n v="0.2"/>
    <n v="16.373699999999999"/>
  </r>
  <r>
    <n v="3932"/>
    <x v="370"/>
    <x v="0"/>
    <x v="6"/>
    <d v="2013-09-03T00:00:00"/>
    <n v="7"/>
    <x v="1"/>
    <s v="Vivek Grady"/>
    <x v="1"/>
    <s v="United States"/>
    <s v="Philadelphia"/>
    <s v="Pennsylvania"/>
    <s v="East"/>
    <x v="1"/>
    <x v="6"/>
    <s v="Binney &amp; Smith inkTank Erasable Pocket Highlighter, Chisel Tip, Yellow"/>
    <x v="2984"/>
    <n v="3"/>
    <n v="0.2"/>
    <n v="1.6415999999999999"/>
  </r>
  <r>
    <n v="3933"/>
    <x v="370"/>
    <x v="0"/>
    <x v="6"/>
    <d v="2013-09-03T00:00:00"/>
    <n v="7"/>
    <x v="1"/>
    <s v="Vivek Grady"/>
    <x v="1"/>
    <s v="United States"/>
    <s v="Philadelphia"/>
    <s v="Pennsylvania"/>
    <s v="East"/>
    <x v="2"/>
    <x v="11"/>
    <s v="Logitech Trackman Marble Mouse"/>
    <x v="730"/>
    <n v="2"/>
    <n v="0.2"/>
    <n v="13.195600000000001"/>
  </r>
  <r>
    <n v="3934"/>
    <x v="264"/>
    <x v="3"/>
    <x v="8"/>
    <d v="2014-09-09T00:00:00"/>
    <n v="6"/>
    <x v="1"/>
    <s v="Anthony Witt"/>
    <x v="0"/>
    <s v="United States"/>
    <s v="Bakersfield"/>
    <s v="California"/>
    <s v="West"/>
    <x v="1"/>
    <x v="6"/>
    <s v="OIC #2 Pencils, Medium Soft"/>
    <x v="2985"/>
    <n v="5"/>
    <n v="0"/>
    <n v="2.726"/>
  </r>
  <r>
    <n v="3935"/>
    <x v="264"/>
    <x v="3"/>
    <x v="8"/>
    <d v="2014-09-09T00:00:00"/>
    <n v="6"/>
    <x v="1"/>
    <s v="Anthony Witt"/>
    <x v="0"/>
    <s v="United States"/>
    <s v="Bakersfield"/>
    <s v="California"/>
    <s v="West"/>
    <x v="1"/>
    <x v="2"/>
    <s v="Avery 505"/>
    <x v="2986"/>
    <n v="5"/>
    <n v="0"/>
    <n v="37"/>
  </r>
  <r>
    <n v="3936"/>
    <x v="264"/>
    <x v="3"/>
    <x v="8"/>
    <d v="2014-09-09T00:00:00"/>
    <n v="6"/>
    <x v="1"/>
    <s v="Anthony Witt"/>
    <x v="0"/>
    <s v="United States"/>
    <s v="Bakersfield"/>
    <s v="California"/>
    <s v="West"/>
    <x v="2"/>
    <x v="7"/>
    <s v="Ooma Telo VoIP Home Phone System"/>
    <x v="1212"/>
    <n v="2"/>
    <n v="0.2"/>
    <n v="12.599"/>
  </r>
  <r>
    <n v="3937"/>
    <x v="382"/>
    <x v="1"/>
    <x v="1"/>
    <d v="2012-06-20T00:00:00"/>
    <n v="4"/>
    <x v="1"/>
    <s v="Lycoris Saunders"/>
    <x v="0"/>
    <s v="United States"/>
    <s v="Grand Prairie"/>
    <s v="Texas"/>
    <s v="Central"/>
    <x v="1"/>
    <x v="12"/>
    <s v="Staples"/>
    <x v="1505"/>
    <n v="3"/>
    <n v="0.2"/>
    <n v="9.3444000000000003"/>
  </r>
  <r>
    <n v="3938"/>
    <x v="382"/>
    <x v="1"/>
    <x v="1"/>
    <d v="2012-06-20T00:00:00"/>
    <n v="4"/>
    <x v="1"/>
    <s v="Lycoris Saunders"/>
    <x v="0"/>
    <s v="United States"/>
    <s v="Grand Prairie"/>
    <s v="Texas"/>
    <s v="Central"/>
    <x v="1"/>
    <x v="10"/>
    <s v="Xerox 188"/>
    <x v="1908"/>
    <n v="3"/>
    <n v="0.2"/>
    <n v="9.8658000000000001"/>
  </r>
  <r>
    <n v="3939"/>
    <x v="382"/>
    <x v="1"/>
    <x v="1"/>
    <d v="2012-06-20T00:00:00"/>
    <n v="4"/>
    <x v="1"/>
    <s v="Lycoris Saunders"/>
    <x v="0"/>
    <s v="United States"/>
    <s v="Grand Prairie"/>
    <s v="Texas"/>
    <s v="Central"/>
    <x v="0"/>
    <x v="1"/>
    <s v="Office Star - Contemporary Swivel Chair with Padded Adjustable Arms and Flex Back"/>
    <x v="2987"/>
    <n v="2"/>
    <n v="0.3"/>
    <n v="-25.3764"/>
  </r>
  <r>
    <n v="3940"/>
    <x v="107"/>
    <x v="0"/>
    <x v="4"/>
    <d v="2013-12-11T00:00:00"/>
    <n v="0"/>
    <x v="3"/>
    <s v="Mark Hamilton"/>
    <x v="0"/>
    <s v="United States"/>
    <s v="Greenwood"/>
    <s v="Indiana"/>
    <s v="Central"/>
    <x v="0"/>
    <x v="1"/>
    <s v="Global Commerce Series High-Back Swivel/Tilt Chairs"/>
    <x v="2988"/>
    <n v="5"/>
    <n v="0"/>
    <n v="356.22500000000002"/>
  </r>
  <r>
    <n v="3941"/>
    <x v="796"/>
    <x v="3"/>
    <x v="5"/>
    <d v="2014-05-24T00:00:00"/>
    <n v="5"/>
    <x v="1"/>
    <s v="Toby Swindell"/>
    <x v="0"/>
    <s v="United States"/>
    <s v="New York City"/>
    <s v="New York"/>
    <s v="East"/>
    <x v="0"/>
    <x v="5"/>
    <s v="Master Caster Door Stop, Large Neon Orange"/>
    <x v="58"/>
    <n v="2"/>
    <n v="0"/>
    <n v="6.2607999999999997"/>
  </r>
  <r>
    <n v="3942"/>
    <x v="796"/>
    <x v="3"/>
    <x v="5"/>
    <d v="2014-05-24T00:00:00"/>
    <n v="5"/>
    <x v="1"/>
    <s v="Toby Swindell"/>
    <x v="0"/>
    <s v="United States"/>
    <s v="New York City"/>
    <s v="New York"/>
    <s v="East"/>
    <x v="1"/>
    <x v="8"/>
    <s v="Acco Pressboard Covers with Storage Hooks, 9 1/2&quot; x 11&quot;, Executive Red"/>
    <x v="334"/>
    <n v="1"/>
    <n v="0.2"/>
    <n v="1.0286999999999999"/>
  </r>
  <r>
    <n v="3943"/>
    <x v="837"/>
    <x v="3"/>
    <x v="5"/>
    <d v="2014-05-30T00:00:00"/>
    <n v="2"/>
    <x v="0"/>
    <s v="Eric Hoffmann"/>
    <x v="0"/>
    <s v="United States"/>
    <s v="Memphis"/>
    <s v="Tennessee"/>
    <s v="South"/>
    <x v="1"/>
    <x v="10"/>
    <s v="Xerox 2"/>
    <x v="233"/>
    <n v="5"/>
    <n v="0.2"/>
    <n v="9.0719999999999992"/>
  </r>
  <r>
    <n v="3944"/>
    <x v="661"/>
    <x v="0"/>
    <x v="1"/>
    <d v="2013-07-01T00:00:00"/>
    <n v="7"/>
    <x v="1"/>
    <s v="Maureen Gnade"/>
    <x v="0"/>
    <s v="United States"/>
    <s v="Buffalo"/>
    <s v="New York"/>
    <s v="East"/>
    <x v="1"/>
    <x v="14"/>
    <s v="Compact Automatic Electric Letter Opener"/>
    <x v="2989"/>
    <n v="7"/>
    <n v="0"/>
    <n v="16.703399999999998"/>
  </r>
  <r>
    <n v="3945"/>
    <x v="458"/>
    <x v="0"/>
    <x v="5"/>
    <d v="2013-05-22T00:00:00"/>
    <n v="5"/>
    <x v="0"/>
    <s v="Denny Ordway"/>
    <x v="0"/>
    <s v="United States"/>
    <s v="Los Angeles"/>
    <s v="California"/>
    <s v="West"/>
    <x v="1"/>
    <x v="10"/>
    <s v="Xerox 196"/>
    <x v="1686"/>
    <n v="3"/>
    <n v="0"/>
    <n v="8.4966000000000008"/>
  </r>
  <r>
    <n v="3946"/>
    <x v="551"/>
    <x v="3"/>
    <x v="0"/>
    <d v="2014-11-24T00:00:00"/>
    <n v="5"/>
    <x v="1"/>
    <s v="Art Ferguson"/>
    <x v="0"/>
    <s v="United States"/>
    <s v="Homestead"/>
    <s v="Florida"/>
    <s v="South"/>
    <x v="1"/>
    <x v="10"/>
    <s v="Xerox 194"/>
    <x v="2990"/>
    <n v="1"/>
    <n v="0.2"/>
    <n v="15.5344"/>
  </r>
  <r>
    <n v="3947"/>
    <x v="551"/>
    <x v="3"/>
    <x v="0"/>
    <d v="2014-11-24T00:00:00"/>
    <n v="5"/>
    <x v="1"/>
    <s v="Art Ferguson"/>
    <x v="0"/>
    <s v="United States"/>
    <s v="Homestead"/>
    <s v="Florida"/>
    <s v="South"/>
    <x v="1"/>
    <x v="14"/>
    <s v="Staples"/>
    <x v="2991"/>
    <n v="1"/>
    <n v="0.2"/>
    <n v="-0.66239999999999999"/>
  </r>
  <r>
    <n v="3948"/>
    <x v="741"/>
    <x v="0"/>
    <x v="0"/>
    <d v="2013-11-23T00:00:00"/>
    <n v="4"/>
    <x v="1"/>
    <s v="Steve Nguyen"/>
    <x v="2"/>
    <s v="United States"/>
    <s v="Pasadena"/>
    <s v="Texas"/>
    <s v="Central"/>
    <x v="1"/>
    <x v="6"/>
    <s v="4009 Highlighters by Sanford"/>
    <x v="2850"/>
    <n v="2"/>
    <n v="0.2"/>
    <n v="1.0347999999999999"/>
  </r>
  <r>
    <n v="3949"/>
    <x v="741"/>
    <x v="0"/>
    <x v="0"/>
    <d v="2013-11-23T00:00:00"/>
    <n v="4"/>
    <x v="1"/>
    <s v="Steve Nguyen"/>
    <x v="2"/>
    <s v="United States"/>
    <s v="Pasadena"/>
    <s v="Texas"/>
    <s v="Central"/>
    <x v="1"/>
    <x v="2"/>
    <s v="Avery 4027 File Folder Labels for Dot Matrix Printers, 5000 Labels per Box, White"/>
    <x v="2992"/>
    <n v="2"/>
    <n v="0.2"/>
    <n v="15.8756"/>
  </r>
  <r>
    <n v="3950"/>
    <x v="741"/>
    <x v="0"/>
    <x v="0"/>
    <d v="2013-11-23T00:00:00"/>
    <n v="4"/>
    <x v="1"/>
    <s v="Steve Nguyen"/>
    <x v="2"/>
    <s v="United States"/>
    <s v="Pasadena"/>
    <s v="Texas"/>
    <s v="Central"/>
    <x v="1"/>
    <x v="10"/>
    <s v="Xerox 1881"/>
    <x v="2993"/>
    <n v="2"/>
    <n v="0.2"/>
    <n v="6.6311999999999998"/>
  </r>
  <r>
    <n v="3951"/>
    <x v="741"/>
    <x v="0"/>
    <x v="0"/>
    <d v="2013-11-23T00:00:00"/>
    <n v="4"/>
    <x v="1"/>
    <s v="Steve Nguyen"/>
    <x v="2"/>
    <s v="United States"/>
    <s v="Pasadena"/>
    <s v="Texas"/>
    <s v="Central"/>
    <x v="0"/>
    <x v="1"/>
    <s v="Global Value Steno Chair, Gray"/>
    <x v="2994"/>
    <n v="6"/>
    <n v="0.3"/>
    <n v="-18.222000000000001"/>
  </r>
  <r>
    <n v="3952"/>
    <x v="683"/>
    <x v="2"/>
    <x v="0"/>
    <d v="2011-11-30T00:00:00"/>
    <n v="2"/>
    <x v="0"/>
    <s v="Mary O'Rourke"/>
    <x v="0"/>
    <s v="United States"/>
    <s v="Freeport"/>
    <s v="New York"/>
    <s v="East"/>
    <x v="1"/>
    <x v="8"/>
    <s v="GBC Standard Recycled Report Covers, Clear Plastic Sheets"/>
    <x v="2995"/>
    <n v="2"/>
    <n v="0.2"/>
    <n v="6.0368000000000004"/>
  </r>
  <r>
    <n v="3953"/>
    <x v="398"/>
    <x v="0"/>
    <x v="10"/>
    <d v="2013-03-09T00:00:00"/>
    <n v="7"/>
    <x v="1"/>
    <s v="Odella Nelson"/>
    <x v="1"/>
    <s v="United States"/>
    <s v="Denver"/>
    <s v="Colorado"/>
    <s v="West"/>
    <x v="2"/>
    <x v="7"/>
    <s v="RCA ViSYS 25423RE1 Corded phone"/>
    <x v="1290"/>
    <n v="2"/>
    <n v="0.2"/>
    <n v="13.9986"/>
  </r>
  <r>
    <n v="3954"/>
    <x v="787"/>
    <x v="3"/>
    <x v="9"/>
    <d v="2014-01-20T00:00:00"/>
    <n v="4"/>
    <x v="1"/>
    <s v="Sanjit Chand"/>
    <x v="0"/>
    <s v="United States"/>
    <s v="Quincy"/>
    <s v="Massachusetts"/>
    <s v="East"/>
    <x v="1"/>
    <x v="10"/>
    <s v="Telephone Message Books with Fax/Mobile Section, 5 1/2&quot; x 3 3/16&quot;"/>
    <x v="1418"/>
    <n v="2"/>
    <n v="0"/>
    <n v="5.8419999999999996"/>
  </r>
  <r>
    <n v="3955"/>
    <x v="527"/>
    <x v="2"/>
    <x v="3"/>
    <d v="2011-04-09T00:00:00"/>
    <n v="5"/>
    <x v="1"/>
    <s v="Maurice Satty"/>
    <x v="0"/>
    <s v="United States"/>
    <s v="Detroit"/>
    <s v="Michigan"/>
    <s v="Central"/>
    <x v="0"/>
    <x v="5"/>
    <s v="Advantus Panel Wall Acrylic Frame"/>
    <x v="2996"/>
    <n v="1"/>
    <n v="0"/>
    <n v="2.3521000000000001"/>
  </r>
  <r>
    <n v="3956"/>
    <x v="527"/>
    <x v="2"/>
    <x v="3"/>
    <d v="2011-04-09T00:00:00"/>
    <n v="5"/>
    <x v="1"/>
    <s v="Maurice Satty"/>
    <x v="0"/>
    <s v="United States"/>
    <s v="Detroit"/>
    <s v="Michigan"/>
    <s v="Central"/>
    <x v="1"/>
    <x v="6"/>
    <s v="Newell 319"/>
    <x v="1362"/>
    <n v="4"/>
    <n v="0"/>
    <n v="23.808"/>
  </r>
  <r>
    <n v="3957"/>
    <x v="190"/>
    <x v="0"/>
    <x v="1"/>
    <d v="2013-07-04T00:00:00"/>
    <n v="7"/>
    <x v="1"/>
    <s v="Duane Noonan"/>
    <x v="0"/>
    <s v="United States"/>
    <s v="San Francisco"/>
    <s v="California"/>
    <s v="West"/>
    <x v="0"/>
    <x v="5"/>
    <s v="Eldon Expressions Wood Desk Accessories, Oak"/>
    <x v="2997"/>
    <n v="3"/>
    <n v="0"/>
    <n v="6.4206000000000003"/>
  </r>
  <r>
    <n v="3958"/>
    <x v="211"/>
    <x v="0"/>
    <x v="5"/>
    <d v="2013-06-03T00:00:00"/>
    <n v="4"/>
    <x v="1"/>
    <s v="Raymond Buch"/>
    <x v="0"/>
    <s v="United States"/>
    <s v="Nashville"/>
    <s v="Tennessee"/>
    <s v="South"/>
    <x v="1"/>
    <x v="8"/>
    <s v="GBC ProClick Spines for 32-Hole Punch"/>
    <x v="2998"/>
    <n v="3"/>
    <n v="0.7"/>
    <n v="-8.6456999999999997"/>
  </r>
  <r>
    <n v="3959"/>
    <x v="211"/>
    <x v="0"/>
    <x v="5"/>
    <d v="2013-06-03T00:00:00"/>
    <n v="4"/>
    <x v="1"/>
    <s v="Raymond Buch"/>
    <x v="0"/>
    <s v="United States"/>
    <s v="Nashville"/>
    <s v="Tennessee"/>
    <s v="South"/>
    <x v="1"/>
    <x v="6"/>
    <s v="Newell 333"/>
    <x v="2999"/>
    <n v="2"/>
    <n v="0.2"/>
    <n v="0.33360000000000001"/>
  </r>
  <r>
    <n v="3960"/>
    <x v="211"/>
    <x v="0"/>
    <x v="5"/>
    <d v="2013-06-03T00:00:00"/>
    <n v="4"/>
    <x v="1"/>
    <s v="Raymond Buch"/>
    <x v="0"/>
    <s v="United States"/>
    <s v="Nashville"/>
    <s v="Tennessee"/>
    <s v="South"/>
    <x v="0"/>
    <x v="5"/>
    <s v="3M Polarizing Light Filter Sleeves"/>
    <x v="3000"/>
    <n v="3"/>
    <n v="0.2"/>
    <n v="14.547000000000001"/>
  </r>
  <r>
    <n v="3961"/>
    <x v="324"/>
    <x v="1"/>
    <x v="2"/>
    <d v="2012-10-24T00:00:00"/>
    <n v="5"/>
    <x v="1"/>
    <s v="Nicole Hansen"/>
    <x v="1"/>
    <s v="United States"/>
    <s v="Detroit"/>
    <s v="Michigan"/>
    <s v="Central"/>
    <x v="1"/>
    <x v="8"/>
    <s v="Avery Heavy-Duty EZD View Binder with Locking Rings"/>
    <x v="3001"/>
    <n v="6"/>
    <n v="0"/>
    <n v="17.608799999999999"/>
  </r>
  <r>
    <n v="3962"/>
    <x v="324"/>
    <x v="1"/>
    <x v="2"/>
    <d v="2012-10-24T00:00:00"/>
    <n v="5"/>
    <x v="1"/>
    <s v="Nicole Hansen"/>
    <x v="1"/>
    <s v="United States"/>
    <s v="Detroit"/>
    <s v="Michigan"/>
    <s v="Central"/>
    <x v="2"/>
    <x v="7"/>
    <s v="OtterBox Defender Series Case - Samsung Galaxy S4"/>
    <x v="179"/>
    <n v="5"/>
    <n v="0"/>
    <n v="44.984999999999999"/>
  </r>
  <r>
    <n v="3963"/>
    <x v="600"/>
    <x v="3"/>
    <x v="11"/>
    <d v="2014-02-21T00:00:00"/>
    <n v="1"/>
    <x v="2"/>
    <s v="Emily Ducich"/>
    <x v="2"/>
    <s v="United States"/>
    <s v="Los Angeles"/>
    <s v="California"/>
    <s v="West"/>
    <x v="1"/>
    <x v="6"/>
    <s v="Newell 320"/>
    <x v="1371"/>
    <n v="3"/>
    <n v="0"/>
    <n v="3.4668000000000001"/>
  </r>
  <r>
    <n v="3964"/>
    <x v="600"/>
    <x v="3"/>
    <x v="11"/>
    <d v="2014-02-21T00:00:00"/>
    <n v="1"/>
    <x v="2"/>
    <s v="Emily Ducich"/>
    <x v="2"/>
    <s v="United States"/>
    <s v="Los Angeles"/>
    <s v="California"/>
    <s v="West"/>
    <x v="0"/>
    <x v="5"/>
    <s v="Tensor Computer Mounted Lamp"/>
    <x v="3002"/>
    <n v="3"/>
    <n v="0"/>
    <n v="12.0609"/>
  </r>
  <r>
    <n v="3965"/>
    <x v="897"/>
    <x v="0"/>
    <x v="8"/>
    <d v="2013-09-29T00:00:00"/>
    <n v="6"/>
    <x v="1"/>
    <s v="Pierre Wener"/>
    <x v="0"/>
    <s v="United States"/>
    <s v="Philadelphia"/>
    <s v="Pennsylvania"/>
    <s v="East"/>
    <x v="1"/>
    <x v="6"/>
    <s v="Newell 348"/>
    <x v="956"/>
    <n v="3"/>
    <n v="0.2"/>
    <n v="0.88560000000000005"/>
  </r>
  <r>
    <n v="3966"/>
    <x v="607"/>
    <x v="2"/>
    <x v="0"/>
    <d v="2011-11-17T00:00:00"/>
    <n v="5"/>
    <x v="0"/>
    <s v="Denise Monton"/>
    <x v="1"/>
    <s v="United States"/>
    <s v="Asheville"/>
    <s v="North Carolina"/>
    <s v="South"/>
    <x v="1"/>
    <x v="6"/>
    <s v="Newell 350"/>
    <x v="956"/>
    <n v="3"/>
    <n v="0.2"/>
    <n v="0.88560000000000005"/>
  </r>
  <r>
    <n v="3967"/>
    <x v="178"/>
    <x v="0"/>
    <x v="3"/>
    <d v="2013-04-07T00:00:00"/>
    <n v="5"/>
    <x v="1"/>
    <s v="Don Weiss"/>
    <x v="0"/>
    <s v="United States"/>
    <s v="New York City"/>
    <s v="New York"/>
    <s v="East"/>
    <x v="1"/>
    <x v="6"/>
    <s v="Boston 16801 Nautilus Battery Pencil Sharpener"/>
    <x v="1912"/>
    <n v="4"/>
    <n v="0"/>
    <n v="22.8904"/>
  </r>
  <r>
    <n v="3968"/>
    <x v="244"/>
    <x v="0"/>
    <x v="5"/>
    <d v="2013-05-24T00:00:00"/>
    <n v="3"/>
    <x v="2"/>
    <s v="Eugene Hildebrand"/>
    <x v="2"/>
    <s v="United States"/>
    <s v="Colorado Springs"/>
    <s v="Colorado"/>
    <s v="West"/>
    <x v="1"/>
    <x v="8"/>
    <s v="GBC Durable Plastic Covers"/>
    <x v="3003"/>
    <n v="7"/>
    <n v="0.7"/>
    <n v="-32.508000000000003"/>
  </r>
  <r>
    <n v="3969"/>
    <x v="932"/>
    <x v="1"/>
    <x v="1"/>
    <d v="2012-06-05T00:00:00"/>
    <n v="4"/>
    <x v="1"/>
    <s v="Katrina Edelman"/>
    <x v="1"/>
    <s v="United States"/>
    <s v="San Antonio"/>
    <s v="Texas"/>
    <s v="Central"/>
    <x v="1"/>
    <x v="8"/>
    <s v="Avery Poly Binder Pockets"/>
    <x v="3004"/>
    <n v="8"/>
    <n v="0.8"/>
    <n v="-9.1647999999999996"/>
  </r>
  <r>
    <n v="3970"/>
    <x v="932"/>
    <x v="1"/>
    <x v="1"/>
    <d v="2012-06-05T00:00:00"/>
    <n v="4"/>
    <x v="1"/>
    <s v="Katrina Edelman"/>
    <x v="1"/>
    <s v="United States"/>
    <s v="San Antonio"/>
    <s v="Texas"/>
    <s v="Central"/>
    <x v="1"/>
    <x v="10"/>
    <s v="Xerox 1928"/>
    <x v="3005"/>
    <n v="10"/>
    <n v="0.2"/>
    <n v="13.2"/>
  </r>
  <r>
    <n v="3971"/>
    <x v="754"/>
    <x v="2"/>
    <x v="0"/>
    <d v="2011-11-26T00:00:00"/>
    <n v="4"/>
    <x v="1"/>
    <s v="Susan Pistek"/>
    <x v="0"/>
    <s v="United States"/>
    <s v="Los Angeles"/>
    <s v="California"/>
    <s v="West"/>
    <x v="1"/>
    <x v="10"/>
    <s v="Xerox 1895"/>
    <x v="3006"/>
    <n v="9"/>
    <n v="0"/>
    <n v="24.219000000000001"/>
  </r>
  <r>
    <n v="3972"/>
    <x v="933"/>
    <x v="1"/>
    <x v="11"/>
    <d v="2012-02-24T00:00:00"/>
    <n v="2"/>
    <x v="0"/>
    <s v="Penelope Sewall"/>
    <x v="2"/>
    <s v="United States"/>
    <s v="Sterling Heights"/>
    <s v="Michigan"/>
    <s v="Central"/>
    <x v="1"/>
    <x v="6"/>
    <s v="Newell 34"/>
    <x v="1362"/>
    <n v="4"/>
    <n v="0"/>
    <n v="20.633600000000001"/>
  </r>
  <r>
    <n v="3973"/>
    <x v="892"/>
    <x v="0"/>
    <x v="10"/>
    <d v="2013-04-03T00:00:00"/>
    <n v="4"/>
    <x v="1"/>
    <s v="Janet Martin"/>
    <x v="0"/>
    <s v="United States"/>
    <s v="New York City"/>
    <s v="New York"/>
    <s v="East"/>
    <x v="1"/>
    <x v="10"/>
    <s v="Memo Book, 100 Message Capacity, 5 3/8” x 11”"/>
    <x v="808"/>
    <n v="2"/>
    <n v="0"/>
    <n v="6.74"/>
  </r>
  <r>
    <n v="3974"/>
    <x v="892"/>
    <x v="0"/>
    <x v="10"/>
    <d v="2013-04-03T00:00:00"/>
    <n v="4"/>
    <x v="1"/>
    <s v="Janet Martin"/>
    <x v="0"/>
    <s v="United States"/>
    <s v="New York City"/>
    <s v="New York"/>
    <s v="East"/>
    <x v="1"/>
    <x v="8"/>
    <s v="Acco Four Pocket Poly Ring Binder with Label Holder, Smoke, 1&quot;"/>
    <x v="1263"/>
    <n v="5"/>
    <n v="0.2"/>
    <n v="9.3125"/>
  </r>
  <r>
    <n v="3975"/>
    <x v="892"/>
    <x v="0"/>
    <x v="10"/>
    <d v="2013-04-03T00:00:00"/>
    <n v="4"/>
    <x v="1"/>
    <s v="Janet Martin"/>
    <x v="0"/>
    <s v="United States"/>
    <s v="New York City"/>
    <s v="New York"/>
    <s v="East"/>
    <x v="0"/>
    <x v="5"/>
    <s v="Howard Miller 13-3/4&quot; Diameter Brushed Chrome Round Wall Clock"/>
    <x v="3007"/>
    <n v="8"/>
    <n v="0"/>
    <n v="124.2"/>
  </r>
  <r>
    <n v="3976"/>
    <x v="892"/>
    <x v="0"/>
    <x v="10"/>
    <d v="2013-04-03T00:00:00"/>
    <n v="4"/>
    <x v="1"/>
    <s v="Janet Martin"/>
    <x v="0"/>
    <s v="United States"/>
    <s v="New York City"/>
    <s v="New York"/>
    <s v="East"/>
    <x v="1"/>
    <x v="8"/>
    <s v="GBC Plastic Binding Combs"/>
    <x v="3008"/>
    <n v="7"/>
    <n v="0.2"/>
    <n v="14.981400000000001"/>
  </r>
  <r>
    <n v="3977"/>
    <x v="332"/>
    <x v="0"/>
    <x v="2"/>
    <d v="2013-10-25T00:00:00"/>
    <n v="2"/>
    <x v="2"/>
    <s v="Eric Barreto"/>
    <x v="0"/>
    <s v="United States"/>
    <s v="Richmond"/>
    <s v="Virginia"/>
    <s v="South"/>
    <x v="0"/>
    <x v="5"/>
    <s v="Eldon Expressions Wood and Plastic Desk Accessories, Oak"/>
    <x v="3009"/>
    <n v="4"/>
    <n v="0"/>
    <n v="11.1776"/>
  </r>
  <r>
    <n v="3978"/>
    <x v="280"/>
    <x v="3"/>
    <x v="2"/>
    <d v="2014-10-08T00:00:00"/>
    <n v="5"/>
    <x v="1"/>
    <s v="Frank Gastineau"/>
    <x v="2"/>
    <s v="United States"/>
    <s v="Seattle"/>
    <s v="Washington"/>
    <s v="West"/>
    <x v="1"/>
    <x v="13"/>
    <s v="Staples"/>
    <x v="3010"/>
    <n v="3"/>
    <n v="0"/>
    <n v="4.1124000000000001"/>
  </r>
  <r>
    <n v="3979"/>
    <x v="280"/>
    <x v="3"/>
    <x v="2"/>
    <d v="2014-10-08T00:00:00"/>
    <n v="5"/>
    <x v="1"/>
    <s v="Frank Gastineau"/>
    <x v="2"/>
    <s v="United States"/>
    <s v="Seattle"/>
    <s v="Washington"/>
    <s v="West"/>
    <x v="2"/>
    <x v="7"/>
    <s v="i.Sound Portable Power - 8000 mAh"/>
    <x v="556"/>
    <n v="2"/>
    <n v="0.2"/>
    <n v="-20.136199999999999"/>
  </r>
  <r>
    <n v="3980"/>
    <x v="851"/>
    <x v="2"/>
    <x v="4"/>
    <d v="2011-12-27T00:00:00"/>
    <n v="4"/>
    <x v="1"/>
    <s v="Tiffany House"/>
    <x v="1"/>
    <s v="United States"/>
    <s v="New York City"/>
    <s v="New York"/>
    <s v="East"/>
    <x v="0"/>
    <x v="3"/>
    <s v="Hon 61000 Series Interactive Training Tables"/>
    <x v="3011"/>
    <n v="2"/>
    <n v="0.4"/>
    <n v="-19.549199999999999"/>
  </r>
  <r>
    <n v="3981"/>
    <x v="851"/>
    <x v="2"/>
    <x v="4"/>
    <d v="2011-12-27T00:00:00"/>
    <n v="4"/>
    <x v="1"/>
    <s v="Tiffany House"/>
    <x v="1"/>
    <s v="United States"/>
    <s v="New York City"/>
    <s v="New York"/>
    <s v="East"/>
    <x v="1"/>
    <x v="9"/>
    <s v="Belkin F9H710-06 7 Outlet SurgeMaster Surge Protector"/>
    <x v="3012"/>
    <n v="3"/>
    <n v="0"/>
    <n v="15.8256"/>
  </r>
  <r>
    <n v="3982"/>
    <x v="934"/>
    <x v="3"/>
    <x v="4"/>
    <d v="2014-12-21T00:00:00"/>
    <n v="5"/>
    <x v="1"/>
    <s v="Paul Lucas"/>
    <x v="2"/>
    <s v="United States"/>
    <s v="Seattle"/>
    <s v="Washington"/>
    <s v="West"/>
    <x v="0"/>
    <x v="5"/>
    <s v="Master Giant Foot Doorstop, Safety Yellow"/>
    <x v="3013"/>
    <n v="3"/>
    <n v="0"/>
    <n v="9.7911000000000001"/>
  </r>
  <r>
    <n v="3983"/>
    <x v="274"/>
    <x v="0"/>
    <x v="7"/>
    <d v="2013-07-10T00:00:00"/>
    <n v="2"/>
    <x v="0"/>
    <s v="Christopher Conant"/>
    <x v="0"/>
    <s v="United States"/>
    <s v="Los Angeles"/>
    <s v="California"/>
    <s v="West"/>
    <x v="0"/>
    <x v="1"/>
    <s v="Global Leather Task Chair, Black"/>
    <x v="2736"/>
    <n v="4"/>
    <n v="0.2"/>
    <n v="-3.5996000000000001"/>
  </r>
  <r>
    <n v="3984"/>
    <x v="274"/>
    <x v="0"/>
    <x v="7"/>
    <d v="2013-07-10T00:00:00"/>
    <n v="2"/>
    <x v="0"/>
    <s v="Christopher Conant"/>
    <x v="0"/>
    <s v="United States"/>
    <s v="Los Angeles"/>
    <s v="California"/>
    <s v="West"/>
    <x v="2"/>
    <x v="16"/>
    <s v="Canon PC1060 Personal Laser Copier"/>
    <x v="2430"/>
    <n v="5"/>
    <n v="0.2"/>
    <n v="944.98649999999998"/>
  </r>
  <r>
    <n v="3985"/>
    <x v="274"/>
    <x v="0"/>
    <x v="7"/>
    <d v="2013-07-10T00:00:00"/>
    <n v="2"/>
    <x v="0"/>
    <s v="Christopher Conant"/>
    <x v="0"/>
    <s v="United States"/>
    <s v="Los Angeles"/>
    <s v="California"/>
    <s v="West"/>
    <x v="1"/>
    <x v="10"/>
    <s v="Xerox 1942"/>
    <x v="1529"/>
    <n v="1"/>
    <n v="0"/>
    <n v="24.47"/>
  </r>
  <r>
    <n v="3986"/>
    <x v="764"/>
    <x v="0"/>
    <x v="3"/>
    <d v="2013-04-22T00:00:00"/>
    <n v="4"/>
    <x v="1"/>
    <s v="Jessica Myrick"/>
    <x v="0"/>
    <s v="United States"/>
    <s v="Lakewood"/>
    <s v="California"/>
    <s v="West"/>
    <x v="0"/>
    <x v="0"/>
    <s v="Bush Westfield Collection Bookcases, Fully Assembled"/>
    <x v="3014"/>
    <n v="3"/>
    <n v="0.15"/>
    <n v="24.235199999999999"/>
  </r>
  <r>
    <n v="3987"/>
    <x v="798"/>
    <x v="3"/>
    <x v="3"/>
    <d v="2014-04-15T00:00:00"/>
    <n v="6"/>
    <x v="1"/>
    <s v="Karen Ferguson"/>
    <x v="2"/>
    <s v="United States"/>
    <s v="Plainfield"/>
    <s v="New Jersey"/>
    <s v="East"/>
    <x v="1"/>
    <x v="4"/>
    <s v="Tennsco 16-Compartment Lockers with Coat Rack"/>
    <x v="3015"/>
    <n v="4"/>
    <n v="0"/>
    <n v="621.97439999999995"/>
  </r>
  <r>
    <n v="3988"/>
    <x v="798"/>
    <x v="3"/>
    <x v="3"/>
    <d v="2014-04-15T00:00:00"/>
    <n v="6"/>
    <x v="1"/>
    <s v="Karen Ferguson"/>
    <x v="2"/>
    <s v="United States"/>
    <s v="Plainfield"/>
    <s v="New Jersey"/>
    <s v="East"/>
    <x v="1"/>
    <x v="9"/>
    <s v="Black &amp; Decker Filter for Double Action Dustbuster Cordless Vac BLDV7210"/>
    <x v="3016"/>
    <n v="5"/>
    <n v="0"/>
    <n v="10.487500000000001"/>
  </r>
  <r>
    <n v="3989"/>
    <x v="764"/>
    <x v="0"/>
    <x v="3"/>
    <d v="2013-04-23T00:00:00"/>
    <n v="5"/>
    <x v="1"/>
    <s v="Charles Sheldon"/>
    <x v="1"/>
    <s v="United States"/>
    <s v="Columbia"/>
    <s v="Tennessee"/>
    <s v="South"/>
    <x v="0"/>
    <x v="5"/>
    <s v="Ultra Door Kickplate, 8&quot;H x 34&quot;W"/>
    <x v="3017"/>
    <n v="5"/>
    <n v="0.2"/>
    <n v="13.846"/>
  </r>
  <r>
    <n v="3990"/>
    <x v="641"/>
    <x v="2"/>
    <x v="0"/>
    <d v="2011-11-27T00:00:00"/>
    <n v="2"/>
    <x v="0"/>
    <s v="Andy Reiter"/>
    <x v="0"/>
    <s v="United States"/>
    <s v="Woonsocket"/>
    <s v="Rhode Island"/>
    <s v="East"/>
    <x v="0"/>
    <x v="5"/>
    <s v="DAX Black Cherry Wood-Tone Poster Frame"/>
    <x v="3018"/>
    <n v="2"/>
    <n v="0"/>
    <n v="20.1248"/>
  </r>
  <r>
    <n v="3991"/>
    <x v="935"/>
    <x v="2"/>
    <x v="0"/>
    <d v="2011-11-08T00:00:00"/>
    <n v="5"/>
    <x v="1"/>
    <s v="Maxwell Schwartz"/>
    <x v="0"/>
    <s v="United States"/>
    <s v="Lancaster"/>
    <s v="Pennsylvania"/>
    <s v="East"/>
    <x v="1"/>
    <x v="14"/>
    <s v="Compact Automatic Electric Letter Opener"/>
    <x v="3019"/>
    <n v="3"/>
    <n v="0.2"/>
    <n v="-64.427400000000006"/>
  </r>
  <r>
    <n v="3992"/>
    <x v="489"/>
    <x v="1"/>
    <x v="5"/>
    <d v="2012-05-05T00:00:00"/>
    <n v="4"/>
    <x v="1"/>
    <s v="David Bremer"/>
    <x v="1"/>
    <s v="United States"/>
    <s v="Tampa"/>
    <s v="Florida"/>
    <s v="South"/>
    <x v="0"/>
    <x v="5"/>
    <s v="DAX Black Cherry Wood-Tone Poster Frame"/>
    <x v="3020"/>
    <n v="3"/>
    <n v="0.2"/>
    <n v="14.299200000000001"/>
  </r>
  <r>
    <n v="3993"/>
    <x v="489"/>
    <x v="1"/>
    <x v="5"/>
    <d v="2012-05-05T00:00:00"/>
    <n v="4"/>
    <x v="1"/>
    <s v="David Bremer"/>
    <x v="1"/>
    <s v="United States"/>
    <s v="Tampa"/>
    <s v="Florida"/>
    <s v="South"/>
    <x v="1"/>
    <x v="14"/>
    <s v="Fiskars 8&quot; Scissors, 2/Pack"/>
    <x v="3021"/>
    <n v="3"/>
    <n v="0.2"/>
    <n v="4.6547999999999998"/>
  </r>
  <r>
    <n v="3994"/>
    <x v="489"/>
    <x v="1"/>
    <x v="5"/>
    <d v="2012-05-05T00:00:00"/>
    <n v="4"/>
    <x v="1"/>
    <s v="David Bremer"/>
    <x v="1"/>
    <s v="United States"/>
    <s v="Tampa"/>
    <s v="Florida"/>
    <s v="South"/>
    <x v="1"/>
    <x v="6"/>
    <s v="Panasonic KP-380BK Classic Electric Pencil Sharpener"/>
    <x v="3022"/>
    <n v="6"/>
    <n v="0.2"/>
    <n v="10.794"/>
  </r>
  <r>
    <n v="3995"/>
    <x v="936"/>
    <x v="1"/>
    <x v="10"/>
    <d v="2012-03-12T00:00:00"/>
    <n v="4"/>
    <x v="1"/>
    <s v="Dana Kaydos"/>
    <x v="0"/>
    <s v="United States"/>
    <s v="Kenosha"/>
    <s v="Wisconsin"/>
    <s v="Central"/>
    <x v="0"/>
    <x v="0"/>
    <s v="Rush Hierlooms Collection 1&quot; Thick Stackable Bookcases"/>
    <x v="3023"/>
    <n v="3"/>
    <n v="0"/>
    <n v="97.458600000000004"/>
  </r>
  <r>
    <n v="3996"/>
    <x v="936"/>
    <x v="1"/>
    <x v="10"/>
    <d v="2012-03-12T00:00:00"/>
    <n v="4"/>
    <x v="1"/>
    <s v="Dana Kaydos"/>
    <x v="0"/>
    <s v="United States"/>
    <s v="Kenosha"/>
    <s v="Wisconsin"/>
    <s v="Central"/>
    <x v="0"/>
    <x v="1"/>
    <s v="Hon Mobius Operator's Chair"/>
    <x v="3024"/>
    <n v="7"/>
    <n v="0"/>
    <n v="189.40459999999999"/>
  </r>
  <r>
    <n v="3997"/>
    <x v="936"/>
    <x v="1"/>
    <x v="10"/>
    <d v="2012-03-12T00:00:00"/>
    <n v="4"/>
    <x v="1"/>
    <s v="Dana Kaydos"/>
    <x v="0"/>
    <s v="United States"/>
    <s v="Kenosha"/>
    <s v="Wisconsin"/>
    <s v="Central"/>
    <x v="2"/>
    <x v="7"/>
    <s v="Nortel Meridian M3904 Professional Digital phone"/>
    <x v="3025"/>
    <n v="5"/>
    <n v="0"/>
    <n v="223.28550000000001"/>
  </r>
  <r>
    <n v="3998"/>
    <x v="936"/>
    <x v="1"/>
    <x v="10"/>
    <d v="2012-03-12T00:00:00"/>
    <n v="4"/>
    <x v="1"/>
    <s v="Dana Kaydos"/>
    <x v="0"/>
    <s v="United States"/>
    <s v="Kenosha"/>
    <s v="Wisconsin"/>
    <s v="Central"/>
    <x v="1"/>
    <x v="6"/>
    <s v="Boston 1900 Electric Pencil Sharpener"/>
    <x v="1852"/>
    <n v="1"/>
    <n v="0"/>
    <n v="4.4939999999999998"/>
  </r>
  <r>
    <n v="3999"/>
    <x v="936"/>
    <x v="1"/>
    <x v="10"/>
    <d v="2012-03-12T00:00:00"/>
    <n v="4"/>
    <x v="1"/>
    <s v="Dana Kaydos"/>
    <x v="0"/>
    <s v="United States"/>
    <s v="Kenosha"/>
    <s v="Wisconsin"/>
    <s v="Central"/>
    <x v="0"/>
    <x v="5"/>
    <s v="Deflect-o Glass Clear Studded Chair Mats"/>
    <x v="3026"/>
    <n v="6"/>
    <n v="0"/>
    <n v="82.077600000000004"/>
  </r>
  <r>
    <n v="4000"/>
    <x v="789"/>
    <x v="1"/>
    <x v="7"/>
    <d v="2012-07-20T00:00:00"/>
    <n v="3"/>
    <x v="0"/>
    <s v="Michael Paige"/>
    <x v="1"/>
    <s v="United States"/>
    <s v="Port Saint Lucie"/>
    <s v="Florida"/>
    <s v="South"/>
    <x v="0"/>
    <x v="0"/>
    <s v="Bush Westfield Collection Bookcases, Medium Cherry Finish"/>
    <x v="3027"/>
    <n v="5"/>
    <n v="0.2"/>
    <n v="5.798"/>
  </r>
  <r>
    <n v="4001"/>
    <x v="856"/>
    <x v="2"/>
    <x v="2"/>
    <d v="2011-10-16T00:00:00"/>
    <n v="5"/>
    <x v="1"/>
    <s v="Dean percer"/>
    <x v="2"/>
    <s v="United States"/>
    <s v="Seattle"/>
    <s v="Washington"/>
    <s v="West"/>
    <x v="0"/>
    <x v="5"/>
    <s v="DAX Cubicle Frames - 8x10"/>
    <x v="3028"/>
    <n v="11"/>
    <n v="0"/>
    <n v="19.041"/>
  </r>
  <r>
    <n v="4002"/>
    <x v="856"/>
    <x v="2"/>
    <x v="2"/>
    <d v="2011-10-16T00:00:00"/>
    <n v="5"/>
    <x v="1"/>
    <s v="Dean percer"/>
    <x v="2"/>
    <s v="United States"/>
    <s v="Seattle"/>
    <s v="Washington"/>
    <s v="West"/>
    <x v="2"/>
    <x v="11"/>
    <s v="WD My Passport Ultra 1TB Portable External Hard Drive"/>
    <x v="2013"/>
    <n v="5"/>
    <n v="0"/>
    <n v="58.65"/>
  </r>
  <r>
    <n v="4003"/>
    <x v="840"/>
    <x v="0"/>
    <x v="10"/>
    <d v="2013-03-09T00:00:00"/>
    <n v="5"/>
    <x v="1"/>
    <s v="Chris Cortes"/>
    <x v="0"/>
    <s v="United States"/>
    <s v="San Antonio"/>
    <s v="Texas"/>
    <s v="Central"/>
    <x v="0"/>
    <x v="3"/>
    <s v="Office Impressions End Table, 20-1/2&quot;H x 24&quot;W x 20&quot;D"/>
    <x v="3029"/>
    <n v="3"/>
    <n v="0.3"/>
    <n v="-127.5792"/>
  </r>
  <r>
    <n v="4004"/>
    <x v="840"/>
    <x v="0"/>
    <x v="10"/>
    <d v="2013-03-09T00:00:00"/>
    <n v="5"/>
    <x v="1"/>
    <s v="Chris Cortes"/>
    <x v="0"/>
    <s v="United States"/>
    <s v="San Antonio"/>
    <s v="Texas"/>
    <s v="Central"/>
    <x v="2"/>
    <x v="15"/>
    <s v="Canon PC170 Desktop Personal Copier"/>
    <x v="3030"/>
    <n v="3"/>
    <n v="0.4"/>
    <n v="33.589500000000001"/>
  </r>
  <r>
    <n v="4005"/>
    <x v="840"/>
    <x v="0"/>
    <x v="10"/>
    <d v="2013-03-09T00:00:00"/>
    <n v="5"/>
    <x v="1"/>
    <s v="Chris Cortes"/>
    <x v="0"/>
    <s v="United States"/>
    <s v="San Antonio"/>
    <s v="Texas"/>
    <s v="Central"/>
    <x v="1"/>
    <x v="12"/>
    <s v="White Envelopes, White Envelopes with Clear Poly Window"/>
    <x v="3031"/>
    <n v="3"/>
    <n v="0.2"/>
    <n v="11.895"/>
  </r>
  <r>
    <n v="4006"/>
    <x v="895"/>
    <x v="1"/>
    <x v="4"/>
    <d v="2012-12-16T00:00:00"/>
    <n v="6"/>
    <x v="1"/>
    <s v="Khloe Miller"/>
    <x v="0"/>
    <s v="United States"/>
    <s v="Roswell"/>
    <s v="Georgia"/>
    <s v="South"/>
    <x v="1"/>
    <x v="6"/>
    <s v="Staples"/>
    <x v="3032"/>
    <n v="1"/>
    <n v="0"/>
    <n v="0.49840000000000001"/>
  </r>
  <r>
    <n v="4007"/>
    <x v="895"/>
    <x v="1"/>
    <x v="4"/>
    <d v="2012-12-16T00:00:00"/>
    <n v="6"/>
    <x v="1"/>
    <s v="Khloe Miller"/>
    <x v="0"/>
    <s v="United States"/>
    <s v="Roswell"/>
    <s v="Georgia"/>
    <s v="South"/>
    <x v="1"/>
    <x v="10"/>
    <s v="Xerox 201"/>
    <x v="233"/>
    <n v="4"/>
    <n v="0"/>
    <n v="12.441599999999999"/>
  </r>
  <r>
    <n v="4008"/>
    <x v="895"/>
    <x v="1"/>
    <x v="4"/>
    <d v="2012-12-16T00:00:00"/>
    <n v="6"/>
    <x v="1"/>
    <s v="Khloe Miller"/>
    <x v="0"/>
    <s v="United States"/>
    <s v="Roswell"/>
    <s v="Georgia"/>
    <s v="South"/>
    <x v="2"/>
    <x v="11"/>
    <s v="Memorex 25GB 6X Branded Blu-Ray Recordable Disc, 15/Pack"/>
    <x v="3033"/>
    <n v="6"/>
    <n v="0"/>
    <n v="21.407399999999999"/>
  </r>
  <r>
    <n v="4009"/>
    <x v="217"/>
    <x v="1"/>
    <x v="4"/>
    <d v="2012-12-22T00:00:00"/>
    <n v="4"/>
    <x v="1"/>
    <s v="Michael Kennedy"/>
    <x v="1"/>
    <s v="United States"/>
    <s v="Louisville"/>
    <s v="Colorado"/>
    <s v="West"/>
    <x v="1"/>
    <x v="6"/>
    <s v="Newell 320"/>
    <x v="1297"/>
    <n v="2"/>
    <n v="0.2"/>
    <n v="0.59919999999999995"/>
  </r>
  <r>
    <n v="4010"/>
    <x v="314"/>
    <x v="3"/>
    <x v="9"/>
    <d v="2014-01-06T00:00:00"/>
    <n v="4"/>
    <x v="1"/>
    <s v="Steven Cartwright"/>
    <x v="0"/>
    <s v="United States"/>
    <s v="Los Angeles"/>
    <s v="California"/>
    <s v="West"/>
    <x v="0"/>
    <x v="5"/>
    <s v="Howard Miller 11-1/2&quot; Diameter Brentwood Wall Clock"/>
    <x v="3034"/>
    <n v="11"/>
    <n v="0"/>
    <n v="199.26060000000001"/>
  </r>
  <r>
    <n v="4011"/>
    <x v="610"/>
    <x v="3"/>
    <x v="0"/>
    <d v="2014-11-25T00:00:00"/>
    <n v="3"/>
    <x v="2"/>
    <s v="Cindy Chapman"/>
    <x v="0"/>
    <s v="United States"/>
    <s v="Philadelphia"/>
    <s v="Pennsylvania"/>
    <s v="East"/>
    <x v="1"/>
    <x v="10"/>
    <s v="Xerox 1972"/>
    <x v="578"/>
    <n v="2"/>
    <n v="0.2"/>
    <n v="2.64"/>
  </r>
  <r>
    <n v="4012"/>
    <x v="610"/>
    <x v="3"/>
    <x v="0"/>
    <d v="2014-11-25T00:00:00"/>
    <n v="3"/>
    <x v="2"/>
    <s v="Cindy Chapman"/>
    <x v="0"/>
    <s v="United States"/>
    <s v="Philadelphia"/>
    <s v="Pennsylvania"/>
    <s v="East"/>
    <x v="1"/>
    <x v="4"/>
    <s v="Recycled Eldon Regeneration Jumbo File"/>
    <x v="3035"/>
    <n v="4"/>
    <n v="0.2"/>
    <n v="3.9296000000000002"/>
  </r>
  <r>
    <n v="4013"/>
    <x v="937"/>
    <x v="1"/>
    <x v="4"/>
    <d v="2012-12-27T00:00:00"/>
    <n v="5"/>
    <x v="1"/>
    <s v="Beth Thompson"/>
    <x v="2"/>
    <s v="United States"/>
    <s v="Superior"/>
    <s v="Wisconsin"/>
    <s v="Central"/>
    <x v="1"/>
    <x v="6"/>
    <s v="Newell 336"/>
    <x v="854"/>
    <n v="4"/>
    <n v="0"/>
    <n v="4.9648000000000003"/>
  </r>
  <r>
    <n v="4014"/>
    <x v="841"/>
    <x v="1"/>
    <x v="6"/>
    <d v="2012-08-28T00:00:00"/>
    <n v="5"/>
    <x v="1"/>
    <s v="Fred Harton"/>
    <x v="0"/>
    <s v="United States"/>
    <s v="Atlanta"/>
    <s v="Georgia"/>
    <s v="South"/>
    <x v="1"/>
    <x v="9"/>
    <s v="Avanti 4.4 Cu. Ft. Refrigerator"/>
    <x v="3036"/>
    <n v="3"/>
    <n v="0"/>
    <n v="152.0232"/>
  </r>
  <r>
    <n v="4015"/>
    <x v="841"/>
    <x v="1"/>
    <x v="6"/>
    <d v="2012-08-28T00:00:00"/>
    <n v="5"/>
    <x v="1"/>
    <s v="Fred Harton"/>
    <x v="0"/>
    <s v="United States"/>
    <s v="Atlanta"/>
    <s v="Georgia"/>
    <s v="South"/>
    <x v="1"/>
    <x v="2"/>
    <s v="Avery 474"/>
    <x v="874"/>
    <n v="3"/>
    <n v="0"/>
    <n v="4.2336"/>
  </r>
  <r>
    <n v="4016"/>
    <x v="841"/>
    <x v="1"/>
    <x v="6"/>
    <d v="2012-08-28T00:00:00"/>
    <n v="5"/>
    <x v="1"/>
    <s v="Fred Harton"/>
    <x v="0"/>
    <s v="United States"/>
    <s v="Atlanta"/>
    <s v="Georgia"/>
    <s v="South"/>
    <x v="1"/>
    <x v="10"/>
    <s v="Xerox 1944"/>
    <x v="3037"/>
    <n v="5"/>
    <n v="0"/>
    <n v="94.962000000000003"/>
  </r>
  <r>
    <n v="4017"/>
    <x v="841"/>
    <x v="1"/>
    <x v="6"/>
    <d v="2012-08-28T00:00:00"/>
    <n v="5"/>
    <x v="1"/>
    <s v="Fred Harton"/>
    <x v="0"/>
    <s v="United States"/>
    <s v="Atlanta"/>
    <s v="Georgia"/>
    <s v="South"/>
    <x v="1"/>
    <x v="10"/>
    <s v="Xerox 1962"/>
    <x v="1567"/>
    <n v="5"/>
    <n v="0"/>
    <n v="9.6300000000000008"/>
  </r>
  <r>
    <n v="4018"/>
    <x v="841"/>
    <x v="1"/>
    <x v="6"/>
    <d v="2012-08-28T00:00:00"/>
    <n v="5"/>
    <x v="1"/>
    <s v="Fred Harton"/>
    <x v="0"/>
    <s v="United States"/>
    <s v="Atlanta"/>
    <s v="Georgia"/>
    <s v="South"/>
    <x v="1"/>
    <x v="10"/>
    <s v="Xerox 1890"/>
    <x v="3038"/>
    <n v="2"/>
    <n v="0"/>
    <n v="48.94"/>
  </r>
  <r>
    <n v="4019"/>
    <x v="841"/>
    <x v="1"/>
    <x v="6"/>
    <d v="2012-08-28T00:00:00"/>
    <n v="5"/>
    <x v="1"/>
    <s v="Fred Harton"/>
    <x v="0"/>
    <s v="United States"/>
    <s v="Atlanta"/>
    <s v="Georgia"/>
    <s v="South"/>
    <x v="2"/>
    <x v="11"/>
    <s v="Maxell LTO Ultrium - 800 GB"/>
    <x v="1742"/>
    <n v="9"/>
    <n v="0"/>
    <n v="47.862900000000003"/>
  </r>
  <r>
    <n v="4020"/>
    <x v="841"/>
    <x v="1"/>
    <x v="6"/>
    <d v="2012-08-28T00:00:00"/>
    <n v="5"/>
    <x v="1"/>
    <s v="Fred Harton"/>
    <x v="0"/>
    <s v="United States"/>
    <s v="Atlanta"/>
    <s v="Georgia"/>
    <s v="South"/>
    <x v="1"/>
    <x v="9"/>
    <s v="Acco Six-Outlet Power Strip, 4' Cord Length"/>
    <x v="3039"/>
    <n v="3"/>
    <n v="0"/>
    <n v="6.7236000000000002"/>
  </r>
  <r>
    <n v="4021"/>
    <x v="169"/>
    <x v="2"/>
    <x v="1"/>
    <d v="2011-06-27T00:00:00"/>
    <n v="5"/>
    <x v="1"/>
    <s v="Anna Andreadi"/>
    <x v="0"/>
    <s v="United States"/>
    <s v="Chester"/>
    <s v="Pennsylvania"/>
    <s v="East"/>
    <x v="0"/>
    <x v="1"/>
    <s v="Padded Folding Chairs, Black, 4/Carton"/>
    <x v="3040"/>
    <n v="3"/>
    <n v="0.3"/>
    <n v="-4.8587999999999996"/>
  </r>
  <r>
    <n v="4022"/>
    <x v="169"/>
    <x v="2"/>
    <x v="1"/>
    <d v="2011-06-27T00:00:00"/>
    <n v="5"/>
    <x v="1"/>
    <s v="Anna Andreadi"/>
    <x v="0"/>
    <s v="United States"/>
    <s v="Chester"/>
    <s v="Pennsylvania"/>
    <s v="East"/>
    <x v="2"/>
    <x v="7"/>
    <s v="Panasonic Kx-TS550"/>
    <x v="3041"/>
    <n v="3"/>
    <n v="0.4"/>
    <n v="-15.1767"/>
  </r>
  <r>
    <n v="4023"/>
    <x v="169"/>
    <x v="2"/>
    <x v="1"/>
    <d v="2011-06-27T00:00:00"/>
    <n v="5"/>
    <x v="1"/>
    <s v="Anna Andreadi"/>
    <x v="0"/>
    <s v="United States"/>
    <s v="Chester"/>
    <s v="Pennsylvania"/>
    <s v="East"/>
    <x v="0"/>
    <x v="1"/>
    <s v="Hon Deluxe Fabric Upholstered Stacking Chairs, Rounded Back"/>
    <x v="3042"/>
    <n v="5"/>
    <n v="0.3"/>
    <n v="0"/>
  </r>
  <r>
    <n v="4024"/>
    <x v="855"/>
    <x v="3"/>
    <x v="2"/>
    <d v="2014-10-29T00:00:00"/>
    <n v="1"/>
    <x v="2"/>
    <s v="Jack O'Briant"/>
    <x v="1"/>
    <s v="United States"/>
    <s v="San Francisco"/>
    <s v="California"/>
    <s v="West"/>
    <x v="0"/>
    <x v="0"/>
    <s v="O'Sullivan Elevations Bookcase, Cherry Finish"/>
    <x v="3043"/>
    <n v="5"/>
    <n v="0.15"/>
    <n v="6.5490000000000004"/>
  </r>
  <r>
    <n v="4025"/>
    <x v="855"/>
    <x v="3"/>
    <x v="2"/>
    <d v="2014-10-29T00:00:00"/>
    <n v="1"/>
    <x v="2"/>
    <s v="Jack O'Briant"/>
    <x v="1"/>
    <s v="United States"/>
    <s v="San Francisco"/>
    <s v="California"/>
    <s v="West"/>
    <x v="2"/>
    <x v="7"/>
    <s v="Jackery Bar Premium Fast-charging Portable Charger"/>
    <x v="3044"/>
    <n v="4"/>
    <n v="0.2"/>
    <n v="34.741999999999997"/>
  </r>
  <r>
    <n v="4026"/>
    <x v="938"/>
    <x v="3"/>
    <x v="6"/>
    <d v="2014-08-14T00:00:00"/>
    <n v="2"/>
    <x v="2"/>
    <s v="Sylvia Foulston"/>
    <x v="1"/>
    <s v="United States"/>
    <s v="Bedford"/>
    <s v="Texas"/>
    <s v="Central"/>
    <x v="1"/>
    <x v="10"/>
    <s v="Wirebound Message Books, Four 2 3/4&quot; x 5&quot; Forms per Page, 600 Sets per Book"/>
    <x v="3045"/>
    <n v="4"/>
    <n v="0.2"/>
    <n v="10.0116"/>
  </r>
  <r>
    <n v="4027"/>
    <x v="938"/>
    <x v="3"/>
    <x v="6"/>
    <d v="2014-08-14T00:00:00"/>
    <n v="2"/>
    <x v="2"/>
    <s v="Sylvia Foulston"/>
    <x v="1"/>
    <s v="United States"/>
    <s v="Bedford"/>
    <s v="Texas"/>
    <s v="Central"/>
    <x v="1"/>
    <x v="6"/>
    <s v="BIC Brite Liner Grip Highlighters"/>
    <x v="1964"/>
    <n v="7"/>
    <n v="0.2"/>
    <n v="2.87"/>
  </r>
  <r>
    <n v="4028"/>
    <x v="938"/>
    <x v="3"/>
    <x v="6"/>
    <d v="2014-08-14T00:00:00"/>
    <n v="2"/>
    <x v="2"/>
    <s v="Sylvia Foulston"/>
    <x v="1"/>
    <s v="United States"/>
    <s v="Bedford"/>
    <s v="Texas"/>
    <s v="Central"/>
    <x v="2"/>
    <x v="7"/>
    <s v="Pyle PMP37LED"/>
    <x v="2045"/>
    <n v="2"/>
    <n v="0.2"/>
    <n v="13.438599999999999"/>
  </r>
  <r>
    <n v="4029"/>
    <x v="938"/>
    <x v="3"/>
    <x v="6"/>
    <d v="2014-08-14T00:00:00"/>
    <n v="2"/>
    <x v="2"/>
    <s v="Sylvia Foulston"/>
    <x v="1"/>
    <s v="United States"/>
    <s v="Bedford"/>
    <s v="Texas"/>
    <s v="Central"/>
    <x v="1"/>
    <x v="8"/>
    <s v="Fellowes Twister Kit, Gray/Clear, 3/pkg"/>
    <x v="3046"/>
    <n v="8"/>
    <n v="0.8"/>
    <n v="-22.512"/>
  </r>
  <r>
    <n v="4030"/>
    <x v="165"/>
    <x v="3"/>
    <x v="4"/>
    <d v="2014-12-29T00:00:00"/>
    <n v="4"/>
    <x v="1"/>
    <s v="Christine Sundaresam"/>
    <x v="0"/>
    <s v="United States"/>
    <s v="Lafayette"/>
    <s v="Louisiana"/>
    <s v="South"/>
    <x v="2"/>
    <x v="15"/>
    <s v="DYMO CardScan Personal V9 Business Card Scanner"/>
    <x v="647"/>
    <n v="3"/>
    <n v="0"/>
    <n v="239.98500000000001"/>
  </r>
  <r>
    <n v="4031"/>
    <x v="165"/>
    <x v="3"/>
    <x v="4"/>
    <d v="2014-12-29T00:00:00"/>
    <n v="4"/>
    <x v="1"/>
    <s v="Christine Sundaresam"/>
    <x v="0"/>
    <s v="United States"/>
    <s v="Lafayette"/>
    <s v="Louisiana"/>
    <s v="South"/>
    <x v="0"/>
    <x v="1"/>
    <s v="Iceberg Nesting Folding Chair, 19w x 6d x 43h"/>
    <x v="3047"/>
    <n v="4"/>
    <n v="0"/>
    <n v="60.5488"/>
  </r>
  <r>
    <n v="4032"/>
    <x v="182"/>
    <x v="0"/>
    <x v="8"/>
    <d v="2013-10-01T00:00:00"/>
    <n v="4"/>
    <x v="1"/>
    <s v="Steve Nguyen"/>
    <x v="2"/>
    <s v="United States"/>
    <s v="Covington"/>
    <s v="Washington"/>
    <s v="West"/>
    <x v="1"/>
    <x v="9"/>
    <s v="Belkin 7 Outlet SurgeMaster II"/>
    <x v="3048"/>
    <n v="6"/>
    <n v="0"/>
    <n v="66.326400000000007"/>
  </r>
  <r>
    <n v="4033"/>
    <x v="182"/>
    <x v="0"/>
    <x v="8"/>
    <d v="2013-10-01T00:00:00"/>
    <n v="4"/>
    <x v="1"/>
    <s v="Steve Nguyen"/>
    <x v="2"/>
    <s v="United States"/>
    <s v="Covington"/>
    <s v="Washington"/>
    <s v="West"/>
    <x v="1"/>
    <x v="10"/>
    <s v="Universal Premium White Copier/Laser Paper (20Lb. and 87 Bright)"/>
    <x v="2680"/>
    <n v="5"/>
    <n v="0"/>
    <n v="14.651"/>
  </r>
  <r>
    <n v="4034"/>
    <x v="182"/>
    <x v="0"/>
    <x v="8"/>
    <d v="2013-10-01T00:00:00"/>
    <n v="4"/>
    <x v="1"/>
    <s v="Steve Nguyen"/>
    <x v="2"/>
    <s v="United States"/>
    <s v="Covington"/>
    <s v="Washington"/>
    <s v="West"/>
    <x v="2"/>
    <x v="11"/>
    <s v="Micro Innovations USB RF Wireless Keyboard with Mouse"/>
    <x v="1483"/>
    <n v="4"/>
    <n v="0"/>
    <n v="21"/>
  </r>
  <r>
    <n v="4035"/>
    <x v="939"/>
    <x v="0"/>
    <x v="4"/>
    <d v="2013-12-13T00:00:00"/>
    <n v="0"/>
    <x v="3"/>
    <s v="Jim Mitchum"/>
    <x v="1"/>
    <s v="United States"/>
    <s v="Lorain"/>
    <s v="Ohio"/>
    <s v="East"/>
    <x v="1"/>
    <x v="8"/>
    <s v="Wilson Jones Century Plastic Molded Ring Binders"/>
    <x v="3049"/>
    <n v="3"/>
    <n v="0.7"/>
    <n v="-14.331300000000001"/>
  </r>
  <r>
    <n v="4036"/>
    <x v="939"/>
    <x v="0"/>
    <x v="4"/>
    <d v="2013-12-13T00:00:00"/>
    <n v="0"/>
    <x v="3"/>
    <s v="Jim Mitchum"/>
    <x v="1"/>
    <s v="United States"/>
    <s v="Lorain"/>
    <s v="Ohio"/>
    <s v="East"/>
    <x v="2"/>
    <x v="11"/>
    <s v="Logitech G602 Wireless Gaming Mouse"/>
    <x v="3050"/>
    <n v="6"/>
    <n v="0.2"/>
    <n v="76.790400000000005"/>
  </r>
  <r>
    <n v="4037"/>
    <x v="75"/>
    <x v="1"/>
    <x v="4"/>
    <d v="2013-01-01T00:00:00"/>
    <n v="4"/>
    <x v="1"/>
    <s v="Fred Harton"/>
    <x v="0"/>
    <s v="United States"/>
    <s v="Chicago"/>
    <s v="Illinois"/>
    <s v="Central"/>
    <x v="1"/>
    <x v="4"/>
    <s v="Tenex Personal Filing Tote With Secure Closure Lid, Black/Frost"/>
    <x v="176"/>
    <n v="2"/>
    <n v="0.2"/>
    <n v="1.5509999999999999"/>
  </r>
  <r>
    <n v="4038"/>
    <x v="282"/>
    <x v="2"/>
    <x v="4"/>
    <d v="2012-01-02T00:00:00"/>
    <n v="4"/>
    <x v="1"/>
    <s v="Anthony Johnson"/>
    <x v="1"/>
    <s v="United States"/>
    <s v="San Francisco"/>
    <s v="California"/>
    <s v="West"/>
    <x v="0"/>
    <x v="5"/>
    <s v="Stacking Trays by OIC"/>
    <x v="1663"/>
    <n v="5"/>
    <n v="0"/>
    <n v="8.2170000000000005"/>
  </r>
  <r>
    <n v="4039"/>
    <x v="282"/>
    <x v="2"/>
    <x v="4"/>
    <d v="2012-01-02T00:00:00"/>
    <n v="4"/>
    <x v="1"/>
    <s v="Anthony Johnson"/>
    <x v="1"/>
    <s v="United States"/>
    <s v="San Francisco"/>
    <s v="California"/>
    <s v="West"/>
    <x v="1"/>
    <x v="10"/>
    <s v="Xerox 1981"/>
    <x v="3051"/>
    <n v="4"/>
    <n v="0"/>
    <n v="9.5039999999999996"/>
  </r>
  <r>
    <n v="4040"/>
    <x v="282"/>
    <x v="2"/>
    <x v="4"/>
    <d v="2012-01-02T00:00:00"/>
    <n v="4"/>
    <x v="1"/>
    <s v="Anthony Johnson"/>
    <x v="1"/>
    <s v="United States"/>
    <s v="San Francisco"/>
    <s v="California"/>
    <s v="West"/>
    <x v="2"/>
    <x v="15"/>
    <s v="DYMO CardScan Personal V9 Business Card Scanner"/>
    <x v="3052"/>
    <n v="6"/>
    <n v="0.2"/>
    <n v="287.98200000000003"/>
  </r>
  <r>
    <n v="4041"/>
    <x v="282"/>
    <x v="2"/>
    <x v="4"/>
    <d v="2012-01-02T00:00:00"/>
    <n v="4"/>
    <x v="1"/>
    <s v="Anthony Johnson"/>
    <x v="1"/>
    <s v="United States"/>
    <s v="San Francisco"/>
    <s v="California"/>
    <s v="West"/>
    <x v="1"/>
    <x v="8"/>
    <s v="Avery Hanging File Binders"/>
    <x v="642"/>
    <n v="3"/>
    <n v="0.2"/>
    <n v="4.6643999999999997"/>
  </r>
  <r>
    <n v="4042"/>
    <x v="282"/>
    <x v="2"/>
    <x v="4"/>
    <d v="2012-01-02T00:00:00"/>
    <n v="4"/>
    <x v="1"/>
    <s v="Anthony Johnson"/>
    <x v="1"/>
    <s v="United States"/>
    <s v="San Francisco"/>
    <s v="California"/>
    <s v="West"/>
    <x v="2"/>
    <x v="7"/>
    <s v="Mophie Juice Pack Helium for iPhone"/>
    <x v="1807"/>
    <n v="3"/>
    <n v="0.2"/>
    <n v="19.197600000000001"/>
  </r>
  <r>
    <n v="4043"/>
    <x v="282"/>
    <x v="2"/>
    <x v="4"/>
    <d v="2012-01-02T00:00:00"/>
    <n v="4"/>
    <x v="1"/>
    <s v="Anthony Johnson"/>
    <x v="1"/>
    <s v="United States"/>
    <s v="San Francisco"/>
    <s v="California"/>
    <s v="West"/>
    <x v="1"/>
    <x v="2"/>
    <s v="Avery 477"/>
    <x v="3053"/>
    <n v="9"/>
    <n v="0"/>
    <n v="126.3942"/>
  </r>
  <r>
    <n v="4044"/>
    <x v="282"/>
    <x v="2"/>
    <x v="4"/>
    <d v="2012-01-02T00:00:00"/>
    <n v="4"/>
    <x v="1"/>
    <s v="Anthony Johnson"/>
    <x v="1"/>
    <s v="United States"/>
    <s v="San Francisco"/>
    <s v="California"/>
    <s v="West"/>
    <x v="0"/>
    <x v="5"/>
    <s v="Executive Impressions 10&quot; Spectator Wall Clock"/>
    <x v="2623"/>
    <n v="6"/>
    <n v="0"/>
    <n v="23.990400000000001"/>
  </r>
  <r>
    <n v="4045"/>
    <x v="608"/>
    <x v="1"/>
    <x v="1"/>
    <d v="2012-06-30T00:00:00"/>
    <n v="5"/>
    <x v="1"/>
    <s v="Jill Fjeld"/>
    <x v="0"/>
    <s v="United States"/>
    <s v="San Francisco"/>
    <s v="California"/>
    <s v="West"/>
    <x v="0"/>
    <x v="5"/>
    <s v="Dana Halogen Swing-Arm Architect Lamp"/>
    <x v="3054"/>
    <n v="5"/>
    <n v="0"/>
    <n v="57.357999999999997"/>
  </r>
  <r>
    <n v="4046"/>
    <x v="788"/>
    <x v="1"/>
    <x v="3"/>
    <d v="2012-04-07T00:00:00"/>
    <n v="5"/>
    <x v="1"/>
    <s v="Cari Sayre"/>
    <x v="1"/>
    <s v="United States"/>
    <s v="Houston"/>
    <s v="Texas"/>
    <s v="Central"/>
    <x v="1"/>
    <x v="8"/>
    <s v="Aluminum Screw Posts"/>
    <x v="1723"/>
    <n v="3"/>
    <n v="0.8"/>
    <n v="-13.734"/>
  </r>
  <r>
    <n v="4047"/>
    <x v="208"/>
    <x v="3"/>
    <x v="2"/>
    <d v="2014-10-26T00:00:00"/>
    <n v="4"/>
    <x v="1"/>
    <s v="Susan Pistek"/>
    <x v="0"/>
    <s v="United States"/>
    <s v="Chicago"/>
    <s v="Illinois"/>
    <s v="Central"/>
    <x v="1"/>
    <x v="9"/>
    <s v="Belkin 8 Outlet SurgeMaster II Gold Surge Protector"/>
    <x v="3055"/>
    <n v="2"/>
    <n v="0.8"/>
    <n v="-62.379199999999997"/>
  </r>
  <r>
    <n v="4048"/>
    <x v="747"/>
    <x v="1"/>
    <x v="7"/>
    <d v="2012-07-19T00:00:00"/>
    <n v="3"/>
    <x v="2"/>
    <s v="Katrina Edelman"/>
    <x v="1"/>
    <s v="United States"/>
    <s v="New York City"/>
    <s v="New York"/>
    <s v="East"/>
    <x v="1"/>
    <x v="10"/>
    <s v="Petty Cash Envelope"/>
    <x v="152"/>
    <n v="3"/>
    <n v="0"/>
    <n v="39.6312"/>
  </r>
  <r>
    <n v="4049"/>
    <x v="747"/>
    <x v="1"/>
    <x v="7"/>
    <d v="2012-07-19T00:00:00"/>
    <n v="3"/>
    <x v="2"/>
    <s v="Katrina Edelman"/>
    <x v="1"/>
    <s v="United States"/>
    <s v="New York City"/>
    <s v="New York"/>
    <s v="East"/>
    <x v="2"/>
    <x v="11"/>
    <s v="Kensington Orbit Wireless Mobile Trackball for PC and Mac"/>
    <x v="3056"/>
    <n v="10"/>
    <n v="0"/>
    <n v="191.96799999999999"/>
  </r>
  <r>
    <n v="4050"/>
    <x v="92"/>
    <x v="3"/>
    <x v="1"/>
    <d v="2014-06-27T00:00:00"/>
    <n v="2"/>
    <x v="0"/>
    <s v="George Ashbrook"/>
    <x v="0"/>
    <s v="United States"/>
    <s v="New York City"/>
    <s v="New York"/>
    <s v="East"/>
    <x v="0"/>
    <x v="5"/>
    <s v="Deflect-o RollaMat Studded, Beveled Mat for Medium Pile Carpeting"/>
    <x v="3057"/>
    <n v="3"/>
    <n v="0"/>
    <n v="49.804200000000002"/>
  </r>
  <r>
    <n v="4051"/>
    <x v="92"/>
    <x v="3"/>
    <x v="1"/>
    <d v="2014-06-27T00:00:00"/>
    <n v="2"/>
    <x v="0"/>
    <s v="George Ashbrook"/>
    <x v="0"/>
    <s v="United States"/>
    <s v="New York City"/>
    <s v="New York"/>
    <s v="East"/>
    <x v="0"/>
    <x v="1"/>
    <s v="Global Deluxe Office Fabric Chairs"/>
    <x v="3058"/>
    <n v="2"/>
    <n v="0.1"/>
    <n v="32.633200000000002"/>
  </r>
  <r>
    <n v="4052"/>
    <x v="411"/>
    <x v="2"/>
    <x v="8"/>
    <d v="2011-10-03T00:00:00"/>
    <n v="4"/>
    <x v="1"/>
    <s v="Suzanne McNair"/>
    <x v="1"/>
    <s v="United States"/>
    <s v="Philadelphia"/>
    <s v="Pennsylvania"/>
    <s v="East"/>
    <x v="1"/>
    <x v="6"/>
    <s v="Nontoxic Chalk"/>
    <x v="1700"/>
    <n v="3"/>
    <n v="0.2"/>
    <n v="1.4783999999999999"/>
  </r>
  <r>
    <n v="4053"/>
    <x v="411"/>
    <x v="2"/>
    <x v="8"/>
    <d v="2011-10-03T00:00:00"/>
    <n v="4"/>
    <x v="1"/>
    <s v="Suzanne McNair"/>
    <x v="1"/>
    <s v="United States"/>
    <s v="Philadelphia"/>
    <s v="Pennsylvania"/>
    <s v="East"/>
    <x v="0"/>
    <x v="3"/>
    <s v="Hon 30&quot; x 60&quot; Table with Locking Drawer"/>
    <x v="3059"/>
    <n v="2"/>
    <n v="0.4"/>
    <n v="-81.854399999999998"/>
  </r>
  <r>
    <n v="4054"/>
    <x v="411"/>
    <x v="2"/>
    <x v="8"/>
    <d v="2011-10-03T00:00:00"/>
    <n v="4"/>
    <x v="1"/>
    <s v="Suzanne McNair"/>
    <x v="1"/>
    <s v="United States"/>
    <s v="Philadelphia"/>
    <s v="Pennsylvania"/>
    <s v="East"/>
    <x v="1"/>
    <x v="2"/>
    <s v="Permanent Self-Adhesive File Folder Labels for Typewriters, 1 1/8 x 3 1/2, White"/>
    <x v="3060"/>
    <n v="11"/>
    <n v="0.2"/>
    <n v="18.018000000000001"/>
  </r>
  <r>
    <n v="4055"/>
    <x v="411"/>
    <x v="2"/>
    <x v="8"/>
    <d v="2011-10-03T00:00:00"/>
    <n v="4"/>
    <x v="1"/>
    <s v="Suzanne McNair"/>
    <x v="1"/>
    <s v="United States"/>
    <s v="Philadelphia"/>
    <s v="Pennsylvania"/>
    <s v="East"/>
    <x v="1"/>
    <x v="10"/>
    <s v="Southworth Parchment Paper &amp; Envelopes"/>
    <x v="2523"/>
    <n v="4"/>
    <n v="0.2"/>
    <n v="6.8015999999999996"/>
  </r>
  <r>
    <n v="4056"/>
    <x v="411"/>
    <x v="2"/>
    <x v="8"/>
    <d v="2011-10-03T00:00:00"/>
    <n v="4"/>
    <x v="1"/>
    <s v="Suzanne McNair"/>
    <x v="1"/>
    <s v="United States"/>
    <s v="Philadelphia"/>
    <s v="Pennsylvania"/>
    <s v="East"/>
    <x v="1"/>
    <x v="4"/>
    <s v="Tennsco Single-Tier Lockers"/>
    <x v="2084"/>
    <n v="6"/>
    <n v="0.2"/>
    <n v="-337.80599999999998"/>
  </r>
  <r>
    <n v="4057"/>
    <x v="411"/>
    <x v="2"/>
    <x v="8"/>
    <d v="2011-10-03T00:00:00"/>
    <n v="4"/>
    <x v="1"/>
    <s v="Suzanne McNair"/>
    <x v="1"/>
    <s v="United States"/>
    <s v="Philadelphia"/>
    <s v="Pennsylvania"/>
    <s v="East"/>
    <x v="0"/>
    <x v="3"/>
    <s v="Hon 4060 Series Tables"/>
    <x v="3061"/>
    <n v="1"/>
    <n v="0.4"/>
    <n v="-20.152799999999999"/>
  </r>
  <r>
    <n v="4058"/>
    <x v="156"/>
    <x v="2"/>
    <x v="0"/>
    <d v="2011-11-28T00:00:00"/>
    <n v="4"/>
    <x v="1"/>
    <s v="Darren Koutras"/>
    <x v="0"/>
    <s v="United States"/>
    <s v="Chicago"/>
    <s v="Illinois"/>
    <s v="Central"/>
    <x v="1"/>
    <x v="4"/>
    <s v="Fellowes Super Stor/Drawer Files"/>
    <x v="3062"/>
    <n v="5"/>
    <n v="0.2"/>
    <n v="-8.0775000000000006"/>
  </r>
  <r>
    <n v="4059"/>
    <x v="312"/>
    <x v="1"/>
    <x v="0"/>
    <d v="2012-11-24T00:00:00"/>
    <n v="4"/>
    <x v="1"/>
    <s v="Lena Creighton"/>
    <x v="0"/>
    <s v="United States"/>
    <s v="Oakland"/>
    <s v="California"/>
    <s v="West"/>
    <x v="2"/>
    <x v="7"/>
    <s v="Gear Head AU3700S Headset"/>
    <x v="3063"/>
    <n v="7"/>
    <n v="0.2"/>
    <n v="-15.4581"/>
  </r>
  <r>
    <n v="4060"/>
    <x v="312"/>
    <x v="1"/>
    <x v="0"/>
    <d v="2012-11-24T00:00:00"/>
    <n v="4"/>
    <x v="1"/>
    <s v="Lena Creighton"/>
    <x v="0"/>
    <s v="United States"/>
    <s v="Oakland"/>
    <s v="California"/>
    <s v="West"/>
    <x v="0"/>
    <x v="1"/>
    <s v="Safco Contoured Stacking Chairs"/>
    <x v="3064"/>
    <n v="3"/>
    <n v="0.2"/>
    <n v="35.76"/>
  </r>
  <r>
    <n v="4061"/>
    <x v="474"/>
    <x v="0"/>
    <x v="0"/>
    <d v="2013-11-08T00:00:00"/>
    <n v="6"/>
    <x v="1"/>
    <s v="Xylona Preis"/>
    <x v="0"/>
    <s v="United States"/>
    <s v="Chicago"/>
    <s v="Illinois"/>
    <s v="Central"/>
    <x v="2"/>
    <x v="11"/>
    <s v="Maxell 4.7GB DVD-R"/>
    <x v="3065"/>
    <n v="3"/>
    <n v="0.2"/>
    <n v="17.8794"/>
  </r>
  <r>
    <n v="4062"/>
    <x v="14"/>
    <x v="1"/>
    <x v="8"/>
    <d v="2012-09-20T00:00:00"/>
    <n v="3"/>
    <x v="2"/>
    <s v="Cari Sayre"/>
    <x v="1"/>
    <s v="United States"/>
    <s v="Seattle"/>
    <s v="Washington"/>
    <s v="West"/>
    <x v="1"/>
    <x v="8"/>
    <s v="Acco Data Flex Cable Posts For Top &amp; Bottom Load Binders, 6&quot; Capacity"/>
    <x v="3066"/>
    <n v="3"/>
    <n v="0.2"/>
    <n v="7.8224999999999998"/>
  </r>
  <r>
    <n v="4063"/>
    <x v="612"/>
    <x v="0"/>
    <x v="10"/>
    <d v="2013-03-15T00:00:00"/>
    <n v="4"/>
    <x v="1"/>
    <s v="Bryan Davis"/>
    <x v="0"/>
    <s v="United States"/>
    <s v="Philadelphia"/>
    <s v="Pennsylvania"/>
    <s v="East"/>
    <x v="2"/>
    <x v="11"/>
    <s v="Plantronics Audio 478 Stereo USB Headset"/>
    <x v="3067"/>
    <n v="1"/>
    <n v="0.2"/>
    <n v="7.4984999999999999"/>
  </r>
  <r>
    <n v="4064"/>
    <x v="670"/>
    <x v="2"/>
    <x v="1"/>
    <d v="2011-06-26T00:00:00"/>
    <n v="3"/>
    <x v="2"/>
    <s v="Denise Leinenbach"/>
    <x v="0"/>
    <s v="United States"/>
    <s v="Concord"/>
    <s v="North Carolina"/>
    <s v="South"/>
    <x v="1"/>
    <x v="6"/>
    <s v="Prang Drawing Pencil Set"/>
    <x v="184"/>
    <n v="9"/>
    <n v="0.2"/>
    <n v="1.7514000000000001"/>
  </r>
  <r>
    <n v="4065"/>
    <x v="670"/>
    <x v="2"/>
    <x v="1"/>
    <d v="2011-06-26T00:00:00"/>
    <n v="3"/>
    <x v="2"/>
    <s v="Denise Leinenbach"/>
    <x v="0"/>
    <s v="United States"/>
    <s v="Concord"/>
    <s v="North Carolina"/>
    <s v="South"/>
    <x v="1"/>
    <x v="14"/>
    <s v="Acme Kleen Earth Office Shears"/>
    <x v="3068"/>
    <n v="1"/>
    <n v="0.2"/>
    <n v="0.34920000000000001"/>
  </r>
  <r>
    <n v="4066"/>
    <x v="301"/>
    <x v="2"/>
    <x v="0"/>
    <d v="2011-11-05T00:00:00"/>
    <n v="4"/>
    <x v="1"/>
    <s v="Ken Heidel"/>
    <x v="1"/>
    <s v="United States"/>
    <s v="Charlotte"/>
    <s v="North Carolina"/>
    <s v="South"/>
    <x v="1"/>
    <x v="13"/>
    <s v="Staples"/>
    <x v="1990"/>
    <n v="5"/>
    <n v="0.2"/>
    <n v="1.41"/>
  </r>
  <r>
    <n v="4067"/>
    <x v="301"/>
    <x v="2"/>
    <x v="0"/>
    <d v="2011-11-05T00:00:00"/>
    <n v="4"/>
    <x v="1"/>
    <s v="Ken Heidel"/>
    <x v="1"/>
    <s v="United States"/>
    <s v="Charlotte"/>
    <s v="North Carolina"/>
    <s v="South"/>
    <x v="1"/>
    <x v="6"/>
    <s v="Newell 320"/>
    <x v="1495"/>
    <n v="3"/>
    <n v="0.2"/>
    <n v="0.89880000000000004"/>
  </r>
  <r>
    <n v="4068"/>
    <x v="301"/>
    <x v="2"/>
    <x v="0"/>
    <d v="2011-11-05T00:00:00"/>
    <n v="4"/>
    <x v="1"/>
    <s v="Ken Heidel"/>
    <x v="1"/>
    <s v="United States"/>
    <s v="Charlotte"/>
    <s v="North Carolina"/>
    <s v="South"/>
    <x v="1"/>
    <x v="2"/>
    <s v="Avery 513"/>
    <x v="3069"/>
    <n v="12"/>
    <n v="0.2"/>
    <n v="15.537599999999999"/>
  </r>
  <r>
    <n v="4069"/>
    <x v="301"/>
    <x v="2"/>
    <x v="0"/>
    <d v="2011-11-05T00:00:00"/>
    <n v="4"/>
    <x v="1"/>
    <s v="Ken Heidel"/>
    <x v="1"/>
    <s v="United States"/>
    <s v="Charlotte"/>
    <s v="North Carolina"/>
    <s v="South"/>
    <x v="2"/>
    <x v="7"/>
    <s v="Cisco IP Phone 7961G VoIP phone - Dark gray"/>
    <x v="3070"/>
    <n v="9"/>
    <n v="0.2"/>
    <n v="110.1195"/>
  </r>
  <r>
    <n v="4070"/>
    <x v="770"/>
    <x v="0"/>
    <x v="6"/>
    <d v="2013-09-01T00:00:00"/>
    <n v="3"/>
    <x v="2"/>
    <s v="Tom Prescott"/>
    <x v="0"/>
    <s v="United States"/>
    <s v="Dallas"/>
    <s v="Texas"/>
    <s v="Central"/>
    <x v="1"/>
    <x v="8"/>
    <s v="Angle-D Binders with Locking Rings, Label Holders"/>
    <x v="3071"/>
    <n v="9"/>
    <n v="0.8"/>
    <n v="-21.681000000000001"/>
  </r>
  <r>
    <n v="4071"/>
    <x v="770"/>
    <x v="0"/>
    <x v="6"/>
    <d v="2013-09-01T00:00:00"/>
    <n v="3"/>
    <x v="2"/>
    <s v="Tom Prescott"/>
    <x v="0"/>
    <s v="United States"/>
    <s v="Dallas"/>
    <s v="Texas"/>
    <s v="Central"/>
    <x v="1"/>
    <x v="8"/>
    <s v="GBC ProClick Spines for 32-Hole Punch"/>
    <x v="3072"/>
    <n v="4"/>
    <n v="0.8"/>
    <n v="-16.5396"/>
  </r>
  <r>
    <n v="4072"/>
    <x v="770"/>
    <x v="0"/>
    <x v="6"/>
    <d v="2013-09-01T00:00:00"/>
    <n v="3"/>
    <x v="2"/>
    <s v="Tom Prescott"/>
    <x v="0"/>
    <s v="United States"/>
    <s v="Dallas"/>
    <s v="Texas"/>
    <s v="Central"/>
    <x v="0"/>
    <x v="0"/>
    <s v="Sauder Camden County Collection Libraries, Planked Cherry Finish"/>
    <x v="3073"/>
    <n v="2"/>
    <n v="0.32"/>
    <n v="-52.890799999999999"/>
  </r>
  <r>
    <n v="4073"/>
    <x v="401"/>
    <x v="1"/>
    <x v="4"/>
    <d v="2012-12-08T00:00:00"/>
    <n v="2"/>
    <x v="0"/>
    <s v="Nora Pelletier"/>
    <x v="2"/>
    <s v="United States"/>
    <s v="Indianapolis"/>
    <s v="Indiana"/>
    <s v="Central"/>
    <x v="2"/>
    <x v="16"/>
    <s v="Hewlett Packard 610 Color Digital Copier / Printer"/>
    <x v="3074"/>
    <n v="2"/>
    <n v="0"/>
    <n v="449.99099999999999"/>
  </r>
  <r>
    <n v="4074"/>
    <x v="496"/>
    <x v="1"/>
    <x v="8"/>
    <d v="2012-09-27T00:00:00"/>
    <n v="3"/>
    <x v="2"/>
    <s v="Steve Carroll"/>
    <x v="2"/>
    <s v="United States"/>
    <s v="Broken Arrow"/>
    <s v="Oklahoma"/>
    <s v="Central"/>
    <x v="2"/>
    <x v="7"/>
    <s v="AT&amp;T 1080 Phone"/>
    <x v="3075"/>
    <n v="6"/>
    <n v="0"/>
    <n v="213.70439999999999"/>
  </r>
  <r>
    <n v="4075"/>
    <x v="940"/>
    <x v="3"/>
    <x v="0"/>
    <d v="2014-11-21T00:00:00"/>
    <n v="5"/>
    <x v="1"/>
    <s v="Dana Kaydos"/>
    <x v="0"/>
    <s v="United States"/>
    <s v="Miramar"/>
    <s v="Florida"/>
    <s v="South"/>
    <x v="0"/>
    <x v="5"/>
    <s v="Howard Miller 13-1/2&quot; Diameter Rosebrook Wall Clock"/>
    <x v="3076"/>
    <n v="4"/>
    <n v="0.2"/>
    <n v="55.015999999999998"/>
  </r>
  <r>
    <n v="4076"/>
    <x v="940"/>
    <x v="3"/>
    <x v="0"/>
    <d v="2014-11-21T00:00:00"/>
    <n v="5"/>
    <x v="1"/>
    <s v="Dana Kaydos"/>
    <x v="0"/>
    <s v="United States"/>
    <s v="Miramar"/>
    <s v="Florida"/>
    <s v="South"/>
    <x v="0"/>
    <x v="5"/>
    <s v="Tenex 46&quot; x 60&quot; Computer Anti-Static Chairmat, Rectangular Shaped"/>
    <x v="3077"/>
    <n v="4"/>
    <n v="0.2"/>
    <n v="0"/>
  </r>
  <r>
    <n v="4077"/>
    <x v="546"/>
    <x v="1"/>
    <x v="4"/>
    <d v="2012-12-21T00:00:00"/>
    <n v="2"/>
    <x v="0"/>
    <s v="Suzanne McNair"/>
    <x v="1"/>
    <s v="United States"/>
    <s v="Omaha"/>
    <s v="Nebraska"/>
    <s v="Central"/>
    <x v="1"/>
    <x v="8"/>
    <s v="Self-Adhesive Ring Binder Labels"/>
    <x v="983"/>
    <n v="2"/>
    <n v="0"/>
    <n v="3.3088000000000002"/>
  </r>
  <r>
    <n v="4078"/>
    <x v="546"/>
    <x v="1"/>
    <x v="4"/>
    <d v="2012-12-21T00:00:00"/>
    <n v="2"/>
    <x v="0"/>
    <s v="Suzanne McNair"/>
    <x v="1"/>
    <s v="United States"/>
    <s v="Omaha"/>
    <s v="Nebraska"/>
    <s v="Central"/>
    <x v="1"/>
    <x v="13"/>
    <s v="Bagged Rubber Bands"/>
    <x v="1310"/>
    <n v="4"/>
    <n v="0"/>
    <n v="0.2016"/>
  </r>
  <r>
    <n v="4079"/>
    <x v="546"/>
    <x v="1"/>
    <x v="4"/>
    <d v="2012-12-21T00:00:00"/>
    <n v="2"/>
    <x v="0"/>
    <s v="Suzanne McNair"/>
    <x v="1"/>
    <s v="United States"/>
    <s v="Omaha"/>
    <s v="Nebraska"/>
    <s v="Central"/>
    <x v="1"/>
    <x v="10"/>
    <s v="White Computer Printout Paper by Universal"/>
    <x v="2207"/>
    <n v="3"/>
    <n v="0"/>
    <n v="56.977200000000003"/>
  </r>
  <r>
    <n v="4080"/>
    <x v="379"/>
    <x v="1"/>
    <x v="4"/>
    <d v="2012-12-24T00:00:00"/>
    <n v="3"/>
    <x v="2"/>
    <s v="Lynn Smith"/>
    <x v="0"/>
    <s v="United States"/>
    <s v="Jacksonville"/>
    <s v="North Carolina"/>
    <s v="South"/>
    <x v="2"/>
    <x v="7"/>
    <s v="Anker 36W 4-Port USB Wall Charger Travel Power Adapter for iPhone 5s 5c 5"/>
    <x v="331"/>
    <n v="3"/>
    <n v="0.2"/>
    <n v="4.7976000000000001"/>
  </r>
  <r>
    <n v="4081"/>
    <x v="477"/>
    <x v="0"/>
    <x v="8"/>
    <d v="2013-09-30T00:00:00"/>
    <n v="4"/>
    <x v="1"/>
    <s v="Katrina Edelman"/>
    <x v="1"/>
    <s v="United States"/>
    <s v="Tigard"/>
    <s v="Oregon"/>
    <s v="West"/>
    <x v="1"/>
    <x v="10"/>
    <s v="REDIFORM Incoming/Outgoing Call Register, 11&quot; X 8 1/2&quot;, 100 Messages"/>
    <x v="3078"/>
    <n v="9"/>
    <n v="0.2"/>
    <n v="22.518000000000001"/>
  </r>
  <r>
    <n v="4082"/>
    <x v="477"/>
    <x v="0"/>
    <x v="8"/>
    <d v="2013-09-30T00:00:00"/>
    <n v="4"/>
    <x v="1"/>
    <s v="Katrina Edelman"/>
    <x v="1"/>
    <s v="United States"/>
    <s v="Tigard"/>
    <s v="Oregon"/>
    <s v="West"/>
    <x v="1"/>
    <x v="8"/>
    <s v="GBC Poly Designer Binding Covers"/>
    <x v="3079"/>
    <n v="1"/>
    <n v="0.7"/>
    <n v="-3.5154000000000001"/>
  </r>
  <r>
    <n v="4083"/>
    <x v="92"/>
    <x v="3"/>
    <x v="1"/>
    <d v="2014-07-01T00:00:00"/>
    <n v="6"/>
    <x v="1"/>
    <s v="Matthew Clasen"/>
    <x v="1"/>
    <s v="United States"/>
    <s v="Decatur"/>
    <s v="Illinois"/>
    <s v="Central"/>
    <x v="1"/>
    <x v="8"/>
    <s v="Ibico Hi-Tech Manual Binding System"/>
    <x v="641"/>
    <n v="3"/>
    <n v="0.8"/>
    <n v="-320.23950000000002"/>
  </r>
  <r>
    <n v="4084"/>
    <x v="92"/>
    <x v="3"/>
    <x v="1"/>
    <d v="2014-07-01T00:00:00"/>
    <n v="6"/>
    <x v="1"/>
    <s v="Matthew Clasen"/>
    <x v="1"/>
    <s v="United States"/>
    <s v="Decatur"/>
    <s v="Illinois"/>
    <s v="Central"/>
    <x v="1"/>
    <x v="10"/>
    <s v="Xerox 1971"/>
    <x v="1495"/>
    <n v="3"/>
    <n v="0.2"/>
    <n v="3.21"/>
  </r>
  <r>
    <n v="4085"/>
    <x v="210"/>
    <x v="3"/>
    <x v="8"/>
    <d v="2014-09-10T00:00:00"/>
    <n v="2"/>
    <x v="2"/>
    <s v="Dean percer"/>
    <x v="2"/>
    <s v="United States"/>
    <s v="Phoenix"/>
    <s v="Arizona"/>
    <s v="West"/>
    <x v="1"/>
    <x v="8"/>
    <s v="Wilson Jones Leather-Like Binders with DublLock Round Rings"/>
    <x v="3080"/>
    <n v="3"/>
    <n v="0.7"/>
    <n v="-6.0236999999999998"/>
  </r>
  <r>
    <n v="4086"/>
    <x v="578"/>
    <x v="0"/>
    <x v="6"/>
    <d v="2013-08-07T00:00:00"/>
    <n v="2"/>
    <x v="0"/>
    <s v="Linda Cazamias"/>
    <x v="1"/>
    <s v="United States"/>
    <s v="Sacramento"/>
    <s v="California"/>
    <s v="West"/>
    <x v="2"/>
    <x v="7"/>
    <s v="Mitel 5320 IP Phone VoIP phone"/>
    <x v="3081"/>
    <n v="2"/>
    <n v="0.2"/>
    <n v="30.238399999999999"/>
  </r>
  <r>
    <n v="4087"/>
    <x v="578"/>
    <x v="0"/>
    <x v="6"/>
    <d v="2013-08-07T00:00:00"/>
    <n v="2"/>
    <x v="0"/>
    <s v="Linda Cazamias"/>
    <x v="1"/>
    <s v="United States"/>
    <s v="Sacramento"/>
    <s v="California"/>
    <s v="West"/>
    <x v="1"/>
    <x v="8"/>
    <s v="Wilson Jones Leather-Like Binders with DublLock Round Rings"/>
    <x v="3082"/>
    <n v="3"/>
    <n v="0.2"/>
    <n v="7.0712999999999999"/>
  </r>
  <r>
    <n v="4088"/>
    <x v="578"/>
    <x v="0"/>
    <x v="6"/>
    <d v="2013-08-07T00:00:00"/>
    <n v="2"/>
    <x v="0"/>
    <s v="Linda Cazamias"/>
    <x v="1"/>
    <s v="United States"/>
    <s v="Sacramento"/>
    <s v="California"/>
    <s v="West"/>
    <x v="1"/>
    <x v="8"/>
    <s v="Pressboard Covers with Storage Hooks, 9 1/2&quot; x 11&quot;, Light Blue"/>
    <x v="692"/>
    <n v="3"/>
    <n v="0.2"/>
    <n v="3.9771000000000001"/>
  </r>
  <r>
    <n v="4089"/>
    <x v="710"/>
    <x v="2"/>
    <x v="6"/>
    <d v="2011-08-26T00:00:00"/>
    <n v="7"/>
    <x v="1"/>
    <s v="Lena Hernandez"/>
    <x v="0"/>
    <s v="United States"/>
    <s v="Jonesboro"/>
    <s v="Arkansas"/>
    <s v="South"/>
    <x v="0"/>
    <x v="0"/>
    <s v="Hon Metal Bookcases, Gray"/>
    <x v="3083"/>
    <n v="9"/>
    <n v="0"/>
    <n v="172.48140000000001"/>
  </r>
  <r>
    <n v="4090"/>
    <x v="178"/>
    <x v="0"/>
    <x v="3"/>
    <d v="2013-04-06T00:00:00"/>
    <n v="4"/>
    <x v="1"/>
    <s v="Thomas Boland"/>
    <x v="1"/>
    <s v="United States"/>
    <s v="New York City"/>
    <s v="New York"/>
    <s v="East"/>
    <x v="1"/>
    <x v="2"/>
    <s v="Avery 473"/>
    <x v="343"/>
    <n v="2"/>
    <n v="0"/>
    <n v="9.9359999999999999"/>
  </r>
  <r>
    <n v="4091"/>
    <x v="178"/>
    <x v="0"/>
    <x v="3"/>
    <d v="2013-04-06T00:00:00"/>
    <n v="4"/>
    <x v="1"/>
    <s v="Thomas Boland"/>
    <x v="1"/>
    <s v="United States"/>
    <s v="New York City"/>
    <s v="New York"/>
    <s v="East"/>
    <x v="1"/>
    <x v="14"/>
    <s v="Acme Value Line Scissors"/>
    <x v="1023"/>
    <n v="3"/>
    <n v="0"/>
    <n v="3.2850000000000001"/>
  </r>
  <r>
    <n v="4092"/>
    <x v="178"/>
    <x v="0"/>
    <x v="3"/>
    <d v="2013-04-06T00:00:00"/>
    <n v="4"/>
    <x v="1"/>
    <s v="Thomas Boland"/>
    <x v="1"/>
    <s v="United States"/>
    <s v="New York City"/>
    <s v="New York"/>
    <s v="East"/>
    <x v="1"/>
    <x v="8"/>
    <s v="Avery Hanging File Binders"/>
    <x v="642"/>
    <n v="3"/>
    <n v="0.2"/>
    <n v="4.6643999999999997"/>
  </r>
  <r>
    <n v="4093"/>
    <x v="941"/>
    <x v="3"/>
    <x v="5"/>
    <d v="2014-05-19T00:00:00"/>
    <n v="2"/>
    <x v="2"/>
    <s v="John Murray"/>
    <x v="0"/>
    <s v="United States"/>
    <s v="Akron"/>
    <s v="Ohio"/>
    <s v="East"/>
    <x v="1"/>
    <x v="4"/>
    <s v="SAFCO Commercial Wire Shelving, Black"/>
    <x v="3084"/>
    <n v="2"/>
    <n v="0.2"/>
    <n v="-55.256"/>
  </r>
  <r>
    <n v="4094"/>
    <x v="252"/>
    <x v="1"/>
    <x v="6"/>
    <d v="2012-08-28T00:00:00"/>
    <n v="4"/>
    <x v="1"/>
    <s v="Katrina Willman"/>
    <x v="0"/>
    <s v="United States"/>
    <s v="Florence"/>
    <s v="Kentucky"/>
    <s v="South"/>
    <x v="2"/>
    <x v="15"/>
    <s v="Cisco 9971 IP Video Phone Charcoal"/>
    <x v="3085"/>
    <n v="7"/>
    <n v="0"/>
    <n v="1416.8"/>
  </r>
  <r>
    <n v="4095"/>
    <x v="252"/>
    <x v="1"/>
    <x v="6"/>
    <d v="2012-08-28T00:00:00"/>
    <n v="4"/>
    <x v="1"/>
    <s v="Katrina Willman"/>
    <x v="0"/>
    <s v="United States"/>
    <s v="Florence"/>
    <s v="Kentucky"/>
    <s v="South"/>
    <x v="2"/>
    <x v="11"/>
    <s v="Anker Ultra-Slim Mini Bluetooth 3.0 Wireless Keyboard"/>
    <x v="1095"/>
    <n v="4"/>
    <n v="0"/>
    <n v="18.390799999999999"/>
  </r>
  <r>
    <n v="4096"/>
    <x v="252"/>
    <x v="1"/>
    <x v="6"/>
    <d v="2012-08-28T00:00:00"/>
    <n v="4"/>
    <x v="1"/>
    <s v="Katrina Willman"/>
    <x v="0"/>
    <s v="United States"/>
    <s v="Florence"/>
    <s v="Kentucky"/>
    <s v="South"/>
    <x v="2"/>
    <x v="7"/>
    <s v="LG G3"/>
    <x v="2133"/>
    <n v="3"/>
    <n v="0"/>
    <n v="170.51130000000001"/>
  </r>
  <r>
    <n v="4097"/>
    <x v="865"/>
    <x v="2"/>
    <x v="8"/>
    <d v="2011-09-28T00:00:00"/>
    <n v="5"/>
    <x v="1"/>
    <s v="Sanjit Chand"/>
    <x v="0"/>
    <s v="United States"/>
    <s v="Minneapolis"/>
    <s v="Minnesota"/>
    <s v="Central"/>
    <x v="1"/>
    <x v="10"/>
    <s v="Xerox 217"/>
    <x v="56"/>
    <n v="5"/>
    <n v="0"/>
    <n v="15.552"/>
  </r>
  <r>
    <n v="4098"/>
    <x v="865"/>
    <x v="2"/>
    <x v="8"/>
    <d v="2011-09-28T00:00:00"/>
    <n v="5"/>
    <x v="1"/>
    <s v="Sanjit Chand"/>
    <x v="0"/>
    <s v="United States"/>
    <s v="Minneapolis"/>
    <s v="Minnesota"/>
    <s v="Central"/>
    <x v="1"/>
    <x v="4"/>
    <s v="Carina Double Wide Media Storage Towers in Natural &amp; Black"/>
    <x v="3086"/>
    <n v="5"/>
    <n v="0"/>
    <n v="16.196000000000002"/>
  </r>
  <r>
    <n v="4099"/>
    <x v="865"/>
    <x v="2"/>
    <x v="8"/>
    <d v="2011-09-28T00:00:00"/>
    <n v="5"/>
    <x v="1"/>
    <s v="Sanjit Chand"/>
    <x v="0"/>
    <s v="United States"/>
    <s v="Minneapolis"/>
    <s v="Minnesota"/>
    <s v="Central"/>
    <x v="1"/>
    <x v="8"/>
    <s v="Ibico EPK-21 Electric Binding System"/>
    <x v="3087"/>
    <n v="5"/>
    <n v="0"/>
    <n v="4630.4754999999996"/>
  </r>
  <r>
    <n v="4100"/>
    <x v="865"/>
    <x v="2"/>
    <x v="8"/>
    <d v="2011-09-28T00:00:00"/>
    <n v="5"/>
    <x v="1"/>
    <s v="Sanjit Chand"/>
    <x v="0"/>
    <s v="United States"/>
    <s v="Minneapolis"/>
    <s v="Minnesota"/>
    <s v="Central"/>
    <x v="1"/>
    <x v="8"/>
    <s v="GBC Instant Report Kit"/>
    <x v="3088"/>
    <n v="2"/>
    <n v="0"/>
    <n v="6.47"/>
  </r>
  <r>
    <n v="4101"/>
    <x v="249"/>
    <x v="3"/>
    <x v="1"/>
    <d v="2014-06-24T00:00:00"/>
    <n v="4"/>
    <x v="1"/>
    <s v="Zuschuss Carroll"/>
    <x v="0"/>
    <s v="United States"/>
    <s v="Houston"/>
    <s v="Texas"/>
    <s v="Central"/>
    <x v="1"/>
    <x v="9"/>
    <s v="Holmes Visible Mist Ultrasonic Humidifier with 2.3-Gallon Output per Day, Replacement Filter"/>
    <x v="3089"/>
    <n v="1"/>
    <n v="0.8"/>
    <n v="-5.2072000000000003"/>
  </r>
  <r>
    <n v="4102"/>
    <x v="249"/>
    <x v="3"/>
    <x v="1"/>
    <d v="2014-06-24T00:00:00"/>
    <n v="4"/>
    <x v="1"/>
    <s v="Zuschuss Carroll"/>
    <x v="0"/>
    <s v="United States"/>
    <s v="Houston"/>
    <s v="Texas"/>
    <s v="Central"/>
    <x v="1"/>
    <x v="9"/>
    <s v="Hoover Replacement Belt for Commercial Guardsman Heavy-Duty Upright Vacuum"/>
    <x v="3090"/>
    <n v="1"/>
    <n v="0.8"/>
    <n v="-1.1100000000000001"/>
  </r>
  <r>
    <n v="4103"/>
    <x v="249"/>
    <x v="3"/>
    <x v="1"/>
    <d v="2014-06-24T00:00:00"/>
    <n v="4"/>
    <x v="1"/>
    <s v="Zuschuss Carroll"/>
    <x v="0"/>
    <s v="United States"/>
    <s v="Houston"/>
    <s v="Texas"/>
    <s v="Central"/>
    <x v="1"/>
    <x v="10"/>
    <s v="Xerox 1982"/>
    <x v="3091"/>
    <n v="8"/>
    <n v="0.2"/>
    <n v="47.507199999999997"/>
  </r>
  <r>
    <n v="4104"/>
    <x v="202"/>
    <x v="3"/>
    <x v="4"/>
    <d v="2014-12-22T00:00:00"/>
    <n v="0"/>
    <x v="3"/>
    <s v="Rick Bensley"/>
    <x v="2"/>
    <s v="United States"/>
    <s v="Fremont"/>
    <s v="Nebraska"/>
    <s v="Central"/>
    <x v="0"/>
    <x v="5"/>
    <s v="Staples"/>
    <x v="204"/>
    <n v="2"/>
    <n v="0"/>
    <n v="7.0048000000000004"/>
  </r>
  <r>
    <n v="4105"/>
    <x v="783"/>
    <x v="3"/>
    <x v="6"/>
    <d v="2014-08-14T00:00:00"/>
    <n v="6"/>
    <x v="1"/>
    <s v="Jay Kimmel"/>
    <x v="0"/>
    <s v="United States"/>
    <s v="San Diego"/>
    <s v="California"/>
    <s v="West"/>
    <x v="2"/>
    <x v="7"/>
    <s v="GE DSL Phone Line Filter"/>
    <x v="3092"/>
    <n v="5"/>
    <n v="0.2"/>
    <n v="17.9955"/>
  </r>
  <r>
    <n v="4106"/>
    <x v="783"/>
    <x v="3"/>
    <x v="6"/>
    <d v="2014-08-14T00:00:00"/>
    <n v="6"/>
    <x v="1"/>
    <s v="Jay Kimmel"/>
    <x v="0"/>
    <s v="United States"/>
    <s v="San Diego"/>
    <s v="California"/>
    <s v="West"/>
    <x v="1"/>
    <x v="8"/>
    <s v="Avery Printable Repositionable Plastic Tabs"/>
    <x v="1273"/>
    <n v="2"/>
    <n v="0.2"/>
    <n v="4.6440000000000001"/>
  </r>
  <r>
    <n v="4107"/>
    <x v="250"/>
    <x v="0"/>
    <x v="6"/>
    <d v="2013-08-27T00:00:00"/>
    <n v="4"/>
    <x v="1"/>
    <s v="Dorothy Dickinson"/>
    <x v="0"/>
    <s v="United States"/>
    <s v="Houston"/>
    <s v="Texas"/>
    <s v="Central"/>
    <x v="1"/>
    <x v="8"/>
    <s v="GBC Standard Recycled Report Covers, Clear Plastic Sheets"/>
    <x v="3093"/>
    <n v="2"/>
    <n v="0.8"/>
    <n v="-6.8992000000000004"/>
  </r>
  <r>
    <n v="4108"/>
    <x v="67"/>
    <x v="1"/>
    <x v="8"/>
    <d v="2012-09-07T00:00:00"/>
    <n v="0"/>
    <x v="3"/>
    <s v="Marc Crier"/>
    <x v="0"/>
    <s v="United States"/>
    <s v="New York City"/>
    <s v="New York"/>
    <s v="East"/>
    <x v="1"/>
    <x v="4"/>
    <s v="Eldon Shelf Savers Cubes and Bins"/>
    <x v="540"/>
    <n v="2"/>
    <n v="0"/>
    <n v="0.2792"/>
  </r>
  <r>
    <n v="4109"/>
    <x v="67"/>
    <x v="1"/>
    <x v="8"/>
    <d v="2012-09-07T00:00:00"/>
    <n v="0"/>
    <x v="3"/>
    <s v="Marc Crier"/>
    <x v="0"/>
    <s v="United States"/>
    <s v="New York City"/>
    <s v="New York"/>
    <s v="East"/>
    <x v="0"/>
    <x v="3"/>
    <s v="Anderson Hickey Conga Table Tops &amp; Accessories"/>
    <x v="3094"/>
    <n v="3"/>
    <n v="0.4"/>
    <n v="-14.1639"/>
  </r>
  <r>
    <n v="4110"/>
    <x v="707"/>
    <x v="1"/>
    <x v="4"/>
    <d v="2013-01-01T00:00:00"/>
    <n v="7"/>
    <x v="1"/>
    <s v="Dionis Lloyd"/>
    <x v="1"/>
    <s v="United States"/>
    <s v="Detroit"/>
    <s v="Michigan"/>
    <s v="Central"/>
    <x v="2"/>
    <x v="7"/>
    <s v="Logitech B530 USB Headset - headset - Full size, Binaural"/>
    <x v="2227"/>
    <n v="2"/>
    <n v="0"/>
    <n v="19.974599999999999"/>
  </r>
  <r>
    <n v="4111"/>
    <x v="707"/>
    <x v="1"/>
    <x v="4"/>
    <d v="2013-01-01T00:00:00"/>
    <n v="7"/>
    <x v="1"/>
    <s v="Dionis Lloyd"/>
    <x v="1"/>
    <s v="United States"/>
    <s v="Detroit"/>
    <s v="Michigan"/>
    <s v="Central"/>
    <x v="0"/>
    <x v="0"/>
    <s v="Rush Hierlooms Collection Rich Wood Bookcases"/>
    <x v="3095"/>
    <n v="1"/>
    <n v="0"/>
    <n v="20.927399999999999"/>
  </r>
  <r>
    <n v="4112"/>
    <x v="707"/>
    <x v="1"/>
    <x v="4"/>
    <d v="2013-01-01T00:00:00"/>
    <n v="7"/>
    <x v="1"/>
    <s v="Dionis Lloyd"/>
    <x v="1"/>
    <s v="United States"/>
    <s v="Detroit"/>
    <s v="Michigan"/>
    <s v="Central"/>
    <x v="1"/>
    <x v="10"/>
    <s v="Xerox 1978"/>
    <x v="1686"/>
    <n v="3"/>
    <n v="0"/>
    <n v="8.4966000000000008"/>
  </r>
  <r>
    <n v="4113"/>
    <x v="707"/>
    <x v="1"/>
    <x v="4"/>
    <d v="2013-01-01T00:00:00"/>
    <n v="7"/>
    <x v="1"/>
    <s v="Dionis Lloyd"/>
    <x v="1"/>
    <s v="United States"/>
    <s v="Detroit"/>
    <s v="Michigan"/>
    <s v="Central"/>
    <x v="1"/>
    <x v="6"/>
    <s v="Newell 351"/>
    <x v="175"/>
    <n v="1"/>
    <n v="0"/>
    <n v="0.95120000000000005"/>
  </r>
  <r>
    <n v="4114"/>
    <x v="942"/>
    <x v="1"/>
    <x v="5"/>
    <d v="2012-05-07T00:00:00"/>
    <n v="5"/>
    <x v="1"/>
    <s v="Noah Childs"/>
    <x v="1"/>
    <s v="United States"/>
    <s v="Houston"/>
    <s v="Texas"/>
    <s v="Central"/>
    <x v="1"/>
    <x v="2"/>
    <s v="Avery 501"/>
    <x v="3096"/>
    <n v="3"/>
    <n v="0.2"/>
    <n v="2.9889000000000001"/>
  </r>
  <r>
    <n v="4115"/>
    <x v="942"/>
    <x v="1"/>
    <x v="5"/>
    <d v="2012-05-07T00:00:00"/>
    <n v="5"/>
    <x v="1"/>
    <s v="Noah Childs"/>
    <x v="1"/>
    <s v="United States"/>
    <s v="Houston"/>
    <s v="Texas"/>
    <s v="Central"/>
    <x v="2"/>
    <x v="7"/>
    <s v="Samsung Rugby III"/>
    <x v="3097"/>
    <n v="3"/>
    <n v="0.2"/>
    <n v="13.857900000000001"/>
  </r>
  <r>
    <n v="4116"/>
    <x v="390"/>
    <x v="0"/>
    <x v="0"/>
    <d v="2013-11-28T00:00:00"/>
    <n v="3"/>
    <x v="2"/>
    <s v="Amy Cox"/>
    <x v="0"/>
    <s v="United States"/>
    <s v="Seattle"/>
    <s v="Washington"/>
    <s v="West"/>
    <x v="1"/>
    <x v="8"/>
    <s v="Ibico Hi-Tech Manual Binding System"/>
    <x v="3098"/>
    <n v="5"/>
    <n v="0.2"/>
    <n v="381.23750000000001"/>
  </r>
  <r>
    <n v="4117"/>
    <x v="27"/>
    <x v="1"/>
    <x v="0"/>
    <d v="2012-11-29T00:00:00"/>
    <n v="5"/>
    <x v="1"/>
    <s v="Toby Swindell"/>
    <x v="0"/>
    <s v="United States"/>
    <s v="Los Angeles"/>
    <s v="California"/>
    <s v="West"/>
    <x v="1"/>
    <x v="8"/>
    <s v="Avery Reinforcements for Hole-Punch Pages"/>
    <x v="754"/>
    <n v="2"/>
    <n v="0.2"/>
    <n v="0.99"/>
  </r>
  <r>
    <n v="4118"/>
    <x v="27"/>
    <x v="1"/>
    <x v="0"/>
    <d v="2012-11-29T00:00:00"/>
    <n v="5"/>
    <x v="1"/>
    <s v="Toby Swindell"/>
    <x v="0"/>
    <s v="United States"/>
    <s v="Los Angeles"/>
    <s v="California"/>
    <s v="West"/>
    <x v="1"/>
    <x v="10"/>
    <s v="Xerox 225"/>
    <x v="537"/>
    <n v="3"/>
    <n v="0"/>
    <n v="9.3312000000000008"/>
  </r>
  <r>
    <n v="4119"/>
    <x v="27"/>
    <x v="1"/>
    <x v="0"/>
    <d v="2012-11-29T00:00:00"/>
    <n v="5"/>
    <x v="1"/>
    <s v="Toby Swindell"/>
    <x v="0"/>
    <s v="United States"/>
    <s v="Los Angeles"/>
    <s v="California"/>
    <s v="West"/>
    <x v="1"/>
    <x v="4"/>
    <s v="Fellowes Bankers Box Staxonsteel Drawer File/Stacking System"/>
    <x v="3099"/>
    <n v="7"/>
    <n v="0"/>
    <n v="54.583199999999998"/>
  </r>
  <r>
    <n v="4120"/>
    <x v="27"/>
    <x v="1"/>
    <x v="0"/>
    <d v="2012-11-29T00:00:00"/>
    <n v="5"/>
    <x v="1"/>
    <s v="Toby Swindell"/>
    <x v="0"/>
    <s v="United States"/>
    <s v="Los Angeles"/>
    <s v="California"/>
    <s v="West"/>
    <x v="1"/>
    <x v="8"/>
    <s v="Avery Premier Heavy-Duty Binder with Round Locking Rings"/>
    <x v="3100"/>
    <n v="8"/>
    <n v="0.2"/>
    <n v="29.702400000000001"/>
  </r>
  <r>
    <n v="4121"/>
    <x v="507"/>
    <x v="3"/>
    <x v="8"/>
    <d v="2014-09-11T00:00:00"/>
    <n v="6"/>
    <x v="1"/>
    <s v="Michael Moore"/>
    <x v="0"/>
    <s v="United States"/>
    <s v="Philadelphia"/>
    <s v="Pennsylvania"/>
    <s v="East"/>
    <x v="2"/>
    <x v="11"/>
    <s v="Kingston Digital DataTraveler 8GB USB 2.0"/>
    <x v="2160"/>
    <n v="4"/>
    <n v="0.2"/>
    <n v="-1.4279999999999999"/>
  </r>
  <r>
    <n v="4122"/>
    <x v="943"/>
    <x v="3"/>
    <x v="5"/>
    <d v="2014-05-13T00:00:00"/>
    <n v="1"/>
    <x v="3"/>
    <s v="Liz Pelletier"/>
    <x v="0"/>
    <s v="United States"/>
    <s v="Seattle"/>
    <s v="Washington"/>
    <s v="West"/>
    <x v="1"/>
    <x v="10"/>
    <s v="Ampad Phone Message Book, Recycled, 400 Message Capacity, 5 ¾” x 11”"/>
    <x v="776"/>
    <n v="6"/>
    <n v="0"/>
    <n v="16.847999999999999"/>
  </r>
  <r>
    <n v="4123"/>
    <x v="943"/>
    <x v="3"/>
    <x v="5"/>
    <d v="2014-05-13T00:00:00"/>
    <n v="1"/>
    <x v="3"/>
    <s v="Liz Pelletier"/>
    <x v="0"/>
    <s v="United States"/>
    <s v="Seattle"/>
    <s v="Washington"/>
    <s v="West"/>
    <x v="1"/>
    <x v="2"/>
    <s v="Avery 50"/>
    <x v="3101"/>
    <n v="3"/>
    <n v="0"/>
    <n v="17.667300000000001"/>
  </r>
  <r>
    <n v="4124"/>
    <x v="943"/>
    <x v="3"/>
    <x v="5"/>
    <d v="2014-05-13T00:00:00"/>
    <n v="1"/>
    <x v="3"/>
    <s v="Liz Pelletier"/>
    <x v="0"/>
    <s v="United States"/>
    <s v="Seattle"/>
    <s v="Washington"/>
    <s v="West"/>
    <x v="1"/>
    <x v="8"/>
    <s v="Acco Flexible ACCOHIDE Square Ring Data Binder, Dark Blue, 11 1/2&quot; X 14&quot; 7/8&quot;"/>
    <x v="3102"/>
    <n v="2"/>
    <n v="0.2"/>
    <n v="9.4366000000000003"/>
  </r>
  <r>
    <n v="4125"/>
    <x v="218"/>
    <x v="2"/>
    <x v="5"/>
    <d v="2011-05-18T00:00:00"/>
    <n v="7"/>
    <x v="1"/>
    <s v="Brooke Gillingham"/>
    <x v="1"/>
    <s v="United States"/>
    <s v="Watertown"/>
    <s v="New York"/>
    <s v="East"/>
    <x v="1"/>
    <x v="9"/>
    <s v="Staples"/>
    <x v="382"/>
    <n v="3"/>
    <n v="0"/>
    <n v="9.6957000000000004"/>
  </r>
  <r>
    <n v="4126"/>
    <x v="944"/>
    <x v="3"/>
    <x v="7"/>
    <d v="2014-08-01T00:00:00"/>
    <n v="4"/>
    <x v="0"/>
    <s v="Mike Gockenbach"/>
    <x v="0"/>
    <s v="United States"/>
    <s v="Jacksonville"/>
    <s v="Florida"/>
    <s v="South"/>
    <x v="0"/>
    <x v="5"/>
    <s v="Eldon Delta Triangular Chair Mat, 52&quot; x 58&quot;, Clear"/>
    <x v="3103"/>
    <n v="3"/>
    <n v="0.2"/>
    <n v="-2.2757999999999998"/>
  </r>
  <r>
    <n v="4127"/>
    <x v="636"/>
    <x v="3"/>
    <x v="5"/>
    <d v="2014-05-10T00:00:00"/>
    <n v="3"/>
    <x v="2"/>
    <s v="Gary Zandusky"/>
    <x v="0"/>
    <s v="United States"/>
    <s v="Arlington"/>
    <s v="Virginia"/>
    <s v="South"/>
    <x v="1"/>
    <x v="6"/>
    <s v="Dixon Ticonderoga Core-Lock Colored Pencils"/>
    <x v="3104"/>
    <n v="6"/>
    <n v="0"/>
    <n v="18.037800000000001"/>
  </r>
  <r>
    <n v="4128"/>
    <x v="111"/>
    <x v="2"/>
    <x v="8"/>
    <d v="2011-09-24T00:00:00"/>
    <n v="5"/>
    <x v="1"/>
    <s v="John Lee"/>
    <x v="0"/>
    <s v="United States"/>
    <s v="Charlotte"/>
    <s v="North Carolina"/>
    <s v="South"/>
    <x v="1"/>
    <x v="4"/>
    <s v="Project Tote Personal File"/>
    <x v="3105"/>
    <n v="6"/>
    <n v="0.2"/>
    <n v="7.5762"/>
  </r>
  <r>
    <n v="4129"/>
    <x v="111"/>
    <x v="2"/>
    <x v="8"/>
    <d v="2011-09-24T00:00:00"/>
    <n v="5"/>
    <x v="1"/>
    <s v="John Lee"/>
    <x v="0"/>
    <s v="United States"/>
    <s v="Charlotte"/>
    <s v="North Carolina"/>
    <s v="South"/>
    <x v="2"/>
    <x v="15"/>
    <s v="HP Designjet T520 Inkjet Large Format Printer - 24&quot; Color"/>
    <x v="3106"/>
    <n v="3"/>
    <n v="0.5"/>
    <n v="-944.99459999999999"/>
  </r>
  <r>
    <n v="4130"/>
    <x v="368"/>
    <x v="1"/>
    <x v="10"/>
    <d v="2012-04-04T00:00:00"/>
    <n v="6"/>
    <x v="1"/>
    <s v="Denny Ordway"/>
    <x v="0"/>
    <s v="United States"/>
    <s v="Seattle"/>
    <s v="Washington"/>
    <s v="West"/>
    <x v="1"/>
    <x v="9"/>
    <s v="Acco 6 Outlet Guardian Premium Plus Surge Suppressor"/>
    <x v="3107"/>
    <n v="4"/>
    <n v="0"/>
    <n v="21.251200000000001"/>
  </r>
  <r>
    <n v="4131"/>
    <x v="728"/>
    <x v="2"/>
    <x v="0"/>
    <d v="2011-11-25T00:00:00"/>
    <n v="7"/>
    <x v="1"/>
    <s v="Ann Blume"/>
    <x v="1"/>
    <s v="United States"/>
    <s v="Chicago"/>
    <s v="Illinois"/>
    <s v="Central"/>
    <x v="1"/>
    <x v="8"/>
    <s v="GBC White Gloss Covers, Plain Front"/>
    <x v="3108"/>
    <n v="5"/>
    <n v="0.8"/>
    <n v="-23.891999999999999"/>
  </r>
  <r>
    <n v="4132"/>
    <x v="740"/>
    <x v="1"/>
    <x v="7"/>
    <d v="2012-07-09T00:00:00"/>
    <n v="7"/>
    <x v="1"/>
    <s v="Karl Braun"/>
    <x v="0"/>
    <s v="United States"/>
    <s v="Hollywood"/>
    <s v="Florida"/>
    <s v="South"/>
    <x v="1"/>
    <x v="10"/>
    <s v="Staples"/>
    <x v="1627"/>
    <n v="3"/>
    <n v="0.2"/>
    <n v="4.0338000000000003"/>
  </r>
  <r>
    <n v="4133"/>
    <x v="740"/>
    <x v="1"/>
    <x v="7"/>
    <d v="2012-07-09T00:00:00"/>
    <n v="7"/>
    <x v="1"/>
    <s v="Karl Braun"/>
    <x v="0"/>
    <s v="United States"/>
    <s v="Hollywood"/>
    <s v="Florida"/>
    <s v="South"/>
    <x v="1"/>
    <x v="10"/>
    <s v="Xerox 1957"/>
    <x v="12"/>
    <n v="3"/>
    <n v="0.2"/>
    <n v="5.6375999999999999"/>
  </r>
  <r>
    <n v="4134"/>
    <x v="78"/>
    <x v="2"/>
    <x v="8"/>
    <d v="2011-09-13T00:00:00"/>
    <n v="5"/>
    <x v="1"/>
    <s v="Ted Trevino"/>
    <x v="0"/>
    <s v="United States"/>
    <s v="Chesapeake"/>
    <s v="Virginia"/>
    <s v="South"/>
    <x v="1"/>
    <x v="13"/>
    <s v="Advantus Plastic Paper Clips"/>
    <x v="47"/>
    <n v="9"/>
    <n v="0"/>
    <n v="21.6"/>
  </r>
  <r>
    <n v="4135"/>
    <x v="78"/>
    <x v="2"/>
    <x v="8"/>
    <d v="2011-09-13T00:00:00"/>
    <n v="5"/>
    <x v="1"/>
    <s v="Ted Trevino"/>
    <x v="0"/>
    <s v="United States"/>
    <s v="Chesapeake"/>
    <s v="Virginia"/>
    <s v="South"/>
    <x v="2"/>
    <x v="15"/>
    <s v="Epson WorkForce WF-2530 All-in-One Printer, Copier Scanner"/>
    <x v="2713"/>
    <n v="3"/>
    <n v="0"/>
    <n v="90.287099999999995"/>
  </r>
  <r>
    <n v="4136"/>
    <x v="280"/>
    <x v="3"/>
    <x v="2"/>
    <d v="2014-10-09T00:00:00"/>
    <n v="6"/>
    <x v="1"/>
    <s v="Paul Van Hugh"/>
    <x v="2"/>
    <s v="United States"/>
    <s v="Los Angeles"/>
    <s v="California"/>
    <s v="West"/>
    <x v="1"/>
    <x v="8"/>
    <s v="Performers Binder/Pad Holder, Black"/>
    <x v="3109"/>
    <n v="5"/>
    <n v="0.2"/>
    <n v="42.045000000000002"/>
  </r>
  <r>
    <n v="4137"/>
    <x v="280"/>
    <x v="3"/>
    <x v="2"/>
    <d v="2014-10-09T00:00:00"/>
    <n v="6"/>
    <x v="1"/>
    <s v="Paul Van Hugh"/>
    <x v="2"/>
    <s v="United States"/>
    <s v="Los Angeles"/>
    <s v="California"/>
    <s v="West"/>
    <x v="1"/>
    <x v="4"/>
    <s v="Tennsco Double-Tier Lockers"/>
    <x v="3110"/>
    <n v="7"/>
    <n v="0"/>
    <n v="204.76820000000001"/>
  </r>
  <r>
    <n v="4138"/>
    <x v="123"/>
    <x v="3"/>
    <x v="0"/>
    <d v="2014-11-24T00:00:00"/>
    <n v="4"/>
    <x v="1"/>
    <s v="Dorothy Dickinson"/>
    <x v="0"/>
    <s v="United States"/>
    <s v="Alexandria"/>
    <s v="Virginia"/>
    <s v="South"/>
    <x v="1"/>
    <x v="13"/>
    <s v="OIC Binder Clips"/>
    <x v="2910"/>
    <n v="7"/>
    <n v="0"/>
    <n v="12.53"/>
  </r>
  <r>
    <n v="4139"/>
    <x v="945"/>
    <x v="0"/>
    <x v="4"/>
    <d v="2014-01-02T00:00:00"/>
    <n v="2"/>
    <x v="2"/>
    <s v="Keith Dawkins"/>
    <x v="1"/>
    <s v="United States"/>
    <s v="Deer Park"/>
    <s v="Texas"/>
    <s v="Central"/>
    <x v="1"/>
    <x v="8"/>
    <s v="Avery Binding System Hidden Tab Executive Style Index Sets"/>
    <x v="3111"/>
    <n v="6"/>
    <n v="0.8"/>
    <n v="-10.385999999999999"/>
  </r>
  <r>
    <n v="4140"/>
    <x v="96"/>
    <x v="3"/>
    <x v="4"/>
    <d v="2014-12-05T00:00:00"/>
    <n v="3"/>
    <x v="2"/>
    <s v="Ralph Arnett"/>
    <x v="0"/>
    <s v="United States"/>
    <s v="Philadelphia"/>
    <s v="Pennsylvania"/>
    <s v="East"/>
    <x v="1"/>
    <x v="4"/>
    <s v="Personal File Boxes with Fold-Down Carry Handle"/>
    <x v="3112"/>
    <n v="3"/>
    <n v="0.2"/>
    <n v="2.3370000000000002"/>
  </r>
  <r>
    <n v="4141"/>
    <x v="96"/>
    <x v="3"/>
    <x v="4"/>
    <d v="2014-12-05T00:00:00"/>
    <n v="3"/>
    <x v="2"/>
    <s v="Ralph Arnett"/>
    <x v="0"/>
    <s v="United States"/>
    <s v="Philadelphia"/>
    <s v="Pennsylvania"/>
    <s v="East"/>
    <x v="0"/>
    <x v="5"/>
    <s v="Ultra Door Kickplate, 8&quot;H x 34&quot;W"/>
    <x v="3017"/>
    <n v="5"/>
    <n v="0.2"/>
    <n v="13.846"/>
  </r>
  <r>
    <n v="4142"/>
    <x v="900"/>
    <x v="0"/>
    <x v="1"/>
    <d v="2013-06-18T00:00:00"/>
    <n v="4"/>
    <x v="1"/>
    <s v="Sonia Sunley"/>
    <x v="0"/>
    <s v="United States"/>
    <s v="Wichita"/>
    <s v="Kansas"/>
    <s v="Central"/>
    <x v="1"/>
    <x v="2"/>
    <s v="Avery 51"/>
    <x v="1365"/>
    <n v="3"/>
    <n v="0"/>
    <n v="8.6940000000000008"/>
  </r>
  <r>
    <n v="4143"/>
    <x v="946"/>
    <x v="2"/>
    <x v="5"/>
    <d v="2011-05-23T00:00:00"/>
    <n v="4"/>
    <x v="1"/>
    <s v="John Huston"/>
    <x v="0"/>
    <s v="United States"/>
    <s v="Midland"/>
    <s v="Michigan"/>
    <s v="Central"/>
    <x v="1"/>
    <x v="8"/>
    <s v="Avery Heavy-Duty EZD View Binder with Locking Rings"/>
    <x v="3113"/>
    <n v="9"/>
    <n v="0"/>
    <n v="26.4132"/>
  </r>
  <r>
    <n v="4144"/>
    <x v="289"/>
    <x v="3"/>
    <x v="9"/>
    <d v="2014-02-07T00:00:00"/>
    <n v="7"/>
    <x v="1"/>
    <s v="Eugene Hildebrand"/>
    <x v="2"/>
    <s v="United States"/>
    <s v="San Francisco"/>
    <s v="California"/>
    <s v="West"/>
    <x v="1"/>
    <x v="6"/>
    <s v="Crayola Anti Dust Chalk, 12/Pack"/>
    <x v="3114"/>
    <n v="7"/>
    <n v="0"/>
    <n v="5.7329999999999997"/>
  </r>
  <r>
    <n v="4145"/>
    <x v="289"/>
    <x v="3"/>
    <x v="9"/>
    <d v="2014-02-07T00:00:00"/>
    <n v="7"/>
    <x v="1"/>
    <s v="Eugene Hildebrand"/>
    <x v="2"/>
    <s v="United States"/>
    <s v="San Francisco"/>
    <s v="California"/>
    <s v="West"/>
    <x v="1"/>
    <x v="6"/>
    <s v="Newell 338"/>
    <x v="138"/>
    <n v="3"/>
    <n v="0"/>
    <n v="2.3814000000000002"/>
  </r>
  <r>
    <n v="4146"/>
    <x v="289"/>
    <x v="3"/>
    <x v="9"/>
    <d v="2014-02-07T00:00:00"/>
    <n v="7"/>
    <x v="1"/>
    <s v="Eugene Hildebrand"/>
    <x v="2"/>
    <s v="United States"/>
    <s v="San Francisco"/>
    <s v="California"/>
    <s v="West"/>
    <x v="0"/>
    <x v="1"/>
    <s v="Novimex Swivel Fabric Task Chair"/>
    <x v="3115"/>
    <n v="1"/>
    <n v="0.2"/>
    <n v="-13.588200000000001"/>
  </r>
  <r>
    <n v="4147"/>
    <x v="109"/>
    <x v="1"/>
    <x v="0"/>
    <d v="2012-12-04T00:00:00"/>
    <n v="6"/>
    <x v="1"/>
    <s v="Tom Prescott"/>
    <x v="0"/>
    <s v="United States"/>
    <s v="Freeport"/>
    <s v="New York"/>
    <s v="East"/>
    <x v="0"/>
    <x v="5"/>
    <s v="Tenex Contemporary Contur Chairmats for Low and Medium Pile Carpet, Computer, 39&quot; x 49&quot;"/>
    <x v="802"/>
    <n v="3"/>
    <n v="0"/>
    <n v="64.518000000000001"/>
  </r>
  <r>
    <n v="4148"/>
    <x v="436"/>
    <x v="3"/>
    <x v="2"/>
    <d v="2014-10-29T00:00:00"/>
    <n v="5"/>
    <x v="1"/>
    <s v="Randy Bradley"/>
    <x v="0"/>
    <s v="United States"/>
    <s v="Austin"/>
    <s v="Texas"/>
    <s v="Central"/>
    <x v="1"/>
    <x v="8"/>
    <s v="Acco Flexible ACCOHIDE Square Ring Data Binder, Dark Blue, 11 1/2&quot; X 14&quot; 7/8&quot;"/>
    <x v="3116"/>
    <n v="3"/>
    <n v="0.8"/>
    <n v="-15.1311"/>
  </r>
  <r>
    <n v="4149"/>
    <x v="436"/>
    <x v="3"/>
    <x v="2"/>
    <d v="2014-10-29T00:00:00"/>
    <n v="5"/>
    <x v="1"/>
    <s v="Randy Bradley"/>
    <x v="0"/>
    <s v="United States"/>
    <s v="Austin"/>
    <s v="Texas"/>
    <s v="Central"/>
    <x v="1"/>
    <x v="4"/>
    <s v="Advantus Rolling Storage Box"/>
    <x v="3117"/>
    <n v="1"/>
    <n v="0.2"/>
    <n v="1.2004999999999999"/>
  </r>
  <r>
    <n v="4150"/>
    <x v="436"/>
    <x v="3"/>
    <x v="2"/>
    <d v="2014-10-29T00:00:00"/>
    <n v="5"/>
    <x v="1"/>
    <s v="Randy Bradley"/>
    <x v="0"/>
    <s v="United States"/>
    <s v="Austin"/>
    <s v="Texas"/>
    <s v="Central"/>
    <x v="2"/>
    <x v="11"/>
    <s v="WD My Passport Ultra 1TB Portable External Hard Drive"/>
    <x v="3118"/>
    <n v="1"/>
    <n v="0.2"/>
    <n v="-2.0699999999999998"/>
  </r>
  <r>
    <n v="4151"/>
    <x v="436"/>
    <x v="3"/>
    <x v="2"/>
    <d v="2014-10-29T00:00:00"/>
    <n v="5"/>
    <x v="1"/>
    <s v="Randy Bradley"/>
    <x v="0"/>
    <s v="United States"/>
    <s v="Austin"/>
    <s v="Texas"/>
    <s v="Central"/>
    <x v="1"/>
    <x v="4"/>
    <s v="Carina 42&quot;Hx23 3/4&quot;W Media Storage Unit"/>
    <x v="1764"/>
    <n v="4"/>
    <n v="0.2"/>
    <n v="-58.305599999999998"/>
  </r>
  <r>
    <n v="4152"/>
    <x v="210"/>
    <x v="3"/>
    <x v="8"/>
    <d v="2014-09-12T00:00:00"/>
    <n v="4"/>
    <x v="1"/>
    <s v="Cassandra Brandow"/>
    <x v="0"/>
    <s v="United States"/>
    <s v="Philadelphia"/>
    <s v="Pennsylvania"/>
    <s v="East"/>
    <x v="1"/>
    <x v="2"/>
    <s v="Avery 519"/>
    <x v="3119"/>
    <n v="5"/>
    <n v="0.2"/>
    <n v="9.8684999999999992"/>
  </r>
  <r>
    <n v="4153"/>
    <x v="210"/>
    <x v="3"/>
    <x v="8"/>
    <d v="2014-09-12T00:00:00"/>
    <n v="4"/>
    <x v="1"/>
    <s v="Cassandra Brandow"/>
    <x v="0"/>
    <s v="United States"/>
    <s v="Philadelphia"/>
    <s v="Pennsylvania"/>
    <s v="East"/>
    <x v="1"/>
    <x v="10"/>
    <s v="Eureka Recycled Copy Paper 8 1/2&quot; x 11&quot;, Ream"/>
    <x v="12"/>
    <n v="3"/>
    <n v="0.2"/>
    <n v="5.4432"/>
  </r>
  <r>
    <n v="4154"/>
    <x v="210"/>
    <x v="3"/>
    <x v="8"/>
    <d v="2014-09-12T00:00:00"/>
    <n v="4"/>
    <x v="1"/>
    <s v="Cassandra Brandow"/>
    <x v="0"/>
    <s v="United States"/>
    <s v="Philadelphia"/>
    <s v="Pennsylvania"/>
    <s v="East"/>
    <x v="1"/>
    <x v="12"/>
    <s v="Poly String Tie Envelopes"/>
    <x v="319"/>
    <n v="3"/>
    <n v="0.2"/>
    <n v="1.6524000000000001"/>
  </r>
  <r>
    <n v="4155"/>
    <x v="723"/>
    <x v="0"/>
    <x v="4"/>
    <d v="2014-01-04T00:00:00"/>
    <n v="5"/>
    <x v="1"/>
    <s v="Michael Paige"/>
    <x v="1"/>
    <s v="United States"/>
    <s v="Bristol"/>
    <s v="Tennessee"/>
    <s v="South"/>
    <x v="1"/>
    <x v="8"/>
    <s v="GBC Wire Binding Strips"/>
    <x v="1795"/>
    <n v="4"/>
    <n v="0.7"/>
    <n v="-27.9312"/>
  </r>
  <r>
    <n v="4156"/>
    <x v="723"/>
    <x v="0"/>
    <x v="4"/>
    <d v="2014-01-04T00:00:00"/>
    <n v="5"/>
    <x v="1"/>
    <s v="Michael Paige"/>
    <x v="1"/>
    <s v="United States"/>
    <s v="Bristol"/>
    <s v="Tennessee"/>
    <s v="South"/>
    <x v="1"/>
    <x v="8"/>
    <s v="Zipper Ring Binder Pockets"/>
    <x v="1774"/>
    <n v="3"/>
    <n v="0.7"/>
    <n v="-1.9656"/>
  </r>
  <r>
    <n v="4157"/>
    <x v="901"/>
    <x v="1"/>
    <x v="4"/>
    <d v="2012-12-09T00:00:00"/>
    <n v="4"/>
    <x v="0"/>
    <s v="Scot Wooten"/>
    <x v="0"/>
    <s v="United States"/>
    <s v="Philadelphia"/>
    <s v="Pennsylvania"/>
    <s v="East"/>
    <x v="2"/>
    <x v="11"/>
    <s v="Belkin F8E887 USB Wired Ergonomic Keyboard"/>
    <x v="730"/>
    <n v="2"/>
    <n v="0.2"/>
    <n v="0.5998"/>
  </r>
  <r>
    <n v="4158"/>
    <x v="901"/>
    <x v="1"/>
    <x v="4"/>
    <d v="2012-12-09T00:00:00"/>
    <n v="4"/>
    <x v="0"/>
    <s v="Scot Wooten"/>
    <x v="0"/>
    <s v="United States"/>
    <s v="Philadelphia"/>
    <s v="Pennsylvania"/>
    <s v="East"/>
    <x v="1"/>
    <x v="8"/>
    <s v="GBC White Gloss Covers, Plain Front"/>
    <x v="3120"/>
    <n v="6"/>
    <n v="0.7"/>
    <n v="-19.982399999999998"/>
  </r>
  <r>
    <n v="4159"/>
    <x v="301"/>
    <x v="2"/>
    <x v="0"/>
    <d v="2011-11-08T00:00:00"/>
    <n v="7"/>
    <x v="1"/>
    <s v="Suzanne McNair"/>
    <x v="1"/>
    <s v="United States"/>
    <s v="Chicago"/>
    <s v="Illinois"/>
    <s v="Central"/>
    <x v="1"/>
    <x v="10"/>
    <s v="Southworth Parchment Paper &amp; Envelopes"/>
    <x v="929"/>
    <n v="3"/>
    <n v="0.2"/>
    <n v="5.1012000000000004"/>
  </r>
  <r>
    <n v="4160"/>
    <x v="947"/>
    <x v="0"/>
    <x v="3"/>
    <d v="2013-04-24T00:00:00"/>
    <n v="7"/>
    <x v="1"/>
    <s v="Arthur Prichep"/>
    <x v="0"/>
    <s v="United States"/>
    <s v="Columbus"/>
    <s v="Georgia"/>
    <s v="South"/>
    <x v="1"/>
    <x v="6"/>
    <s v="Newell 341"/>
    <x v="1371"/>
    <n v="3"/>
    <n v="0"/>
    <n v="3.7235999999999998"/>
  </r>
  <r>
    <n v="4161"/>
    <x v="304"/>
    <x v="3"/>
    <x v="5"/>
    <d v="2014-05-19T00:00:00"/>
    <n v="4"/>
    <x v="1"/>
    <s v="Amy Hunt"/>
    <x v="0"/>
    <s v="United States"/>
    <s v="New York City"/>
    <s v="New York"/>
    <s v="East"/>
    <x v="2"/>
    <x v="7"/>
    <s v="Google Nexus 5"/>
    <x v="2451"/>
    <n v="3"/>
    <n v="0"/>
    <n v="134.99250000000001"/>
  </r>
  <r>
    <n v="4162"/>
    <x v="304"/>
    <x v="3"/>
    <x v="5"/>
    <d v="2014-05-19T00:00:00"/>
    <n v="4"/>
    <x v="1"/>
    <s v="Amy Hunt"/>
    <x v="0"/>
    <s v="United States"/>
    <s v="New York City"/>
    <s v="New York"/>
    <s v="East"/>
    <x v="1"/>
    <x v="4"/>
    <s v="X-Rack File for Hanging Folders"/>
    <x v="2383"/>
    <n v="2"/>
    <n v="0"/>
    <n v="5.8708"/>
  </r>
  <r>
    <n v="4163"/>
    <x v="948"/>
    <x v="1"/>
    <x v="10"/>
    <d v="2012-03-18T00:00:00"/>
    <n v="4"/>
    <x v="1"/>
    <s v="Emily Phan"/>
    <x v="0"/>
    <s v="United States"/>
    <s v="Dover"/>
    <s v="New Hampshire"/>
    <s v="East"/>
    <x v="1"/>
    <x v="2"/>
    <s v="Avery 476"/>
    <x v="1045"/>
    <n v="4"/>
    <n v="0"/>
    <n v="7.5991999999999997"/>
  </r>
  <r>
    <n v="4164"/>
    <x v="948"/>
    <x v="1"/>
    <x v="10"/>
    <d v="2012-03-18T00:00:00"/>
    <n v="4"/>
    <x v="1"/>
    <s v="Emily Phan"/>
    <x v="0"/>
    <s v="United States"/>
    <s v="Dover"/>
    <s v="New Hampshire"/>
    <s v="East"/>
    <x v="1"/>
    <x v="8"/>
    <s v="GBC DocuBind TL200 Manual Binding Machine"/>
    <x v="3121"/>
    <n v="3"/>
    <n v="0"/>
    <n v="315.81180000000001"/>
  </r>
  <r>
    <n v="4165"/>
    <x v="424"/>
    <x v="3"/>
    <x v="9"/>
    <d v="2014-01-17T00:00:00"/>
    <n v="2"/>
    <x v="2"/>
    <s v="Tracy Poddar"/>
    <x v="1"/>
    <s v="United States"/>
    <s v="Aurora"/>
    <s v="Colorado"/>
    <s v="West"/>
    <x v="2"/>
    <x v="11"/>
    <s v="Imation 8GB Mini TravelDrive USB 2.0 Flash Drive"/>
    <x v="3122"/>
    <n v="7"/>
    <n v="0.2"/>
    <n v="-14.793100000000001"/>
  </r>
  <r>
    <n v="4166"/>
    <x v="424"/>
    <x v="3"/>
    <x v="9"/>
    <d v="2014-01-17T00:00:00"/>
    <n v="2"/>
    <x v="2"/>
    <s v="Tracy Poddar"/>
    <x v="1"/>
    <s v="United States"/>
    <s v="Aurora"/>
    <s v="Colorado"/>
    <s v="West"/>
    <x v="1"/>
    <x v="4"/>
    <s v="Mobile Personal File Cube"/>
    <x v="3123"/>
    <n v="9"/>
    <n v="0.2"/>
    <n v="14.7546"/>
  </r>
  <r>
    <n v="4167"/>
    <x v="936"/>
    <x v="1"/>
    <x v="10"/>
    <d v="2012-03-13T00:00:00"/>
    <n v="5"/>
    <x v="1"/>
    <s v="Anthony Rawles"/>
    <x v="1"/>
    <s v="United States"/>
    <s v="Long Beach"/>
    <s v="New York"/>
    <s v="East"/>
    <x v="1"/>
    <x v="10"/>
    <s v="Xerox 1997"/>
    <x v="537"/>
    <n v="3"/>
    <n v="0"/>
    <n v="9.3312000000000008"/>
  </r>
  <r>
    <n v="4168"/>
    <x v="856"/>
    <x v="2"/>
    <x v="2"/>
    <d v="2011-10-13T00:00:00"/>
    <n v="2"/>
    <x v="2"/>
    <s v="Helen Andreada"/>
    <x v="0"/>
    <s v="United States"/>
    <s v="Pasadena"/>
    <s v="California"/>
    <s v="West"/>
    <x v="1"/>
    <x v="4"/>
    <s v="Iris Project Case"/>
    <x v="1043"/>
    <n v="4"/>
    <n v="0"/>
    <n v="8.2992000000000008"/>
  </r>
  <r>
    <n v="4169"/>
    <x v="856"/>
    <x v="2"/>
    <x v="2"/>
    <d v="2011-10-13T00:00:00"/>
    <n v="2"/>
    <x v="2"/>
    <s v="Helen Andreada"/>
    <x v="0"/>
    <s v="United States"/>
    <s v="Pasadena"/>
    <s v="California"/>
    <s v="West"/>
    <x v="0"/>
    <x v="1"/>
    <s v="Global Enterprise Series Seating High-Back Swivel/Tilt Chairs"/>
    <x v="3124"/>
    <n v="2"/>
    <n v="0.2"/>
    <n v="-65.035200000000003"/>
  </r>
  <r>
    <n v="4170"/>
    <x v="657"/>
    <x v="1"/>
    <x v="3"/>
    <d v="2012-04-14T00:00:00"/>
    <n v="1"/>
    <x v="2"/>
    <s v="Heather Jas"/>
    <x v="2"/>
    <s v="United States"/>
    <s v="Mesa"/>
    <s v="Arizona"/>
    <s v="West"/>
    <x v="1"/>
    <x v="10"/>
    <s v="Xerox 210"/>
    <x v="276"/>
    <n v="6"/>
    <n v="0.2"/>
    <n v="10.8864"/>
  </r>
  <r>
    <n v="4171"/>
    <x v="657"/>
    <x v="1"/>
    <x v="3"/>
    <d v="2012-04-14T00:00:00"/>
    <n v="1"/>
    <x v="2"/>
    <s v="Heather Jas"/>
    <x v="2"/>
    <s v="United States"/>
    <s v="Mesa"/>
    <s v="Arizona"/>
    <s v="West"/>
    <x v="1"/>
    <x v="10"/>
    <s v="Xerox 1973"/>
    <x v="1548"/>
    <n v="3"/>
    <n v="0.2"/>
    <n v="17.815200000000001"/>
  </r>
  <r>
    <n v="4172"/>
    <x v="673"/>
    <x v="3"/>
    <x v="0"/>
    <d v="2014-11-21T00:00:00"/>
    <n v="4"/>
    <x v="1"/>
    <s v="Jay Kimmel"/>
    <x v="0"/>
    <s v="United States"/>
    <s v="Fresno"/>
    <s v="California"/>
    <s v="West"/>
    <x v="1"/>
    <x v="4"/>
    <s v="Eldon Shelf Savers Cubes and Bins"/>
    <x v="5"/>
    <n v="7"/>
    <n v="0"/>
    <n v="0.97719999999999996"/>
  </r>
  <r>
    <n v="4173"/>
    <x v="949"/>
    <x v="0"/>
    <x v="7"/>
    <d v="2013-07-02T00:00:00"/>
    <n v="0"/>
    <x v="3"/>
    <s v="Jay Fein"/>
    <x v="0"/>
    <s v="United States"/>
    <s v="Columbia"/>
    <s v="South Carolina"/>
    <s v="South"/>
    <x v="1"/>
    <x v="8"/>
    <s v="Wilson Jones Hanging View Binder, White, 1&quot;"/>
    <x v="1168"/>
    <n v="2"/>
    <n v="0"/>
    <n v="6.532"/>
  </r>
  <r>
    <n v="4174"/>
    <x v="949"/>
    <x v="0"/>
    <x v="7"/>
    <d v="2013-07-02T00:00:00"/>
    <n v="0"/>
    <x v="3"/>
    <s v="Jay Fein"/>
    <x v="0"/>
    <s v="United States"/>
    <s v="Columbia"/>
    <s v="South Carolina"/>
    <s v="South"/>
    <x v="1"/>
    <x v="10"/>
    <s v="Xerox 210"/>
    <x v="91"/>
    <n v="2"/>
    <n v="0"/>
    <n v="6.2207999999999997"/>
  </r>
  <r>
    <n v="4175"/>
    <x v="949"/>
    <x v="0"/>
    <x v="7"/>
    <d v="2013-07-02T00:00:00"/>
    <n v="0"/>
    <x v="3"/>
    <s v="Jay Fein"/>
    <x v="0"/>
    <s v="United States"/>
    <s v="Columbia"/>
    <s v="South Carolina"/>
    <s v="South"/>
    <x v="1"/>
    <x v="8"/>
    <s v="Binding Machine Supplies"/>
    <x v="2450"/>
    <n v="2"/>
    <n v="0"/>
    <n v="28.0032"/>
  </r>
  <r>
    <n v="4176"/>
    <x v="239"/>
    <x v="1"/>
    <x v="0"/>
    <d v="2012-11-30T00:00:00"/>
    <n v="1"/>
    <x v="2"/>
    <s v="Eileen Kiefer"/>
    <x v="2"/>
    <s v="United States"/>
    <s v="Santa Ana"/>
    <s v="California"/>
    <s v="West"/>
    <x v="1"/>
    <x v="6"/>
    <s v="Boston Electric Pencil Sharpener, Model 1818, Charcoal Black"/>
    <x v="2420"/>
    <n v="2"/>
    <n v="0"/>
    <n v="15.763999999999999"/>
  </r>
  <r>
    <n v="4177"/>
    <x v="884"/>
    <x v="2"/>
    <x v="3"/>
    <d v="2011-04-12T00:00:00"/>
    <n v="5"/>
    <x v="1"/>
    <s v="Roland Schwarz"/>
    <x v="1"/>
    <s v="United States"/>
    <s v="Columbia"/>
    <s v="South Carolina"/>
    <s v="South"/>
    <x v="2"/>
    <x v="7"/>
    <s v="AT&amp;T TR1909W"/>
    <x v="3125"/>
    <n v="5"/>
    <n v="0"/>
    <n v="163.78700000000001"/>
  </r>
  <r>
    <n v="4178"/>
    <x v="884"/>
    <x v="2"/>
    <x v="3"/>
    <d v="2011-04-12T00:00:00"/>
    <n v="5"/>
    <x v="1"/>
    <s v="Roland Schwarz"/>
    <x v="1"/>
    <s v="United States"/>
    <s v="Columbia"/>
    <s v="South Carolina"/>
    <s v="South"/>
    <x v="1"/>
    <x v="10"/>
    <s v="Xerox 1945"/>
    <x v="1232"/>
    <n v="3"/>
    <n v="0"/>
    <n v="60.255299999999998"/>
  </r>
  <r>
    <n v="4179"/>
    <x v="950"/>
    <x v="0"/>
    <x v="1"/>
    <d v="2013-06-19T00:00:00"/>
    <n v="2"/>
    <x v="0"/>
    <s v="Bill Donatelli"/>
    <x v="0"/>
    <s v="United States"/>
    <s v="Los Angeles"/>
    <s v="California"/>
    <s v="West"/>
    <x v="1"/>
    <x v="10"/>
    <s v="Wirebound Message Books, Four 2 3/4&quot; x 5&quot; Forms per Page, 600 Sets per Book"/>
    <x v="3126"/>
    <n v="5"/>
    <n v="0"/>
    <n v="21.784500000000001"/>
  </r>
  <r>
    <n v="4180"/>
    <x v="904"/>
    <x v="3"/>
    <x v="10"/>
    <d v="2014-03-11T00:00:00"/>
    <n v="4"/>
    <x v="1"/>
    <s v="Ben Ferrer"/>
    <x v="2"/>
    <s v="United States"/>
    <s v="San Francisco"/>
    <s v="California"/>
    <s v="West"/>
    <x v="1"/>
    <x v="8"/>
    <s v="Economy Binders"/>
    <x v="2671"/>
    <n v="9"/>
    <n v="0.2"/>
    <n v="5.4287999999999998"/>
  </r>
  <r>
    <n v="4181"/>
    <x v="566"/>
    <x v="3"/>
    <x v="2"/>
    <d v="2014-10-12T00:00:00"/>
    <n v="4"/>
    <x v="1"/>
    <s v="Joe Kamberova"/>
    <x v="0"/>
    <s v="United States"/>
    <s v="Houston"/>
    <s v="Texas"/>
    <s v="Central"/>
    <x v="1"/>
    <x v="8"/>
    <s v="Storex DuraTech Recycled Plastic Frosted Binders"/>
    <x v="3127"/>
    <n v="5"/>
    <n v="0.8"/>
    <n v="-6.36"/>
  </r>
  <r>
    <n v="4182"/>
    <x v="833"/>
    <x v="3"/>
    <x v="2"/>
    <d v="2014-10-13T00:00:00"/>
    <n v="6"/>
    <x v="1"/>
    <s v="Cyra Reiten"/>
    <x v="2"/>
    <s v="United States"/>
    <s v="New York City"/>
    <s v="New York"/>
    <s v="East"/>
    <x v="2"/>
    <x v="11"/>
    <s v="Logitech G430 Surround Sound Gaming Headset with Dolby 7.1 Technology"/>
    <x v="3128"/>
    <n v="4"/>
    <n v="0"/>
    <n v="115.18559999999999"/>
  </r>
  <r>
    <n v="4183"/>
    <x v="833"/>
    <x v="3"/>
    <x v="2"/>
    <d v="2014-10-13T00:00:00"/>
    <n v="6"/>
    <x v="1"/>
    <s v="Cyra Reiten"/>
    <x v="2"/>
    <s v="United States"/>
    <s v="New York City"/>
    <s v="New York"/>
    <s v="East"/>
    <x v="1"/>
    <x v="10"/>
    <s v="Adams Telephone Message Book W/Dividers/Space For Phone Numbers, 5 1/4&quot;X8 1/2&quot;, 200/Messages"/>
    <x v="339"/>
    <n v="3"/>
    <n v="0"/>
    <n v="7.6680000000000001"/>
  </r>
  <r>
    <n v="4184"/>
    <x v="833"/>
    <x v="3"/>
    <x v="2"/>
    <d v="2014-10-13T00:00:00"/>
    <n v="6"/>
    <x v="1"/>
    <s v="Cyra Reiten"/>
    <x v="2"/>
    <s v="United States"/>
    <s v="New York City"/>
    <s v="New York"/>
    <s v="East"/>
    <x v="1"/>
    <x v="4"/>
    <s v="Space Solutions HD Industrial Steel Shelving."/>
    <x v="3129"/>
    <n v="3"/>
    <n v="0"/>
    <n v="10.347300000000001"/>
  </r>
  <r>
    <n v="4185"/>
    <x v="5"/>
    <x v="0"/>
    <x v="4"/>
    <d v="2013-12-08T00:00:00"/>
    <n v="2"/>
    <x v="2"/>
    <s v="Aleksandra Gannaway"/>
    <x v="1"/>
    <s v="United States"/>
    <s v="Franklin"/>
    <s v="Massachusetts"/>
    <s v="East"/>
    <x v="0"/>
    <x v="0"/>
    <s v="O'Sullivan 5-Shelf Heavy-Duty Bookcases"/>
    <x v="3130"/>
    <n v="1"/>
    <n v="0"/>
    <n v="20.484999999999999"/>
  </r>
  <r>
    <n v="4186"/>
    <x v="147"/>
    <x v="0"/>
    <x v="2"/>
    <d v="2013-10-23T00:00:00"/>
    <n v="1"/>
    <x v="2"/>
    <s v="Charles McCrossin"/>
    <x v="0"/>
    <s v="United States"/>
    <s v="Baltimore"/>
    <s v="Maryland"/>
    <s v="East"/>
    <x v="2"/>
    <x v="11"/>
    <s v="Logitech Desktop MK120 Mouse and keyboard Combo"/>
    <x v="1524"/>
    <n v="6"/>
    <n v="0"/>
    <n v="9.8160000000000007"/>
  </r>
  <r>
    <n v="4187"/>
    <x v="796"/>
    <x v="3"/>
    <x v="5"/>
    <d v="2014-05-24T00:00:00"/>
    <n v="5"/>
    <x v="1"/>
    <s v="Susan Gilcrest"/>
    <x v="1"/>
    <s v="United States"/>
    <s v="Mcallen"/>
    <s v="Texas"/>
    <s v="Central"/>
    <x v="1"/>
    <x v="8"/>
    <s v="Acco Pressboard Covers with Storage Hooks, 14 7/8&quot; x 11&quot;, Light Blue"/>
    <x v="3131"/>
    <n v="7"/>
    <n v="0.8"/>
    <n v="-10.6547"/>
  </r>
  <r>
    <n v="4188"/>
    <x v="796"/>
    <x v="3"/>
    <x v="5"/>
    <d v="2014-05-24T00:00:00"/>
    <n v="5"/>
    <x v="1"/>
    <s v="Susan Gilcrest"/>
    <x v="1"/>
    <s v="United States"/>
    <s v="Mcallen"/>
    <s v="Texas"/>
    <s v="Central"/>
    <x v="1"/>
    <x v="8"/>
    <s v="Avery Framed View Binder, EZD Ring (Locking), Navy, 1 1/2&quot;"/>
    <x v="3132"/>
    <n v="1"/>
    <n v="0.8"/>
    <n v="-3.2934000000000001"/>
  </r>
  <r>
    <n v="4189"/>
    <x v="796"/>
    <x v="3"/>
    <x v="5"/>
    <d v="2014-05-24T00:00:00"/>
    <n v="5"/>
    <x v="1"/>
    <s v="Susan Gilcrest"/>
    <x v="1"/>
    <s v="United States"/>
    <s v="Mcallen"/>
    <s v="Texas"/>
    <s v="Central"/>
    <x v="1"/>
    <x v="4"/>
    <s v="Plastic Stacking Crates &amp; Casters"/>
    <x v="433"/>
    <n v="2"/>
    <n v="0.2"/>
    <n v="0.66959999999999997"/>
  </r>
  <r>
    <n v="4190"/>
    <x v="182"/>
    <x v="0"/>
    <x v="8"/>
    <d v="2013-10-02T00:00:00"/>
    <n v="5"/>
    <x v="0"/>
    <s v="Charles Sheldon"/>
    <x v="1"/>
    <s v="United States"/>
    <s v="Iowa City"/>
    <s v="Iowa"/>
    <s v="Central"/>
    <x v="1"/>
    <x v="10"/>
    <s v="Hammermill Color Copier Paper (28Lb. and 96 Bright)"/>
    <x v="1036"/>
    <n v="1"/>
    <n v="0"/>
    <n v="4.4954999999999998"/>
  </r>
  <r>
    <n v="4191"/>
    <x v="701"/>
    <x v="3"/>
    <x v="0"/>
    <d v="2014-11-23T00:00:00"/>
    <n v="5"/>
    <x v="1"/>
    <s v="Hunter Lopez"/>
    <x v="0"/>
    <s v="United States"/>
    <s v="Newark"/>
    <s v="Delaware"/>
    <s v="East"/>
    <x v="2"/>
    <x v="16"/>
    <s v="Canon imageCLASS 2200 Advanced Copier"/>
    <x v="3133"/>
    <n v="3"/>
    <n v="0"/>
    <n v="5039.9856"/>
  </r>
  <r>
    <n v="4192"/>
    <x v="951"/>
    <x v="1"/>
    <x v="7"/>
    <d v="2012-07-08T00:00:00"/>
    <n v="0"/>
    <x v="3"/>
    <s v="Darrin Martin"/>
    <x v="0"/>
    <s v="United States"/>
    <s v="Houston"/>
    <s v="Texas"/>
    <s v="Central"/>
    <x v="1"/>
    <x v="10"/>
    <s v="Xerox 1990"/>
    <x v="3051"/>
    <n v="5"/>
    <n v="0.2"/>
    <n v="6.6"/>
  </r>
  <r>
    <n v="4193"/>
    <x v="547"/>
    <x v="1"/>
    <x v="0"/>
    <d v="2012-11-20T00:00:00"/>
    <n v="4"/>
    <x v="1"/>
    <s v="Heather Kirkland"/>
    <x v="1"/>
    <s v="United States"/>
    <s v="Boise"/>
    <s v="Idaho"/>
    <s v="West"/>
    <x v="0"/>
    <x v="3"/>
    <s v="Bretford CR4500 Series Slim Rectangular Table"/>
    <x v="3134"/>
    <n v="2"/>
    <n v="0"/>
    <n v="160.17660000000001"/>
  </r>
  <r>
    <n v="4194"/>
    <x v="547"/>
    <x v="1"/>
    <x v="0"/>
    <d v="2012-11-20T00:00:00"/>
    <n v="4"/>
    <x v="1"/>
    <s v="Heather Kirkland"/>
    <x v="1"/>
    <s v="United States"/>
    <s v="Boise"/>
    <s v="Idaho"/>
    <s v="West"/>
    <x v="2"/>
    <x v="7"/>
    <s v="Jabra BIZ 2300 Duo QD Duo Corded Headset"/>
    <x v="3135"/>
    <n v="3"/>
    <n v="0.2"/>
    <n v="22.8582"/>
  </r>
  <r>
    <n v="4195"/>
    <x v="652"/>
    <x v="1"/>
    <x v="1"/>
    <d v="2012-06-22T00:00:00"/>
    <n v="4"/>
    <x v="1"/>
    <s v="Bruce Geld"/>
    <x v="0"/>
    <s v="United States"/>
    <s v="San Diego"/>
    <s v="California"/>
    <s v="West"/>
    <x v="1"/>
    <x v="6"/>
    <s v="BOSTON Ranger #55 Pencil Sharpener, Black"/>
    <x v="3136"/>
    <n v="2"/>
    <n v="0"/>
    <n v="15.074199999999999"/>
  </r>
  <r>
    <n v="4196"/>
    <x v="143"/>
    <x v="0"/>
    <x v="3"/>
    <d v="2013-04-15T00:00:00"/>
    <n v="6"/>
    <x v="1"/>
    <s v="Clytie Kelty"/>
    <x v="0"/>
    <s v="United States"/>
    <s v="Los Angeles"/>
    <s v="California"/>
    <s v="West"/>
    <x v="0"/>
    <x v="5"/>
    <s v="C-Line Magnetic Cubicle Keepers, Clear Polypropylene"/>
    <x v="3137"/>
    <n v="5"/>
    <n v="0"/>
    <n v="10.374000000000001"/>
  </r>
  <r>
    <n v="4197"/>
    <x v="24"/>
    <x v="1"/>
    <x v="3"/>
    <d v="2012-04-23T00:00:00"/>
    <n v="5"/>
    <x v="0"/>
    <s v="Roland Fjeld"/>
    <x v="0"/>
    <s v="United States"/>
    <s v="New York City"/>
    <s v="New York"/>
    <s v="East"/>
    <x v="1"/>
    <x v="2"/>
    <s v="Avery 486"/>
    <x v="2468"/>
    <n v="3"/>
    <n v="0"/>
    <n v="10.3071"/>
  </r>
  <r>
    <n v="4198"/>
    <x v="275"/>
    <x v="0"/>
    <x v="4"/>
    <d v="2013-12-09T00:00:00"/>
    <n v="5"/>
    <x v="1"/>
    <s v="Caroline Jumper"/>
    <x v="0"/>
    <s v="United States"/>
    <s v="Philadelphia"/>
    <s v="Pennsylvania"/>
    <s v="East"/>
    <x v="1"/>
    <x v="9"/>
    <s v="Honeywell Enviracaire Portable HEPA Air Cleaner for up to 10 x 16 Room"/>
    <x v="3138"/>
    <n v="4"/>
    <n v="0.2"/>
    <n v="93.768799999999999"/>
  </r>
  <r>
    <n v="4199"/>
    <x v="275"/>
    <x v="0"/>
    <x v="4"/>
    <d v="2013-12-09T00:00:00"/>
    <n v="5"/>
    <x v="1"/>
    <s v="Caroline Jumper"/>
    <x v="0"/>
    <s v="United States"/>
    <s v="Philadelphia"/>
    <s v="Pennsylvania"/>
    <s v="East"/>
    <x v="1"/>
    <x v="8"/>
    <s v="GBC Clear Cover, 8-1/2 x 11, unpunched, 25 covers per pack"/>
    <x v="3139"/>
    <n v="4"/>
    <n v="0.7"/>
    <n v="-14.553599999999999"/>
  </r>
  <r>
    <n v="4200"/>
    <x v="895"/>
    <x v="1"/>
    <x v="4"/>
    <d v="2012-12-10T00:00:00"/>
    <n v="0"/>
    <x v="3"/>
    <s v="Matt Abelman"/>
    <x v="2"/>
    <s v="United States"/>
    <s v="New York City"/>
    <s v="New York"/>
    <s v="East"/>
    <x v="1"/>
    <x v="2"/>
    <s v="Avery 486"/>
    <x v="2026"/>
    <n v="1"/>
    <n v="0"/>
    <n v="3.4357000000000002"/>
  </r>
  <r>
    <n v="4201"/>
    <x v="895"/>
    <x v="1"/>
    <x v="4"/>
    <d v="2012-12-10T00:00:00"/>
    <n v="0"/>
    <x v="3"/>
    <s v="Matt Abelman"/>
    <x v="2"/>
    <s v="United States"/>
    <s v="New York City"/>
    <s v="New York"/>
    <s v="East"/>
    <x v="2"/>
    <x v="16"/>
    <s v="Hewlett Packard 610 Color Digital Copier / Printer"/>
    <x v="3140"/>
    <n v="2"/>
    <n v="0.2"/>
    <n v="249.995"/>
  </r>
  <r>
    <n v="4202"/>
    <x v="895"/>
    <x v="1"/>
    <x v="4"/>
    <d v="2012-12-10T00:00:00"/>
    <n v="0"/>
    <x v="3"/>
    <s v="Matt Abelman"/>
    <x v="2"/>
    <s v="United States"/>
    <s v="New York City"/>
    <s v="New York"/>
    <s v="East"/>
    <x v="1"/>
    <x v="10"/>
    <s v="Adams Phone Message Book, 200 Message Capacity, 8 1/16” x 11”"/>
    <x v="517"/>
    <n v="6"/>
    <n v="0"/>
    <n v="18.988800000000001"/>
  </r>
  <r>
    <n v="4203"/>
    <x v="895"/>
    <x v="1"/>
    <x v="4"/>
    <d v="2012-12-10T00:00:00"/>
    <n v="0"/>
    <x v="3"/>
    <s v="Matt Abelman"/>
    <x v="2"/>
    <s v="United States"/>
    <s v="New York City"/>
    <s v="New York"/>
    <s v="East"/>
    <x v="1"/>
    <x v="10"/>
    <s v="Xerox 1883"/>
    <x v="2337"/>
    <n v="7"/>
    <n v="0"/>
    <n v="84.943600000000004"/>
  </r>
  <r>
    <n v="4204"/>
    <x v="656"/>
    <x v="2"/>
    <x v="2"/>
    <d v="2011-11-02T00:00:00"/>
    <n v="2"/>
    <x v="0"/>
    <s v="Anne McFarland"/>
    <x v="0"/>
    <s v="United States"/>
    <s v="Cranston"/>
    <s v="Rhode Island"/>
    <s v="East"/>
    <x v="1"/>
    <x v="6"/>
    <s v="Lumber Crayons"/>
    <x v="3141"/>
    <n v="5"/>
    <n v="0"/>
    <n v="18.715"/>
  </r>
  <r>
    <n v="4205"/>
    <x v="656"/>
    <x v="2"/>
    <x v="2"/>
    <d v="2011-11-02T00:00:00"/>
    <n v="2"/>
    <x v="0"/>
    <s v="Anne McFarland"/>
    <x v="0"/>
    <s v="United States"/>
    <s v="Cranston"/>
    <s v="Rhode Island"/>
    <s v="East"/>
    <x v="1"/>
    <x v="10"/>
    <s v="RSVP Cards &amp; Envelopes, Blank White, 8-1/2&quot; X 11&quot;, 24 Cards/25 Envelopes/Set"/>
    <x v="1007"/>
    <n v="2"/>
    <n v="0"/>
    <n v="4.7751999999999999"/>
  </r>
  <r>
    <n v="4206"/>
    <x v="656"/>
    <x v="2"/>
    <x v="2"/>
    <d v="2011-11-02T00:00:00"/>
    <n v="2"/>
    <x v="0"/>
    <s v="Anne McFarland"/>
    <x v="0"/>
    <s v="United States"/>
    <s v="Cranston"/>
    <s v="Rhode Island"/>
    <s v="East"/>
    <x v="0"/>
    <x v="5"/>
    <s v="Eldon Expressions Wood Desk Accessories, Oak"/>
    <x v="1787"/>
    <n v="2"/>
    <n v="0"/>
    <n v="4.2804000000000002"/>
  </r>
  <r>
    <n v="4207"/>
    <x v="656"/>
    <x v="2"/>
    <x v="2"/>
    <d v="2011-11-02T00:00:00"/>
    <n v="2"/>
    <x v="0"/>
    <s v="Anne McFarland"/>
    <x v="0"/>
    <s v="United States"/>
    <s v="Cranston"/>
    <s v="Rhode Island"/>
    <s v="East"/>
    <x v="1"/>
    <x v="8"/>
    <s v="GBC Recycled VeloBinder Covers"/>
    <x v="3142"/>
    <n v="2"/>
    <n v="0"/>
    <n v="15.6768"/>
  </r>
  <r>
    <n v="4208"/>
    <x v="656"/>
    <x v="2"/>
    <x v="2"/>
    <d v="2011-11-02T00:00:00"/>
    <n v="2"/>
    <x v="0"/>
    <s v="Anne McFarland"/>
    <x v="0"/>
    <s v="United States"/>
    <s v="Cranston"/>
    <s v="Rhode Island"/>
    <s v="East"/>
    <x v="0"/>
    <x v="5"/>
    <s v="Eldon Wave Desk Accessories"/>
    <x v="3143"/>
    <n v="3"/>
    <n v="0"/>
    <n v="7.7747999999999999"/>
  </r>
  <r>
    <n v="4209"/>
    <x v="656"/>
    <x v="2"/>
    <x v="2"/>
    <d v="2011-11-02T00:00:00"/>
    <n v="2"/>
    <x v="0"/>
    <s v="Anne McFarland"/>
    <x v="0"/>
    <s v="United States"/>
    <s v="Cranston"/>
    <s v="Rhode Island"/>
    <s v="East"/>
    <x v="0"/>
    <x v="1"/>
    <s v="Hon Pagoda Stacking Chairs"/>
    <x v="3144"/>
    <n v="5"/>
    <n v="0"/>
    <n v="481.47"/>
  </r>
  <r>
    <n v="4210"/>
    <x v="656"/>
    <x v="2"/>
    <x v="2"/>
    <d v="2011-11-02T00:00:00"/>
    <n v="2"/>
    <x v="0"/>
    <s v="Anne McFarland"/>
    <x v="0"/>
    <s v="United States"/>
    <s v="Cranston"/>
    <s v="Rhode Island"/>
    <s v="East"/>
    <x v="0"/>
    <x v="3"/>
    <s v="Chromcraft Bull-Nose Wood 48&quot; x 96&quot; Rectangular Conference Tables"/>
    <x v="3145"/>
    <n v="1"/>
    <n v="0.3"/>
    <n v="-60.607799999999997"/>
  </r>
  <r>
    <n v="4211"/>
    <x v="34"/>
    <x v="3"/>
    <x v="4"/>
    <d v="2014-12-15T00:00:00"/>
    <n v="5"/>
    <x v="1"/>
    <s v="Angele Hood"/>
    <x v="0"/>
    <s v="United States"/>
    <s v="Chicago"/>
    <s v="Illinois"/>
    <s v="Central"/>
    <x v="1"/>
    <x v="10"/>
    <s v="Xerox 1921"/>
    <x v="2913"/>
    <n v="2"/>
    <n v="0.2"/>
    <n v="4.9950000000000001"/>
  </r>
  <r>
    <n v="4212"/>
    <x v="952"/>
    <x v="2"/>
    <x v="5"/>
    <d v="2011-05-09T00:00:00"/>
    <n v="4"/>
    <x v="0"/>
    <s v="Peter Fuller"/>
    <x v="0"/>
    <s v="United States"/>
    <s v="Richmond"/>
    <s v="Kentucky"/>
    <s v="South"/>
    <x v="1"/>
    <x v="10"/>
    <s v="Adams &quot;While You Were Out&quot; Message Pads"/>
    <x v="2276"/>
    <n v="3"/>
    <n v="0"/>
    <n v="4.2389999999999999"/>
  </r>
  <r>
    <n v="4213"/>
    <x v="952"/>
    <x v="2"/>
    <x v="5"/>
    <d v="2011-05-09T00:00:00"/>
    <n v="4"/>
    <x v="0"/>
    <s v="Peter Fuller"/>
    <x v="0"/>
    <s v="United States"/>
    <s v="Richmond"/>
    <s v="Kentucky"/>
    <s v="South"/>
    <x v="1"/>
    <x v="6"/>
    <s v="Newell 350"/>
    <x v="2578"/>
    <n v="2"/>
    <n v="0"/>
    <n v="1.9024000000000001"/>
  </r>
  <r>
    <n v="4214"/>
    <x v="952"/>
    <x v="2"/>
    <x v="5"/>
    <d v="2011-05-09T00:00:00"/>
    <n v="4"/>
    <x v="0"/>
    <s v="Peter Fuller"/>
    <x v="0"/>
    <s v="United States"/>
    <s v="Richmond"/>
    <s v="Kentucky"/>
    <s v="South"/>
    <x v="1"/>
    <x v="10"/>
    <s v="Xerox 1933"/>
    <x v="332"/>
    <n v="2"/>
    <n v="0"/>
    <n v="11.543200000000001"/>
  </r>
  <r>
    <n v="4215"/>
    <x v="758"/>
    <x v="0"/>
    <x v="10"/>
    <d v="2013-03-09T00:00:00"/>
    <n v="4"/>
    <x v="1"/>
    <s v="Rick Duston"/>
    <x v="0"/>
    <s v="United States"/>
    <s v="Mishawaka"/>
    <s v="Indiana"/>
    <s v="Central"/>
    <x v="1"/>
    <x v="8"/>
    <s v="Green Canvas Binder for 8-1/2&quot; x 14&quot; Sheets"/>
    <x v="3146"/>
    <n v="3"/>
    <n v="0"/>
    <n v="64.2"/>
  </r>
  <r>
    <n v="4216"/>
    <x v="953"/>
    <x v="2"/>
    <x v="0"/>
    <d v="2011-12-04T00:00:00"/>
    <n v="4"/>
    <x v="1"/>
    <s v="Jeremy Lonsdale"/>
    <x v="0"/>
    <s v="United States"/>
    <s v="Mount Vernon"/>
    <s v="New York"/>
    <s v="East"/>
    <x v="1"/>
    <x v="12"/>
    <s v="Park Ridge Embossed Executive Business Envelopes"/>
    <x v="3147"/>
    <n v="4"/>
    <n v="0"/>
    <n v="29.271599999999999"/>
  </r>
  <r>
    <n v="4217"/>
    <x v="954"/>
    <x v="1"/>
    <x v="11"/>
    <d v="2012-02-22T00:00:00"/>
    <n v="4"/>
    <x v="1"/>
    <s v="Ann Blume"/>
    <x v="1"/>
    <s v="United States"/>
    <s v="Los Angeles"/>
    <s v="California"/>
    <s v="West"/>
    <x v="1"/>
    <x v="2"/>
    <s v="Smead Alpha-Z Color-Coded Second Alphabetical Labels and Starter Set"/>
    <x v="354"/>
    <n v="3"/>
    <n v="0"/>
    <n v="4.4352"/>
  </r>
  <r>
    <n v="4218"/>
    <x v="719"/>
    <x v="3"/>
    <x v="3"/>
    <d v="2014-04-04T00:00:00"/>
    <n v="2"/>
    <x v="2"/>
    <s v="Nick Crebassa"/>
    <x v="1"/>
    <s v="United States"/>
    <s v="San Francisco"/>
    <s v="California"/>
    <s v="West"/>
    <x v="0"/>
    <x v="0"/>
    <s v="Safco Value Mate Steel Bookcase, Baked Enamel Finish on Steel, Black"/>
    <x v="3148"/>
    <n v="8"/>
    <n v="0.15"/>
    <n v="85.176000000000002"/>
  </r>
  <r>
    <n v="4219"/>
    <x v="719"/>
    <x v="3"/>
    <x v="3"/>
    <d v="2014-04-04T00:00:00"/>
    <n v="2"/>
    <x v="2"/>
    <s v="Nick Crebassa"/>
    <x v="1"/>
    <s v="United States"/>
    <s v="San Francisco"/>
    <s v="California"/>
    <s v="West"/>
    <x v="2"/>
    <x v="15"/>
    <s v="Cubify CubeX 3D Printer Double Head Print"/>
    <x v="3149"/>
    <n v="2"/>
    <n v="0.2"/>
    <n v="359.99880000000002"/>
  </r>
  <r>
    <n v="4220"/>
    <x v="532"/>
    <x v="3"/>
    <x v="1"/>
    <d v="2014-06-14T00:00:00"/>
    <n v="2"/>
    <x v="0"/>
    <s v="Tom Boeckenhauer"/>
    <x v="0"/>
    <s v="United States"/>
    <s v="Seattle"/>
    <s v="Washington"/>
    <s v="West"/>
    <x v="1"/>
    <x v="10"/>
    <s v="Xerox 1939"/>
    <x v="2428"/>
    <n v="2"/>
    <n v="0"/>
    <n v="18.211200000000002"/>
  </r>
  <r>
    <n v="4221"/>
    <x v="532"/>
    <x v="3"/>
    <x v="1"/>
    <d v="2014-06-14T00:00:00"/>
    <n v="2"/>
    <x v="0"/>
    <s v="Tom Boeckenhauer"/>
    <x v="0"/>
    <s v="United States"/>
    <s v="Seattle"/>
    <s v="Washington"/>
    <s v="West"/>
    <x v="1"/>
    <x v="8"/>
    <s v="Acco Pressboard Covers with Storage Hooks, 14 7/8&quot; x 11&quot;, Dark Blue"/>
    <x v="2146"/>
    <n v="6"/>
    <n v="0.2"/>
    <n v="6.6294000000000004"/>
  </r>
  <r>
    <n v="4222"/>
    <x v="532"/>
    <x v="3"/>
    <x v="1"/>
    <d v="2014-06-14T00:00:00"/>
    <n v="2"/>
    <x v="0"/>
    <s v="Tom Boeckenhauer"/>
    <x v="0"/>
    <s v="United States"/>
    <s v="Seattle"/>
    <s v="Washington"/>
    <s v="West"/>
    <x v="2"/>
    <x v="15"/>
    <s v="Cisco Desktop Collaboration Experience DX650 IP Video Phone"/>
    <x v="3150"/>
    <n v="5"/>
    <n v="0.2"/>
    <n v="130.20750000000001"/>
  </r>
  <r>
    <n v="4223"/>
    <x v="532"/>
    <x v="3"/>
    <x v="1"/>
    <d v="2014-06-14T00:00:00"/>
    <n v="2"/>
    <x v="0"/>
    <s v="Tom Boeckenhauer"/>
    <x v="0"/>
    <s v="United States"/>
    <s v="Seattle"/>
    <s v="Washington"/>
    <s v="West"/>
    <x v="1"/>
    <x v="4"/>
    <s v="Belkin 19&quot; Vented Equipment Shelf, Black"/>
    <x v="3151"/>
    <n v="2"/>
    <n v="0"/>
    <n v="1.0296000000000001"/>
  </r>
  <r>
    <n v="4224"/>
    <x v="532"/>
    <x v="3"/>
    <x v="1"/>
    <d v="2014-06-14T00:00:00"/>
    <n v="2"/>
    <x v="0"/>
    <s v="Tom Boeckenhauer"/>
    <x v="0"/>
    <s v="United States"/>
    <s v="Seattle"/>
    <s v="Washington"/>
    <s v="West"/>
    <x v="0"/>
    <x v="0"/>
    <s v="O'Sullivan 3-Shelf Heavy-Duty Bookcases"/>
    <x v="3152"/>
    <n v="3"/>
    <n v="0"/>
    <n v="41.860799999999998"/>
  </r>
  <r>
    <n v="4225"/>
    <x v="955"/>
    <x v="0"/>
    <x v="2"/>
    <d v="2013-10-04T00:00:00"/>
    <n v="3"/>
    <x v="2"/>
    <s v="Sarah Jordon"/>
    <x v="0"/>
    <s v="United States"/>
    <s v="Quincy"/>
    <s v="Illinois"/>
    <s v="Central"/>
    <x v="1"/>
    <x v="8"/>
    <s v="Pressboard Covers with Storage Hooks, 9 1/2&quot; x 11&quot;, Light Blue"/>
    <x v="3153"/>
    <n v="2"/>
    <n v="0.8"/>
    <n v="-3.2406000000000001"/>
  </r>
  <r>
    <n v="4226"/>
    <x v="736"/>
    <x v="2"/>
    <x v="4"/>
    <d v="2011-12-17T00:00:00"/>
    <n v="4"/>
    <x v="1"/>
    <s v="Ellis Ballard"/>
    <x v="1"/>
    <s v="United States"/>
    <s v="Chicago"/>
    <s v="Illinois"/>
    <s v="Central"/>
    <x v="0"/>
    <x v="5"/>
    <s v="Howard Miller 12-3/4 Diameter Accuwave DS  Wall Clock"/>
    <x v="3154"/>
    <n v="3"/>
    <n v="0.6"/>
    <n v="-42.492600000000003"/>
  </r>
  <r>
    <n v="4227"/>
    <x v="343"/>
    <x v="3"/>
    <x v="0"/>
    <d v="2014-11-17T00:00:00"/>
    <n v="5"/>
    <x v="1"/>
    <s v="William Brown"/>
    <x v="0"/>
    <s v="United States"/>
    <s v="Urbandale"/>
    <s v="Iowa"/>
    <s v="Central"/>
    <x v="1"/>
    <x v="13"/>
    <s v="Vinyl Coated Wire Paper Clips in Organizer Box, 800/Box"/>
    <x v="1931"/>
    <n v="4"/>
    <n v="0"/>
    <n v="21.5824"/>
  </r>
  <r>
    <n v="4228"/>
    <x v="956"/>
    <x v="1"/>
    <x v="9"/>
    <d v="2012-01-10T00:00:00"/>
    <n v="5"/>
    <x v="1"/>
    <s v="Steven Roelle"/>
    <x v="2"/>
    <s v="United States"/>
    <s v="Seattle"/>
    <s v="Washington"/>
    <s v="West"/>
    <x v="0"/>
    <x v="1"/>
    <s v="Global Deluxe Steno Chair"/>
    <x v="3155"/>
    <n v="1"/>
    <n v="0.2"/>
    <n v="-6.9282000000000004"/>
  </r>
  <r>
    <n v="4229"/>
    <x v="830"/>
    <x v="0"/>
    <x v="10"/>
    <d v="2013-03-27T00:00:00"/>
    <n v="2"/>
    <x v="2"/>
    <s v="Vivek Grady"/>
    <x v="1"/>
    <s v="United States"/>
    <s v="Richmond"/>
    <s v="Indiana"/>
    <s v="Central"/>
    <x v="1"/>
    <x v="10"/>
    <s v="Ink Jet Note and Greeting Cards, 8-1/2&quot; x 5-1/2&quot; Card Size"/>
    <x v="3156"/>
    <n v="1"/>
    <n v="0"/>
    <n v="10.3408"/>
  </r>
  <r>
    <n v="4230"/>
    <x v="957"/>
    <x v="3"/>
    <x v="7"/>
    <d v="2014-07-11T00:00:00"/>
    <n v="5"/>
    <x v="1"/>
    <s v="Linda Southworth"/>
    <x v="1"/>
    <s v="United States"/>
    <s v="Dallas"/>
    <s v="Texas"/>
    <s v="Central"/>
    <x v="0"/>
    <x v="5"/>
    <s v="Deflect-o RollaMat Studded, Beveled Mat for Medium Pile Carpeting"/>
    <x v="3157"/>
    <n v="9"/>
    <n v="0.6"/>
    <n v="-348.62939999999998"/>
  </r>
  <r>
    <n v="4231"/>
    <x v="957"/>
    <x v="3"/>
    <x v="7"/>
    <d v="2014-07-11T00:00:00"/>
    <n v="5"/>
    <x v="1"/>
    <s v="Linda Southworth"/>
    <x v="1"/>
    <s v="United States"/>
    <s v="Dallas"/>
    <s v="Texas"/>
    <s v="Central"/>
    <x v="1"/>
    <x v="8"/>
    <s v="Cardinal HOLDit! Binder Insert Strips,Extra Strips"/>
    <x v="3158"/>
    <n v="9"/>
    <n v="0.8"/>
    <n v="-17.660699999999999"/>
  </r>
  <r>
    <n v="4232"/>
    <x v="957"/>
    <x v="3"/>
    <x v="7"/>
    <d v="2014-07-11T00:00:00"/>
    <n v="5"/>
    <x v="1"/>
    <s v="Linda Southworth"/>
    <x v="1"/>
    <s v="United States"/>
    <s v="Dallas"/>
    <s v="Texas"/>
    <s v="Central"/>
    <x v="1"/>
    <x v="10"/>
    <s v="Xerox 1975"/>
    <x v="12"/>
    <n v="3"/>
    <n v="0.2"/>
    <n v="5.6375999999999999"/>
  </r>
  <r>
    <n v="4233"/>
    <x v="957"/>
    <x v="3"/>
    <x v="7"/>
    <d v="2014-07-11T00:00:00"/>
    <n v="5"/>
    <x v="1"/>
    <s v="Linda Southworth"/>
    <x v="1"/>
    <s v="United States"/>
    <s v="Dallas"/>
    <s v="Texas"/>
    <s v="Central"/>
    <x v="1"/>
    <x v="10"/>
    <s v="Xerox 1966"/>
    <x v="276"/>
    <n v="6"/>
    <n v="0.2"/>
    <n v="11.2752"/>
  </r>
  <r>
    <n v="4234"/>
    <x v="957"/>
    <x v="3"/>
    <x v="7"/>
    <d v="2014-07-11T00:00:00"/>
    <n v="5"/>
    <x v="1"/>
    <s v="Linda Southworth"/>
    <x v="1"/>
    <s v="United States"/>
    <s v="Dallas"/>
    <s v="Texas"/>
    <s v="Central"/>
    <x v="1"/>
    <x v="8"/>
    <s v="Tuf-Vin Binders"/>
    <x v="3159"/>
    <n v="1"/>
    <n v="0.8"/>
    <n v="-10.4214"/>
  </r>
  <r>
    <n v="4235"/>
    <x v="158"/>
    <x v="2"/>
    <x v="8"/>
    <d v="2011-09-24T00:00:00"/>
    <n v="3"/>
    <x v="2"/>
    <s v="Matt Abelman"/>
    <x v="2"/>
    <s v="United States"/>
    <s v="Philadelphia"/>
    <s v="Pennsylvania"/>
    <s v="East"/>
    <x v="1"/>
    <x v="10"/>
    <s v="While You Were Out Pads, 50 per Pad, 4 x 5 1/4, Green Cycle"/>
    <x v="1366"/>
    <n v="3"/>
    <n v="0.2"/>
    <n v="4.1151"/>
  </r>
  <r>
    <n v="4236"/>
    <x v="158"/>
    <x v="2"/>
    <x v="8"/>
    <d v="2011-09-24T00:00:00"/>
    <n v="3"/>
    <x v="2"/>
    <s v="Matt Abelman"/>
    <x v="2"/>
    <s v="United States"/>
    <s v="Philadelphia"/>
    <s v="Pennsylvania"/>
    <s v="East"/>
    <x v="1"/>
    <x v="2"/>
    <s v="Staples"/>
    <x v="3160"/>
    <n v="9"/>
    <n v="0.2"/>
    <n v="7.0227000000000004"/>
  </r>
  <r>
    <n v="4237"/>
    <x v="310"/>
    <x v="0"/>
    <x v="7"/>
    <d v="2013-07-28T00:00:00"/>
    <n v="4"/>
    <x v="1"/>
    <s v="Neil Französisch"/>
    <x v="2"/>
    <s v="United States"/>
    <s v="Rockford"/>
    <s v="Illinois"/>
    <s v="Central"/>
    <x v="1"/>
    <x v="8"/>
    <s v="GBC Laser Imprintable Binding System Covers, Desert Sand"/>
    <x v="3161"/>
    <n v="4"/>
    <n v="0.8"/>
    <n v="-18.836400000000001"/>
  </r>
  <r>
    <n v="4238"/>
    <x v="635"/>
    <x v="3"/>
    <x v="6"/>
    <d v="2014-09-04T00:00:00"/>
    <n v="5"/>
    <x v="0"/>
    <s v="Michael Dominguez"/>
    <x v="1"/>
    <s v="United States"/>
    <s v="Philadelphia"/>
    <s v="Pennsylvania"/>
    <s v="East"/>
    <x v="1"/>
    <x v="6"/>
    <s v="Newell 323"/>
    <x v="2541"/>
    <n v="7"/>
    <n v="0.2"/>
    <n v="0.7056"/>
  </r>
  <r>
    <n v="4239"/>
    <x v="606"/>
    <x v="3"/>
    <x v="10"/>
    <d v="2014-03-29T00:00:00"/>
    <n v="2"/>
    <x v="2"/>
    <s v="Maria Zettner"/>
    <x v="2"/>
    <s v="United States"/>
    <s v="Seattle"/>
    <s v="Washington"/>
    <s v="West"/>
    <x v="1"/>
    <x v="6"/>
    <s v="Boston 1827 Commercial Additional Cutter, Drive Gear &amp; Gear Rack for 1606"/>
    <x v="3162"/>
    <n v="1"/>
    <n v="0"/>
    <n v="5.9489999999999998"/>
  </r>
  <r>
    <n v="4240"/>
    <x v="614"/>
    <x v="3"/>
    <x v="4"/>
    <d v="2015-01-05T00:00:00"/>
    <n v="6"/>
    <x v="1"/>
    <s v="Ken Brennan"/>
    <x v="1"/>
    <s v="United States"/>
    <s v="Grand Rapids"/>
    <s v="Michigan"/>
    <s v="Central"/>
    <x v="1"/>
    <x v="10"/>
    <s v="Xerox 1915"/>
    <x v="1423"/>
    <n v="2"/>
    <n v="0"/>
    <n v="100.65600000000001"/>
  </r>
  <r>
    <n v="4241"/>
    <x v="59"/>
    <x v="2"/>
    <x v="8"/>
    <d v="2011-09-26T00:00:00"/>
    <n v="6"/>
    <x v="1"/>
    <s v="Michelle Arnett"/>
    <x v="2"/>
    <s v="United States"/>
    <s v="Los Angeles"/>
    <s v="California"/>
    <s v="West"/>
    <x v="1"/>
    <x v="9"/>
    <s v="Staples"/>
    <x v="2836"/>
    <n v="4"/>
    <n v="0"/>
    <n v="11.8584"/>
  </r>
  <r>
    <n v="4242"/>
    <x v="59"/>
    <x v="2"/>
    <x v="8"/>
    <d v="2011-09-26T00:00:00"/>
    <n v="6"/>
    <x v="1"/>
    <s v="Michelle Arnett"/>
    <x v="2"/>
    <s v="United States"/>
    <s v="Los Angeles"/>
    <s v="California"/>
    <s v="West"/>
    <x v="1"/>
    <x v="8"/>
    <s v="Ibico Plastic and Wire Spiral Binding Combs"/>
    <x v="3163"/>
    <n v="3"/>
    <n v="0.2"/>
    <n v="6.5754000000000001"/>
  </r>
  <r>
    <n v="4243"/>
    <x v="958"/>
    <x v="0"/>
    <x v="3"/>
    <d v="2013-04-06T00:00:00"/>
    <n v="1"/>
    <x v="2"/>
    <s v="Maria Etezadi"/>
    <x v="2"/>
    <s v="United States"/>
    <s v="Springfield"/>
    <s v="Virginia"/>
    <s v="South"/>
    <x v="2"/>
    <x v="7"/>
    <s v="Anker Astro 15000mAh USB Portable Charger"/>
    <x v="145"/>
    <n v="3"/>
    <n v="0"/>
    <n v="5.9988000000000001"/>
  </r>
  <r>
    <n v="4244"/>
    <x v="958"/>
    <x v="0"/>
    <x v="3"/>
    <d v="2013-04-06T00:00:00"/>
    <n v="1"/>
    <x v="2"/>
    <s v="Maria Etezadi"/>
    <x v="2"/>
    <s v="United States"/>
    <s v="Springfield"/>
    <s v="Virginia"/>
    <s v="South"/>
    <x v="1"/>
    <x v="10"/>
    <s v="Wirebound Message Books, Four 2 3/4&quot; x 5&quot; Forms per Page, 600 Sets per Book"/>
    <x v="3164"/>
    <n v="3"/>
    <n v="0"/>
    <n v="13.0707"/>
  </r>
  <r>
    <n v="4245"/>
    <x v="959"/>
    <x v="2"/>
    <x v="10"/>
    <d v="2011-03-30T00:00:00"/>
    <n v="4"/>
    <x v="1"/>
    <s v="Jonathan Doherty"/>
    <x v="1"/>
    <s v="United States"/>
    <s v="Los Angeles"/>
    <s v="California"/>
    <s v="West"/>
    <x v="2"/>
    <x v="11"/>
    <s v="SanDisk Ultra 32 GB MicroSDHC Class 10 Memory Card"/>
    <x v="2722"/>
    <n v="3"/>
    <n v="0"/>
    <n v="8.6189999999999998"/>
  </r>
  <r>
    <n v="4246"/>
    <x v="354"/>
    <x v="3"/>
    <x v="0"/>
    <d v="2014-12-05T00:00:00"/>
    <n v="6"/>
    <x v="1"/>
    <s v="Lindsay Shagiari"/>
    <x v="2"/>
    <s v="United States"/>
    <s v="Baltimore"/>
    <s v="Maryland"/>
    <s v="East"/>
    <x v="1"/>
    <x v="6"/>
    <s v="BIC Brite Liner Grip Highlighters"/>
    <x v="3165"/>
    <n v="1"/>
    <n v="0"/>
    <n v="0.73799999999999999"/>
  </r>
  <r>
    <n v="4247"/>
    <x v="354"/>
    <x v="3"/>
    <x v="0"/>
    <d v="2014-12-05T00:00:00"/>
    <n v="6"/>
    <x v="1"/>
    <s v="Lindsay Shagiari"/>
    <x v="2"/>
    <s v="United States"/>
    <s v="Baltimore"/>
    <s v="Maryland"/>
    <s v="East"/>
    <x v="0"/>
    <x v="5"/>
    <s v="Luxo Professional Fluorescent Magnifier Lamp with Clamp-Mount Base"/>
    <x v="603"/>
    <n v="5"/>
    <n v="0"/>
    <n v="272.79199999999997"/>
  </r>
  <r>
    <n v="4248"/>
    <x v="354"/>
    <x v="3"/>
    <x v="0"/>
    <d v="2014-12-05T00:00:00"/>
    <n v="6"/>
    <x v="1"/>
    <s v="Lindsay Shagiari"/>
    <x v="2"/>
    <s v="United States"/>
    <s v="Baltimore"/>
    <s v="Maryland"/>
    <s v="East"/>
    <x v="0"/>
    <x v="5"/>
    <s v="Eldon Image Series Desk Accessories, Burgundy"/>
    <x v="3166"/>
    <n v="5"/>
    <n v="0"/>
    <n v="7.524"/>
  </r>
  <r>
    <n v="4249"/>
    <x v="49"/>
    <x v="0"/>
    <x v="4"/>
    <d v="2013-12-06T00:00:00"/>
    <n v="4"/>
    <x v="0"/>
    <s v="Shirley Jackson"/>
    <x v="0"/>
    <s v="United States"/>
    <s v="Fairfield"/>
    <s v="Connecticut"/>
    <s v="East"/>
    <x v="1"/>
    <x v="8"/>
    <s v="XtraLife ClearVue Slant-D Ring Binder, White, 3&quot;"/>
    <x v="3167"/>
    <n v="6"/>
    <n v="0"/>
    <n v="40.516800000000003"/>
  </r>
  <r>
    <n v="4250"/>
    <x v="49"/>
    <x v="0"/>
    <x v="4"/>
    <d v="2013-12-06T00:00:00"/>
    <n v="4"/>
    <x v="0"/>
    <s v="Shirley Jackson"/>
    <x v="0"/>
    <s v="United States"/>
    <s v="Fairfield"/>
    <s v="Connecticut"/>
    <s v="East"/>
    <x v="0"/>
    <x v="1"/>
    <s v="Hon Every-Day Series Multi-Task Chairs"/>
    <x v="3168"/>
    <n v="4"/>
    <n v="0"/>
    <n v="150.38399999999999"/>
  </r>
  <r>
    <n v="4251"/>
    <x v="111"/>
    <x v="2"/>
    <x v="8"/>
    <d v="2011-09-19T00:00:00"/>
    <n v="0"/>
    <x v="3"/>
    <s v="Bill Shonely"/>
    <x v="1"/>
    <s v="United States"/>
    <s v="New York City"/>
    <s v="New York"/>
    <s v="East"/>
    <x v="0"/>
    <x v="1"/>
    <s v="Hon Olson Stacker Stools"/>
    <x v="3169"/>
    <n v="7"/>
    <n v="0.1"/>
    <n v="177.42060000000001"/>
  </r>
  <r>
    <n v="4252"/>
    <x v="924"/>
    <x v="1"/>
    <x v="2"/>
    <d v="2012-10-23T00:00:00"/>
    <n v="0"/>
    <x v="3"/>
    <s v="Ralph Arnett"/>
    <x v="0"/>
    <s v="United States"/>
    <s v="Lakeland"/>
    <s v="Florida"/>
    <s v="South"/>
    <x v="2"/>
    <x v="7"/>
    <s v="Mediabridge Sport Armband iPhone 5s"/>
    <x v="3170"/>
    <n v="7"/>
    <n v="0.2"/>
    <n v="-13.2867"/>
  </r>
  <r>
    <n v="4253"/>
    <x v="924"/>
    <x v="1"/>
    <x v="2"/>
    <d v="2012-10-23T00:00:00"/>
    <n v="0"/>
    <x v="3"/>
    <s v="Ralph Arnett"/>
    <x v="0"/>
    <s v="United States"/>
    <s v="Lakeland"/>
    <s v="Florida"/>
    <s v="South"/>
    <x v="1"/>
    <x v="6"/>
    <s v="Sanford Liquid Accent Highlighters"/>
    <x v="1414"/>
    <n v="2"/>
    <n v="0.2"/>
    <n v="2.2711999999999999"/>
  </r>
  <r>
    <n v="4254"/>
    <x v="924"/>
    <x v="1"/>
    <x v="2"/>
    <d v="2012-10-23T00:00:00"/>
    <n v="0"/>
    <x v="3"/>
    <s v="Ralph Arnett"/>
    <x v="0"/>
    <s v="United States"/>
    <s v="Lakeland"/>
    <s v="Florida"/>
    <s v="South"/>
    <x v="2"/>
    <x v="7"/>
    <s v="SKILCRAFT Telephone Shoulder Rest, 2&quot; x 6.5&quot; x 2.5&quot;, Black"/>
    <x v="3171"/>
    <n v="2"/>
    <n v="0.2"/>
    <n v="1.0346"/>
  </r>
  <r>
    <n v="4255"/>
    <x v="119"/>
    <x v="3"/>
    <x v="2"/>
    <d v="2014-10-17T00:00:00"/>
    <n v="3"/>
    <x v="2"/>
    <s v="Troy Staebel"/>
    <x v="0"/>
    <s v="United States"/>
    <s v="Freeport"/>
    <s v="Illinois"/>
    <s v="Central"/>
    <x v="1"/>
    <x v="10"/>
    <s v="Staples"/>
    <x v="922"/>
    <n v="3"/>
    <n v="0.2"/>
    <n v="20.5764"/>
  </r>
  <r>
    <n v="4256"/>
    <x v="119"/>
    <x v="3"/>
    <x v="2"/>
    <d v="2014-10-17T00:00:00"/>
    <n v="3"/>
    <x v="2"/>
    <s v="Troy Staebel"/>
    <x v="0"/>
    <s v="United States"/>
    <s v="Freeport"/>
    <s v="Illinois"/>
    <s v="Central"/>
    <x v="1"/>
    <x v="8"/>
    <s v="GBC VeloBinder Electric Binding Machine"/>
    <x v="3172"/>
    <n v="4"/>
    <n v="0.8"/>
    <n v="-145.17599999999999"/>
  </r>
  <r>
    <n v="4257"/>
    <x v="119"/>
    <x v="3"/>
    <x v="2"/>
    <d v="2014-10-17T00:00:00"/>
    <n v="3"/>
    <x v="2"/>
    <s v="Troy Staebel"/>
    <x v="0"/>
    <s v="United States"/>
    <s v="Freeport"/>
    <s v="Illinois"/>
    <s v="Central"/>
    <x v="0"/>
    <x v="5"/>
    <s v="Dax Clear Box Frame"/>
    <x v="3173"/>
    <n v="3"/>
    <n v="0.6"/>
    <n v="-6.8094000000000001"/>
  </r>
  <r>
    <n v="4258"/>
    <x v="406"/>
    <x v="1"/>
    <x v="8"/>
    <d v="2012-09-09T00:00:00"/>
    <n v="5"/>
    <x v="1"/>
    <s v="Ken Black"/>
    <x v="1"/>
    <s v="United States"/>
    <s v="Medford"/>
    <s v="Oregon"/>
    <s v="West"/>
    <x v="1"/>
    <x v="8"/>
    <s v="Acco Flexible ACCOHIDE Square Ring Data Binder, Dark Blue, 11 1/2&quot; X 14&quot; 7/8&quot;"/>
    <x v="3116"/>
    <n v="2"/>
    <n v="0.7"/>
    <n v="-6.8334000000000001"/>
  </r>
  <r>
    <n v="4259"/>
    <x v="560"/>
    <x v="0"/>
    <x v="10"/>
    <d v="2013-03-17T00:00:00"/>
    <n v="2"/>
    <x v="2"/>
    <s v="Muhammed MacIntyre"/>
    <x v="1"/>
    <s v="United States"/>
    <s v="Seattle"/>
    <s v="Washington"/>
    <s v="West"/>
    <x v="0"/>
    <x v="1"/>
    <s v="Global High-Back Leather Tilter, Burgundy"/>
    <x v="3174"/>
    <n v="2"/>
    <n v="0.2"/>
    <n v="-22.138200000000001"/>
  </r>
  <r>
    <n v="4260"/>
    <x v="960"/>
    <x v="3"/>
    <x v="2"/>
    <d v="2014-11-03T00:00:00"/>
    <n v="5"/>
    <x v="0"/>
    <s v="Lori Olson"/>
    <x v="1"/>
    <s v="United States"/>
    <s v="New York City"/>
    <s v="New York"/>
    <s v="East"/>
    <x v="1"/>
    <x v="12"/>
    <s v="Recycled Interoffice Envelopes with String and Button Closure, 10 x 13"/>
    <x v="3175"/>
    <n v="2"/>
    <n v="0"/>
    <n v="23.99"/>
  </r>
  <r>
    <n v="4261"/>
    <x v="453"/>
    <x v="3"/>
    <x v="2"/>
    <d v="2014-10-20T00:00:00"/>
    <n v="4"/>
    <x v="0"/>
    <s v="Ricardo Sperren"/>
    <x v="1"/>
    <s v="United States"/>
    <s v="Fairfield"/>
    <s v="Connecticut"/>
    <s v="East"/>
    <x v="1"/>
    <x v="2"/>
    <s v="Permanent Self-Adhesive File Folder Labels for Typewriters by Universal"/>
    <x v="1192"/>
    <n v="5"/>
    <n v="0"/>
    <n v="6.0030000000000001"/>
  </r>
  <r>
    <n v="4262"/>
    <x v="783"/>
    <x v="3"/>
    <x v="6"/>
    <d v="2014-08-12T00:00:00"/>
    <n v="4"/>
    <x v="1"/>
    <s v="Cindy Chapman"/>
    <x v="0"/>
    <s v="United States"/>
    <s v="Moorhead"/>
    <s v="Minnesota"/>
    <s v="Central"/>
    <x v="2"/>
    <x v="11"/>
    <s v="Memorex Micro Travel Drive 16 GB"/>
    <x v="1458"/>
    <n v="4"/>
    <n v="0"/>
    <n v="19.8276"/>
  </r>
  <r>
    <n v="4263"/>
    <x v="296"/>
    <x v="3"/>
    <x v="8"/>
    <d v="2014-09-26T00:00:00"/>
    <n v="4"/>
    <x v="1"/>
    <s v="Kean Thornton"/>
    <x v="0"/>
    <s v="United States"/>
    <s v="Columbus"/>
    <s v="Georgia"/>
    <s v="South"/>
    <x v="1"/>
    <x v="9"/>
    <s v="APC 7 Outlet Network SurgeArrest Surge Protector"/>
    <x v="3176"/>
    <n v="1"/>
    <n v="0"/>
    <n v="24.143999999999998"/>
  </r>
  <r>
    <n v="4264"/>
    <x v="132"/>
    <x v="3"/>
    <x v="0"/>
    <d v="2014-11-09T00:00:00"/>
    <n v="5"/>
    <x v="1"/>
    <s v="Darrin Martin"/>
    <x v="0"/>
    <s v="United States"/>
    <s v="Philadelphia"/>
    <s v="Pennsylvania"/>
    <s v="East"/>
    <x v="1"/>
    <x v="8"/>
    <s v="Mead 1st Gear 2&quot; Zipper Binder, Asst. Colors"/>
    <x v="3177"/>
    <n v="3"/>
    <n v="0.7"/>
    <n v="-7.782"/>
  </r>
  <r>
    <n v="4265"/>
    <x v="732"/>
    <x v="0"/>
    <x v="0"/>
    <d v="2013-11-10T00:00:00"/>
    <n v="4"/>
    <x v="1"/>
    <s v="Emily Phan"/>
    <x v="0"/>
    <s v="United States"/>
    <s v="Houston"/>
    <s v="Texas"/>
    <s v="Central"/>
    <x v="0"/>
    <x v="3"/>
    <s v="Laminate Occasional Tables"/>
    <x v="3178"/>
    <n v="8"/>
    <n v="0.3"/>
    <n v="-160.29519999999999"/>
  </r>
  <r>
    <n v="4266"/>
    <x v="732"/>
    <x v="0"/>
    <x v="0"/>
    <d v="2013-11-10T00:00:00"/>
    <n v="4"/>
    <x v="1"/>
    <s v="Emily Phan"/>
    <x v="0"/>
    <s v="United States"/>
    <s v="Houston"/>
    <s v="Texas"/>
    <s v="Central"/>
    <x v="1"/>
    <x v="8"/>
    <s v="Storex Dura Pro Binders"/>
    <x v="2940"/>
    <n v="3"/>
    <n v="0.8"/>
    <n v="-6.2370000000000001"/>
  </r>
  <r>
    <n v="4267"/>
    <x v="732"/>
    <x v="0"/>
    <x v="0"/>
    <d v="2013-11-10T00:00:00"/>
    <n v="4"/>
    <x v="1"/>
    <s v="Emily Phan"/>
    <x v="0"/>
    <s v="United States"/>
    <s v="Houston"/>
    <s v="Texas"/>
    <s v="Central"/>
    <x v="0"/>
    <x v="0"/>
    <s v="O'Sullivan Plantations 2-Door Library in Landvery Oak"/>
    <x v="1984"/>
    <n v="7"/>
    <n v="0.32"/>
    <n v="-225.0976"/>
  </r>
  <r>
    <n v="4268"/>
    <x v="732"/>
    <x v="0"/>
    <x v="0"/>
    <d v="2013-11-10T00:00:00"/>
    <n v="4"/>
    <x v="1"/>
    <s v="Emily Phan"/>
    <x v="0"/>
    <s v="United States"/>
    <s v="Houston"/>
    <s v="Texas"/>
    <s v="Central"/>
    <x v="1"/>
    <x v="8"/>
    <s v="Premium Transparent Presentation Covers by GBC"/>
    <x v="3179"/>
    <n v="3"/>
    <n v="0.8"/>
    <n v="-20.140799999999999"/>
  </r>
  <r>
    <n v="4269"/>
    <x v="732"/>
    <x v="0"/>
    <x v="0"/>
    <d v="2013-11-10T00:00:00"/>
    <n v="4"/>
    <x v="1"/>
    <s v="Emily Phan"/>
    <x v="0"/>
    <s v="United States"/>
    <s v="Houston"/>
    <s v="Texas"/>
    <s v="Central"/>
    <x v="2"/>
    <x v="11"/>
    <s v="Logitech Wireless Headset H600 Over-The-Head Design"/>
    <x v="1363"/>
    <n v="5"/>
    <n v="0.2"/>
    <n v="45.139499999999998"/>
  </r>
  <r>
    <n v="4270"/>
    <x v="643"/>
    <x v="3"/>
    <x v="1"/>
    <d v="2014-06-30T00:00:00"/>
    <n v="4"/>
    <x v="0"/>
    <s v="Anne McFarland"/>
    <x v="0"/>
    <s v="United States"/>
    <s v="Seattle"/>
    <s v="Washington"/>
    <s v="West"/>
    <x v="0"/>
    <x v="3"/>
    <s v="Chromcraft Bull-Nose Wood Round Conference Table Top, Wood Base"/>
    <x v="3180"/>
    <n v="4"/>
    <n v="0"/>
    <n v="148.13800000000001"/>
  </r>
  <r>
    <n v="4271"/>
    <x v="650"/>
    <x v="1"/>
    <x v="0"/>
    <d v="2012-11-30T00:00:00"/>
    <n v="4"/>
    <x v="1"/>
    <s v="Stefanie Holloman"/>
    <x v="1"/>
    <s v="United States"/>
    <s v="Jackson"/>
    <s v="Tennessee"/>
    <s v="South"/>
    <x v="0"/>
    <x v="5"/>
    <s v="Howard Miller 12-3/4 Diameter Accuwave DS  Wall Clock"/>
    <x v="3181"/>
    <n v="11"/>
    <n v="0.2"/>
    <n v="190.4298"/>
  </r>
  <r>
    <n v="4272"/>
    <x v="390"/>
    <x v="0"/>
    <x v="0"/>
    <d v="2013-11-28T00:00:00"/>
    <n v="3"/>
    <x v="0"/>
    <s v="Laura Armstrong"/>
    <x v="1"/>
    <s v="United States"/>
    <s v="Baltimore"/>
    <s v="Maryland"/>
    <s v="East"/>
    <x v="0"/>
    <x v="5"/>
    <s v="Howard Miller 11-1/2&quot; Diameter Ridgewood Wall Clock"/>
    <x v="3182"/>
    <n v="4"/>
    <n v="0"/>
    <n v="85.181600000000003"/>
  </r>
  <r>
    <n v="4273"/>
    <x v="246"/>
    <x v="3"/>
    <x v="7"/>
    <d v="2014-07-22T00:00:00"/>
    <n v="0"/>
    <x v="3"/>
    <s v="Sarah Foster"/>
    <x v="0"/>
    <s v="United States"/>
    <s v="Murray"/>
    <s v="Utah"/>
    <s v="West"/>
    <x v="2"/>
    <x v="7"/>
    <s v="PayAnywhere Card Reader"/>
    <x v="329"/>
    <n v="9"/>
    <n v="0.2"/>
    <n v="6.2937000000000003"/>
  </r>
  <r>
    <n v="4274"/>
    <x v="246"/>
    <x v="3"/>
    <x v="7"/>
    <d v="2014-07-22T00:00:00"/>
    <n v="0"/>
    <x v="3"/>
    <s v="Sarah Foster"/>
    <x v="0"/>
    <s v="United States"/>
    <s v="Murray"/>
    <s v="Utah"/>
    <s v="West"/>
    <x v="1"/>
    <x v="6"/>
    <s v="BOSTON Ranger #55 Pencil Sharpener, Black"/>
    <x v="2416"/>
    <n v="1"/>
    <n v="0"/>
    <n v="7.5370999999999997"/>
  </r>
  <r>
    <n v="4275"/>
    <x v="924"/>
    <x v="1"/>
    <x v="2"/>
    <d v="2012-10-28T00:00:00"/>
    <n v="5"/>
    <x v="1"/>
    <s v="Andrew Gjertsen"/>
    <x v="1"/>
    <s v="United States"/>
    <s v="Seattle"/>
    <s v="Washington"/>
    <s v="West"/>
    <x v="1"/>
    <x v="8"/>
    <s v="Avery Non-Stick Binders"/>
    <x v="3183"/>
    <n v="1"/>
    <n v="0.2"/>
    <n v="1.1225000000000001"/>
  </r>
  <r>
    <n v="4276"/>
    <x v="584"/>
    <x v="1"/>
    <x v="7"/>
    <d v="2012-07-13T00:00:00"/>
    <n v="4"/>
    <x v="1"/>
    <s v="Kean Nguyen"/>
    <x v="1"/>
    <s v="United States"/>
    <s v="Dallas"/>
    <s v="Texas"/>
    <s v="Central"/>
    <x v="1"/>
    <x v="9"/>
    <s v="Acco 7-Outlet Masterpiece Power Center, Wihtout Fax/Phone Line Protection"/>
    <x v="3184"/>
    <n v="2"/>
    <n v="0.8"/>
    <n v="-121.58"/>
  </r>
  <r>
    <n v="4277"/>
    <x v="238"/>
    <x v="3"/>
    <x v="6"/>
    <d v="2014-08-23T00:00:00"/>
    <n v="4"/>
    <x v="1"/>
    <s v="Nicole Fjeld"/>
    <x v="2"/>
    <s v="United States"/>
    <s v="Seattle"/>
    <s v="Washington"/>
    <s v="West"/>
    <x v="1"/>
    <x v="4"/>
    <s v="Fellowes Super Stor/Drawer Files"/>
    <x v="2105"/>
    <n v="2"/>
    <n v="0"/>
    <n v="61.389000000000003"/>
  </r>
  <r>
    <n v="4278"/>
    <x v="947"/>
    <x v="0"/>
    <x v="3"/>
    <d v="2013-04-21T00:00:00"/>
    <n v="4"/>
    <x v="1"/>
    <s v="Bill Shonely"/>
    <x v="1"/>
    <s v="United States"/>
    <s v="Lakewood"/>
    <s v="New Jersey"/>
    <s v="East"/>
    <x v="2"/>
    <x v="15"/>
    <s v="3D Systems Cube Printer, 2nd Generation, Magenta"/>
    <x v="3185"/>
    <n v="7"/>
    <n v="0"/>
    <n v="2365.9818"/>
  </r>
  <r>
    <n v="4279"/>
    <x v="947"/>
    <x v="0"/>
    <x v="3"/>
    <d v="2013-04-21T00:00:00"/>
    <n v="4"/>
    <x v="1"/>
    <s v="Bill Shonely"/>
    <x v="1"/>
    <s v="United States"/>
    <s v="Lakewood"/>
    <s v="New Jersey"/>
    <s v="East"/>
    <x v="0"/>
    <x v="5"/>
    <s v="Stacking Trays by OIC"/>
    <x v="739"/>
    <n v="2"/>
    <n v="0"/>
    <n v="3.2867999999999999"/>
  </r>
  <r>
    <n v="4280"/>
    <x v="947"/>
    <x v="0"/>
    <x v="3"/>
    <d v="2013-04-21T00:00:00"/>
    <n v="4"/>
    <x v="1"/>
    <s v="Bill Shonely"/>
    <x v="1"/>
    <s v="United States"/>
    <s v="Lakewood"/>
    <s v="New Jersey"/>
    <s v="East"/>
    <x v="1"/>
    <x v="8"/>
    <s v="Wilson Jones Standard D-Ring Binders"/>
    <x v="3186"/>
    <n v="5"/>
    <n v="0"/>
    <n v="11.891"/>
  </r>
  <r>
    <n v="4281"/>
    <x v="687"/>
    <x v="2"/>
    <x v="0"/>
    <d v="2011-11-18T00:00:00"/>
    <n v="4"/>
    <x v="1"/>
    <s v="Robert Marley"/>
    <x v="2"/>
    <s v="United States"/>
    <s v="New York City"/>
    <s v="New York"/>
    <s v="East"/>
    <x v="1"/>
    <x v="10"/>
    <s v="Adams Write n' Stick Phone Message Book, 11&quot; X 5 1/4&quot;, 200 Messages"/>
    <x v="710"/>
    <n v="2"/>
    <n v="0"/>
    <n v="5.2256"/>
  </r>
  <r>
    <n v="4282"/>
    <x v="687"/>
    <x v="2"/>
    <x v="0"/>
    <d v="2011-11-18T00:00:00"/>
    <n v="4"/>
    <x v="1"/>
    <s v="Robert Marley"/>
    <x v="2"/>
    <s v="United States"/>
    <s v="New York City"/>
    <s v="New York"/>
    <s v="East"/>
    <x v="0"/>
    <x v="1"/>
    <s v="Safco Chair Connectors, 6/Carton"/>
    <x v="3187"/>
    <n v="2"/>
    <n v="0.1"/>
    <n v="14.622400000000001"/>
  </r>
  <r>
    <n v="4283"/>
    <x v="414"/>
    <x v="2"/>
    <x v="4"/>
    <d v="2011-12-23T00:00:00"/>
    <n v="3"/>
    <x v="2"/>
    <s v="Adrian Barton"/>
    <x v="0"/>
    <s v="United States"/>
    <s v="Indianapolis"/>
    <s v="Indiana"/>
    <s v="Central"/>
    <x v="1"/>
    <x v="2"/>
    <s v="Avery 487"/>
    <x v="1163"/>
    <n v="1"/>
    <n v="0"/>
    <n v="1.7343"/>
  </r>
  <r>
    <n v="4284"/>
    <x v="414"/>
    <x v="2"/>
    <x v="4"/>
    <d v="2011-12-23T00:00:00"/>
    <n v="3"/>
    <x v="2"/>
    <s v="Adrian Barton"/>
    <x v="0"/>
    <s v="United States"/>
    <s v="Indianapolis"/>
    <s v="Indiana"/>
    <s v="Central"/>
    <x v="1"/>
    <x v="8"/>
    <s v="Ibico Ibimaster 300 Manual Binding System"/>
    <x v="3188"/>
    <n v="3"/>
    <n v="0"/>
    <n v="496.78649999999999"/>
  </r>
  <r>
    <n v="4285"/>
    <x v="82"/>
    <x v="1"/>
    <x v="0"/>
    <d v="2012-11-26T00:00:00"/>
    <n v="5"/>
    <x v="0"/>
    <s v="Carol Adams"/>
    <x v="1"/>
    <s v="United States"/>
    <s v="Port Arthur"/>
    <s v="Texas"/>
    <s v="Central"/>
    <x v="0"/>
    <x v="0"/>
    <s v="O'Sullivan Manor Hill 2-Door Library in Brianna Oak"/>
    <x v="3189"/>
    <n v="2"/>
    <n v="0.32"/>
    <n v="-76.011600000000001"/>
  </r>
  <r>
    <n v="4286"/>
    <x v="82"/>
    <x v="1"/>
    <x v="0"/>
    <d v="2012-11-26T00:00:00"/>
    <n v="5"/>
    <x v="0"/>
    <s v="Carol Adams"/>
    <x v="1"/>
    <s v="United States"/>
    <s v="Port Arthur"/>
    <s v="Texas"/>
    <s v="Central"/>
    <x v="1"/>
    <x v="2"/>
    <s v="Self-Adhesive Address Labels for Typewriters by Universal"/>
    <x v="3190"/>
    <n v="2"/>
    <n v="0.2"/>
    <n v="3.9474"/>
  </r>
  <r>
    <n v="4287"/>
    <x v="82"/>
    <x v="1"/>
    <x v="0"/>
    <d v="2012-11-26T00:00:00"/>
    <n v="5"/>
    <x v="0"/>
    <s v="Carol Adams"/>
    <x v="1"/>
    <s v="United States"/>
    <s v="Port Arthur"/>
    <s v="Texas"/>
    <s v="Central"/>
    <x v="2"/>
    <x v="16"/>
    <s v="Sharp 1540cs Digital Laser Copier"/>
    <x v="2838"/>
    <n v="1"/>
    <n v="0.2"/>
    <n v="164.99700000000001"/>
  </r>
  <r>
    <n v="4288"/>
    <x v="116"/>
    <x v="3"/>
    <x v="4"/>
    <d v="2015-01-04T00:00:00"/>
    <n v="6"/>
    <x v="1"/>
    <s v="Erica Hernandez"/>
    <x v="2"/>
    <s v="United States"/>
    <s v="Nashville"/>
    <s v="Tennessee"/>
    <s v="South"/>
    <x v="1"/>
    <x v="4"/>
    <s v="Carina Double Wide Media Storage Towers in Natural &amp; Black"/>
    <x v="1445"/>
    <n v="1"/>
    <n v="0.2"/>
    <n v="-12.956799999999999"/>
  </r>
  <r>
    <n v="4289"/>
    <x v="961"/>
    <x v="1"/>
    <x v="5"/>
    <d v="2012-05-21T00:00:00"/>
    <n v="4"/>
    <x v="1"/>
    <s v="Odella Nelson"/>
    <x v="1"/>
    <s v="United States"/>
    <s v="Houston"/>
    <s v="Texas"/>
    <s v="Central"/>
    <x v="1"/>
    <x v="8"/>
    <s v="GBC Twin Loop Wire Binding Elements"/>
    <x v="1781"/>
    <n v="5"/>
    <n v="0.8"/>
    <n v="-49.92"/>
  </r>
  <r>
    <n v="4290"/>
    <x v="961"/>
    <x v="1"/>
    <x v="5"/>
    <d v="2012-05-21T00:00:00"/>
    <n v="4"/>
    <x v="1"/>
    <s v="Odella Nelson"/>
    <x v="1"/>
    <s v="United States"/>
    <s v="Houston"/>
    <s v="Texas"/>
    <s v="Central"/>
    <x v="1"/>
    <x v="10"/>
    <s v="Things To Do Today Pad"/>
    <x v="3191"/>
    <n v="3"/>
    <n v="0.2"/>
    <n v="4.9307999999999996"/>
  </r>
  <r>
    <n v="4291"/>
    <x v="34"/>
    <x v="3"/>
    <x v="4"/>
    <d v="2014-12-14T00:00:00"/>
    <n v="4"/>
    <x v="0"/>
    <s v="Alyssa Tate"/>
    <x v="2"/>
    <s v="United States"/>
    <s v="Los Angeles"/>
    <s v="California"/>
    <s v="West"/>
    <x v="1"/>
    <x v="6"/>
    <s v="Newell 314"/>
    <x v="946"/>
    <n v="2"/>
    <n v="0"/>
    <n v="2.79"/>
  </r>
  <r>
    <n v="4292"/>
    <x v="34"/>
    <x v="3"/>
    <x v="4"/>
    <d v="2014-12-14T00:00:00"/>
    <n v="4"/>
    <x v="0"/>
    <s v="Alyssa Tate"/>
    <x v="2"/>
    <s v="United States"/>
    <s v="Los Angeles"/>
    <s v="California"/>
    <s v="West"/>
    <x v="0"/>
    <x v="3"/>
    <s v="Bevis 36 x 72 Conference Tables"/>
    <x v="3192"/>
    <n v="9"/>
    <n v="0.2"/>
    <n v="22.408200000000001"/>
  </r>
  <r>
    <n v="4293"/>
    <x v="34"/>
    <x v="3"/>
    <x v="4"/>
    <d v="2014-12-14T00:00:00"/>
    <n v="4"/>
    <x v="0"/>
    <s v="Alyssa Tate"/>
    <x v="2"/>
    <s v="United States"/>
    <s v="Los Angeles"/>
    <s v="California"/>
    <s v="West"/>
    <x v="1"/>
    <x v="9"/>
    <s v="Harmony Air Purifier"/>
    <x v="3193"/>
    <n v="1"/>
    <n v="0"/>
    <n v="68.040000000000006"/>
  </r>
  <r>
    <n v="4294"/>
    <x v="434"/>
    <x v="3"/>
    <x v="10"/>
    <d v="2014-03-17T00:00:00"/>
    <n v="6"/>
    <x v="1"/>
    <s v="Emily Burns"/>
    <x v="0"/>
    <s v="United States"/>
    <s v="Philadelphia"/>
    <s v="Pennsylvania"/>
    <s v="East"/>
    <x v="2"/>
    <x v="7"/>
    <s v="Nokia Lumia 521 (T-Mobile)"/>
    <x v="3194"/>
    <n v="3"/>
    <n v="0.4"/>
    <n v="-10.7964"/>
  </r>
  <r>
    <n v="4295"/>
    <x v="760"/>
    <x v="3"/>
    <x v="2"/>
    <d v="2014-10-28T00:00:00"/>
    <n v="5"/>
    <x v="1"/>
    <s v="David Wiener"/>
    <x v="1"/>
    <s v="United States"/>
    <s v="Redmond"/>
    <s v="Oregon"/>
    <s v="West"/>
    <x v="0"/>
    <x v="3"/>
    <s v="KI Conference Tables"/>
    <x v="237"/>
    <n v="5"/>
    <n v="0.5"/>
    <n v="-120.51300000000001"/>
  </r>
  <r>
    <n v="4296"/>
    <x v="445"/>
    <x v="3"/>
    <x v="7"/>
    <d v="2014-07-11T00:00:00"/>
    <n v="7"/>
    <x v="1"/>
    <s v="Maria Bertelson"/>
    <x v="0"/>
    <s v="United States"/>
    <s v="Citrus Heights"/>
    <s v="California"/>
    <s v="West"/>
    <x v="0"/>
    <x v="5"/>
    <s v="Howard Miller 11-1/2&quot; Diameter Brentwood Wall Clock"/>
    <x v="3195"/>
    <n v="3"/>
    <n v="0"/>
    <n v="54.343800000000002"/>
  </r>
  <r>
    <n v="4297"/>
    <x v="507"/>
    <x v="3"/>
    <x v="8"/>
    <d v="2014-09-11T00:00:00"/>
    <n v="6"/>
    <x v="1"/>
    <s v="Tiffany House"/>
    <x v="1"/>
    <s v="United States"/>
    <s v="Los Angeles"/>
    <s v="California"/>
    <s v="West"/>
    <x v="1"/>
    <x v="4"/>
    <s v="Rogers Jumbo File, Granite"/>
    <x v="3196"/>
    <n v="4"/>
    <n v="0"/>
    <n v="0.54320000000000002"/>
  </r>
  <r>
    <n v="4298"/>
    <x v="962"/>
    <x v="3"/>
    <x v="6"/>
    <d v="2014-08-27T00:00:00"/>
    <n v="3"/>
    <x v="0"/>
    <s v="Patrick O'Brill"/>
    <x v="0"/>
    <s v="United States"/>
    <s v="Tallahassee"/>
    <s v="Florida"/>
    <s v="South"/>
    <x v="2"/>
    <x v="7"/>
    <s v="Samsung Galaxy Mega 6.3"/>
    <x v="3197"/>
    <n v="13"/>
    <n v="0.2"/>
    <n v="327.59219999999999"/>
  </r>
  <r>
    <n v="4299"/>
    <x v="962"/>
    <x v="3"/>
    <x v="6"/>
    <d v="2014-08-27T00:00:00"/>
    <n v="3"/>
    <x v="0"/>
    <s v="Patrick O'Brill"/>
    <x v="0"/>
    <s v="United States"/>
    <s v="Tallahassee"/>
    <s v="Florida"/>
    <s v="South"/>
    <x v="1"/>
    <x v="10"/>
    <s v="IBM Multi-Purpose Copy Paper, 8 1/2 x 11&quot;, Case"/>
    <x v="1967"/>
    <n v="2"/>
    <n v="0.2"/>
    <n v="15.49"/>
  </r>
  <r>
    <n v="4300"/>
    <x v="962"/>
    <x v="3"/>
    <x v="6"/>
    <d v="2014-08-27T00:00:00"/>
    <n v="3"/>
    <x v="0"/>
    <s v="Patrick O'Brill"/>
    <x v="0"/>
    <s v="United States"/>
    <s v="Tallahassee"/>
    <s v="Florida"/>
    <s v="South"/>
    <x v="1"/>
    <x v="9"/>
    <s v="Fellowes 8 Outlet Superior Workstation Surge Protector w/o Phone/Fax/Modem Protection"/>
    <x v="3198"/>
    <n v="6"/>
    <n v="0.2"/>
    <n v="12.103199999999999"/>
  </r>
  <r>
    <n v="4301"/>
    <x v="962"/>
    <x v="3"/>
    <x v="6"/>
    <d v="2014-08-27T00:00:00"/>
    <n v="3"/>
    <x v="0"/>
    <s v="Patrick O'Brill"/>
    <x v="0"/>
    <s v="United States"/>
    <s v="Tallahassee"/>
    <s v="Florida"/>
    <s v="South"/>
    <x v="0"/>
    <x v="5"/>
    <s v="Eldon Regeneration Recycled Desk Accessories, Smoke"/>
    <x v="3199"/>
    <n v="2"/>
    <n v="0.2"/>
    <n v="0.41760000000000003"/>
  </r>
  <r>
    <n v="4302"/>
    <x v="962"/>
    <x v="3"/>
    <x v="6"/>
    <d v="2014-08-27T00:00:00"/>
    <n v="3"/>
    <x v="0"/>
    <s v="Patrick O'Brill"/>
    <x v="0"/>
    <s v="United States"/>
    <s v="Tallahassee"/>
    <s v="Florida"/>
    <s v="South"/>
    <x v="1"/>
    <x v="10"/>
    <s v="Ampad Evidence Wirebond Steno Books, 6&quot; x 9&quot;"/>
    <x v="521"/>
    <n v="5"/>
    <n v="0.2"/>
    <n v="2.9430000000000001"/>
  </r>
  <r>
    <n v="4303"/>
    <x v="963"/>
    <x v="2"/>
    <x v="6"/>
    <d v="2011-08-25T00:00:00"/>
    <n v="3"/>
    <x v="0"/>
    <s v="Deanra Eno"/>
    <x v="2"/>
    <s v="United States"/>
    <s v="Lakewood"/>
    <s v="Ohio"/>
    <s v="East"/>
    <x v="1"/>
    <x v="6"/>
    <s v="Faber Castell Col-Erase Pencils"/>
    <x v="2893"/>
    <n v="1"/>
    <n v="0.2"/>
    <n v="1.0268999999999999"/>
  </r>
  <r>
    <n v="4304"/>
    <x v="964"/>
    <x v="0"/>
    <x v="2"/>
    <d v="2013-10-05T00:00:00"/>
    <n v="0"/>
    <x v="3"/>
    <s v="Mary O'Rourke"/>
    <x v="0"/>
    <s v="United States"/>
    <s v="The Colony"/>
    <s v="Texas"/>
    <s v="Central"/>
    <x v="1"/>
    <x v="12"/>
    <s v="Laser &amp; Ink Jet Business Envelopes"/>
    <x v="3200"/>
    <n v="7"/>
    <n v="0.2"/>
    <n v="19.4194"/>
  </r>
  <r>
    <n v="4305"/>
    <x v="965"/>
    <x v="2"/>
    <x v="2"/>
    <d v="2011-10-30T00:00:00"/>
    <n v="4"/>
    <x v="0"/>
    <s v="Angele Hood"/>
    <x v="0"/>
    <s v="United States"/>
    <s v="Seattle"/>
    <s v="Washington"/>
    <s v="West"/>
    <x v="0"/>
    <x v="5"/>
    <s v="Tenex Chairmats For Use With Carpeted Floors"/>
    <x v="3201"/>
    <n v="4"/>
    <n v="0"/>
    <n v="3.1960000000000002"/>
  </r>
  <r>
    <n v="4306"/>
    <x v="965"/>
    <x v="2"/>
    <x v="2"/>
    <d v="2011-10-30T00:00:00"/>
    <n v="4"/>
    <x v="0"/>
    <s v="Angele Hood"/>
    <x v="0"/>
    <s v="United States"/>
    <s v="Seattle"/>
    <s v="Washington"/>
    <s v="West"/>
    <x v="2"/>
    <x v="7"/>
    <s v="Vtech CS6719"/>
    <x v="3202"/>
    <n v="5"/>
    <n v="0.2"/>
    <n v="38.396000000000001"/>
  </r>
  <r>
    <n v="4307"/>
    <x v="931"/>
    <x v="0"/>
    <x v="1"/>
    <d v="2013-06-29T00:00:00"/>
    <n v="0"/>
    <x v="3"/>
    <s v="Chris Selesnick"/>
    <x v="1"/>
    <s v="United States"/>
    <s v="Los Angeles"/>
    <s v="California"/>
    <s v="West"/>
    <x v="1"/>
    <x v="8"/>
    <s v="Recycled Pressboard Report Cover with Reinforced Top Hinge"/>
    <x v="3203"/>
    <n v="3"/>
    <n v="0.2"/>
    <n v="2.8100999999999998"/>
  </r>
  <r>
    <n v="4308"/>
    <x v="931"/>
    <x v="0"/>
    <x v="1"/>
    <d v="2013-06-29T00:00:00"/>
    <n v="0"/>
    <x v="3"/>
    <s v="Chris Selesnick"/>
    <x v="1"/>
    <s v="United States"/>
    <s v="Los Angeles"/>
    <s v="California"/>
    <s v="West"/>
    <x v="1"/>
    <x v="8"/>
    <s v="GBC Premium Transparent Covers with Diagonal Lined Pattern"/>
    <x v="2939"/>
    <n v="2"/>
    <n v="0.2"/>
    <n v="11.748799999999999"/>
  </r>
  <r>
    <n v="4309"/>
    <x v="130"/>
    <x v="2"/>
    <x v="0"/>
    <d v="2011-11-11T00:00:00"/>
    <n v="7"/>
    <x v="1"/>
    <s v="William Brown"/>
    <x v="0"/>
    <s v="United States"/>
    <s v="Los Angeles"/>
    <s v="California"/>
    <s v="West"/>
    <x v="2"/>
    <x v="7"/>
    <s v="Polycom SoundPoint Pro SE-225 Corded phone"/>
    <x v="3204"/>
    <n v="7"/>
    <n v="0.2"/>
    <n v="66.634399999999999"/>
  </r>
  <r>
    <n v="4310"/>
    <x v="130"/>
    <x v="2"/>
    <x v="0"/>
    <d v="2011-11-11T00:00:00"/>
    <n v="7"/>
    <x v="1"/>
    <s v="William Brown"/>
    <x v="0"/>
    <s v="United States"/>
    <s v="Los Angeles"/>
    <s v="California"/>
    <s v="West"/>
    <x v="0"/>
    <x v="3"/>
    <s v="Bevis Round Conference Table Top, X-Base"/>
    <x v="3205"/>
    <n v="4"/>
    <n v="0.2"/>
    <n v="-64.544399999999996"/>
  </r>
  <r>
    <n v="4311"/>
    <x v="130"/>
    <x v="2"/>
    <x v="0"/>
    <d v="2011-11-11T00:00:00"/>
    <n v="7"/>
    <x v="1"/>
    <s v="William Brown"/>
    <x v="0"/>
    <s v="United States"/>
    <s v="Los Angeles"/>
    <s v="California"/>
    <s v="West"/>
    <x v="1"/>
    <x v="8"/>
    <s v="Cardinal EasyOpen D-Ring Binders"/>
    <x v="1441"/>
    <n v="3"/>
    <n v="0.2"/>
    <n v="8.2260000000000009"/>
  </r>
  <r>
    <n v="4312"/>
    <x v="130"/>
    <x v="2"/>
    <x v="0"/>
    <d v="2011-11-11T00:00:00"/>
    <n v="7"/>
    <x v="1"/>
    <s v="William Brown"/>
    <x v="0"/>
    <s v="United States"/>
    <s v="Los Angeles"/>
    <s v="California"/>
    <s v="West"/>
    <x v="1"/>
    <x v="10"/>
    <s v="Xerox 2000"/>
    <x v="537"/>
    <n v="3"/>
    <n v="0"/>
    <n v="9.3312000000000008"/>
  </r>
  <r>
    <n v="4313"/>
    <x v="130"/>
    <x v="2"/>
    <x v="0"/>
    <d v="2011-11-11T00:00:00"/>
    <n v="7"/>
    <x v="1"/>
    <s v="William Brown"/>
    <x v="0"/>
    <s v="United States"/>
    <s v="Los Angeles"/>
    <s v="California"/>
    <s v="West"/>
    <x v="2"/>
    <x v="15"/>
    <s v="Hewlett-Packard Deskjet D4360 Printer"/>
    <x v="3206"/>
    <n v="4"/>
    <n v="0.2"/>
    <n v="139.99"/>
  </r>
  <r>
    <n v="4314"/>
    <x v="78"/>
    <x v="2"/>
    <x v="8"/>
    <d v="2011-09-12T00:00:00"/>
    <n v="4"/>
    <x v="1"/>
    <s v="Stefania Perrino"/>
    <x v="1"/>
    <s v="United States"/>
    <s v="Long Beach"/>
    <s v="New York"/>
    <s v="East"/>
    <x v="1"/>
    <x v="9"/>
    <s v="Black &amp; Decker Filter for Double Action Dustbuster Cordless Vac BLDV7210"/>
    <x v="3207"/>
    <n v="2"/>
    <n v="0"/>
    <n v="4.1950000000000003"/>
  </r>
  <r>
    <n v="4315"/>
    <x v="608"/>
    <x v="1"/>
    <x v="1"/>
    <d v="2012-07-01T00:00:00"/>
    <n v="6"/>
    <x v="1"/>
    <s v="Alan Barnes"/>
    <x v="0"/>
    <s v="United States"/>
    <s v="Los Angeles"/>
    <s v="California"/>
    <s v="West"/>
    <x v="1"/>
    <x v="6"/>
    <s v="Staples"/>
    <x v="3208"/>
    <n v="2"/>
    <n v="0"/>
    <n v="5.24"/>
  </r>
  <r>
    <n v="4316"/>
    <x v="608"/>
    <x v="1"/>
    <x v="1"/>
    <d v="2012-07-01T00:00:00"/>
    <n v="6"/>
    <x v="1"/>
    <s v="Alan Barnes"/>
    <x v="0"/>
    <s v="United States"/>
    <s v="Los Angeles"/>
    <s v="California"/>
    <s v="West"/>
    <x v="1"/>
    <x v="8"/>
    <s v="GBC Velobind Prepunched Cover Sets, Regency Series"/>
    <x v="1279"/>
    <n v="3"/>
    <n v="0.2"/>
    <n v="27.734999999999999"/>
  </r>
  <r>
    <n v="4317"/>
    <x v="608"/>
    <x v="1"/>
    <x v="1"/>
    <d v="2012-07-01T00:00:00"/>
    <n v="6"/>
    <x v="1"/>
    <s v="Alan Barnes"/>
    <x v="0"/>
    <s v="United States"/>
    <s v="Los Angeles"/>
    <s v="California"/>
    <s v="West"/>
    <x v="1"/>
    <x v="4"/>
    <s v="Tennsco Regal Shelving Units"/>
    <x v="3209"/>
    <n v="3"/>
    <n v="0"/>
    <n v="9.1268999999999991"/>
  </r>
  <r>
    <n v="4318"/>
    <x v="353"/>
    <x v="1"/>
    <x v="7"/>
    <d v="2012-08-02T00:00:00"/>
    <n v="7"/>
    <x v="1"/>
    <s v="Helen Andreada"/>
    <x v="0"/>
    <s v="United States"/>
    <s v="San Francisco"/>
    <s v="California"/>
    <s v="West"/>
    <x v="1"/>
    <x v="12"/>
    <s v="Airmail Envelopes"/>
    <x v="3210"/>
    <n v="2"/>
    <n v="0"/>
    <n v="78.894199999999998"/>
  </r>
  <r>
    <n v="4319"/>
    <x v="226"/>
    <x v="3"/>
    <x v="4"/>
    <d v="2014-12-12T00:00:00"/>
    <n v="4"/>
    <x v="1"/>
    <s v="Debra Catini"/>
    <x v="0"/>
    <s v="United States"/>
    <s v="Richmond"/>
    <s v="Virginia"/>
    <s v="South"/>
    <x v="0"/>
    <x v="5"/>
    <s v="DAX Wood Document Frame."/>
    <x v="3211"/>
    <n v="6"/>
    <n v="0"/>
    <n v="25.537800000000001"/>
  </r>
  <r>
    <n v="4320"/>
    <x v="282"/>
    <x v="2"/>
    <x v="4"/>
    <d v="2012-01-03T00:00:00"/>
    <n v="5"/>
    <x v="0"/>
    <s v="Shui Tom"/>
    <x v="0"/>
    <s v="United States"/>
    <s v="Albuquerque"/>
    <s v="New Mexico"/>
    <s v="West"/>
    <x v="2"/>
    <x v="7"/>
    <s v="Mediabridge Sport Armband iPhone 5s"/>
    <x v="112"/>
    <n v="3"/>
    <n v="0.2"/>
    <n v="-5.6943000000000001"/>
  </r>
  <r>
    <n v="4321"/>
    <x v="282"/>
    <x v="2"/>
    <x v="4"/>
    <d v="2012-01-03T00:00:00"/>
    <n v="5"/>
    <x v="0"/>
    <s v="Shui Tom"/>
    <x v="0"/>
    <s v="United States"/>
    <s v="Albuquerque"/>
    <s v="New Mexico"/>
    <s v="West"/>
    <x v="1"/>
    <x v="4"/>
    <s v="Fellowes Bases and Tops For Staxonsteel/High-Stak Systems"/>
    <x v="3212"/>
    <n v="1"/>
    <n v="0"/>
    <n v="7.9896000000000003"/>
  </r>
  <r>
    <n v="4322"/>
    <x v="966"/>
    <x v="1"/>
    <x v="11"/>
    <d v="2012-02-19T00:00:00"/>
    <n v="5"/>
    <x v="1"/>
    <s v="Karl Braun"/>
    <x v="0"/>
    <s v="United States"/>
    <s v="Akron"/>
    <s v="Ohio"/>
    <s v="East"/>
    <x v="1"/>
    <x v="8"/>
    <s v="GBC Standard Therm-A-Bind Covers"/>
    <x v="475"/>
    <n v="2"/>
    <n v="0.7"/>
    <n v="-11.961600000000001"/>
  </r>
  <r>
    <n v="4323"/>
    <x v="966"/>
    <x v="1"/>
    <x v="11"/>
    <d v="2012-02-19T00:00:00"/>
    <n v="5"/>
    <x v="1"/>
    <s v="Karl Braun"/>
    <x v="0"/>
    <s v="United States"/>
    <s v="Akron"/>
    <s v="Ohio"/>
    <s v="East"/>
    <x v="2"/>
    <x v="7"/>
    <s v="Google Nexus 5"/>
    <x v="3213"/>
    <n v="3"/>
    <n v="0.4"/>
    <n v="-80.995500000000007"/>
  </r>
  <r>
    <n v="4324"/>
    <x v="966"/>
    <x v="1"/>
    <x v="11"/>
    <d v="2012-02-19T00:00:00"/>
    <n v="5"/>
    <x v="1"/>
    <s v="Karl Braun"/>
    <x v="0"/>
    <s v="United States"/>
    <s v="Akron"/>
    <s v="Ohio"/>
    <s v="East"/>
    <x v="1"/>
    <x v="8"/>
    <s v="Acco Hanging Data Binders"/>
    <x v="2594"/>
    <n v="2"/>
    <n v="0.7"/>
    <n v="-1.6763999999999999"/>
  </r>
  <r>
    <n v="4325"/>
    <x v="966"/>
    <x v="1"/>
    <x v="11"/>
    <d v="2012-02-19T00:00:00"/>
    <n v="5"/>
    <x v="1"/>
    <s v="Karl Braun"/>
    <x v="0"/>
    <s v="United States"/>
    <s v="Akron"/>
    <s v="Ohio"/>
    <s v="East"/>
    <x v="1"/>
    <x v="6"/>
    <s v="Newell 315"/>
    <x v="642"/>
    <n v="3"/>
    <n v="0.2"/>
    <n v="0.89700000000000002"/>
  </r>
  <r>
    <n v="4326"/>
    <x v="966"/>
    <x v="1"/>
    <x v="11"/>
    <d v="2012-02-19T00:00:00"/>
    <n v="5"/>
    <x v="1"/>
    <s v="Karl Braun"/>
    <x v="0"/>
    <s v="United States"/>
    <s v="Akron"/>
    <s v="Ohio"/>
    <s v="East"/>
    <x v="2"/>
    <x v="11"/>
    <s v="Belkin F8E887 USB Wired Ergonomic Keyboard"/>
    <x v="973"/>
    <n v="3"/>
    <n v="0.2"/>
    <n v="0.89970000000000006"/>
  </r>
  <r>
    <n v="4327"/>
    <x v="967"/>
    <x v="0"/>
    <x v="9"/>
    <d v="2013-01-27T00:00:00"/>
    <n v="2"/>
    <x v="2"/>
    <s v="Todd Boyes"/>
    <x v="1"/>
    <s v="United States"/>
    <s v="Plainfield"/>
    <s v="New Jersey"/>
    <s v="East"/>
    <x v="1"/>
    <x v="6"/>
    <s v="Dixon Ticonderoga Maple Cedar Pencil, #2"/>
    <x v="3214"/>
    <n v="3"/>
    <n v="0"/>
    <n v="2.3025000000000002"/>
  </r>
  <r>
    <n v="4328"/>
    <x v="967"/>
    <x v="0"/>
    <x v="9"/>
    <d v="2013-01-27T00:00:00"/>
    <n v="2"/>
    <x v="2"/>
    <s v="Todd Boyes"/>
    <x v="1"/>
    <s v="United States"/>
    <s v="Plainfield"/>
    <s v="New Jersey"/>
    <s v="East"/>
    <x v="1"/>
    <x v="10"/>
    <s v="Telephone Message Books with Fax/Mobile Section, 4 1/4&quot; x 6&quot;"/>
    <x v="3215"/>
    <n v="5"/>
    <n v="0"/>
    <n v="8.2799999999999994"/>
  </r>
  <r>
    <n v="4329"/>
    <x v="719"/>
    <x v="3"/>
    <x v="3"/>
    <d v="2014-04-08T00:00:00"/>
    <n v="6"/>
    <x v="1"/>
    <s v="John Castell"/>
    <x v="0"/>
    <s v="United States"/>
    <s v="New York City"/>
    <s v="New York"/>
    <s v="East"/>
    <x v="1"/>
    <x v="10"/>
    <s v="Wirebound Message Books, Four 2 3/4 x 5 Forms per Page, 200 Sets per Book"/>
    <x v="3216"/>
    <n v="9"/>
    <n v="0"/>
    <n v="19.3185"/>
  </r>
  <r>
    <n v="4330"/>
    <x v="621"/>
    <x v="3"/>
    <x v="2"/>
    <d v="2014-10-10T00:00:00"/>
    <n v="6"/>
    <x v="1"/>
    <s v="Patrick O'Brill"/>
    <x v="0"/>
    <s v="United States"/>
    <s v="Hialeah"/>
    <s v="Florida"/>
    <s v="South"/>
    <x v="1"/>
    <x v="10"/>
    <s v="Xerox 208"/>
    <x v="12"/>
    <n v="3"/>
    <n v="0.2"/>
    <n v="5.4432"/>
  </r>
  <r>
    <n v="4331"/>
    <x v="621"/>
    <x v="3"/>
    <x v="2"/>
    <d v="2014-10-10T00:00:00"/>
    <n v="6"/>
    <x v="1"/>
    <s v="Patrick O'Brill"/>
    <x v="0"/>
    <s v="United States"/>
    <s v="Hialeah"/>
    <s v="Florida"/>
    <s v="South"/>
    <x v="1"/>
    <x v="9"/>
    <s v="Hoover Portapower Portable Vacuum"/>
    <x v="1411"/>
    <n v="5"/>
    <n v="0.2"/>
    <n v="1.1200000000000001"/>
  </r>
  <r>
    <n v="4332"/>
    <x v="853"/>
    <x v="3"/>
    <x v="8"/>
    <d v="2014-09-07T00:00:00"/>
    <n v="5"/>
    <x v="1"/>
    <s v="Sung Shariari"/>
    <x v="0"/>
    <s v="United States"/>
    <s v="Redmond"/>
    <s v="Washington"/>
    <s v="West"/>
    <x v="2"/>
    <x v="11"/>
    <s v="Logitech LS21 Speaker System - PC Multimedia - 2.1-CH - Wired"/>
    <x v="86"/>
    <n v="1"/>
    <n v="0"/>
    <n v="6.7965999999999998"/>
  </r>
  <r>
    <n v="4333"/>
    <x v="853"/>
    <x v="3"/>
    <x v="8"/>
    <d v="2014-09-07T00:00:00"/>
    <n v="5"/>
    <x v="1"/>
    <s v="Sung Shariari"/>
    <x v="0"/>
    <s v="United States"/>
    <s v="Redmond"/>
    <s v="Washington"/>
    <s v="West"/>
    <x v="1"/>
    <x v="8"/>
    <s v="Avery Metallic Poly Binders"/>
    <x v="988"/>
    <n v="5"/>
    <n v="0.2"/>
    <n v="8.0220000000000002"/>
  </r>
  <r>
    <n v="4334"/>
    <x v="379"/>
    <x v="1"/>
    <x v="4"/>
    <d v="2012-12-27T00:00:00"/>
    <n v="6"/>
    <x v="1"/>
    <s v="Roger Demir"/>
    <x v="0"/>
    <s v="United States"/>
    <s v="Daytona Beach"/>
    <s v="Florida"/>
    <s v="South"/>
    <x v="2"/>
    <x v="11"/>
    <s v="Memorex Micro Travel Drive 4 GB"/>
    <x v="3217"/>
    <n v="6"/>
    <n v="0.2"/>
    <n v="14.628"/>
  </r>
  <r>
    <n v="4335"/>
    <x v="379"/>
    <x v="1"/>
    <x v="4"/>
    <d v="2012-12-27T00:00:00"/>
    <n v="6"/>
    <x v="1"/>
    <s v="Roger Demir"/>
    <x v="0"/>
    <s v="United States"/>
    <s v="Daytona Beach"/>
    <s v="Florida"/>
    <s v="South"/>
    <x v="1"/>
    <x v="12"/>
    <s v="Recycled Interoffice Envelopes with Re-Use-A-Seal Closure, 10 x 13"/>
    <x v="3218"/>
    <n v="2"/>
    <n v="0.2"/>
    <n v="9.2178000000000004"/>
  </r>
  <r>
    <n v="4336"/>
    <x v="139"/>
    <x v="1"/>
    <x v="4"/>
    <d v="2012-12-24T00:00:00"/>
    <n v="4"/>
    <x v="1"/>
    <s v="Gary Zandusky"/>
    <x v="0"/>
    <s v="United States"/>
    <s v="Bullhead City"/>
    <s v="Arizona"/>
    <s v="West"/>
    <x v="1"/>
    <x v="12"/>
    <s v="#6 3/4 Gummed Flap White Envelopes"/>
    <x v="1054"/>
    <n v="1"/>
    <n v="0.2"/>
    <n v="2.7719999999999998"/>
  </r>
  <r>
    <n v="4337"/>
    <x v="139"/>
    <x v="1"/>
    <x v="4"/>
    <d v="2012-12-24T00:00:00"/>
    <n v="4"/>
    <x v="1"/>
    <s v="Gary Zandusky"/>
    <x v="0"/>
    <s v="United States"/>
    <s v="Bullhead City"/>
    <s v="Arizona"/>
    <s v="West"/>
    <x v="0"/>
    <x v="5"/>
    <s v="Nu-Dell Float Frame 11 x 14 1/2"/>
    <x v="322"/>
    <n v="2"/>
    <n v="0.2"/>
    <n v="3.9512"/>
  </r>
  <r>
    <n v="4338"/>
    <x v="154"/>
    <x v="1"/>
    <x v="0"/>
    <d v="2012-12-01T00:00:00"/>
    <n v="4"/>
    <x v="1"/>
    <s v="Steve Nguyen"/>
    <x v="2"/>
    <s v="United States"/>
    <s v="Los Angeles"/>
    <s v="California"/>
    <s v="West"/>
    <x v="2"/>
    <x v="11"/>
    <s v="Sony 64GB Class 10 Micro SDHC R40 Memory Card"/>
    <x v="3219"/>
    <n v="3"/>
    <n v="0"/>
    <n v="22.6737"/>
  </r>
  <r>
    <n v="4339"/>
    <x v="154"/>
    <x v="1"/>
    <x v="0"/>
    <d v="2012-12-01T00:00:00"/>
    <n v="4"/>
    <x v="1"/>
    <s v="Steve Nguyen"/>
    <x v="2"/>
    <s v="United States"/>
    <s v="Los Angeles"/>
    <s v="California"/>
    <s v="West"/>
    <x v="1"/>
    <x v="10"/>
    <s v="Snap-A-Way Black Print Carbonless Ruled Speed Letter, Triplicate"/>
    <x v="3220"/>
    <n v="3"/>
    <n v="0"/>
    <n v="53.495399999999997"/>
  </r>
  <r>
    <n v="4340"/>
    <x v="151"/>
    <x v="3"/>
    <x v="6"/>
    <d v="2014-09-02T00:00:00"/>
    <n v="5"/>
    <x v="1"/>
    <s v="Dana Kaydos"/>
    <x v="0"/>
    <s v="United States"/>
    <s v="Franklin"/>
    <s v="Tennessee"/>
    <s v="South"/>
    <x v="1"/>
    <x v="10"/>
    <s v="Xerox 217"/>
    <x v="1170"/>
    <n v="1"/>
    <n v="0.2"/>
    <n v="1.8144"/>
  </r>
  <r>
    <n v="4341"/>
    <x v="579"/>
    <x v="2"/>
    <x v="10"/>
    <d v="2011-03-22T00:00:00"/>
    <n v="0"/>
    <x v="3"/>
    <s v="Vivian Mathis"/>
    <x v="0"/>
    <s v="United States"/>
    <s v="Portage"/>
    <s v="Indiana"/>
    <s v="Central"/>
    <x v="1"/>
    <x v="6"/>
    <s v="Avery Hi-Liter EverBold Pen Style Fluorescent Highlighters, 4/Pack"/>
    <x v="1347"/>
    <n v="2"/>
    <n v="0"/>
    <n v="6.5119999999999996"/>
  </r>
  <r>
    <n v="4342"/>
    <x v="94"/>
    <x v="3"/>
    <x v="4"/>
    <d v="2014-12-22T00:00:00"/>
    <n v="4"/>
    <x v="1"/>
    <s v="Giulietta Baptist"/>
    <x v="0"/>
    <s v="United States"/>
    <s v="Arlington"/>
    <s v="Virginia"/>
    <s v="South"/>
    <x v="1"/>
    <x v="4"/>
    <s v="Adjustable Depth Letter/Legal Cart"/>
    <x v="2521"/>
    <n v="3"/>
    <n v="0"/>
    <n v="157.87020000000001"/>
  </r>
  <r>
    <n v="4343"/>
    <x v="498"/>
    <x v="3"/>
    <x v="10"/>
    <d v="2014-03-23T00:00:00"/>
    <n v="3"/>
    <x v="2"/>
    <s v="Natalie DeCherney"/>
    <x v="0"/>
    <s v="United States"/>
    <s v="San Francisco"/>
    <s v="California"/>
    <s v="West"/>
    <x v="1"/>
    <x v="8"/>
    <s v="ACCOHIDE 3-Ring Binder, Blue, 1&quot;"/>
    <x v="2911"/>
    <n v="6"/>
    <n v="0.2"/>
    <n v="6.6905999999999999"/>
  </r>
  <r>
    <n v="4344"/>
    <x v="498"/>
    <x v="3"/>
    <x v="10"/>
    <d v="2014-03-23T00:00:00"/>
    <n v="3"/>
    <x v="2"/>
    <s v="Natalie DeCherney"/>
    <x v="0"/>
    <s v="United States"/>
    <s v="San Francisco"/>
    <s v="California"/>
    <s v="West"/>
    <x v="2"/>
    <x v="7"/>
    <s v="Jawbone MINI JAMBOX Wireless Bluetooth Speaker"/>
    <x v="3221"/>
    <n v="6"/>
    <n v="0.2"/>
    <n v="-131.5008"/>
  </r>
  <r>
    <n v="4345"/>
    <x v="498"/>
    <x v="3"/>
    <x v="10"/>
    <d v="2014-03-23T00:00:00"/>
    <n v="3"/>
    <x v="2"/>
    <s v="Natalie DeCherney"/>
    <x v="0"/>
    <s v="United States"/>
    <s v="San Francisco"/>
    <s v="California"/>
    <s v="West"/>
    <x v="2"/>
    <x v="11"/>
    <s v="Logitech K350 2.4Ghz Wireless Keyboard"/>
    <x v="3222"/>
    <n v="2"/>
    <n v="0"/>
    <n v="10.949400000000001"/>
  </r>
  <r>
    <n v="4346"/>
    <x v="498"/>
    <x v="3"/>
    <x v="10"/>
    <d v="2014-03-23T00:00:00"/>
    <n v="3"/>
    <x v="2"/>
    <s v="Natalie DeCherney"/>
    <x v="0"/>
    <s v="United States"/>
    <s v="San Francisco"/>
    <s v="California"/>
    <s v="West"/>
    <x v="2"/>
    <x v="11"/>
    <s v="Logitech Wireless Marathon Mouse M705"/>
    <x v="1743"/>
    <n v="4"/>
    <n v="0"/>
    <n v="85.982799999999997"/>
  </r>
  <r>
    <n v="4347"/>
    <x v="31"/>
    <x v="0"/>
    <x v="8"/>
    <d v="2013-09-26T00:00:00"/>
    <n v="7"/>
    <x v="1"/>
    <s v="Magdelene Morse"/>
    <x v="0"/>
    <s v="United States"/>
    <s v="New Rochelle"/>
    <s v="New York"/>
    <s v="East"/>
    <x v="0"/>
    <x v="1"/>
    <s v="Global Leather Executive Chair"/>
    <x v="3223"/>
    <n v="2"/>
    <n v="0.1"/>
    <n v="140.39599999999999"/>
  </r>
  <r>
    <n v="4348"/>
    <x v="31"/>
    <x v="0"/>
    <x v="8"/>
    <d v="2013-09-26T00:00:00"/>
    <n v="7"/>
    <x v="1"/>
    <s v="Magdelene Morse"/>
    <x v="0"/>
    <s v="United States"/>
    <s v="New Rochelle"/>
    <s v="New York"/>
    <s v="East"/>
    <x v="0"/>
    <x v="5"/>
    <s v="DAX Two-Tone Silver Metal Document Frame"/>
    <x v="3224"/>
    <n v="3"/>
    <n v="0"/>
    <n v="26.1096"/>
  </r>
  <r>
    <n v="4349"/>
    <x v="221"/>
    <x v="3"/>
    <x v="0"/>
    <d v="2014-11-30T00:00:00"/>
    <n v="5"/>
    <x v="0"/>
    <s v="Mark Van Huff"/>
    <x v="0"/>
    <s v="United States"/>
    <s v="Mesa"/>
    <s v="Arizona"/>
    <s v="West"/>
    <x v="1"/>
    <x v="8"/>
    <s v="GBC Recycled Grain Textured Covers"/>
    <x v="318"/>
    <n v="2"/>
    <n v="0.7"/>
    <n v="-15.1976"/>
  </r>
  <r>
    <n v="4350"/>
    <x v="221"/>
    <x v="3"/>
    <x v="0"/>
    <d v="2014-11-30T00:00:00"/>
    <n v="5"/>
    <x v="0"/>
    <s v="Mark Van Huff"/>
    <x v="0"/>
    <s v="United States"/>
    <s v="Mesa"/>
    <s v="Arizona"/>
    <s v="West"/>
    <x v="1"/>
    <x v="4"/>
    <s v="Fellowes Bankers Box Staxonsteel Drawer File/Stacking System"/>
    <x v="3225"/>
    <n v="8"/>
    <n v="0.2"/>
    <n v="-41.587200000000003"/>
  </r>
  <r>
    <n v="4351"/>
    <x v="645"/>
    <x v="3"/>
    <x v="3"/>
    <d v="2014-04-16T00:00:00"/>
    <n v="4"/>
    <x v="1"/>
    <s v="Jack Lebron"/>
    <x v="0"/>
    <s v="United States"/>
    <s v="Lancaster"/>
    <s v="Ohio"/>
    <s v="East"/>
    <x v="1"/>
    <x v="4"/>
    <s v="Sterilite Officeware Hinged File Box"/>
    <x v="506"/>
    <n v="2"/>
    <n v="0.2"/>
    <n v="1.4672000000000001"/>
  </r>
  <r>
    <n v="4352"/>
    <x v="645"/>
    <x v="3"/>
    <x v="3"/>
    <d v="2014-04-16T00:00:00"/>
    <n v="4"/>
    <x v="1"/>
    <s v="Jack Lebron"/>
    <x v="0"/>
    <s v="United States"/>
    <s v="Lancaster"/>
    <s v="Ohio"/>
    <s v="East"/>
    <x v="2"/>
    <x v="11"/>
    <s v="Kingston Digital DataTraveler 32GB USB 2.0"/>
    <x v="3226"/>
    <n v="2"/>
    <n v="0.2"/>
    <n v="-4.7460000000000004"/>
  </r>
  <r>
    <n v="4353"/>
    <x v="389"/>
    <x v="3"/>
    <x v="4"/>
    <d v="2014-12-13T00:00:00"/>
    <n v="2"/>
    <x v="0"/>
    <s v="Alex Grayson"/>
    <x v="0"/>
    <s v="United States"/>
    <s v="Stockton"/>
    <s v="California"/>
    <s v="West"/>
    <x v="2"/>
    <x v="7"/>
    <s v="Jackery Bar Premium Fast-charging Portable Charger"/>
    <x v="3044"/>
    <n v="4"/>
    <n v="0.2"/>
    <n v="34.741999999999997"/>
  </r>
  <r>
    <n v="4354"/>
    <x v="389"/>
    <x v="3"/>
    <x v="4"/>
    <d v="2014-12-13T00:00:00"/>
    <n v="2"/>
    <x v="0"/>
    <s v="Alex Grayson"/>
    <x v="0"/>
    <s v="United States"/>
    <s v="Stockton"/>
    <s v="California"/>
    <s v="West"/>
    <x v="1"/>
    <x v="10"/>
    <s v="Xerox 225"/>
    <x v="91"/>
    <n v="2"/>
    <n v="0"/>
    <n v="6.2207999999999997"/>
  </r>
  <r>
    <n v="4355"/>
    <x v="221"/>
    <x v="3"/>
    <x v="0"/>
    <d v="2014-11-27T00:00:00"/>
    <n v="2"/>
    <x v="0"/>
    <s v="Michael Dominguez"/>
    <x v="1"/>
    <s v="United States"/>
    <s v="Asheville"/>
    <s v="North Carolina"/>
    <s v="South"/>
    <x v="1"/>
    <x v="8"/>
    <s v="Avery Durable Slant Ring Binders"/>
    <x v="2927"/>
    <n v="8"/>
    <n v="0.7"/>
    <n v="-12.672000000000001"/>
  </r>
  <r>
    <n v="4356"/>
    <x v="784"/>
    <x v="1"/>
    <x v="4"/>
    <d v="2012-12-07T00:00:00"/>
    <n v="3"/>
    <x v="0"/>
    <s v="Rose O'Brian"/>
    <x v="0"/>
    <s v="United States"/>
    <s v="Clarksville"/>
    <s v="Tennessee"/>
    <s v="South"/>
    <x v="1"/>
    <x v="8"/>
    <s v="GBC Ibimaster 500 Manual ProClick Binding System"/>
    <x v="3227"/>
    <n v="7"/>
    <n v="0.7"/>
    <n v="-1065.3720000000001"/>
  </r>
  <r>
    <n v="4357"/>
    <x v="784"/>
    <x v="1"/>
    <x v="4"/>
    <d v="2012-12-07T00:00:00"/>
    <n v="3"/>
    <x v="0"/>
    <s v="Rose O'Brian"/>
    <x v="0"/>
    <s v="United States"/>
    <s v="Clarksville"/>
    <s v="Tennessee"/>
    <s v="South"/>
    <x v="1"/>
    <x v="6"/>
    <s v="Deluxe Chalkboard Eraser Cleaner"/>
    <x v="3228"/>
    <n v="4"/>
    <n v="0.2"/>
    <n v="12.012"/>
  </r>
  <r>
    <n v="4358"/>
    <x v="157"/>
    <x v="3"/>
    <x v="4"/>
    <d v="2014-12-12T00:00:00"/>
    <n v="0"/>
    <x v="3"/>
    <s v="Ralph Ritter"/>
    <x v="0"/>
    <s v="United States"/>
    <s v="Aurora"/>
    <s v="Illinois"/>
    <s v="Central"/>
    <x v="1"/>
    <x v="10"/>
    <s v="Xerox 21"/>
    <x v="559"/>
    <n v="2"/>
    <n v="0.2"/>
    <n v="3.6288"/>
  </r>
  <r>
    <n v="4359"/>
    <x v="157"/>
    <x v="3"/>
    <x v="4"/>
    <d v="2014-12-12T00:00:00"/>
    <n v="0"/>
    <x v="3"/>
    <s v="Ralph Ritter"/>
    <x v="0"/>
    <s v="United States"/>
    <s v="Aurora"/>
    <s v="Illinois"/>
    <s v="Central"/>
    <x v="0"/>
    <x v="5"/>
    <s v="Electrix Halogen Magnifier Lamp"/>
    <x v="3229"/>
    <n v="1"/>
    <n v="0.6"/>
    <n v="-66.061999999999998"/>
  </r>
  <r>
    <n v="4360"/>
    <x v="157"/>
    <x v="3"/>
    <x v="4"/>
    <d v="2014-12-12T00:00:00"/>
    <n v="0"/>
    <x v="3"/>
    <s v="Ralph Ritter"/>
    <x v="0"/>
    <s v="United States"/>
    <s v="Aurora"/>
    <s v="Illinois"/>
    <s v="Central"/>
    <x v="0"/>
    <x v="1"/>
    <s v="GuestStacker Chair with Chrome Finish Legs"/>
    <x v="3230"/>
    <n v="2"/>
    <n v="0.3"/>
    <n v="-14.8704"/>
  </r>
  <r>
    <n v="4361"/>
    <x v="206"/>
    <x v="0"/>
    <x v="5"/>
    <d v="2013-05-24T00:00:00"/>
    <n v="2"/>
    <x v="2"/>
    <s v="Christine Phan"/>
    <x v="1"/>
    <s v="United States"/>
    <s v="Warwick"/>
    <s v="Rhode Island"/>
    <s v="East"/>
    <x v="1"/>
    <x v="10"/>
    <s v="Staples"/>
    <x v="1359"/>
    <n v="2"/>
    <n v="0"/>
    <n v="54.860399999999998"/>
  </r>
  <r>
    <n v="4362"/>
    <x v="922"/>
    <x v="3"/>
    <x v="11"/>
    <d v="2014-02-22T00:00:00"/>
    <n v="4"/>
    <x v="0"/>
    <s v="Lauren Leatherbury"/>
    <x v="0"/>
    <s v="United States"/>
    <s v="Lafayette"/>
    <s v="Louisiana"/>
    <s v="South"/>
    <x v="2"/>
    <x v="7"/>
    <s v="KLD Oscar II Style Snap-on Ultra Thin Side Flip Synthetic Leather Cover Case for HTC One HTC M7"/>
    <x v="2421"/>
    <n v="3"/>
    <n v="0"/>
    <n v="8.4564000000000004"/>
  </r>
  <r>
    <n v="4363"/>
    <x v="968"/>
    <x v="3"/>
    <x v="5"/>
    <d v="2014-05-23T00:00:00"/>
    <n v="2"/>
    <x v="0"/>
    <s v="Nat Carroll"/>
    <x v="0"/>
    <s v="United States"/>
    <s v="Fargo"/>
    <s v="North Dakota"/>
    <s v="Central"/>
    <x v="1"/>
    <x v="6"/>
    <s v="Boston 1645 Deluxe Heavier-Duty Electric Pencil Sharpener"/>
    <x v="3231"/>
    <n v="3"/>
    <n v="0"/>
    <n v="35.623800000000003"/>
  </r>
  <r>
    <n v="4364"/>
    <x v="968"/>
    <x v="3"/>
    <x v="5"/>
    <d v="2014-05-23T00:00:00"/>
    <n v="2"/>
    <x v="0"/>
    <s v="Nat Carroll"/>
    <x v="0"/>
    <s v="United States"/>
    <s v="Fargo"/>
    <s v="North Dakota"/>
    <s v="Central"/>
    <x v="1"/>
    <x v="6"/>
    <s v="BIC Brite Liner Highlighters, Chisel Tip"/>
    <x v="233"/>
    <n v="4"/>
    <n v="0"/>
    <n v="8.2943999999999996"/>
  </r>
  <r>
    <n v="4365"/>
    <x v="968"/>
    <x v="3"/>
    <x v="5"/>
    <d v="2014-05-23T00:00:00"/>
    <n v="2"/>
    <x v="0"/>
    <s v="Nat Carroll"/>
    <x v="0"/>
    <s v="United States"/>
    <s v="Fargo"/>
    <s v="North Dakota"/>
    <s v="Central"/>
    <x v="1"/>
    <x v="4"/>
    <s v="Fellowes High-Stak Drawer Files"/>
    <x v="3232"/>
    <n v="4"/>
    <n v="0"/>
    <n v="162.09479999999999"/>
  </r>
  <r>
    <n v="4366"/>
    <x v="968"/>
    <x v="3"/>
    <x v="5"/>
    <d v="2014-05-23T00:00:00"/>
    <n v="2"/>
    <x v="0"/>
    <s v="Nat Carroll"/>
    <x v="0"/>
    <s v="United States"/>
    <s v="Fargo"/>
    <s v="North Dakota"/>
    <s v="Central"/>
    <x v="1"/>
    <x v="13"/>
    <s v="Staples"/>
    <x v="3233"/>
    <n v="3"/>
    <n v="0"/>
    <n v="3.4826999999999999"/>
  </r>
  <r>
    <n v="4367"/>
    <x v="968"/>
    <x v="3"/>
    <x v="5"/>
    <d v="2014-05-23T00:00:00"/>
    <n v="2"/>
    <x v="0"/>
    <s v="Nat Carroll"/>
    <x v="0"/>
    <s v="United States"/>
    <s v="Fargo"/>
    <s v="North Dakota"/>
    <s v="Central"/>
    <x v="1"/>
    <x v="6"/>
    <s v="Binney &amp; Smith inkTank Desk Highlighter, Chisel Tip, Yellow, 12/Box"/>
    <x v="3234"/>
    <n v="10"/>
    <n v="0"/>
    <n v="7.0949999999999998"/>
  </r>
  <r>
    <n v="4368"/>
    <x v="220"/>
    <x v="3"/>
    <x v="8"/>
    <d v="2014-09-14T00:00:00"/>
    <n v="2"/>
    <x v="0"/>
    <s v="Helen Andreada"/>
    <x v="0"/>
    <s v="United States"/>
    <s v="Chicago"/>
    <s v="Illinois"/>
    <s v="Central"/>
    <x v="1"/>
    <x v="13"/>
    <s v="Acco Hot Clips Clips to Go"/>
    <x v="3235"/>
    <n v="4"/>
    <n v="0.2"/>
    <n v="3.29"/>
  </r>
  <r>
    <n v="4369"/>
    <x v="220"/>
    <x v="3"/>
    <x v="8"/>
    <d v="2014-09-14T00:00:00"/>
    <n v="2"/>
    <x v="0"/>
    <s v="Helen Andreada"/>
    <x v="0"/>
    <s v="United States"/>
    <s v="Chicago"/>
    <s v="Illinois"/>
    <s v="Central"/>
    <x v="1"/>
    <x v="10"/>
    <s v="Xerox 1927"/>
    <x v="3236"/>
    <n v="6"/>
    <n v="0.2"/>
    <n v="6.42"/>
  </r>
  <r>
    <n v="4370"/>
    <x v="732"/>
    <x v="0"/>
    <x v="0"/>
    <d v="2013-11-11T00:00:00"/>
    <n v="5"/>
    <x v="1"/>
    <s v="Michelle Arnett"/>
    <x v="2"/>
    <s v="United States"/>
    <s v="Lawrence"/>
    <s v="Indiana"/>
    <s v="Central"/>
    <x v="1"/>
    <x v="8"/>
    <s v="Premium Transparent Presentation Covers by GBC"/>
    <x v="1716"/>
    <n v="5"/>
    <n v="0"/>
    <n v="50.351999999999997"/>
  </r>
  <r>
    <n v="4371"/>
    <x v="732"/>
    <x v="0"/>
    <x v="0"/>
    <d v="2013-11-11T00:00:00"/>
    <n v="5"/>
    <x v="1"/>
    <s v="Michelle Arnett"/>
    <x v="2"/>
    <s v="United States"/>
    <s v="Lawrence"/>
    <s v="Indiana"/>
    <s v="Central"/>
    <x v="1"/>
    <x v="6"/>
    <s v="Prismacolor Color Pencil Set"/>
    <x v="1977"/>
    <n v="2"/>
    <n v="0"/>
    <n v="16.268799999999999"/>
  </r>
  <r>
    <n v="4372"/>
    <x v="732"/>
    <x v="0"/>
    <x v="0"/>
    <d v="2013-11-11T00:00:00"/>
    <n v="5"/>
    <x v="1"/>
    <s v="Michelle Arnett"/>
    <x v="2"/>
    <s v="United States"/>
    <s v="Lawrence"/>
    <s v="Indiana"/>
    <s v="Central"/>
    <x v="1"/>
    <x v="2"/>
    <s v="Avery 503"/>
    <x v="2616"/>
    <n v="5"/>
    <n v="0"/>
    <n v="24.84"/>
  </r>
  <r>
    <n v="4373"/>
    <x v="283"/>
    <x v="3"/>
    <x v="7"/>
    <d v="2014-07-26T00:00:00"/>
    <n v="2"/>
    <x v="0"/>
    <s v="Lena Hernandez"/>
    <x v="0"/>
    <s v="United States"/>
    <s v="Elkhart"/>
    <s v="Indiana"/>
    <s v="Central"/>
    <x v="1"/>
    <x v="6"/>
    <s v="Quartet Omega Colored Chalk, 12/Pack"/>
    <x v="2582"/>
    <n v="2"/>
    <n v="0"/>
    <n v="5.4896000000000003"/>
  </r>
  <r>
    <n v="4374"/>
    <x v="283"/>
    <x v="3"/>
    <x v="7"/>
    <d v="2014-07-26T00:00:00"/>
    <n v="2"/>
    <x v="0"/>
    <s v="Lena Hernandez"/>
    <x v="0"/>
    <s v="United States"/>
    <s v="Elkhart"/>
    <s v="Indiana"/>
    <s v="Central"/>
    <x v="2"/>
    <x v="11"/>
    <s v="Memorex 25GB 6X Branded Blu-Ray Recordable Disc, 30/Pack"/>
    <x v="3237"/>
    <n v="5"/>
    <n v="0"/>
    <n v="11.182499999999999"/>
  </r>
  <r>
    <n v="4375"/>
    <x v="741"/>
    <x v="0"/>
    <x v="0"/>
    <d v="2013-11-25T00:00:00"/>
    <n v="6"/>
    <x v="1"/>
    <s v="Sean Braxton"/>
    <x v="1"/>
    <s v="United States"/>
    <s v="Kent"/>
    <s v="Ohio"/>
    <s v="East"/>
    <x v="1"/>
    <x v="9"/>
    <s v="Holmes 99% HEPA Air Purifier"/>
    <x v="3238"/>
    <n v="6"/>
    <n v="0.2"/>
    <n v="16.8948"/>
  </r>
  <r>
    <n v="4376"/>
    <x v="573"/>
    <x v="2"/>
    <x v="3"/>
    <d v="2011-04-30T00:00:00"/>
    <n v="5"/>
    <x v="1"/>
    <s v="Beth Thompson"/>
    <x v="2"/>
    <s v="United States"/>
    <s v="San Gabriel"/>
    <s v="California"/>
    <s v="West"/>
    <x v="0"/>
    <x v="5"/>
    <s v="Tenex Traditional Chairmats for Medium Pile Carpet, Standard Lip, 36&quot; x 48&quot;"/>
    <x v="3239"/>
    <n v="5"/>
    <n v="0"/>
    <n v="63.682499999999997"/>
  </r>
  <r>
    <n v="4377"/>
    <x v="573"/>
    <x v="2"/>
    <x v="3"/>
    <d v="2011-04-30T00:00:00"/>
    <n v="5"/>
    <x v="1"/>
    <s v="Beth Thompson"/>
    <x v="2"/>
    <s v="United States"/>
    <s v="San Gabriel"/>
    <s v="California"/>
    <s v="West"/>
    <x v="1"/>
    <x v="9"/>
    <s v="Kensington 6 Outlet MasterPiece HOMEOFFICE Power Control Center"/>
    <x v="3240"/>
    <n v="3"/>
    <n v="0"/>
    <n v="78.508799999999994"/>
  </r>
  <r>
    <n v="4378"/>
    <x v="573"/>
    <x v="2"/>
    <x v="3"/>
    <d v="2011-04-30T00:00:00"/>
    <n v="5"/>
    <x v="1"/>
    <s v="Beth Thompson"/>
    <x v="2"/>
    <s v="United States"/>
    <s v="San Gabriel"/>
    <s v="California"/>
    <s v="West"/>
    <x v="0"/>
    <x v="1"/>
    <s v="GuestStacker Chair with Chrome Finish Legs"/>
    <x v="3241"/>
    <n v="5"/>
    <n v="0.2"/>
    <n v="148.70400000000001"/>
  </r>
  <r>
    <n v="4379"/>
    <x v="672"/>
    <x v="1"/>
    <x v="0"/>
    <d v="2012-12-02T00:00:00"/>
    <n v="2"/>
    <x v="0"/>
    <s v="Paul Stevenson"/>
    <x v="2"/>
    <s v="United States"/>
    <s v="Henderson"/>
    <s v="Kentucky"/>
    <s v="South"/>
    <x v="1"/>
    <x v="12"/>
    <s v="#10- 4 1/8&quot; x 9 1/2&quot; Recycled Envelopes"/>
    <x v="1897"/>
    <n v="2"/>
    <n v="0"/>
    <n v="8.2156000000000002"/>
  </r>
  <r>
    <n v="4380"/>
    <x v="672"/>
    <x v="1"/>
    <x v="0"/>
    <d v="2012-12-02T00:00:00"/>
    <n v="2"/>
    <x v="0"/>
    <s v="Paul Stevenson"/>
    <x v="2"/>
    <s v="United States"/>
    <s v="Henderson"/>
    <s v="Kentucky"/>
    <s v="South"/>
    <x v="1"/>
    <x v="12"/>
    <s v="Tyvek  Top-Opening Peel &amp; Seel  Envelopes, Gray"/>
    <x v="3242"/>
    <n v="2"/>
    <n v="0"/>
    <n v="32.345999999999997"/>
  </r>
  <r>
    <n v="4381"/>
    <x v="969"/>
    <x v="1"/>
    <x v="2"/>
    <d v="2012-10-30T00:00:00"/>
    <n v="5"/>
    <x v="1"/>
    <s v="Trudy Brown"/>
    <x v="0"/>
    <s v="United States"/>
    <s v="San Francisco"/>
    <s v="California"/>
    <s v="West"/>
    <x v="1"/>
    <x v="6"/>
    <s v="Boston 19500 Mighty Mite Electric Pencil Sharpener"/>
    <x v="774"/>
    <n v="3"/>
    <n v="0"/>
    <n v="16.3215"/>
  </r>
  <r>
    <n v="4382"/>
    <x v="969"/>
    <x v="1"/>
    <x v="2"/>
    <d v="2012-10-30T00:00:00"/>
    <n v="5"/>
    <x v="1"/>
    <s v="Trudy Brown"/>
    <x v="0"/>
    <s v="United States"/>
    <s v="San Francisco"/>
    <s v="California"/>
    <s v="West"/>
    <x v="0"/>
    <x v="3"/>
    <s v="Balt Solid Wood Rectangular Table"/>
    <x v="3243"/>
    <n v="3"/>
    <n v="0.2"/>
    <n v="-31.646999999999998"/>
  </r>
  <r>
    <n v="4383"/>
    <x v="603"/>
    <x v="1"/>
    <x v="7"/>
    <d v="2012-07-27T00:00:00"/>
    <n v="7"/>
    <x v="1"/>
    <s v="Russell Applegate"/>
    <x v="0"/>
    <s v="United States"/>
    <s v="Highland Park"/>
    <s v="Illinois"/>
    <s v="Central"/>
    <x v="1"/>
    <x v="8"/>
    <s v="Avery Durable Binders"/>
    <x v="704"/>
    <n v="5"/>
    <n v="0.8"/>
    <n v="-4.4640000000000004"/>
  </r>
  <r>
    <n v="4384"/>
    <x v="603"/>
    <x v="1"/>
    <x v="7"/>
    <d v="2012-07-27T00:00:00"/>
    <n v="7"/>
    <x v="1"/>
    <s v="Russell Applegate"/>
    <x v="0"/>
    <s v="United States"/>
    <s v="Highland Park"/>
    <s v="Illinois"/>
    <s v="Central"/>
    <x v="0"/>
    <x v="0"/>
    <s v="O'Sullivan Cherrywood Estates Traditional Barrister Bookcase"/>
    <x v="3244"/>
    <n v="4"/>
    <n v="0.3"/>
    <n v="-126.4816"/>
  </r>
  <r>
    <n v="4385"/>
    <x v="603"/>
    <x v="1"/>
    <x v="7"/>
    <d v="2012-07-27T00:00:00"/>
    <n v="7"/>
    <x v="1"/>
    <s v="Russell Applegate"/>
    <x v="0"/>
    <s v="United States"/>
    <s v="Highland Park"/>
    <s v="Illinois"/>
    <s v="Central"/>
    <x v="2"/>
    <x v="7"/>
    <s v="Pyle PMP37LED"/>
    <x v="2045"/>
    <n v="2"/>
    <n v="0.2"/>
    <n v="13.438599999999999"/>
  </r>
  <r>
    <n v="4386"/>
    <x v="603"/>
    <x v="1"/>
    <x v="7"/>
    <d v="2012-07-27T00:00:00"/>
    <n v="7"/>
    <x v="1"/>
    <s v="Russell Applegate"/>
    <x v="0"/>
    <s v="United States"/>
    <s v="Highland Park"/>
    <s v="Illinois"/>
    <s v="Central"/>
    <x v="0"/>
    <x v="0"/>
    <s v="Atlantic Metals Mobile 3-Shelf Bookcases, Custom Colors"/>
    <x v="3245"/>
    <n v="5"/>
    <n v="0.3"/>
    <n v="-52.195999999999998"/>
  </r>
  <r>
    <n v="4387"/>
    <x v="189"/>
    <x v="0"/>
    <x v="2"/>
    <d v="2013-11-03T00:00:00"/>
    <n v="6"/>
    <x v="1"/>
    <s v="Bart Pistole"/>
    <x v="1"/>
    <s v="United States"/>
    <s v="San Francisco"/>
    <s v="California"/>
    <s v="West"/>
    <x v="1"/>
    <x v="9"/>
    <s v="Staples"/>
    <x v="2836"/>
    <n v="4"/>
    <n v="0"/>
    <n v="11.8584"/>
  </r>
  <r>
    <n v="4388"/>
    <x v="189"/>
    <x v="0"/>
    <x v="2"/>
    <d v="2013-11-03T00:00:00"/>
    <n v="6"/>
    <x v="1"/>
    <s v="Bart Pistole"/>
    <x v="1"/>
    <s v="United States"/>
    <s v="San Francisco"/>
    <s v="California"/>
    <s v="West"/>
    <x v="1"/>
    <x v="8"/>
    <s v="Acco Data Flex Cable Posts For Top &amp; Bottom Load Binders, 6&quot; Capacity"/>
    <x v="3066"/>
    <n v="3"/>
    <n v="0.2"/>
    <n v="7.8224999999999998"/>
  </r>
  <r>
    <n v="4389"/>
    <x v="225"/>
    <x v="3"/>
    <x v="0"/>
    <d v="2014-11-23T00:00:00"/>
    <n v="2"/>
    <x v="2"/>
    <s v="Carlos Daly"/>
    <x v="0"/>
    <s v="United States"/>
    <s v="New York City"/>
    <s v="New York"/>
    <s v="East"/>
    <x v="1"/>
    <x v="10"/>
    <s v="Xerox 1968"/>
    <x v="1160"/>
    <n v="7"/>
    <n v="0"/>
    <n v="22.444800000000001"/>
  </r>
  <r>
    <n v="4390"/>
    <x v="225"/>
    <x v="3"/>
    <x v="0"/>
    <d v="2014-11-23T00:00:00"/>
    <n v="2"/>
    <x v="2"/>
    <s v="Carlos Daly"/>
    <x v="0"/>
    <s v="United States"/>
    <s v="New York City"/>
    <s v="New York"/>
    <s v="East"/>
    <x v="0"/>
    <x v="0"/>
    <s v="Sauder Camden County Collection Libraries, Planked Cherry Finish"/>
    <x v="3246"/>
    <n v="2"/>
    <n v="0.2"/>
    <n v="-25.2956"/>
  </r>
  <r>
    <n v="4391"/>
    <x v="225"/>
    <x v="3"/>
    <x v="0"/>
    <d v="2014-11-23T00:00:00"/>
    <n v="2"/>
    <x v="2"/>
    <s v="Carlos Daly"/>
    <x v="0"/>
    <s v="United States"/>
    <s v="New York City"/>
    <s v="New York"/>
    <s v="East"/>
    <x v="2"/>
    <x v="7"/>
    <s v="Samsung Galaxy Mega 6.3"/>
    <x v="3247"/>
    <n v="3"/>
    <n v="0"/>
    <n v="327.59219999999999"/>
  </r>
  <r>
    <n v="4392"/>
    <x v="225"/>
    <x v="3"/>
    <x v="0"/>
    <d v="2014-11-23T00:00:00"/>
    <n v="2"/>
    <x v="2"/>
    <s v="Carlos Daly"/>
    <x v="0"/>
    <s v="United States"/>
    <s v="New York City"/>
    <s v="New York"/>
    <s v="East"/>
    <x v="1"/>
    <x v="6"/>
    <s v="Boston KS Multi-Size Manual Pencil Sharpener"/>
    <x v="3248"/>
    <n v="3"/>
    <n v="0"/>
    <n v="19.311599999999999"/>
  </r>
  <r>
    <n v="4393"/>
    <x v="162"/>
    <x v="0"/>
    <x v="8"/>
    <d v="2013-09-13T00:00:00"/>
    <n v="4"/>
    <x v="1"/>
    <s v="Ken Black"/>
    <x v="1"/>
    <s v="United States"/>
    <s v="Dallas"/>
    <s v="Texas"/>
    <s v="Central"/>
    <x v="1"/>
    <x v="6"/>
    <s v="Boston 1645 Deluxe Heavier-Duty Electric Pencil Sharpener"/>
    <x v="464"/>
    <n v="2"/>
    <n v="0.2"/>
    <n v="6.1571999999999996"/>
  </r>
  <r>
    <n v="4394"/>
    <x v="162"/>
    <x v="0"/>
    <x v="8"/>
    <d v="2013-09-13T00:00:00"/>
    <n v="4"/>
    <x v="1"/>
    <s v="Ken Black"/>
    <x v="1"/>
    <s v="United States"/>
    <s v="Dallas"/>
    <s v="Texas"/>
    <s v="Central"/>
    <x v="2"/>
    <x v="7"/>
    <s v="Belkin SportFit Armband For iPhone 5s/5c, Fuchsia"/>
    <x v="3249"/>
    <n v="5"/>
    <n v="0.2"/>
    <n v="21.735499999999998"/>
  </r>
  <r>
    <n v="4395"/>
    <x v="836"/>
    <x v="2"/>
    <x v="7"/>
    <d v="2011-07-20T00:00:00"/>
    <n v="0"/>
    <x v="3"/>
    <s v="Scot Wooten"/>
    <x v="0"/>
    <s v="United States"/>
    <s v="Springfield"/>
    <s v="Ohio"/>
    <s v="East"/>
    <x v="1"/>
    <x v="4"/>
    <s v="Fellowes Neat Ideas Storage Cubes"/>
    <x v="3250"/>
    <n v="1"/>
    <n v="0.2"/>
    <n v="-5.1967999999999996"/>
  </r>
  <r>
    <n v="4396"/>
    <x v="836"/>
    <x v="2"/>
    <x v="7"/>
    <d v="2011-07-20T00:00:00"/>
    <n v="0"/>
    <x v="3"/>
    <s v="Scot Wooten"/>
    <x v="0"/>
    <s v="United States"/>
    <s v="Springfield"/>
    <s v="Ohio"/>
    <s v="East"/>
    <x v="1"/>
    <x v="8"/>
    <s v="Ibico Plastic Spiral Binding Combs"/>
    <x v="3251"/>
    <n v="3"/>
    <n v="0.7"/>
    <n v="-21.888000000000002"/>
  </r>
  <r>
    <n v="4397"/>
    <x v="625"/>
    <x v="0"/>
    <x v="0"/>
    <d v="2013-11-20T00:00:00"/>
    <n v="4"/>
    <x v="1"/>
    <s v="Anna Häberlin"/>
    <x v="1"/>
    <s v="United States"/>
    <s v="San Diego"/>
    <s v="California"/>
    <s v="West"/>
    <x v="2"/>
    <x v="7"/>
    <s v="Polycom SoundPoint IP 450 VoIP phone"/>
    <x v="3252"/>
    <n v="2"/>
    <n v="0.2"/>
    <n v="27.103200000000001"/>
  </r>
  <r>
    <n v="4398"/>
    <x v="970"/>
    <x v="2"/>
    <x v="7"/>
    <d v="2011-07-11T00:00:00"/>
    <n v="4"/>
    <x v="1"/>
    <s v="John Lee"/>
    <x v="0"/>
    <s v="United States"/>
    <s v="Philadelphia"/>
    <s v="Pennsylvania"/>
    <s v="East"/>
    <x v="0"/>
    <x v="1"/>
    <s v="Global High-Back Leather Tilter, Burgundy"/>
    <x v="3253"/>
    <n v="2"/>
    <n v="0.3"/>
    <n v="-46.736199999999997"/>
  </r>
  <r>
    <n v="4399"/>
    <x v="970"/>
    <x v="2"/>
    <x v="7"/>
    <d v="2011-07-11T00:00:00"/>
    <n v="4"/>
    <x v="1"/>
    <s v="John Lee"/>
    <x v="0"/>
    <s v="United States"/>
    <s v="Philadelphia"/>
    <s v="Pennsylvania"/>
    <s v="East"/>
    <x v="0"/>
    <x v="5"/>
    <s v="Howard Miller 11-1/2&quot; Diameter Grantwood Wall Clock"/>
    <x v="3254"/>
    <n v="2"/>
    <n v="0.2"/>
    <n v="12.0764"/>
  </r>
  <r>
    <n v="4400"/>
    <x v="716"/>
    <x v="0"/>
    <x v="10"/>
    <d v="2013-03-18T00:00:00"/>
    <n v="0"/>
    <x v="3"/>
    <s v="Gary Zandusky"/>
    <x v="0"/>
    <s v="United States"/>
    <s v="Columbia"/>
    <s v="Maryland"/>
    <s v="East"/>
    <x v="1"/>
    <x v="12"/>
    <s v="Blue String-Tie &amp; Button Interoffice Envelopes, 10 x 13"/>
    <x v="3255"/>
    <n v="5"/>
    <n v="0"/>
    <n v="89.954999999999998"/>
  </r>
  <r>
    <n v="4401"/>
    <x v="716"/>
    <x v="0"/>
    <x v="10"/>
    <d v="2013-03-18T00:00:00"/>
    <n v="0"/>
    <x v="3"/>
    <s v="Gary Zandusky"/>
    <x v="0"/>
    <s v="United States"/>
    <s v="Columbia"/>
    <s v="Maryland"/>
    <s v="East"/>
    <x v="1"/>
    <x v="9"/>
    <s v="Honeywell Enviracaire Portable HEPA Air Cleaner for 17' x 22' Room"/>
    <x v="3256"/>
    <n v="3"/>
    <n v="0"/>
    <n v="297.64350000000002"/>
  </r>
  <r>
    <n v="4402"/>
    <x v="716"/>
    <x v="0"/>
    <x v="10"/>
    <d v="2013-03-18T00:00:00"/>
    <n v="0"/>
    <x v="3"/>
    <s v="Gary Zandusky"/>
    <x v="0"/>
    <s v="United States"/>
    <s v="Columbia"/>
    <s v="Maryland"/>
    <s v="East"/>
    <x v="0"/>
    <x v="5"/>
    <s v="Electrix Halogen Magnifier Lamp"/>
    <x v="3257"/>
    <n v="5"/>
    <n v="0"/>
    <n v="252.59"/>
  </r>
  <r>
    <n v="4403"/>
    <x v="482"/>
    <x v="0"/>
    <x v="4"/>
    <d v="2013-12-28T00:00:00"/>
    <n v="1"/>
    <x v="2"/>
    <s v="Roy Collins"/>
    <x v="0"/>
    <s v="United States"/>
    <s v="Colorado Springs"/>
    <s v="Colorado"/>
    <s v="West"/>
    <x v="1"/>
    <x v="6"/>
    <s v="SANFORD Major Accent Highlighters"/>
    <x v="3258"/>
    <n v="2"/>
    <n v="0.2"/>
    <n v="2.5488"/>
  </r>
  <r>
    <n v="4404"/>
    <x v="814"/>
    <x v="2"/>
    <x v="8"/>
    <d v="2011-09-04T00:00:00"/>
    <n v="2"/>
    <x v="2"/>
    <s v="Clay Ludtke"/>
    <x v="0"/>
    <s v="United States"/>
    <s v="New York City"/>
    <s v="New York"/>
    <s v="East"/>
    <x v="1"/>
    <x v="6"/>
    <s v="SANFORD Major Accent Highlighters"/>
    <x v="3259"/>
    <n v="3"/>
    <n v="0"/>
    <n v="8.0711999999999993"/>
  </r>
  <r>
    <n v="4405"/>
    <x v="761"/>
    <x v="1"/>
    <x v="7"/>
    <d v="2012-07-10T00:00:00"/>
    <n v="5"/>
    <x v="1"/>
    <s v="Mitch Webber"/>
    <x v="0"/>
    <s v="United States"/>
    <s v="Philadelphia"/>
    <s v="Pennsylvania"/>
    <s v="East"/>
    <x v="2"/>
    <x v="11"/>
    <s v="HP Standard 104 key PS/2 Keyboard"/>
    <x v="3260"/>
    <n v="3"/>
    <n v="0.2"/>
    <n v="2.1749999999999998"/>
  </r>
  <r>
    <n v="4406"/>
    <x v="761"/>
    <x v="1"/>
    <x v="7"/>
    <d v="2012-07-10T00:00:00"/>
    <n v="5"/>
    <x v="1"/>
    <s v="Mitch Webber"/>
    <x v="0"/>
    <s v="United States"/>
    <s v="Philadelphia"/>
    <s v="Pennsylvania"/>
    <s v="East"/>
    <x v="1"/>
    <x v="4"/>
    <s v="Acco Perma 4000 Stacking Storage Drawers"/>
    <x v="2316"/>
    <n v="3"/>
    <n v="0.2"/>
    <n v="-2.4359999999999999"/>
  </r>
  <r>
    <n v="4407"/>
    <x v="73"/>
    <x v="0"/>
    <x v="0"/>
    <d v="2013-11-26T00:00:00"/>
    <n v="5"/>
    <x v="1"/>
    <s v="Barbara Fisher"/>
    <x v="1"/>
    <s v="United States"/>
    <s v="Columbus"/>
    <s v="Indiana"/>
    <s v="Central"/>
    <x v="1"/>
    <x v="10"/>
    <s v="Ampad Poly Cover Wirebound Steno Book, 6&quot; x 9&quot; Assorted Colors, Gregg Ruled"/>
    <x v="3261"/>
    <n v="2"/>
    <n v="0"/>
    <n v="4.0860000000000003"/>
  </r>
  <r>
    <n v="4408"/>
    <x v="73"/>
    <x v="0"/>
    <x v="0"/>
    <d v="2013-11-26T00:00:00"/>
    <n v="5"/>
    <x v="1"/>
    <s v="Barbara Fisher"/>
    <x v="1"/>
    <s v="United States"/>
    <s v="Columbus"/>
    <s v="Indiana"/>
    <s v="Central"/>
    <x v="1"/>
    <x v="10"/>
    <s v="Xerox 189"/>
    <x v="1806"/>
    <n v="3"/>
    <n v="0"/>
    <n v="150.98400000000001"/>
  </r>
  <r>
    <n v="4409"/>
    <x v="73"/>
    <x v="0"/>
    <x v="0"/>
    <d v="2013-11-26T00:00:00"/>
    <n v="5"/>
    <x v="1"/>
    <s v="Barbara Fisher"/>
    <x v="1"/>
    <s v="United States"/>
    <s v="Columbus"/>
    <s v="Indiana"/>
    <s v="Central"/>
    <x v="1"/>
    <x v="8"/>
    <s v="Pressboard Covers with Storage Hooks, 9 1/2&quot; x 11&quot;, Light Blue"/>
    <x v="3262"/>
    <n v="1"/>
    <n v="0"/>
    <n v="2.3077000000000001"/>
  </r>
  <r>
    <n v="4410"/>
    <x v="457"/>
    <x v="2"/>
    <x v="5"/>
    <d v="2011-05-11T00:00:00"/>
    <n v="5"/>
    <x v="1"/>
    <s v="Steve Nguyen"/>
    <x v="2"/>
    <s v="United States"/>
    <s v="Los Angeles"/>
    <s v="California"/>
    <s v="West"/>
    <x v="1"/>
    <x v="2"/>
    <s v="Staples"/>
    <x v="396"/>
    <n v="2"/>
    <n v="0"/>
    <n v="2.7166000000000001"/>
  </r>
  <r>
    <n v="4411"/>
    <x v="457"/>
    <x v="2"/>
    <x v="5"/>
    <d v="2011-05-11T00:00:00"/>
    <n v="5"/>
    <x v="1"/>
    <s v="Steve Nguyen"/>
    <x v="2"/>
    <s v="United States"/>
    <s v="Los Angeles"/>
    <s v="California"/>
    <s v="West"/>
    <x v="1"/>
    <x v="6"/>
    <s v="Model L Table or Wall-Mount Pencil Sharpener"/>
    <x v="1533"/>
    <n v="6"/>
    <n v="0"/>
    <n v="30.223199999999999"/>
  </r>
  <r>
    <n v="4412"/>
    <x v="261"/>
    <x v="2"/>
    <x v="1"/>
    <d v="2011-06-24T00:00:00"/>
    <n v="3"/>
    <x v="2"/>
    <s v="Toby Braunhardt"/>
    <x v="0"/>
    <s v="United States"/>
    <s v="New York City"/>
    <s v="New York"/>
    <s v="East"/>
    <x v="1"/>
    <x v="10"/>
    <s v="Message Book, Phone, Wirebound Standard Line Memo, 2 3/4&quot; X 5&quot;"/>
    <x v="1783"/>
    <n v="3"/>
    <n v="0"/>
    <n v="9.0389999999999997"/>
  </r>
  <r>
    <n v="4413"/>
    <x v="261"/>
    <x v="2"/>
    <x v="1"/>
    <d v="2011-06-24T00:00:00"/>
    <n v="3"/>
    <x v="2"/>
    <s v="Toby Braunhardt"/>
    <x v="0"/>
    <s v="United States"/>
    <s v="New York City"/>
    <s v="New York"/>
    <s v="East"/>
    <x v="2"/>
    <x v="7"/>
    <s v="GE 2-Jack Phone Line Splitter"/>
    <x v="896"/>
    <n v="3"/>
    <n v="0"/>
    <n v="160.6722"/>
  </r>
  <r>
    <n v="4414"/>
    <x v="261"/>
    <x v="2"/>
    <x v="1"/>
    <d v="2011-06-24T00:00:00"/>
    <n v="3"/>
    <x v="2"/>
    <s v="Toby Braunhardt"/>
    <x v="0"/>
    <s v="United States"/>
    <s v="New York City"/>
    <s v="New York"/>
    <s v="East"/>
    <x v="1"/>
    <x v="9"/>
    <s v="Holmes Cool Mist Humidifier for the Whole House with 8-Gallon Output per Day, Extended Life Filter"/>
    <x v="3263"/>
    <n v="3"/>
    <n v="0"/>
    <n v="26.864999999999998"/>
  </r>
  <r>
    <n v="4415"/>
    <x v="971"/>
    <x v="3"/>
    <x v="6"/>
    <d v="2014-08-24T00:00:00"/>
    <n v="4"/>
    <x v="1"/>
    <s v="Jennifer Braxton"/>
    <x v="1"/>
    <s v="United States"/>
    <s v="Lawrence"/>
    <s v="Massachusetts"/>
    <s v="East"/>
    <x v="1"/>
    <x v="8"/>
    <s v="Fellowes PB300 Plastic Comb Binding Machine"/>
    <x v="3264"/>
    <n v="1"/>
    <n v="0"/>
    <n v="182.3553"/>
  </r>
  <r>
    <n v="4416"/>
    <x v="503"/>
    <x v="2"/>
    <x v="0"/>
    <d v="2011-12-06T00:00:00"/>
    <n v="7"/>
    <x v="1"/>
    <s v="Alan Hwang"/>
    <x v="0"/>
    <s v="United States"/>
    <s v="San Francisco"/>
    <s v="California"/>
    <s v="West"/>
    <x v="2"/>
    <x v="7"/>
    <s v="Wilson SignalBoost 841262 DB PRO Amplifier Kit"/>
    <x v="1169"/>
    <n v="2"/>
    <n v="0.2"/>
    <n v="71.989999999999995"/>
  </r>
  <r>
    <n v="4417"/>
    <x v="503"/>
    <x v="2"/>
    <x v="0"/>
    <d v="2011-12-06T00:00:00"/>
    <n v="7"/>
    <x v="1"/>
    <s v="Alan Hwang"/>
    <x v="0"/>
    <s v="United States"/>
    <s v="San Francisco"/>
    <s v="California"/>
    <s v="West"/>
    <x v="1"/>
    <x v="13"/>
    <s v="Staples"/>
    <x v="3265"/>
    <n v="5"/>
    <n v="0"/>
    <n v="15.2"/>
  </r>
  <r>
    <n v="4418"/>
    <x v="359"/>
    <x v="3"/>
    <x v="3"/>
    <d v="2014-04-13T00:00:00"/>
    <n v="3"/>
    <x v="0"/>
    <s v="Ken Lonsdale"/>
    <x v="0"/>
    <s v="United States"/>
    <s v="Detroit"/>
    <s v="Michigan"/>
    <s v="Central"/>
    <x v="1"/>
    <x v="8"/>
    <s v="GBC Recycled Regency Composition Covers"/>
    <x v="3266"/>
    <n v="8"/>
    <n v="0"/>
    <n v="219.99039999999999"/>
  </r>
  <r>
    <n v="4419"/>
    <x v="414"/>
    <x v="2"/>
    <x v="4"/>
    <d v="2011-12-27T00:00:00"/>
    <n v="7"/>
    <x v="1"/>
    <s v="Mark Hamilton"/>
    <x v="0"/>
    <s v="United States"/>
    <s v="Hamilton"/>
    <s v="Ohio"/>
    <s v="East"/>
    <x v="0"/>
    <x v="5"/>
    <s v="Eldon Cleatmat Plus Chair Mats for High Pile Carpets"/>
    <x v="3267"/>
    <n v="3"/>
    <n v="0.2"/>
    <n v="-21.470400000000001"/>
  </r>
  <r>
    <n v="4420"/>
    <x v="506"/>
    <x v="2"/>
    <x v="4"/>
    <d v="2011-12-24T00:00:00"/>
    <n v="7"/>
    <x v="1"/>
    <s v="Erin Creighton"/>
    <x v="0"/>
    <s v="United States"/>
    <s v="Columbus"/>
    <s v="Ohio"/>
    <s v="East"/>
    <x v="1"/>
    <x v="8"/>
    <s v="Newell 3-Hole Punched Plastic Slotted Magazine Holders for Binders"/>
    <x v="3268"/>
    <n v="4"/>
    <n v="0.7"/>
    <n v="-4.0216000000000003"/>
  </r>
  <r>
    <n v="4421"/>
    <x v="972"/>
    <x v="1"/>
    <x v="0"/>
    <d v="2012-11-21T00:00:00"/>
    <n v="4"/>
    <x v="0"/>
    <s v="Greg Hansen"/>
    <x v="0"/>
    <s v="United States"/>
    <s v="Chicago"/>
    <s v="Illinois"/>
    <s v="Central"/>
    <x v="1"/>
    <x v="14"/>
    <s v="Acme Box Cutter Scissors"/>
    <x v="3269"/>
    <n v="5"/>
    <n v="0.2"/>
    <n v="3.069"/>
  </r>
  <r>
    <n v="4422"/>
    <x v="530"/>
    <x v="2"/>
    <x v="10"/>
    <d v="2011-03-09T00:00:00"/>
    <n v="5"/>
    <x v="1"/>
    <s v="Sanjit Chand"/>
    <x v="0"/>
    <s v="United States"/>
    <s v="Margate"/>
    <s v="Florida"/>
    <s v="South"/>
    <x v="1"/>
    <x v="6"/>
    <s v="BIC Brite Liner Highlighters, Chisel Tip"/>
    <x v="12"/>
    <n v="3"/>
    <n v="0.2"/>
    <n v="2.3328000000000002"/>
  </r>
  <r>
    <n v="4423"/>
    <x v="796"/>
    <x v="3"/>
    <x v="5"/>
    <d v="2014-05-20T00:00:00"/>
    <n v="1"/>
    <x v="2"/>
    <s v="Todd Boyes"/>
    <x v="1"/>
    <s v="United States"/>
    <s v="Sandy Springs"/>
    <s v="Georgia"/>
    <s v="South"/>
    <x v="1"/>
    <x v="9"/>
    <s v="Acco Six-Outlet Power Strip, 4' Cord Length"/>
    <x v="3270"/>
    <n v="2"/>
    <n v="0"/>
    <n v="4.4824000000000002"/>
  </r>
  <r>
    <n v="4424"/>
    <x v="796"/>
    <x v="3"/>
    <x v="5"/>
    <d v="2014-05-20T00:00:00"/>
    <n v="1"/>
    <x v="2"/>
    <s v="Todd Boyes"/>
    <x v="1"/>
    <s v="United States"/>
    <s v="Sandy Springs"/>
    <s v="Georgia"/>
    <s v="South"/>
    <x v="0"/>
    <x v="0"/>
    <s v="Hon 4-Shelf Metal Bookcases"/>
    <x v="3271"/>
    <n v="3"/>
    <n v="0"/>
    <n v="75.734999999999999"/>
  </r>
  <r>
    <n v="4425"/>
    <x v="796"/>
    <x v="3"/>
    <x v="5"/>
    <d v="2014-05-20T00:00:00"/>
    <n v="1"/>
    <x v="2"/>
    <s v="Todd Boyes"/>
    <x v="1"/>
    <s v="United States"/>
    <s v="Sandy Springs"/>
    <s v="Georgia"/>
    <s v="South"/>
    <x v="2"/>
    <x v="7"/>
    <s v="QVS USB Car Charger 2-Port 2.1Amp for iPod/iPhone/iPad/iPad 2/iPad 3"/>
    <x v="3272"/>
    <n v="5"/>
    <n v="0"/>
    <n v="15.637499999999999"/>
  </r>
  <r>
    <n v="4426"/>
    <x v="796"/>
    <x v="3"/>
    <x v="5"/>
    <d v="2014-05-20T00:00:00"/>
    <n v="1"/>
    <x v="2"/>
    <s v="Todd Boyes"/>
    <x v="1"/>
    <s v="United States"/>
    <s v="Sandy Springs"/>
    <s v="Georgia"/>
    <s v="South"/>
    <x v="1"/>
    <x v="8"/>
    <s v="Poly Designer Cover &amp; Back"/>
    <x v="3273"/>
    <n v="6"/>
    <n v="0"/>
    <n v="54.691200000000002"/>
  </r>
  <r>
    <n v="4427"/>
    <x v="796"/>
    <x v="3"/>
    <x v="5"/>
    <d v="2014-05-20T00:00:00"/>
    <n v="1"/>
    <x v="2"/>
    <s v="Todd Boyes"/>
    <x v="1"/>
    <s v="United States"/>
    <s v="Sandy Springs"/>
    <s v="Georgia"/>
    <s v="South"/>
    <x v="2"/>
    <x v="7"/>
    <s v="Apple EarPods with Remote and Mic"/>
    <x v="389"/>
    <n v="2"/>
    <n v="0"/>
    <n v="15.6744"/>
  </r>
  <r>
    <n v="4428"/>
    <x v="585"/>
    <x v="3"/>
    <x v="8"/>
    <d v="2014-09-29T00:00:00"/>
    <n v="6"/>
    <x v="1"/>
    <s v="David Wiener"/>
    <x v="1"/>
    <s v="United States"/>
    <s v="Albuquerque"/>
    <s v="New Mexico"/>
    <s v="West"/>
    <x v="1"/>
    <x v="10"/>
    <s v="Southworth 25% Cotton Linen-Finish Paper &amp; Envelopes"/>
    <x v="3274"/>
    <n v="3"/>
    <n v="0"/>
    <n v="12.231"/>
  </r>
  <r>
    <n v="4429"/>
    <x v="708"/>
    <x v="3"/>
    <x v="10"/>
    <d v="2014-03-28T00:00:00"/>
    <n v="6"/>
    <x v="1"/>
    <s v="Clay Ludtke"/>
    <x v="0"/>
    <s v="United States"/>
    <s v="Tulsa"/>
    <s v="Oklahoma"/>
    <s v="Central"/>
    <x v="0"/>
    <x v="1"/>
    <s v="Global Leather and Oak Executive Chair, Black"/>
    <x v="3275"/>
    <n v="6"/>
    <n v="0"/>
    <n v="523.70519999999999"/>
  </r>
  <r>
    <n v="4430"/>
    <x v="32"/>
    <x v="3"/>
    <x v="8"/>
    <d v="2014-09-15T00:00:00"/>
    <n v="0"/>
    <x v="3"/>
    <s v="Liz Thompson"/>
    <x v="0"/>
    <s v="United States"/>
    <s v="Orange"/>
    <s v="New Jersey"/>
    <s v="East"/>
    <x v="1"/>
    <x v="6"/>
    <s v="Boston Home &amp; Office Model 2000 Electric Pencil Sharpeners"/>
    <x v="418"/>
    <n v="3"/>
    <n v="0"/>
    <n v="18.446999999999999"/>
  </r>
  <r>
    <n v="4431"/>
    <x v="54"/>
    <x v="0"/>
    <x v="0"/>
    <d v="2013-11-09T00:00:00"/>
    <n v="5"/>
    <x v="0"/>
    <s v="Arthur Prichep"/>
    <x v="0"/>
    <s v="United States"/>
    <s v="Henderson"/>
    <s v="Kentucky"/>
    <s v="South"/>
    <x v="1"/>
    <x v="13"/>
    <s v="Advantus Plastic Paper Clips"/>
    <x v="3276"/>
    <n v="4"/>
    <n v="0"/>
    <n v="9.6"/>
  </r>
  <r>
    <n v="4432"/>
    <x v="54"/>
    <x v="0"/>
    <x v="0"/>
    <d v="2013-11-09T00:00:00"/>
    <n v="5"/>
    <x v="0"/>
    <s v="Arthur Prichep"/>
    <x v="0"/>
    <s v="United States"/>
    <s v="Henderson"/>
    <s v="Kentucky"/>
    <s v="South"/>
    <x v="1"/>
    <x v="6"/>
    <s v="Economy #2 Pencils"/>
    <x v="3277"/>
    <n v="3"/>
    <n v="0"/>
    <n v="2.0748000000000002"/>
  </r>
  <r>
    <n v="4433"/>
    <x v="54"/>
    <x v="0"/>
    <x v="0"/>
    <d v="2013-11-09T00:00:00"/>
    <n v="5"/>
    <x v="0"/>
    <s v="Arthur Prichep"/>
    <x v="0"/>
    <s v="United States"/>
    <s v="Henderson"/>
    <s v="Kentucky"/>
    <s v="South"/>
    <x v="0"/>
    <x v="5"/>
    <s v="Magna Visual Magnetic Picture Hangers"/>
    <x v="899"/>
    <n v="5"/>
    <n v="0"/>
    <n v="9.1579999999999995"/>
  </r>
  <r>
    <n v="4434"/>
    <x v="54"/>
    <x v="0"/>
    <x v="0"/>
    <d v="2013-11-09T00:00:00"/>
    <n v="5"/>
    <x v="0"/>
    <s v="Arthur Prichep"/>
    <x v="0"/>
    <s v="United States"/>
    <s v="Henderson"/>
    <s v="Kentucky"/>
    <s v="South"/>
    <x v="1"/>
    <x v="6"/>
    <s v="Boston 16750 Black Compact Battery Pencil Sharpener"/>
    <x v="3278"/>
    <n v="1"/>
    <n v="0"/>
    <n v="2.625"/>
  </r>
  <r>
    <n v="4435"/>
    <x v="54"/>
    <x v="0"/>
    <x v="0"/>
    <d v="2013-11-09T00:00:00"/>
    <n v="5"/>
    <x v="0"/>
    <s v="Arthur Prichep"/>
    <x v="0"/>
    <s v="United States"/>
    <s v="Henderson"/>
    <s v="Kentucky"/>
    <s v="South"/>
    <x v="0"/>
    <x v="3"/>
    <s v="Global Adaptabilities Conference Tables"/>
    <x v="3279"/>
    <n v="3"/>
    <n v="0"/>
    <n v="160.15860000000001"/>
  </r>
  <r>
    <n v="4436"/>
    <x v="973"/>
    <x v="0"/>
    <x v="5"/>
    <d v="2013-05-09T00:00:00"/>
    <n v="5"/>
    <x v="1"/>
    <s v="Christy Brittain"/>
    <x v="0"/>
    <s v="United States"/>
    <s v="Chicago"/>
    <s v="Illinois"/>
    <s v="Central"/>
    <x v="1"/>
    <x v="8"/>
    <s v="Heavy-Duty E-Z-D Binders"/>
    <x v="3280"/>
    <n v="1"/>
    <n v="0.8"/>
    <n v="-3.6002999999999998"/>
  </r>
  <r>
    <n v="4437"/>
    <x v="973"/>
    <x v="0"/>
    <x v="5"/>
    <d v="2013-05-09T00:00:00"/>
    <n v="5"/>
    <x v="1"/>
    <s v="Christy Brittain"/>
    <x v="0"/>
    <s v="United States"/>
    <s v="Chicago"/>
    <s v="Illinois"/>
    <s v="Central"/>
    <x v="1"/>
    <x v="6"/>
    <s v="Newell 316"/>
    <x v="3281"/>
    <n v="7"/>
    <n v="0.2"/>
    <n v="2.7383999999999999"/>
  </r>
  <r>
    <n v="4438"/>
    <x v="973"/>
    <x v="0"/>
    <x v="5"/>
    <d v="2013-05-09T00:00:00"/>
    <n v="5"/>
    <x v="1"/>
    <s v="Christy Brittain"/>
    <x v="0"/>
    <s v="United States"/>
    <s v="Chicago"/>
    <s v="Illinois"/>
    <s v="Central"/>
    <x v="1"/>
    <x v="9"/>
    <s v="Acco Smartsocket Color-Coded Six-Outlet AC Adapter Model Surge Protectors"/>
    <x v="3282"/>
    <n v="3"/>
    <n v="0.8"/>
    <n v="-71.296199999999999"/>
  </r>
  <r>
    <n v="4439"/>
    <x v="797"/>
    <x v="0"/>
    <x v="4"/>
    <d v="2014-01-03T00:00:00"/>
    <n v="6"/>
    <x v="1"/>
    <s v="Meg Tillman"/>
    <x v="0"/>
    <s v="United States"/>
    <s v="Port Arthur"/>
    <s v="Texas"/>
    <s v="Central"/>
    <x v="1"/>
    <x v="10"/>
    <s v="Xerox 214"/>
    <x v="559"/>
    <n v="2"/>
    <n v="0.2"/>
    <n v="3.6288"/>
  </r>
  <r>
    <n v="4440"/>
    <x v="797"/>
    <x v="0"/>
    <x v="4"/>
    <d v="2014-01-03T00:00:00"/>
    <n v="6"/>
    <x v="1"/>
    <s v="Meg Tillman"/>
    <x v="0"/>
    <s v="United States"/>
    <s v="Port Arthur"/>
    <s v="Texas"/>
    <s v="Central"/>
    <x v="1"/>
    <x v="10"/>
    <s v="It's Hot Message Books with Stickers, 2 3/4&quot; x 5&quot;"/>
    <x v="208"/>
    <n v="4"/>
    <n v="0.2"/>
    <n v="7.4"/>
  </r>
  <r>
    <n v="4441"/>
    <x v="405"/>
    <x v="0"/>
    <x v="7"/>
    <d v="2013-07-27T00:00:00"/>
    <n v="4"/>
    <x v="1"/>
    <s v="Dennis Kane"/>
    <x v="0"/>
    <s v="United States"/>
    <s v="Westland"/>
    <s v="Michigan"/>
    <s v="Central"/>
    <x v="2"/>
    <x v="11"/>
    <s v="Plantronics Audio 995 Wireless Stereo Headset"/>
    <x v="3283"/>
    <n v="1"/>
    <n v="0"/>
    <n v="36.283499999999997"/>
  </r>
  <r>
    <n v="4442"/>
    <x v="405"/>
    <x v="0"/>
    <x v="7"/>
    <d v="2013-07-27T00:00:00"/>
    <n v="4"/>
    <x v="1"/>
    <s v="Dennis Kane"/>
    <x v="0"/>
    <s v="United States"/>
    <s v="Westland"/>
    <s v="Michigan"/>
    <s v="Central"/>
    <x v="1"/>
    <x v="4"/>
    <s v="Fellowes Staxonsteel Drawer Files"/>
    <x v="3284"/>
    <n v="5"/>
    <n v="0"/>
    <n v="135.21899999999999"/>
  </r>
  <r>
    <n v="4443"/>
    <x v="405"/>
    <x v="0"/>
    <x v="7"/>
    <d v="2013-07-27T00:00:00"/>
    <n v="4"/>
    <x v="1"/>
    <s v="Dennis Kane"/>
    <x v="0"/>
    <s v="United States"/>
    <s v="Westland"/>
    <s v="Michigan"/>
    <s v="Central"/>
    <x v="1"/>
    <x v="6"/>
    <s v="Avery Hi-Liter Smear-Safe Highlighters"/>
    <x v="2580"/>
    <n v="5"/>
    <n v="0"/>
    <n v="10.512"/>
  </r>
  <r>
    <n v="4444"/>
    <x v="405"/>
    <x v="0"/>
    <x v="7"/>
    <d v="2013-07-27T00:00:00"/>
    <n v="4"/>
    <x v="1"/>
    <s v="Dennis Kane"/>
    <x v="0"/>
    <s v="United States"/>
    <s v="Westland"/>
    <s v="Michigan"/>
    <s v="Central"/>
    <x v="1"/>
    <x v="10"/>
    <s v="Xerox 192"/>
    <x v="56"/>
    <n v="5"/>
    <n v="0"/>
    <n v="15.552"/>
  </r>
  <r>
    <n v="4445"/>
    <x v="912"/>
    <x v="2"/>
    <x v="0"/>
    <d v="2011-11-21T00:00:00"/>
    <n v="5"/>
    <x v="1"/>
    <s v="Steven Roelle"/>
    <x v="2"/>
    <s v="United States"/>
    <s v="Bloomington"/>
    <s v="Indiana"/>
    <s v="Central"/>
    <x v="1"/>
    <x v="12"/>
    <s v="#10 White Business Envelopes,4 1/8 x 9 1/2"/>
    <x v="2506"/>
    <n v="5"/>
    <n v="0"/>
    <n v="36.8245"/>
  </r>
  <r>
    <n v="4446"/>
    <x v="912"/>
    <x v="2"/>
    <x v="0"/>
    <d v="2011-11-21T00:00:00"/>
    <n v="5"/>
    <x v="1"/>
    <s v="Steven Roelle"/>
    <x v="2"/>
    <s v="United States"/>
    <s v="Bloomington"/>
    <s v="Indiana"/>
    <s v="Central"/>
    <x v="1"/>
    <x v="10"/>
    <s v="Xerox 1954"/>
    <x v="2458"/>
    <n v="6"/>
    <n v="0"/>
    <n v="14.256"/>
  </r>
  <r>
    <n v="4447"/>
    <x v="912"/>
    <x v="2"/>
    <x v="0"/>
    <d v="2011-11-21T00:00:00"/>
    <n v="5"/>
    <x v="1"/>
    <s v="Steven Roelle"/>
    <x v="2"/>
    <s v="United States"/>
    <s v="Bloomington"/>
    <s v="Indiana"/>
    <s v="Central"/>
    <x v="1"/>
    <x v="8"/>
    <s v="Wilson Jones Active Use Binders"/>
    <x v="2021"/>
    <n v="4"/>
    <n v="0"/>
    <n v="14.268800000000001"/>
  </r>
  <r>
    <n v="4448"/>
    <x v="912"/>
    <x v="2"/>
    <x v="0"/>
    <d v="2011-11-21T00:00:00"/>
    <n v="5"/>
    <x v="1"/>
    <s v="Steven Roelle"/>
    <x v="2"/>
    <s v="United States"/>
    <s v="Bloomington"/>
    <s v="Indiana"/>
    <s v="Central"/>
    <x v="1"/>
    <x v="4"/>
    <s v="File Shuttle II and Handi-File, Black"/>
    <x v="3285"/>
    <n v="5"/>
    <n v="0"/>
    <n v="42.362499999999997"/>
  </r>
  <r>
    <n v="4449"/>
    <x v="974"/>
    <x v="1"/>
    <x v="1"/>
    <d v="2012-06-23T00:00:00"/>
    <n v="4"/>
    <x v="1"/>
    <s v="Logan Haushalter"/>
    <x v="0"/>
    <s v="United States"/>
    <s v="Los Angeles"/>
    <s v="California"/>
    <s v="West"/>
    <x v="0"/>
    <x v="5"/>
    <s v="Eldon 200 Class Desk Accessories"/>
    <x v="2345"/>
    <n v="2"/>
    <n v="0"/>
    <n v="4.0191999999999997"/>
  </r>
  <r>
    <n v="4450"/>
    <x v="974"/>
    <x v="1"/>
    <x v="1"/>
    <d v="2012-06-23T00:00:00"/>
    <n v="4"/>
    <x v="1"/>
    <s v="Logan Haushalter"/>
    <x v="0"/>
    <s v="United States"/>
    <s v="Los Angeles"/>
    <s v="California"/>
    <s v="West"/>
    <x v="1"/>
    <x v="10"/>
    <s v="Xerox 231"/>
    <x v="90"/>
    <n v="1"/>
    <n v="0"/>
    <n v="3.1103999999999998"/>
  </r>
  <r>
    <n v="4451"/>
    <x v="974"/>
    <x v="1"/>
    <x v="1"/>
    <d v="2012-06-23T00:00:00"/>
    <n v="4"/>
    <x v="1"/>
    <s v="Logan Haushalter"/>
    <x v="0"/>
    <s v="United States"/>
    <s v="Los Angeles"/>
    <s v="California"/>
    <s v="West"/>
    <x v="1"/>
    <x v="12"/>
    <s v="Cameo Buff Policy Envelopes"/>
    <x v="731"/>
    <n v="3"/>
    <n v="0"/>
    <n v="87.744299999999996"/>
  </r>
  <r>
    <n v="4452"/>
    <x v="975"/>
    <x v="0"/>
    <x v="7"/>
    <d v="2013-07-07T00:00:00"/>
    <n v="2"/>
    <x v="2"/>
    <s v="Anna Andreadi"/>
    <x v="0"/>
    <s v="United States"/>
    <s v="San Francisco"/>
    <s v="California"/>
    <s v="West"/>
    <x v="0"/>
    <x v="5"/>
    <s v="Master Caster Door Stop, Brown"/>
    <x v="3286"/>
    <n v="5"/>
    <n v="0"/>
    <n v="8.6359999999999992"/>
  </r>
  <r>
    <n v="4453"/>
    <x v="975"/>
    <x v="0"/>
    <x v="7"/>
    <d v="2013-07-07T00:00:00"/>
    <n v="2"/>
    <x v="2"/>
    <s v="Anna Andreadi"/>
    <x v="0"/>
    <s v="United States"/>
    <s v="San Francisco"/>
    <s v="California"/>
    <s v="West"/>
    <x v="1"/>
    <x v="12"/>
    <s v="Inter-Office Recycled Envelopes, Brown Kraft, Button-String,10&quot; x 13&quot; , 100/Box"/>
    <x v="3287"/>
    <n v="2"/>
    <n v="0"/>
    <n v="20.661200000000001"/>
  </r>
  <r>
    <n v="4454"/>
    <x v="975"/>
    <x v="0"/>
    <x v="7"/>
    <d v="2013-07-07T00:00:00"/>
    <n v="2"/>
    <x v="2"/>
    <s v="Anna Andreadi"/>
    <x v="0"/>
    <s v="United States"/>
    <s v="San Francisco"/>
    <s v="California"/>
    <s v="West"/>
    <x v="0"/>
    <x v="0"/>
    <s v="Atlantic Metals Mobile 5-Shelf Bookcases, Custom Colors"/>
    <x v="3288"/>
    <n v="5"/>
    <n v="0.15"/>
    <n v="225.73500000000001"/>
  </r>
  <r>
    <n v="4455"/>
    <x v="975"/>
    <x v="0"/>
    <x v="7"/>
    <d v="2013-07-07T00:00:00"/>
    <n v="2"/>
    <x v="2"/>
    <s v="Anna Andreadi"/>
    <x v="0"/>
    <s v="United States"/>
    <s v="San Francisco"/>
    <s v="California"/>
    <s v="West"/>
    <x v="1"/>
    <x v="4"/>
    <s v="Eldon Shelf Savers Cubes and Bins"/>
    <x v="3289"/>
    <n v="4"/>
    <n v="0"/>
    <n v="0.55840000000000001"/>
  </r>
  <r>
    <n v="4456"/>
    <x v="37"/>
    <x v="1"/>
    <x v="8"/>
    <d v="2012-09-08T00:00:00"/>
    <n v="5"/>
    <x v="1"/>
    <s v="Ann Steele"/>
    <x v="2"/>
    <s v="United States"/>
    <s v="San Francisco"/>
    <s v="California"/>
    <s v="West"/>
    <x v="0"/>
    <x v="1"/>
    <s v="Office Star - Ergonomically Designed Knee Chair"/>
    <x v="431"/>
    <n v="2"/>
    <n v="0.2"/>
    <n v="-12.956799999999999"/>
  </r>
  <r>
    <n v="4457"/>
    <x v="37"/>
    <x v="1"/>
    <x v="8"/>
    <d v="2012-09-08T00:00:00"/>
    <n v="5"/>
    <x v="1"/>
    <s v="Ann Steele"/>
    <x v="2"/>
    <s v="United States"/>
    <s v="San Francisco"/>
    <s v="California"/>
    <s v="West"/>
    <x v="1"/>
    <x v="8"/>
    <s v="Avery Durable Slant Ring Binders, No Labels"/>
    <x v="2850"/>
    <n v="2"/>
    <n v="0.2"/>
    <n v="2.1492"/>
  </r>
  <r>
    <n v="4458"/>
    <x v="783"/>
    <x v="3"/>
    <x v="6"/>
    <d v="2014-08-13T00:00:00"/>
    <n v="5"/>
    <x v="1"/>
    <s v="Matt Collins"/>
    <x v="0"/>
    <s v="United States"/>
    <s v="San Jose"/>
    <s v="California"/>
    <s v="West"/>
    <x v="1"/>
    <x v="10"/>
    <s v="Xerox 1891"/>
    <x v="1644"/>
    <n v="5"/>
    <n v="0"/>
    <n v="114.9385"/>
  </r>
  <r>
    <n v="4459"/>
    <x v="677"/>
    <x v="3"/>
    <x v="10"/>
    <d v="2014-03-21T00:00:00"/>
    <n v="7"/>
    <x v="1"/>
    <s v="Sanjit Engle"/>
    <x v="0"/>
    <s v="United States"/>
    <s v="Denver"/>
    <s v="Colorado"/>
    <s v="West"/>
    <x v="1"/>
    <x v="14"/>
    <s v="Martin Yale Chadless Opener Electric Letter Opener"/>
    <x v="3290"/>
    <n v="2"/>
    <n v="0.2"/>
    <n v="-299.8116"/>
  </r>
  <r>
    <n v="4460"/>
    <x v="394"/>
    <x v="3"/>
    <x v="8"/>
    <d v="2014-10-02T00:00:00"/>
    <n v="3"/>
    <x v="2"/>
    <s v="Darrin Sayre"/>
    <x v="2"/>
    <s v="United States"/>
    <s v="Aurora"/>
    <s v="Colorado"/>
    <s v="West"/>
    <x v="0"/>
    <x v="5"/>
    <s v="Dana Halogen Swing-Arm Architect Lamp"/>
    <x v="3291"/>
    <n v="1"/>
    <n v="0.2"/>
    <n v="3.2776000000000001"/>
  </r>
  <r>
    <n v="4461"/>
    <x v="394"/>
    <x v="3"/>
    <x v="8"/>
    <d v="2014-10-02T00:00:00"/>
    <n v="3"/>
    <x v="2"/>
    <s v="Darrin Sayre"/>
    <x v="2"/>
    <s v="United States"/>
    <s v="Aurora"/>
    <s v="Colorado"/>
    <s v="West"/>
    <x v="1"/>
    <x v="4"/>
    <s v="Gould Plastics 18-Pocket Panel Bin, 34w x 5-1/4d x 20-1/2h"/>
    <x v="2706"/>
    <n v="2"/>
    <n v="0.2"/>
    <n v="-29.436800000000002"/>
  </r>
  <r>
    <n v="4462"/>
    <x v="394"/>
    <x v="3"/>
    <x v="8"/>
    <d v="2014-10-02T00:00:00"/>
    <n v="3"/>
    <x v="2"/>
    <s v="Darrin Sayre"/>
    <x v="2"/>
    <s v="United States"/>
    <s v="Aurora"/>
    <s v="Colorado"/>
    <s v="West"/>
    <x v="2"/>
    <x v="11"/>
    <s v="Lenovo 17-Key USB Numeric Keypad"/>
    <x v="157"/>
    <n v="2"/>
    <n v="0.2"/>
    <n v="1.3595999999999999"/>
  </r>
  <r>
    <n v="4463"/>
    <x v="394"/>
    <x v="3"/>
    <x v="8"/>
    <d v="2014-10-02T00:00:00"/>
    <n v="3"/>
    <x v="2"/>
    <s v="Darrin Sayre"/>
    <x v="2"/>
    <s v="United States"/>
    <s v="Aurora"/>
    <s v="Colorado"/>
    <s v="West"/>
    <x v="1"/>
    <x v="8"/>
    <s v="GBC DocuBind P50 Personal Binding Machine"/>
    <x v="1963"/>
    <n v="4"/>
    <n v="0.7"/>
    <n v="-58.861600000000003"/>
  </r>
  <r>
    <n v="4464"/>
    <x v="394"/>
    <x v="3"/>
    <x v="8"/>
    <d v="2014-10-02T00:00:00"/>
    <n v="3"/>
    <x v="2"/>
    <s v="Darrin Sayre"/>
    <x v="2"/>
    <s v="United States"/>
    <s v="Aurora"/>
    <s v="Colorado"/>
    <s v="West"/>
    <x v="1"/>
    <x v="10"/>
    <s v="Xerox 1992"/>
    <x v="642"/>
    <n v="3"/>
    <n v="0.2"/>
    <n v="5.2026000000000003"/>
  </r>
  <r>
    <n v="4465"/>
    <x v="394"/>
    <x v="3"/>
    <x v="8"/>
    <d v="2014-10-02T00:00:00"/>
    <n v="3"/>
    <x v="2"/>
    <s v="Darrin Sayre"/>
    <x v="2"/>
    <s v="United States"/>
    <s v="Aurora"/>
    <s v="Colorado"/>
    <s v="West"/>
    <x v="1"/>
    <x v="9"/>
    <s v="Kensington 7 Outlet MasterPiece HOMEOFFICE Power Control Center"/>
    <x v="3292"/>
    <n v="2"/>
    <n v="0.2"/>
    <n v="26.224"/>
  </r>
  <r>
    <n v="4466"/>
    <x v="976"/>
    <x v="1"/>
    <x v="6"/>
    <d v="2012-08-11T00:00:00"/>
    <n v="4"/>
    <x v="1"/>
    <s v="Noel Staavos"/>
    <x v="1"/>
    <s v="United States"/>
    <s v="Boise"/>
    <s v="Idaho"/>
    <s v="West"/>
    <x v="1"/>
    <x v="8"/>
    <s v="ACCOHIDE 3-Ring Binder, Blue, 1&quot;"/>
    <x v="106"/>
    <n v="1"/>
    <n v="0.2"/>
    <n v="1.1151"/>
  </r>
  <r>
    <n v="4467"/>
    <x v="221"/>
    <x v="3"/>
    <x v="0"/>
    <d v="2014-12-02T00:00:00"/>
    <n v="7"/>
    <x v="1"/>
    <s v="Kelly Andreada"/>
    <x v="0"/>
    <s v="United States"/>
    <s v="New York City"/>
    <s v="New York"/>
    <s v="East"/>
    <x v="1"/>
    <x v="6"/>
    <s v="Crayola Anti Dust Chalk, 12/Pack"/>
    <x v="3293"/>
    <n v="9"/>
    <n v="0"/>
    <n v="7.3710000000000004"/>
  </r>
  <r>
    <n v="4468"/>
    <x v="221"/>
    <x v="3"/>
    <x v="0"/>
    <d v="2014-12-02T00:00:00"/>
    <n v="7"/>
    <x v="1"/>
    <s v="Kelly Andreada"/>
    <x v="0"/>
    <s v="United States"/>
    <s v="New York City"/>
    <s v="New York"/>
    <s v="East"/>
    <x v="1"/>
    <x v="12"/>
    <s v="Ames Color-File Green Diamond Border X-ray Mailers"/>
    <x v="1229"/>
    <n v="2"/>
    <n v="0"/>
    <n v="78.941199999999995"/>
  </r>
  <r>
    <n v="4469"/>
    <x v="221"/>
    <x v="3"/>
    <x v="0"/>
    <d v="2014-12-02T00:00:00"/>
    <n v="7"/>
    <x v="1"/>
    <s v="Kelly Andreada"/>
    <x v="0"/>
    <s v="United States"/>
    <s v="New York City"/>
    <s v="New York"/>
    <s v="East"/>
    <x v="0"/>
    <x v="0"/>
    <s v="O'Sullivan Plantations 2-Door Library in Landvery Oak"/>
    <x v="243"/>
    <n v="2"/>
    <n v="0.2"/>
    <n v="-16.078399999999998"/>
  </r>
  <r>
    <n v="4470"/>
    <x v="221"/>
    <x v="3"/>
    <x v="0"/>
    <d v="2014-12-02T00:00:00"/>
    <n v="7"/>
    <x v="1"/>
    <s v="Kelly Andreada"/>
    <x v="0"/>
    <s v="United States"/>
    <s v="New York City"/>
    <s v="New York"/>
    <s v="East"/>
    <x v="1"/>
    <x v="10"/>
    <s v="Xerox 214"/>
    <x v="91"/>
    <n v="2"/>
    <n v="0"/>
    <n v="6.2207999999999997"/>
  </r>
  <r>
    <n v="4471"/>
    <x v="540"/>
    <x v="3"/>
    <x v="5"/>
    <d v="2014-05-13T00:00:00"/>
    <n v="4"/>
    <x v="1"/>
    <s v="Don Jones"/>
    <x v="1"/>
    <s v="United States"/>
    <s v="Philadelphia"/>
    <s v="Pennsylvania"/>
    <s v="East"/>
    <x v="0"/>
    <x v="1"/>
    <s v="Global Armless Task Chair, Royal Blue"/>
    <x v="3294"/>
    <n v="3"/>
    <n v="0.3"/>
    <n v="-23.7822"/>
  </r>
  <r>
    <n v="4472"/>
    <x v="365"/>
    <x v="3"/>
    <x v="8"/>
    <d v="2014-09-30T00:00:00"/>
    <n v="0"/>
    <x v="3"/>
    <s v="Maureen Gastineau"/>
    <x v="2"/>
    <s v="United States"/>
    <s v="Mentor"/>
    <s v="Ohio"/>
    <s v="East"/>
    <x v="0"/>
    <x v="1"/>
    <s v="Global Wood Trimmed Manager's Task Chair, Khaki"/>
    <x v="1330"/>
    <n v="1"/>
    <n v="0.3"/>
    <n v="-15.4666"/>
  </r>
  <r>
    <n v="4473"/>
    <x v="365"/>
    <x v="3"/>
    <x v="8"/>
    <d v="2014-09-30T00:00:00"/>
    <n v="0"/>
    <x v="3"/>
    <s v="Maureen Gastineau"/>
    <x v="2"/>
    <s v="United States"/>
    <s v="Mentor"/>
    <s v="Ohio"/>
    <s v="East"/>
    <x v="2"/>
    <x v="11"/>
    <s v="Logitech G700s Rechargeable Gaming Mouse"/>
    <x v="1946"/>
    <n v="3"/>
    <n v="0.2"/>
    <n v="65.993399999999994"/>
  </r>
  <r>
    <n v="4474"/>
    <x v="365"/>
    <x v="3"/>
    <x v="8"/>
    <d v="2014-09-30T00:00:00"/>
    <n v="0"/>
    <x v="3"/>
    <s v="Maureen Gastineau"/>
    <x v="2"/>
    <s v="United States"/>
    <s v="Mentor"/>
    <s v="Ohio"/>
    <s v="East"/>
    <x v="0"/>
    <x v="3"/>
    <s v="Riverside Furniture Stanwyck Manor Table Series"/>
    <x v="2408"/>
    <n v="2"/>
    <n v="0.4"/>
    <n v="-189.321"/>
  </r>
  <r>
    <n v="4475"/>
    <x v="365"/>
    <x v="3"/>
    <x v="8"/>
    <d v="2014-09-30T00:00:00"/>
    <n v="0"/>
    <x v="3"/>
    <s v="Maureen Gastineau"/>
    <x v="2"/>
    <s v="United States"/>
    <s v="Mentor"/>
    <s v="Ohio"/>
    <s v="East"/>
    <x v="1"/>
    <x v="10"/>
    <s v="Xerox 227"/>
    <x v="12"/>
    <n v="3"/>
    <n v="0.2"/>
    <n v="5.4432"/>
  </r>
  <r>
    <n v="4476"/>
    <x v="365"/>
    <x v="3"/>
    <x v="8"/>
    <d v="2014-09-30T00:00:00"/>
    <n v="0"/>
    <x v="3"/>
    <s v="Maureen Gastineau"/>
    <x v="2"/>
    <s v="United States"/>
    <s v="Mentor"/>
    <s v="Ohio"/>
    <s v="East"/>
    <x v="0"/>
    <x v="5"/>
    <s v="G.E. Longer-Life Indoor Recessed Floodlight Bulbs"/>
    <x v="3295"/>
    <n v="4"/>
    <n v="0.2"/>
    <n v="7.4367999999999999"/>
  </r>
  <r>
    <n v="4477"/>
    <x v="365"/>
    <x v="3"/>
    <x v="8"/>
    <d v="2014-09-30T00:00:00"/>
    <n v="0"/>
    <x v="3"/>
    <s v="Maureen Gastineau"/>
    <x v="2"/>
    <s v="United States"/>
    <s v="Mentor"/>
    <s v="Ohio"/>
    <s v="East"/>
    <x v="1"/>
    <x v="10"/>
    <s v="Xerox 1928"/>
    <x v="578"/>
    <n v="2"/>
    <n v="0.2"/>
    <n v="2.64"/>
  </r>
  <r>
    <n v="4478"/>
    <x v="760"/>
    <x v="3"/>
    <x v="2"/>
    <d v="2014-10-23T00:00:00"/>
    <n v="0"/>
    <x v="3"/>
    <s v="Brian DeCherney"/>
    <x v="0"/>
    <s v="United States"/>
    <s v="Lawton"/>
    <s v="Oklahoma"/>
    <s v="Central"/>
    <x v="1"/>
    <x v="4"/>
    <s v="Fellowes Recycled Storage Drawers"/>
    <x v="3296"/>
    <n v="3"/>
    <n v="0"/>
    <n v="23.316299999999998"/>
  </r>
  <r>
    <n v="4479"/>
    <x v="760"/>
    <x v="3"/>
    <x v="2"/>
    <d v="2014-10-23T00:00:00"/>
    <n v="0"/>
    <x v="3"/>
    <s v="Brian DeCherney"/>
    <x v="0"/>
    <s v="United States"/>
    <s v="Lawton"/>
    <s v="Oklahoma"/>
    <s v="Central"/>
    <x v="0"/>
    <x v="3"/>
    <s v="Bevis 36 x 72 Conference Tables"/>
    <x v="3297"/>
    <n v="2"/>
    <n v="0"/>
    <n v="54.775599999999997"/>
  </r>
  <r>
    <n v="4480"/>
    <x v="977"/>
    <x v="2"/>
    <x v="10"/>
    <d v="2011-03-28T00:00:00"/>
    <n v="4"/>
    <x v="1"/>
    <s v="Carlos Daly"/>
    <x v="0"/>
    <s v="United States"/>
    <s v="New York City"/>
    <s v="New York"/>
    <s v="East"/>
    <x v="1"/>
    <x v="10"/>
    <s v="Xerox 190"/>
    <x v="1663"/>
    <n v="5"/>
    <n v="0"/>
    <n v="11.702999999999999"/>
  </r>
  <r>
    <n v="4481"/>
    <x v="54"/>
    <x v="0"/>
    <x v="0"/>
    <d v="2013-11-09T00:00:00"/>
    <n v="5"/>
    <x v="1"/>
    <s v="Xylona Preis"/>
    <x v="0"/>
    <s v="United States"/>
    <s v="Los Angeles"/>
    <s v="California"/>
    <s v="West"/>
    <x v="1"/>
    <x v="13"/>
    <s v="Stockwell Push Pins"/>
    <x v="53"/>
    <n v="7"/>
    <n v="0"/>
    <n v="5.0358000000000001"/>
  </r>
  <r>
    <n v="4482"/>
    <x v="54"/>
    <x v="0"/>
    <x v="0"/>
    <d v="2013-11-09T00:00:00"/>
    <n v="5"/>
    <x v="1"/>
    <s v="Xylona Preis"/>
    <x v="0"/>
    <s v="United States"/>
    <s v="Los Angeles"/>
    <s v="California"/>
    <s v="West"/>
    <x v="1"/>
    <x v="9"/>
    <s v="Holmes 99% HEPA Air Purifier"/>
    <x v="3298"/>
    <n v="2"/>
    <n v="0"/>
    <n v="14.2956"/>
  </r>
  <r>
    <n v="4483"/>
    <x v="54"/>
    <x v="0"/>
    <x v="0"/>
    <d v="2013-11-09T00:00:00"/>
    <n v="5"/>
    <x v="1"/>
    <s v="Xylona Preis"/>
    <x v="0"/>
    <s v="United States"/>
    <s v="Los Angeles"/>
    <s v="California"/>
    <s v="West"/>
    <x v="1"/>
    <x v="8"/>
    <s v="Avery Durable Plastic 1&quot; Binders"/>
    <x v="2185"/>
    <n v="12"/>
    <n v="0.2"/>
    <n v="15.799200000000001"/>
  </r>
  <r>
    <n v="4484"/>
    <x v="54"/>
    <x v="0"/>
    <x v="0"/>
    <d v="2013-11-09T00:00:00"/>
    <n v="5"/>
    <x v="1"/>
    <s v="Xylona Preis"/>
    <x v="0"/>
    <s v="United States"/>
    <s v="Los Angeles"/>
    <s v="California"/>
    <s v="West"/>
    <x v="1"/>
    <x v="10"/>
    <s v="Xerox 1892"/>
    <x v="2207"/>
    <n v="3"/>
    <n v="0"/>
    <n v="56.977200000000003"/>
  </r>
  <r>
    <n v="4485"/>
    <x v="54"/>
    <x v="0"/>
    <x v="0"/>
    <d v="2013-11-09T00:00:00"/>
    <n v="5"/>
    <x v="1"/>
    <s v="Xylona Preis"/>
    <x v="0"/>
    <s v="United States"/>
    <s v="Los Angeles"/>
    <s v="California"/>
    <s v="West"/>
    <x v="1"/>
    <x v="8"/>
    <s v="Fellowes Black Plastic Comb Bindings"/>
    <x v="3299"/>
    <n v="2"/>
    <n v="0.2"/>
    <n v="3.0211999999999999"/>
  </r>
  <r>
    <n v="4486"/>
    <x v="54"/>
    <x v="0"/>
    <x v="0"/>
    <d v="2013-11-09T00:00:00"/>
    <n v="5"/>
    <x v="1"/>
    <s v="Xylona Preis"/>
    <x v="0"/>
    <s v="United States"/>
    <s v="Los Angeles"/>
    <s v="California"/>
    <s v="West"/>
    <x v="1"/>
    <x v="10"/>
    <s v="Xerox 22"/>
    <x v="537"/>
    <n v="3"/>
    <n v="0"/>
    <n v="9.3312000000000008"/>
  </r>
  <r>
    <n v="4487"/>
    <x v="54"/>
    <x v="0"/>
    <x v="0"/>
    <d v="2013-11-09T00:00:00"/>
    <n v="5"/>
    <x v="1"/>
    <s v="Xylona Preis"/>
    <x v="0"/>
    <s v="United States"/>
    <s v="Los Angeles"/>
    <s v="California"/>
    <s v="West"/>
    <x v="1"/>
    <x v="10"/>
    <s v="Multicolor Computer Printout Paper"/>
    <x v="1806"/>
    <n v="3"/>
    <n v="0"/>
    <n v="150.98400000000001"/>
  </r>
  <r>
    <n v="4488"/>
    <x v="577"/>
    <x v="1"/>
    <x v="8"/>
    <d v="2012-09-11T00:00:00"/>
    <n v="6"/>
    <x v="1"/>
    <s v="Cathy Armstrong"/>
    <x v="2"/>
    <s v="United States"/>
    <s v="Houston"/>
    <s v="Texas"/>
    <s v="Central"/>
    <x v="1"/>
    <x v="8"/>
    <s v="Acco Flexible ACCOHIDE Square Ring Data Binder, Dark Blue, 11 1/2&quot; X 14&quot; 7/8&quot;"/>
    <x v="3300"/>
    <n v="5"/>
    <n v="0.8"/>
    <n v="-25.218499999999999"/>
  </r>
  <r>
    <n v="4489"/>
    <x v="577"/>
    <x v="1"/>
    <x v="8"/>
    <d v="2012-09-11T00:00:00"/>
    <n v="6"/>
    <x v="1"/>
    <s v="Cathy Armstrong"/>
    <x v="2"/>
    <s v="United States"/>
    <s v="Houston"/>
    <s v="Texas"/>
    <s v="Central"/>
    <x v="1"/>
    <x v="14"/>
    <s v="Stiletto Hand Letter Openers"/>
    <x v="3301"/>
    <n v="9"/>
    <n v="0.2"/>
    <n v="-14.688000000000001"/>
  </r>
  <r>
    <n v="4490"/>
    <x v="577"/>
    <x v="1"/>
    <x v="8"/>
    <d v="2012-09-11T00:00:00"/>
    <n v="6"/>
    <x v="1"/>
    <s v="Cathy Armstrong"/>
    <x v="2"/>
    <s v="United States"/>
    <s v="Houston"/>
    <s v="Texas"/>
    <s v="Central"/>
    <x v="1"/>
    <x v="8"/>
    <s v="Acco Four Pocket Poly Ring Binder with Label Holder, Smoke, 1&quot;"/>
    <x v="3302"/>
    <n v="3"/>
    <n v="0.8"/>
    <n v="-7.8224999999999998"/>
  </r>
  <r>
    <n v="4491"/>
    <x v="718"/>
    <x v="3"/>
    <x v="6"/>
    <d v="2014-08-22T00:00:00"/>
    <n v="7"/>
    <x v="1"/>
    <s v="Janet Martin"/>
    <x v="0"/>
    <s v="United States"/>
    <s v="Los Angeles"/>
    <s v="California"/>
    <s v="West"/>
    <x v="0"/>
    <x v="3"/>
    <s v="Chromcraft Round Conference Tables"/>
    <x v="3303"/>
    <n v="3"/>
    <n v="0.2"/>
    <n v="5.2286999999999999"/>
  </r>
  <r>
    <n v="4492"/>
    <x v="588"/>
    <x v="2"/>
    <x v="4"/>
    <d v="2011-12-03T00:00:00"/>
    <n v="2"/>
    <x v="0"/>
    <s v="Joe Kamberova"/>
    <x v="0"/>
    <s v="United States"/>
    <s v="Columbus"/>
    <s v="Ohio"/>
    <s v="East"/>
    <x v="2"/>
    <x v="16"/>
    <s v="Sharp 1540cs Digital Laser Copier"/>
    <x v="3304"/>
    <n v="2"/>
    <n v="0.4"/>
    <n v="109.998"/>
  </r>
  <r>
    <n v="4493"/>
    <x v="588"/>
    <x v="2"/>
    <x v="4"/>
    <d v="2011-12-03T00:00:00"/>
    <n v="2"/>
    <x v="0"/>
    <s v="Joe Kamberova"/>
    <x v="0"/>
    <s v="United States"/>
    <s v="Columbus"/>
    <s v="Ohio"/>
    <s v="East"/>
    <x v="0"/>
    <x v="5"/>
    <s v="Master Caster Door Stop, Brown"/>
    <x v="3305"/>
    <n v="2"/>
    <n v="0.2"/>
    <n v="1.4224000000000001"/>
  </r>
  <r>
    <n v="4494"/>
    <x v="588"/>
    <x v="2"/>
    <x v="4"/>
    <d v="2011-12-03T00:00:00"/>
    <n v="2"/>
    <x v="0"/>
    <s v="Joe Kamberova"/>
    <x v="0"/>
    <s v="United States"/>
    <s v="Columbus"/>
    <s v="Ohio"/>
    <s v="East"/>
    <x v="1"/>
    <x v="10"/>
    <s v="Xerox 214"/>
    <x v="1566"/>
    <n v="7"/>
    <n v="0.2"/>
    <n v="12.700799999999999"/>
  </r>
  <r>
    <n v="4495"/>
    <x v="588"/>
    <x v="2"/>
    <x v="4"/>
    <d v="2011-12-03T00:00:00"/>
    <n v="2"/>
    <x v="0"/>
    <s v="Joe Kamberova"/>
    <x v="0"/>
    <s v="United States"/>
    <s v="Columbus"/>
    <s v="Ohio"/>
    <s v="East"/>
    <x v="0"/>
    <x v="1"/>
    <s v="Hon Multipurpose Stacking Arm Chairs"/>
    <x v="3306"/>
    <n v="6"/>
    <n v="0.3"/>
    <n v="-51.984000000000002"/>
  </r>
  <r>
    <n v="4496"/>
    <x v="978"/>
    <x v="3"/>
    <x v="1"/>
    <d v="2014-06-24T00:00:00"/>
    <n v="5"/>
    <x v="1"/>
    <s v="Craig Carreira"/>
    <x v="0"/>
    <s v="United States"/>
    <s v="Los Angeles"/>
    <s v="California"/>
    <s v="West"/>
    <x v="0"/>
    <x v="0"/>
    <s v="Bush Andora Bookcase, Maple/Graphite Gray Finish"/>
    <x v="3307"/>
    <n v="9"/>
    <n v="0.15"/>
    <n v="75.593699999999998"/>
  </r>
  <r>
    <n v="4497"/>
    <x v="978"/>
    <x v="3"/>
    <x v="1"/>
    <d v="2014-06-24T00:00:00"/>
    <n v="5"/>
    <x v="1"/>
    <s v="Craig Carreira"/>
    <x v="0"/>
    <s v="United States"/>
    <s v="Los Angeles"/>
    <s v="California"/>
    <s v="West"/>
    <x v="1"/>
    <x v="10"/>
    <s v="Xerox 1930"/>
    <x v="783"/>
    <n v="6"/>
    <n v="0"/>
    <n v="19.051200000000001"/>
  </r>
  <r>
    <n v="4498"/>
    <x v="574"/>
    <x v="3"/>
    <x v="4"/>
    <d v="2014-12-10T00:00:00"/>
    <n v="7"/>
    <x v="1"/>
    <s v="Giulietta Weimer"/>
    <x v="0"/>
    <s v="United States"/>
    <s v="Philadelphia"/>
    <s v="Pennsylvania"/>
    <s v="East"/>
    <x v="1"/>
    <x v="8"/>
    <s v="GBC DocuBind 300 Electric Binding Machine"/>
    <x v="3308"/>
    <n v="4"/>
    <n v="0.7"/>
    <n v="-462.86239999999998"/>
  </r>
  <r>
    <n v="4499"/>
    <x v="871"/>
    <x v="2"/>
    <x v="0"/>
    <d v="2011-11-26T00:00:00"/>
    <n v="5"/>
    <x v="1"/>
    <s v="Georgia Rosenberg"/>
    <x v="1"/>
    <s v="United States"/>
    <s v="San Francisco"/>
    <s v="California"/>
    <s v="West"/>
    <x v="1"/>
    <x v="10"/>
    <s v="Xerox 211"/>
    <x v="91"/>
    <n v="2"/>
    <n v="0"/>
    <n v="6.2207999999999997"/>
  </r>
  <r>
    <n v="4500"/>
    <x v="342"/>
    <x v="0"/>
    <x v="3"/>
    <d v="2013-04-17T00:00:00"/>
    <n v="6"/>
    <x v="1"/>
    <s v="Filia McAdams"/>
    <x v="1"/>
    <s v="United States"/>
    <s v="Bakersfield"/>
    <s v="California"/>
    <s v="West"/>
    <x v="1"/>
    <x v="10"/>
    <s v="Xerox 227"/>
    <x v="91"/>
    <n v="2"/>
    <n v="0"/>
    <n v="6.2207999999999997"/>
  </r>
  <r>
    <n v="4501"/>
    <x v="342"/>
    <x v="0"/>
    <x v="3"/>
    <d v="2013-04-17T00:00:00"/>
    <n v="6"/>
    <x v="1"/>
    <s v="Filia McAdams"/>
    <x v="1"/>
    <s v="United States"/>
    <s v="Bakersfield"/>
    <s v="California"/>
    <s v="West"/>
    <x v="1"/>
    <x v="8"/>
    <s v="Wilson Jones Clip &amp; Carry Folder Binder Tool for Ring Binders, Clear"/>
    <x v="347"/>
    <n v="5"/>
    <n v="0.2"/>
    <n v="8.1199999999999992"/>
  </r>
  <r>
    <n v="4502"/>
    <x v="479"/>
    <x v="2"/>
    <x v="1"/>
    <d v="2011-07-04T00:00:00"/>
    <n v="4"/>
    <x v="1"/>
    <s v="Michael Stewart"/>
    <x v="1"/>
    <s v="United States"/>
    <s v="Houston"/>
    <s v="Texas"/>
    <s v="Central"/>
    <x v="1"/>
    <x v="10"/>
    <s v="Xerox 225"/>
    <x v="233"/>
    <n v="5"/>
    <n v="0.2"/>
    <n v="9.0719999999999992"/>
  </r>
  <r>
    <n v="4503"/>
    <x v="479"/>
    <x v="2"/>
    <x v="1"/>
    <d v="2011-07-04T00:00:00"/>
    <n v="4"/>
    <x v="1"/>
    <s v="Michael Stewart"/>
    <x v="1"/>
    <s v="United States"/>
    <s v="Houston"/>
    <s v="Texas"/>
    <s v="Central"/>
    <x v="1"/>
    <x v="13"/>
    <s v="Staples"/>
    <x v="3309"/>
    <n v="6"/>
    <n v="0.2"/>
    <n v="7.1928000000000001"/>
  </r>
  <r>
    <n v="4504"/>
    <x v="163"/>
    <x v="2"/>
    <x v="4"/>
    <d v="2011-12-29T00:00:00"/>
    <n v="5"/>
    <x v="1"/>
    <s v="Ben Ferrer"/>
    <x v="2"/>
    <s v="United States"/>
    <s v="Los Angeles"/>
    <s v="California"/>
    <s v="West"/>
    <x v="2"/>
    <x v="7"/>
    <s v="Seidio BD2-HK3IPH5-BK DILEX Case and Holster Combo for Apple iPhone 5/5s - Black"/>
    <x v="3310"/>
    <n v="7"/>
    <n v="0.2"/>
    <n v="17.365600000000001"/>
  </r>
  <r>
    <n v="4505"/>
    <x v="163"/>
    <x v="2"/>
    <x v="4"/>
    <d v="2011-12-29T00:00:00"/>
    <n v="5"/>
    <x v="1"/>
    <s v="Ben Ferrer"/>
    <x v="2"/>
    <s v="United States"/>
    <s v="Los Angeles"/>
    <s v="California"/>
    <s v="West"/>
    <x v="1"/>
    <x v="9"/>
    <s v="Avanti 4.4 Cu. Ft. Refrigerator"/>
    <x v="2694"/>
    <n v="2"/>
    <n v="0"/>
    <n v="101.3488"/>
  </r>
  <r>
    <n v="4506"/>
    <x v="163"/>
    <x v="2"/>
    <x v="4"/>
    <d v="2011-12-29T00:00:00"/>
    <n v="5"/>
    <x v="1"/>
    <s v="Ben Ferrer"/>
    <x v="2"/>
    <s v="United States"/>
    <s v="Los Angeles"/>
    <s v="California"/>
    <s v="West"/>
    <x v="2"/>
    <x v="11"/>
    <s v="Sony 32GB Class 10 Micro SDHC R40 Memory Card"/>
    <x v="3311"/>
    <n v="3"/>
    <n v="0"/>
    <n v="13.198499999999999"/>
  </r>
  <r>
    <n v="4507"/>
    <x v="163"/>
    <x v="2"/>
    <x v="4"/>
    <d v="2011-12-29T00:00:00"/>
    <n v="5"/>
    <x v="1"/>
    <s v="Ben Ferrer"/>
    <x v="2"/>
    <s v="United States"/>
    <s v="Los Angeles"/>
    <s v="California"/>
    <s v="West"/>
    <x v="2"/>
    <x v="7"/>
    <s v="Cisco Unified IP Phone 7945G VoIP phone"/>
    <x v="3312"/>
    <n v="3"/>
    <n v="0.2"/>
    <n v="51.148499999999999"/>
  </r>
  <r>
    <n v="4508"/>
    <x v="163"/>
    <x v="2"/>
    <x v="4"/>
    <d v="2011-12-29T00:00:00"/>
    <n v="5"/>
    <x v="1"/>
    <s v="Ben Ferrer"/>
    <x v="2"/>
    <s v="United States"/>
    <s v="Los Angeles"/>
    <s v="California"/>
    <s v="West"/>
    <x v="1"/>
    <x v="4"/>
    <s v="Tennsco Commercial Shelving"/>
    <x v="2373"/>
    <n v="1"/>
    <n v="0"/>
    <n v="0.2034"/>
  </r>
  <r>
    <n v="4509"/>
    <x v="163"/>
    <x v="2"/>
    <x v="4"/>
    <d v="2011-12-29T00:00:00"/>
    <n v="5"/>
    <x v="1"/>
    <s v="Ben Ferrer"/>
    <x v="2"/>
    <s v="United States"/>
    <s v="Los Angeles"/>
    <s v="California"/>
    <s v="West"/>
    <x v="0"/>
    <x v="5"/>
    <s v="Westinghouse Floor Lamp with Metal Mesh Shade, Black"/>
    <x v="1157"/>
    <n v="1"/>
    <n v="0"/>
    <n v="5.5176999999999996"/>
  </r>
  <r>
    <n v="4510"/>
    <x v="979"/>
    <x v="3"/>
    <x v="5"/>
    <d v="2014-05-30T00:00:00"/>
    <n v="6"/>
    <x v="1"/>
    <s v="Vivek Sundaresam"/>
    <x v="0"/>
    <s v="United States"/>
    <s v="Los Angeles"/>
    <s v="California"/>
    <s v="West"/>
    <x v="0"/>
    <x v="3"/>
    <s v="Lesro Sheffield Collection Coffee Table, End Table, Center Table, Corner Table"/>
    <x v="2422"/>
    <n v="3"/>
    <n v="0.2"/>
    <n v="-6.4233000000000002"/>
  </r>
  <r>
    <n v="4511"/>
    <x v="338"/>
    <x v="0"/>
    <x v="0"/>
    <d v="2013-11-15T00:00:00"/>
    <n v="4"/>
    <x v="1"/>
    <s v="Kalyca Meade"/>
    <x v="1"/>
    <s v="United States"/>
    <s v="Springfield"/>
    <s v="Missouri"/>
    <s v="Central"/>
    <x v="0"/>
    <x v="5"/>
    <s v="3M Polarizing Light Filter Sleeves"/>
    <x v="3313"/>
    <n v="2"/>
    <n v="0"/>
    <n v="17.158000000000001"/>
  </r>
  <r>
    <n v="4512"/>
    <x v="338"/>
    <x v="0"/>
    <x v="0"/>
    <d v="2013-11-15T00:00:00"/>
    <n v="4"/>
    <x v="1"/>
    <s v="Kalyca Meade"/>
    <x v="1"/>
    <s v="United States"/>
    <s v="Springfield"/>
    <s v="Missouri"/>
    <s v="Central"/>
    <x v="1"/>
    <x v="8"/>
    <s v="Wilson Jones Ledger-Size, Piano-Hinge Binder, 2&quot;, Blue"/>
    <x v="3314"/>
    <n v="2"/>
    <n v="0"/>
    <n v="39.340800000000002"/>
  </r>
  <r>
    <n v="4513"/>
    <x v="824"/>
    <x v="0"/>
    <x v="2"/>
    <d v="2013-10-04T00:00:00"/>
    <n v="1"/>
    <x v="2"/>
    <s v="Liz Preis"/>
    <x v="0"/>
    <s v="United States"/>
    <s v="Phoenix"/>
    <s v="Arizona"/>
    <s v="West"/>
    <x v="1"/>
    <x v="8"/>
    <s v="Premier Elliptical Ring Binder, Black"/>
    <x v="3315"/>
    <n v="6"/>
    <n v="0.7"/>
    <n v="-40.180799999999998"/>
  </r>
  <r>
    <n v="4514"/>
    <x v="47"/>
    <x v="0"/>
    <x v="8"/>
    <d v="2013-09-09T00:00:00"/>
    <n v="2"/>
    <x v="2"/>
    <s v="Bruce Geld"/>
    <x v="0"/>
    <s v="United States"/>
    <s v="Houston"/>
    <s v="Texas"/>
    <s v="Central"/>
    <x v="1"/>
    <x v="4"/>
    <s v="Tenex Personal Project File with Scoop Front Design, Black"/>
    <x v="3316"/>
    <n v="1"/>
    <n v="0.2"/>
    <n v="0.80879999999999996"/>
  </r>
  <r>
    <n v="4515"/>
    <x v="189"/>
    <x v="0"/>
    <x v="2"/>
    <d v="2013-11-02T00:00:00"/>
    <n v="5"/>
    <x v="0"/>
    <s v="Ben Wallace"/>
    <x v="0"/>
    <s v="United States"/>
    <s v="Hampton"/>
    <s v="Virginia"/>
    <s v="South"/>
    <x v="0"/>
    <x v="1"/>
    <s v="Global Executive Mid-Back Manager's Chair"/>
    <x v="3317"/>
    <n v="1"/>
    <n v="0"/>
    <n v="75.654799999999994"/>
  </r>
  <r>
    <n v="4516"/>
    <x v="760"/>
    <x v="3"/>
    <x v="2"/>
    <d v="2014-10-27T00:00:00"/>
    <n v="4"/>
    <x v="1"/>
    <s v="Paul Stevenson"/>
    <x v="2"/>
    <s v="United States"/>
    <s v="Tulsa"/>
    <s v="Oklahoma"/>
    <s v="Central"/>
    <x v="1"/>
    <x v="6"/>
    <s v="Dixon Ticonderoga Core-Lock Colored Pencils"/>
    <x v="2900"/>
    <n v="4"/>
    <n v="0"/>
    <n v="12.0252"/>
  </r>
  <r>
    <n v="4517"/>
    <x v="306"/>
    <x v="0"/>
    <x v="8"/>
    <d v="2013-09-21T00:00:00"/>
    <n v="5"/>
    <x v="1"/>
    <s v="Rob Beeghly"/>
    <x v="0"/>
    <s v="United States"/>
    <s v="Seattle"/>
    <s v="Washington"/>
    <s v="West"/>
    <x v="1"/>
    <x v="10"/>
    <s v="TOPS &quot;Important Message&quot; Pads, Canary, 4-1/4 x 5-1/2, 50 Sheets per Pad"/>
    <x v="1567"/>
    <n v="5"/>
    <n v="0"/>
    <n v="10.058"/>
  </r>
  <r>
    <n v="4518"/>
    <x v="306"/>
    <x v="0"/>
    <x v="8"/>
    <d v="2013-09-21T00:00:00"/>
    <n v="5"/>
    <x v="1"/>
    <s v="Rob Beeghly"/>
    <x v="0"/>
    <s v="United States"/>
    <s v="Seattle"/>
    <s v="Washington"/>
    <s v="West"/>
    <x v="1"/>
    <x v="8"/>
    <s v="Cardinal Slant-D Ring Binder, Heavy Gauge Vinyl"/>
    <x v="3318"/>
    <n v="7"/>
    <n v="0.2"/>
    <n v="15.815799999999999"/>
  </r>
  <r>
    <n v="4519"/>
    <x v="477"/>
    <x v="0"/>
    <x v="8"/>
    <d v="2013-10-02T00:00:00"/>
    <n v="6"/>
    <x v="1"/>
    <s v="Julia West"/>
    <x v="0"/>
    <s v="United States"/>
    <s v="San Francisco"/>
    <s v="California"/>
    <s v="West"/>
    <x v="1"/>
    <x v="6"/>
    <s v="BIC Brite Liner Highlighters"/>
    <x v="3319"/>
    <n v="4"/>
    <n v="0"/>
    <n v="6.9551999999999996"/>
  </r>
  <r>
    <n v="4520"/>
    <x v="193"/>
    <x v="3"/>
    <x v="1"/>
    <d v="2014-06-15T00:00:00"/>
    <n v="4"/>
    <x v="1"/>
    <s v="Neil Ducich"/>
    <x v="1"/>
    <s v="United States"/>
    <s v="Jacksonville"/>
    <s v="Florida"/>
    <s v="South"/>
    <x v="1"/>
    <x v="4"/>
    <s v="24 Capacity Maxi Data Binder Racks, Pearl"/>
    <x v="3320"/>
    <n v="8"/>
    <n v="0.2"/>
    <n v="84.22"/>
  </r>
  <r>
    <n v="4521"/>
    <x v="980"/>
    <x v="2"/>
    <x v="11"/>
    <d v="2011-02-27T00:00:00"/>
    <n v="6"/>
    <x v="1"/>
    <s v="Linda Cazamias"/>
    <x v="1"/>
    <s v="United States"/>
    <s v="Richmond"/>
    <s v="Indiana"/>
    <s v="Central"/>
    <x v="2"/>
    <x v="11"/>
    <s v="Enermax Briskie RF Wireless Keyboard and Mouse Combo"/>
    <x v="1030"/>
    <n v="3"/>
    <n v="0"/>
    <n v="22.4316"/>
  </r>
  <r>
    <n v="4522"/>
    <x v="980"/>
    <x v="2"/>
    <x v="11"/>
    <d v="2011-02-27T00:00:00"/>
    <n v="6"/>
    <x v="1"/>
    <s v="Linda Cazamias"/>
    <x v="1"/>
    <s v="United States"/>
    <s v="Richmond"/>
    <s v="Indiana"/>
    <s v="Central"/>
    <x v="0"/>
    <x v="5"/>
    <s v="Master Caster Door Stop, Brown"/>
    <x v="2308"/>
    <n v="4"/>
    <n v="0"/>
    <n v="6.9088000000000003"/>
  </r>
  <r>
    <n v="4523"/>
    <x v="297"/>
    <x v="3"/>
    <x v="11"/>
    <d v="2014-02-26T00:00:00"/>
    <n v="5"/>
    <x v="0"/>
    <s v="Bart Pistole"/>
    <x v="1"/>
    <s v="United States"/>
    <s v="Louisville"/>
    <s v="Colorado"/>
    <s v="West"/>
    <x v="1"/>
    <x v="13"/>
    <s v="Staples"/>
    <x v="3321"/>
    <n v="3"/>
    <n v="0.2"/>
    <n v="3.0653999999999999"/>
  </r>
  <r>
    <n v="4524"/>
    <x v="981"/>
    <x v="2"/>
    <x v="0"/>
    <d v="2011-11-06T00:00:00"/>
    <n v="4"/>
    <x v="1"/>
    <s v="Roger Demir"/>
    <x v="0"/>
    <s v="United States"/>
    <s v="New York City"/>
    <s v="New York"/>
    <s v="East"/>
    <x v="1"/>
    <x v="2"/>
    <s v="Avery 499"/>
    <x v="1950"/>
    <n v="7"/>
    <n v="0"/>
    <n v="16.035599999999999"/>
  </r>
  <r>
    <n v="4525"/>
    <x v="981"/>
    <x v="2"/>
    <x v="0"/>
    <d v="2011-11-06T00:00:00"/>
    <n v="4"/>
    <x v="1"/>
    <s v="Roger Demir"/>
    <x v="0"/>
    <s v="United States"/>
    <s v="New York City"/>
    <s v="New York"/>
    <s v="East"/>
    <x v="0"/>
    <x v="5"/>
    <s v="Tensor Computer Mounted Lamp"/>
    <x v="3322"/>
    <n v="6"/>
    <n v="0"/>
    <n v="24.1218"/>
  </r>
  <r>
    <n v="4526"/>
    <x v="729"/>
    <x v="3"/>
    <x v="7"/>
    <d v="2014-07-24T00:00:00"/>
    <n v="6"/>
    <x v="1"/>
    <s v="Bill Eplett"/>
    <x v="2"/>
    <s v="United States"/>
    <s v="Rome"/>
    <s v="New York"/>
    <s v="East"/>
    <x v="2"/>
    <x v="7"/>
    <s v="Avaya 5420 Digital phone"/>
    <x v="3323"/>
    <n v="2"/>
    <n v="0"/>
    <n v="67.495000000000005"/>
  </r>
  <r>
    <n v="4527"/>
    <x v="729"/>
    <x v="3"/>
    <x v="7"/>
    <d v="2014-07-24T00:00:00"/>
    <n v="6"/>
    <x v="1"/>
    <s v="Bill Eplett"/>
    <x v="2"/>
    <s v="United States"/>
    <s v="Rome"/>
    <s v="New York"/>
    <s v="East"/>
    <x v="1"/>
    <x v="10"/>
    <s v="Southworth 25% Cotton Premium Laser Paper and Envelopes"/>
    <x v="3324"/>
    <n v="5"/>
    <n v="0"/>
    <n v="47.951999999999998"/>
  </r>
  <r>
    <n v="4528"/>
    <x v="729"/>
    <x v="3"/>
    <x v="7"/>
    <d v="2014-07-24T00:00:00"/>
    <n v="6"/>
    <x v="1"/>
    <s v="Bill Eplett"/>
    <x v="2"/>
    <s v="United States"/>
    <s v="Rome"/>
    <s v="New York"/>
    <s v="East"/>
    <x v="0"/>
    <x v="5"/>
    <s v="DAX Solid Wood Frames"/>
    <x v="3325"/>
    <n v="4"/>
    <n v="0"/>
    <n v="14.4596"/>
  </r>
  <r>
    <n v="4529"/>
    <x v="565"/>
    <x v="3"/>
    <x v="8"/>
    <d v="2014-09-11T00:00:00"/>
    <n v="2"/>
    <x v="0"/>
    <s v="Roland Schwarz"/>
    <x v="1"/>
    <s v="United States"/>
    <s v="Marion"/>
    <s v="Ohio"/>
    <s v="East"/>
    <x v="2"/>
    <x v="11"/>
    <s v="Memorex Micro Travel Drive 32 GB"/>
    <x v="3326"/>
    <n v="4"/>
    <n v="0.2"/>
    <n v="33.589199999999998"/>
  </r>
  <r>
    <n v="4530"/>
    <x v="696"/>
    <x v="0"/>
    <x v="0"/>
    <d v="2013-11-19T00:00:00"/>
    <n v="4"/>
    <x v="1"/>
    <s v="Kelly Collister"/>
    <x v="0"/>
    <s v="United States"/>
    <s v="Houston"/>
    <s v="Texas"/>
    <s v="Central"/>
    <x v="1"/>
    <x v="8"/>
    <s v="Binder Posts"/>
    <x v="3327"/>
    <n v="2"/>
    <n v="0.8"/>
    <n v="-3.9032"/>
  </r>
  <r>
    <n v="4531"/>
    <x v="696"/>
    <x v="0"/>
    <x v="0"/>
    <d v="2013-11-18T00:00:00"/>
    <n v="3"/>
    <x v="2"/>
    <s v="Maria Bertelson"/>
    <x v="0"/>
    <s v="United States"/>
    <s v="New York City"/>
    <s v="New York"/>
    <s v="East"/>
    <x v="0"/>
    <x v="1"/>
    <s v="Hon GuestStacker Chair"/>
    <x v="1247"/>
    <n v="2"/>
    <n v="0.1"/>
    <n v="72.534400000000005"/>
  </r>
  <r>
    <n v="4532"/>
    <x v="696"/>
    <x v="0"/>
    <x v="0"/>
    <d v="2013-11-18T00:00:00"/>
    <n v="3"/>
    <x v="2"/>
    <s v="Maria Bertelson"/>
    <x v="0"/>
    <s v="United States"/>
    <s v="New York City"/>
    <s v="New York"/>
    <s v="East"/>
    <x v="1"/>
    <x v="4"/>
    <s v="Tenex Personal Project File with Scoop Front Design, Black"/>
    <x v="3328"/>
    <n v="3"/>
    <n v="0"/>
    <n v="10.5144"/>
  </r>
  <r>
    <n v="4533"/>
    <x v="982"/>
    <x v="2"/>
    <x v="2"/>
    <d v="2011-10-10T00:00:00"/>
    <n v="0"/>
    <x v="3"/>
    <s v="Tanja Norvell"/>
    <x v="2"/>
    <s v="United States"/>
    <s v="Manteca"/>
    <s v="California"/>
    <s v="West"/>
    <x v="0"/>
    <x v="1"/>
    <s v="Global Deluxe Stacking Chair, Gray"/>
    <x v="1888"/>
    <n v="3"/>
    <n v="0.2"/>
    <n v="13.7646"/>
  </r>
  <r>
    <n v="4534"/>
    <x v="982"/>
    <x v="2"/>
    <x v="2"/>
    <d v="2011-10-10T00:00:00"/>
    <n v="0"/>
    <x v="3"/>
    <s v="Tanja Norvell"/>
    <x v="2"/>
    <s v="United States"/>
    <s v="Manteca"/>
    <s v="California"/>
    <s v="West"/>
    <x v="1"/>
    <x v="12"/>
    <s v="#10- 4 1/8&quot; x 9 1/2&quot; Security-Tint Envelopes"/>
    <x v="764"/>
    <n v="2"/>
    <n v="0"/>
    <n v="7.4871999999999996"/>
  </r>
  <r>
    <n v="4535"/>
    <x v="531"/>
    <x v="1"/>
    <x v="10"/>
    <d v="2012-03-26T00:00:00"/>
    <n v="7"/>
    <x v="1"/>
    <s v="Mike Caudle"/>
    <x v="1"/>
    <s v="United States"/>
    <s v="Los Angeles"/>
    <s v="California"/>
    <s v="West"/>
    <x v="1"/>
    <x v="10"/>
    <s v="Xerox 1974"/>
    <x v="489"/>
    <n v="2"/>
    <n v="0"/>
    <n v="5.8604000000000003"/>
  </r>
  <r>
    <n v="4536"/>
    <x v="141"/>
    <x v="3"/>
    <x v="7"/>
    <d v="2014-07-13T00:00:00"/>
    <n v="4"/>
    <x v="1"/>
    <s v="Vicky Freymann"/>
    <x v="2"/>
    <s v="United States"/>
    <s v="Seattle"/>
    <s v="Washington"/>
    <s v="West"/>
    <x v="0"/>
    <x v="5"/>
    <s v="Master Big Foot Doorstop, Beige"/>
    <x v="3329"/>
    <n v="3"/>
    <n v="0"/>
    <n v="4.9104000000000001"/>
  </r>
  <r>
    <n v="4537"/>
    <x v="141"/>
    <x v="3"/>
    <x v="7"/>
    <d v="2014-07-13T00:00:00"/>
    <n v="4"/>
    <x v="1"/>
    <s v="Vicky Freymann"/>
    <x v="2"/>
    <s v="United States"/>
    <s v="Seattle"/>
    <s v="Washington"/>
    <s v="West"/>
    <x v="1"/>
    <x v="8"/>
    <s v="GBC VeloBinder Manual Binding System"/>
    <x v="1779"/>
    <n v="3"/>
    <n v="0.2"/>
    <n v="30.2316"/>
  </r>
  <r>
    <n v="4538"/>
    <x v="141"/>
    <x v="3"/>
    <x v="7"/>
    <d v="2014-07-13T00:00:00"/>
    <n v="4"/>
    <x v="1"/>
    <s v="Vicky Freymann"/>
    <x v="2"/>
    <s v="United States"/>
    <s v="Seattle"/>
    <s v="Washington"/>
    <s v="West"/>
    <x v="1"/>
    <x v="6"/>
    <s v="Zebra Zazzle Fluorescent Highlighters"/>
    <x v="2556"/>
    <n v="3"/>
    <n v="0"/>
    <n v="6.2016"/>
  </r>
  <r>
    <n v="4539"/>
    <x v="141"/>
    <x v="3"/>
    <x v="7"/>
    <d v="2014-07-13T00:00:00"/>
    <n v="4"/>
    <x v="1"/>
    <s v="Vicky Freymann"/>
    <x v="2"/>
    <s v="United States"/>
    <s v="Seattle"/>
    <s v="Washington"/>
    <s v="West"/>
    <x v="1"/>
    <x v="6"/>
    <s v="Crayola Colored Pencils"/>
    <x v="1317"/>
    <n v="4"/>
    <n v="0"/>
    <n v="4.3296000000000001"/>
  </r>
  <r>
    <n v="4540"/>
    <x v="914"/>
    <x v="1"/>
    <x v="11"/>
    <d v="2012-03-02T00:00:00"/>
    <n v="4"/>
    <x v="1"/>
    <s v="Erin Smith"/>
    <x v="1"/>
    <s v="United States"/>
    <s v="Providence"/>
    <s v="Rhode Island"/>
    <s v="East"/>
    <x v="2"/>
    <x v="7"/>
    <s v="i.Sound Portable Power - 8000 mAh"/>
    <x v="2746"/>
    <n v="2"/>
    <n v="0"/>
    <n v="1.0598000000000001"/>
  </r>
  <r>
    <n v="4541"/>
    <x v="914"/>
    <x v="1"/>
    <x v="11"/>
    <d v="2012-03-02T00:00:00"/>
    <n v="4"/>
    <x v="1"/>
    <s v="Erin Smith"/>
    <x v="1"/>
    <s v="United States"/>
    <s v="Providence"/>
    <s v="Rhode Island"/>
    <s v="East"/>
    <x v="0"/>
    <x v="3"/>
    <s v="Barricks 18&quot; x 48&quot; Non-Folding Utility Table with Bottom Storage Shelf"/>
    <x v="3330"/>
    <n v="7"/>
    <n v="0.3"/>
    <n v="-28.224"/>
  </r>
  <r>
    <n v="4542"/>
    <x v="114"/>
    <x v="3"/>
    <x v="1"/>
    <d v="2014-06-22T00:00:00"/>
    <n v="5"/>
    <x v="1"/>
    <s v="Michael Kennedy"/>
    <x v="1"/>
    <s v="United States"/>
    <s v="Chicago"/>
    <s v="Illinois"/>
    <s v="Central"/>
    <x v="1"/>
    <x v="8"/>
    <s v="Storex DuraTech Recycled Plastic Frosted Binders"/>
    <x v="3331"/>
    <n v="7"/>
    <n v="0.8"/>
    <n v="-8.9039999999999999"/>
  </r>
  <r>
    <n v="4543"/>
    <x v="983"/>
    <x v="3"/>
    <x v="10"/>
    <d v="2014-04-01T00:00:00"/>
    <n v="1"/>
    <x v="2"/>
    <s v="Tony Molinari"/>
    <x v="0"/>
    <s v="United States"/>
    <s v="Oklahoma City"/>
    <s v="Oklahoma"/>
    <s v="Central"/>
    <x v="1"/>
    <x v="12"/>
    <s v="Multimedia Mailers"/>
    <x v="3332"/>
    <n v="2"/>
    <n v="0"/>
    <n v="149.8956"/>
  </r>
  <r>
    <n v="4544"/>
    <x v="984"/>
    <x v="1"/>
    <x v="7"/>
    <d v="2012-07-17T00:00:00"/>
    <n v="5"/>
    <x v="0"/>
    <s v="Rob Lucas"/>
    <x v="0"/>
    <s v="United States"/>
    <s v="Chicago"/>
    <s v="Illinois"/>
    <s v="Central"/>
    <x v="0"/>
    <x v="1"/>
    <s v="Global Push Button Manager's Chair, Indigo"/>
    <x v="1600"/>
    <n v="9"/>
    <n v="0.3"/>
    <n v="-5.4801000000000002"/>
  </r>
  <r>
    <n v="4545"/>
    <x v="984"/>
    <x v="1"/>
    <x v="7"/>
    <d v="2012-07-17T00:00:00"/>
    <n v="5"/>
    <x v="0"/>
    <s v="Rob Lucas"/>
    <x v="0"/>
    <s v="United States"/>
    <s v="Chicago"/>
    <s v="Illinois"/>
    <s v="Central"/>
    <x v="2"/>
    <x v="7"/>
    <s v="Geemarc AmpliPOWER60"/>
    <x v="1467"/>
    <n v="2"/>
    <n v="0.2"/>
    <n v="16.704000000000001"/>
  </r>
  <r>
    <n v="4546"/>
    <x v="984"/>
    <x v="1"/>
    <x v="7"/>
    <d v="2012-07-17T00:00:00"/>
    <n v="5"/>
    <x v="0"/>
    <s v="Rob Lucas"/>
    <x v="0"/>
    <s v="United States"/>
    <s v="Chicago"/>
    <s v="Illinois"/>
    <s v="Central"/>
    <x v="2"/>
    <x v="7"/>
    <s v="Vtech CS6719"/>
    <x v="3333"/>
    <n v="7"/>
    <n v="0.2"/>
    <n v="53.754399999999997"/>
  </r>
  <r>
    <n v="4547"/>
    <x v="984"/>
    <x v="1"/>
    <x v="7"/>
    <d v="2012-07-17T00:00:00"/>
    <n v="5"/>
    <x v="0"/>
    <s v="Rob Lucas"/>
    <x v="0"/>
    <s v="United States"/>
    <s v="Chicago"/>
    <s v="Illinois"/>
    <s v="Central"/>
    <x v="1"/>
    <x v="8"/>
    <s v="Tuff Stuff Recycled Round Ring Binders"/>
    <x v="3334"/>
    <n v="2"/>
    <n v="0.8"/>
    <n v="-2.9883999999999999"/>
  </r>
  <r>
    <n v="4548"/>
    <x v="984"/>
    <x v="1"/>
    <x v="7"/>
    <d v="2012-07-17T00:00:00"/>
    <n v="5"/>
    <x v="0"/>
    <s v="Rob Lucas"/>
    <x v="0"/>
    <s v="United States"/>
    <s v="Chicago"/>
    <s v="Illinois"/>
    <s v="Central"/>
    <x v="1"/>
    <x v="6"/>
    <s v="Newell 32"/>
    <x v="2721"/>
    <n v="3"/>
    <n v="0.2"/>
    <n v="0.69120000000000004"/>
  </r>
  <r>
    <n v="4549"/>
    <x v="984"/>
    <x v="1"/>
    <x v="7"/>
    <d v="2012-07-17T00:00:00"/>
    <n v="5"/>
    <x v="0"/>
    <s v="Rob Lucas"/>
    <x v="0"/>
    <s v="United States"/>
    <s v="Chicago"/>
    <s v="Illinois"/>
    <s v="Central"/>
    <x v="0"/>
    <x v="5"/>
    <s v="Floodlight Indoor Halogen Bulbs, 1 Bulb per Pack, 60 Watts"/>
    <x v="3335"/>
    <n v="1"/>
    <n v="0.6"/>
    <n v="-2.1339999999999999"/>
  </r>
  <r>
    <n v="4550"/>
    <x v="984"/>
    <x v="1"/>
    <x v="7"/>
    <d v="2012-07-17T00:00:00"/>
    <n v="5"/>
    <x v="0"/>
    <s v="Rob Lucas"/>
    <x v="0"/>
    <s v="United States"/>
    <s v="Chicago"/>
    <s v="Illinois"/>
    <s v="Central"/>
    <x v="2"/>
    <x v="7"/>
    <s v="GE 2-Jack Phone Line Splitter"/>
    <x v="3336"/>
    <n v="4"/>
    <n v="0.2"/>
    <n v="49.437600000000003"/>
  </r>
  <r>
    <n v="4551"/>
    <x v="504"/>
    <x v="3"/>
    <x v="5"/>
    <d v="2014-05-03T00:00:00"/>
    <n v="2"/>
    <x v="2"/>
    <s v="Neoma Murray"/>
    <x v="0"/>
    <s v="United States"/>
    <s v="Manchester"/>
    <s v="Connecticut"/>
    <s v="East"/>
    <x v="1"/>
    <x v="2"/>
    <s v="Avery 5"/>
    <x v="1755"/>
    <n v="2"/>
    <n v="0"/>
    <n v="2.8224"/>
  </r>
  <r>
    <n v="4552"/>
    <x v="985"/>
    <x v="2"/>
    <x v="7"/>
    <d v="2011-07-17T00:00:00"/>
    <n v="4"/>
    <x v="1"/>
    <s v="Grace Kelly"/>
    <x v="1"/>
    <s v="United States"/>
    <s v="Los Angeles"/>
    <s v="California"/>
    <s v="West"/>
    <x v="0"/>
    <x v="3"/>
    <s v="Bevis Round Conference Table Top &amp; Single Column Base"/>
    <x v="3337"/>
    <n v="3"/>
    <n v="0.2"/>
    <n v="4.3902000000000001"/>
  </r>
  <r>
    <n v="4553"/>
    <x v="422"/>
    <x v="2"/>
    <x v="4"/>
    <d v="2012-01-02T00:00:00"/>
    <n v="6"/>
    <x v="1"/>
    <s v="Jeremy Farry"/>
    <x v="0"/>
    <s v="United States"/>
    <s v="San Francisco"/>
    <s v="California"/>
    <s v="West"/>
    <x v="0"/>
    <x v="1"/>
    <s v="Bevis Steel Folding Chairs"/>
    <x v="2145"/>
    <n v="3"/>
    <n v="0.2"/>
    <n v="23.027999999999999"/>
  </r>
  <r>
    <n v="4554"/>
    <x v="422"/>
    <x v="2"/>
    <x v="4"/>
    <d v="2012-01-02T00:00:00"/>
    <n v="6"/>
    <x v="1"/>
    <s v="Jeremy Farry"/>
    <x v="0"/>
    <s v="United States"/>
    <s v="San Francisco"/>
    <s v="California"/>
    <s v="West"/>
    <x v="1"/>
    <x v="10"/>
    <s v="Xerox 1927"/>
    <x v="1371"/>
    <n v="3"/>
    <n v="0"/>
    <n v="5.7779999999999996"/>
  </r>
  <r>
    <n v="4555"/>
    <x v="535"/>
    <x v="0"/>
    <x v="11"/>
    <d v="2013-03-02T00:00:00"/>
    <n v="3"/>
    <x v="0"/>
    <s v="Eric Barreto"/>
    <x v="0"/>
    <s v="United States"/>
    <s v="La Crosse"/>
    <s v="Wisconsin"/>
    <s v="Central"/>
    <x v="1"/>
    <x v="8"/>
    <s v="Flexible Leather- Look Classic Collection Ring Binder"/>
    <x v="3338"/>
    <n v="3"/>
    <n v="0"/>
    <n v="28.41"/>
  </r>
  <r>
    <n v="4556"/>
    <x v="391"/>
    <x v="1"/>
    <x v="10"/>
    <d v="2012-03-26T00:00:00"/>
    <n v="3"/>
    <x v="2"/>
    <s v="Sheri Gordon"/>
    <x v="0"/>
    <s v="United States"/>
    <s v="Florence"/>
    <s v="South Carolina"/>
    <s v="South"/>
    <x v="1"/>
    <x v="13"/>
    <s v="Staples"/>
    <x v="610"/>
    <n v="4"/>
    <n v="0"/>
    <n v="14.202"/>
  </r>
  <r>
    <n v="4557"/>
    <x v="391"/>
    <x v="1"/>
    <x v="10"/>
    <d v="2012-03-26T00:00:00"/>
    <n v="3"/>
    <x v="2"/>
    <s v="Sheri Gordon"/>
    <x v="0"/>
    <s v="United States"/>
    <s v="Florence"/>
    <s v="South Carolina"/>
    <s v="South"/>
    <x v="1"/>
    <x v="4"/>
    <s v="Eldon Shelf Savers Cubes and Bins"/>
    <x v="3289"/>
    <n v="4"/>
    <n v="0"/>
    <n v="0.55840000000000001"/>
  </r>
  <r>
    <n v="4558"/>
    <x v="208"/>
    <x v="3"/>
    <x v="2"/>
    <d v="2014-10-29T00:00:00"/>
    <n v="7"/>
    <x v="1"/>
    <s v="Natalie DeCherney"/>
    <x v="0"/>
    <s v="United States"/>
    <s v="Glendale"/>
    <s v="Arizona"/>
    <s v="West"/>
    <x v="1"/>
    <x v="8"/>
    <s v="Lock-Up Easel 'Spel-Binder'"/>
    <x v="3339"/>
    <n v="1"/>
    <n v="0.7"/>
    <n v="-6.5618999999999996"/>
  </r>
  <r>
    <n v="4559"/>
    <x v="520"/>
    <x v="2"/>
    <x v="4"/>
    <d v="2012-01-05T00:00:00"/>
    <n v="5"/>
    <x v="1"/>
    <s v="Candace McMahon"/>
    <x v="1"/>
    <s v="United States"/>
    <s v="El Paso"/>
    <s v="Texas"/>
    <s v="Central"/>
    <x v="1"/>
    <x v="12"/>
    <s v="Staples"/>
    <x v="1967"/>
    <n v="2"/>
    <n v="0.2"/>
    <n v="17.968399999999999"/>
  </r>
  <r>
    <n v="4560"/>
    <x v="952"/>
    <x v="2"/>
    <x v="5"/>
    <d v="2011-05-08T00:00:00"/>
    <n v="3"/>
    <x v="2"/>
    <s v="Emily Burns"/>
    <x v="0"/>
    <s v="United States"/>
    <s v="San Antonio"/>
    <s v="Texas"/>
    <s v="Central"/>
    <x v="0"/>
    <x v="1"/>
    <s v="Global Value Mid-Back Manager's Chair, Gray"/>
    <x v="3340"/>
    <n v="3"/>
    <n v="0.3"/>
    <n v="-9.1334999999999997"/>
  </r>
  <r>
    <n v="4561"/>
    <x v="784"/>
    <x v="1"/>
    <x v="4"/>
    <d v="2012-12-09T00:00:00"/>
    <n v="5"/>
    <x v="0"/>
    <s v="Harry Marie"/>
    <x v="1"/>
    <s v="United States"/>
    <s v="Los Angeles"/>
    <s v="California"/>
    <s v="West"/>
    <x v="1"/>
    <x v="12"/>
    <s v="Tyvek Side-Opening Peel &amp; Seel Expanding Envelopes"/>
    <x v="3341"/>
    <n v="3"/>
    <n v="0"/>
    <n v="122.148"/>
  </r>
  <r>
    <n v="4562"/>
    <x v="784"/>
    <x v="1"/>
    <x v="4"/>
    <d v="2012-12-09T00:00:00"/>
    <n v="5"/>
    <x v="0"/>
    <s v="Harry Marie"/>
    <x v="1"/>
    <s v="United States"/>
    <s v="Los Angeles"/>
    <s v="California"/>
    <s v="West"/>
    <x v="2"/>
    <x v="7"/>
    <s v="Jensen SMPS-640 - speaker phone"/>
    <x v="3342"/>
    <n v="3"/>
    <n v="0.2"/>
    <n v="8.2764000000000006"/>
  </r>
  <r>
    <n v="4563"/>
    <x v="784"/>
    <x v="1"/>
    <x v="4"/>
    <d v="2012-12-09T00:00:00"/>
    <n v="5"/>
    <x v="0"/>
    <s v="Harry Marie"/>
    <x v="1"/>
    <s v="United States"/>
    <s v="Los Angeles"/>
    <s v="California"/>
    <s v="West"/>
    <x v="0"/>
    <x v="5"/>
    <s v="Master Caster Door Stop, Large Brown"/>
    <x v="3343"/>
    <n v="5"/>
    <n v="0"/>
    <n v="13.832000000000001"/>
  </r>
  <r>
    <n v="4564"/>
    <x v="986"/>
    <x v="3"/>
    <x v="8"/>
    <d v="2014-10-01T00:00:00"/>
    <n v="4"/>
    <x v="1"/>
    <s v="Sanjit Jacobs"/>
    <x v="2"/>
    <s v="United States"/>
    <s v="Miramar"/>
    <s v="Florida"/>
    <s v="South"/>
    <x v="0"/>
    <x v="1"/>
    <s v="Office Star - Contemporary Task Swivel chair with Loop Arms, Charcoal"/>
    <x v="3344"/>
    <n v="4"/>
    <n v="0.2"/>
    <n v="-57.6312"/>
  </r>
  <r>
    <n v="4565"/>
    <x v="337"/>
    <x v="2"/>
    <x v="4"/>
    <d v="2011-12-14T00:00:00"/>
    <n v="5"/>
    <x v="1"/>
    <s v="Dario Medina"/>
    <x v="1"/>
    <s v="United States"/>
    <s v="Mesa"/>
    <s v="Arizona"/>
    <s v="West"/>
    <x v="1"/>
    <x v="4"/>
    <s v="Acco Perma 3000 Stacking Storage Drawers"/>
    <x v="989"/>
    <n v="6"/>
    <n v="0.2"/>
    <n v="-1.2587999999999999"/>
  </r>
  <r>
    <n v="4566"/>
    <x v="734"/>
    <x v="3"/>
    <x v="4"/>
    <d v="2014-12-11T00:00:00"/>
    <n v="7"/>
    <x v="1"/>
    <s v="Matt Collins"/>
    <x v="0"/>
    <s v="United States"/>
    <s v="Fayetteville"/>
    <s v="North Carolina"/>
    <s v="South"/>
    <x v="1"/>
    <x v="9"/>
    <s v="Belkin F9H710-06 7 Outlet SurgeMaster Surge Protector"/>
    <x v="954"/>
    <n v="3"/>
    <n v="0.2"/>
    <n v="4.5216000000000003"/>
  </r>
  <r>
    <n v="4567"/>
    <x v="734"/>
    <x v="3"/>
    <x v="4"/>
    <d v="2014-12-11T00:00:00"/>
    <n v="7"/>
    <x v="1"/>
    <s v="Matt Collins"/>
    <x v="0"/>
    <s v="United States"/>
    <s v="Fayetteville"/>
    <s v="North Carolina"/>
    <s v="South"/>
    <x v="1"/>
    <x v="8"/>
    <s v="GBC Pre-Punched Binding Paper, Plastic, White, 8-1/2&quot; x 11&quot;"/>
    <x v="3345"/>
    <n v="6"/>
    <n v="0.7"/>
    <n v="-21.1068"/>
  </r>
  <r>
    <n v="4568"/>
    <x v="734"/>
    <x v="3"/>
    <x v="4"/>
    <d v="2014-12-11T00:00:00"/>
    <n v="7"/>
    <x v="1"/>
    <s v="Matt Collins"/>
    <x v="0"/>
    <s v="United States"/>
    <s v="Fayetteville"/>
    <s v="North Carolina"/>
    <s v="South"/>
    <x v="1"/>
    <x v="10"/>
    <s v="Rediform Wirebound &quot;Phone Memo&quot; Message Book, 11 x 5-3/4"/>
    <x v="667"/>
    <n v="4"/>
    <n v="0.2"/>
    <n v="8.8623999999999992"/>
  </r>
  <r>
    <n v="4569"/>
    <x v="627"/>
    <x v="1"/>
    <x v="0"/>
    <d v="2012-11-13T00:00:00"/>
    <n v="5"/>
    <x v="1"/>
    <s v="Duane Benoit"/>
    <x v="0"/>
    <s v="United States"/>
    <s v="Houston"/>
    <s v="Texas"/>
    <s v="Central"/>
    <x v="1"/>
    <x v="8"/>
    <s v="Wilson Jones Leather-Like Binders with DublLock Round Rings"/>
    <x v="3173"/>
    <n v="6"/>
    <n v="0.8"/>
    <n v="-17.285399999999999"/>
  </r>
  <r>
    <n v="4570"/>
    <x v="987"/>
    <x v="2"/>
    <x v="3"/>
    <d v="2011-04-21T00:00:00"/>
    <n v="2"/>
    <x v="0"/>
    <s v="Nicole Fjeld"/>
    <x v="2"/>
    <s v="United States"/>
    <s v="San Jose"/>
    <s v="California"/>
    <s v="West"/>
    <x v="0"/>
    <x v="5"/>
    <s v="Executive Impressions 13&quot; Chairman Wall Clock"/>
    <x v="2922"/>
    <n v="3"/>
    <n v="0"/>
    <n v="26.649000000000001"/>
  </r>
  <r>
    <n v="4571"/>
    <x v="442"/>
    <x v="1"/>
    <x v="5"/>
    <d v="2012-05-27T00:00:00"/>
    <n v="2"/>
    <x v="0"/>
    <s v="Nathan Mautz"/>
    <x v="2"/>
    <s v="United States"/>
    <s v="Wichita"/>
    <s v="Kansas"/>
    <s v="Central"/>
    <x v="1"/>
    <x v="6"/>
    <s v="SANFORD Major Accent Highlighters"/>
    <x v="3259"/>
    <n v="3"/>
    <n v="0"/>
    <n v="8.0711999999999993"/>
  </r>
  <r>
    <n v="4572"/>
    <x v="442"/>
    <x v="1"/>
    <x v="5"/>
    <d v="2012-05-27T00:00:00"/>
    <n v="2"/>
    <x v="0"/>
    <s v="Nathan Mautz"/>
    <x v="2"/>
    <s v="United States"/>
    <s v="Wichita"/>
    <s v="Kansas"/>
    <s v="Central"/>
    <x v="1"/>
    <x v="8"/>
    <s v="GBC DocuBind P50 Personal Binding Machine"/>
    <x v="3346"/>
    <n v="2"/>
    <n v="0"/>
    <n v="60.141199999999998"/>
  </r>
  <r>
    <n v="4573"/>
    <x v="729"/>
    <x v="3"/>
    <x v="7"/>
    <d v="2014-07-22T00:00:00"/>
    <n v="4"/>
    <x v="1"/>
    <s v="Alejandro Ballentine"/>
    <x v="2"/>
    <s v="United States"/>
    <s v="Los Angeles"/>
    <s v="California"/>
    <s v="West"/>
    <x v="2"/>
    <x v="16"/>
    <s v="Brother DCP1000 Digital 3 in 1 Multifunction Machine"/>
    <x v="1973"/>
    <n v="2"/>
    <n v="0.2"/>
    <n v="89.997"/>
  </r>
  <r>
    <n v="4574"/>
    <x v="939"/>
    <x v="0"/>
    <x v="4"/>
    <d v="2013-12-19T00:00:00"/>
    <n v="6"/>
    <x v="1"/>
    <s v="Matthew Grinstein"/>
    <x v="2"/>
    <s v="United States"/>
    <s v="Jackson"/>
    <s v="Michigan"/>
    <s v="Central"/>
    <x v="2"/>
    <x v="7"/>
    <s v="Jabra SPEAK 410"/>
    <x v="2782"/>
    <n v="7"/>
    <n v="0"/>
    <n v="184.22040000000001"/>
  </r>
  <r>
    <n v="4575"/>
    <x v="939"/>
    <x v="0"/>
    <x v="4"/>
    <d v="2013-12-19T00:00:00"/>
    <n v="6"/>
    <x v="1"/>
    <s v="Matthew Grinstein"/>
    <x v="2"/>
    <s v="United States"/>
    <s v="Jackson"/>
    <s v="Michigan"/>
    <s v="Central"/>
    <x v="0"/>
    <x v="5"/>
    <s v="Westinghouse Clip-On Gooseneck Lamps"/>
    <x v="3347"/>
    <n v="4"/>
    <n v="0"/>
    <n v="8.7048000000000005"/>
  </r>
  <r>
    <n v="4576"/>
    <x v="939"/>
    <x v="0"/>
    <x v="4"/>
    <d v="2013-12-19T00:00:00"/>
    <n v="6"/>
    <x v="1"/>
    <s v="Matthew Grinstein"/>
    <x v="2"/>
    <s v="United States"/>
    <s v="Jackson"/>
    <s v="Michigan"/>
    <s v="Central"/>
    <x v="1"/>
    <x v="6"/>
    <s v="Newell 333"/>
    <x v="2213"/>
    <n v="5"/>
    <n v="0"/>
    <n v="3.6139999999999999"/>
  </r>
  <r>
    <n v="4577"/>
    <x v="939"/>
    <x v="0"/>
    <x v="4"/>
    <d v="2013-12-19T00:00:00"/>
    <n v="6"/>
    <x v="1"/>
    <s v="Matthew Grinstein"/>
    <x v="2"/>
    <s v="United States"/>
    <s v="Jackson"/>
    <s v="Michigan"/>
    <s v="Central"/>
    <x v="1"/>
    <x v="4"/>
    <s v="Fellowes Desktop Hanging File Manager"/>
    <x v="3348"/>
    <n v="2"/>
    <n v="0"/>
    <n v="6.7149999999999999"/>
  </r>
  <r>
    <n v="4578"/>
    <x v="909"/>
    <x v="2"/>
    <x v="3"/>
    <d v="2011-04-16T00:00:00"/>
    <n v="5"/>
    <x v="1"/>
    <s v="Sanjit Engle"/>
    <x v="0"/>
    <s v="United States"/>
    <s v="Lewiston"/>
    <s v="Idaho"/>
    <s v="West"/>
    <x v="1"/>
    <x v="8"/>
    <s v="GBC Personal VeloBind Strips"/>
    <x v="2057"/>
    <n v="1"/>
    <n v="0.2"/>
    <n v="3.3544"/>
  </r>
  <r>
    <n v="4579"/>
    <x v="988"/>
    <x v="1"/>
    <x v="1"/>
    <d v="2012-06-15T00:00:00"/>
    <n v="6"/>
    <x v="1"/>
    <s v="Anthony Garverick"/>
    <x v="2"/>
    <s v="United States"/>
    <s v="Hampton"/>
    <s v="Virginia"/>
    <s v="South"/>
    <x v="1"/>
    <x v="8"/>
    <s v="Vinyl Sectional Post Binders"/>
    <x v="3349"/>
    <n v="3"/>
    <n v="0"/>
    <n v="56.55"/>
  </r>
  <r>
    <n v="4580"/>
    <x v="923"/>
    <x v="2"/>
    <x v="7"/>
    <d v="2011-08-02T00:00:00"/>
    <n v="6"/>
    <x v="1"/>
    <s v="Aaron Smayling"/>
    <x v="1"/>
    <s v="United States"/>
    <s v="New York City"/>
    <s v="New York"/>
    <s v="East"/>
    <x v="1"/>
    <x v="10"/>
    <s v="Xerox 1956"/>
    <x v="3350"/>
    <n v="11"/>
    <n v="0"/>
    <n v="32.232199999999999"/>
  </r>
  <r>
    <n v="4581"/>
    <x v="374"/>
    <x v="1"/>
    <x v="7"/>
    <d v="2012-08-06T00:00:00"/>
    <n v="6"/>
    <x v="1"/>
    <s v="Allen Rosenblatt"/>
    <x v="1"/>
    <s v="United States"/>
    <s v="Hattiesburg"/>
    <s v="Mississippi"/>
    <s v="South"/>
    <x v="2"/>
    <x v="11"/>
    <s v="Microsoft Sculpt Comfort Mouse"/>
    <x v="3351"/>
    <n v="6"/>
    <n v="0"/>
    <n v="105.468"/>
  </r>
  <r>
    <n v="4582"/>
    <x v="251"/>
    <x v="0"/>
    <x v="8"/>
    <d v="2013-09-23T00:00:00"/>
    <n v="3"/>
    <x v="2"/>
    <s v="Anne Pryor"/>
    <x v="2"/>
    <s v="United States"/>
    <s v="Philadelphia"/>
    <s v="Pennsylvania"/>
    <s v="East"/>
    <x v="0"/>
    <x v="5"/>
    <s v="Nu-Dell Oak Frame"/>
    <x v="3352"/>
    <n v="3"/>
    <n v="0.2"/>
    <n v="3.8448000000000002"/>
  </r>
  <r>
    <n v="4583"/>
    <x v="224"/>
    <x v="0"/>
    <x v="1"/>
    <d v="2013-06-13T00:00:00"/>
    <n v="2"/>
    <x v="2"/>
    <s v="Joy Bell-"/>
    <x v="0"/>
    <s v="United States"/>
    <s v="Philadelphia"/>
    <s v="Pennsylvania"/>
    <s v="East"/>
    <x v="1"/>
    <x v="2"/>
    <s v="Avery 487"/>
    <x v="3353"/>
    <n v="8"/>
    <n v="0.2"/>
    <n v="7.9703999999999997"/>
  </r>
  <r>
    <n v="4584"/>
    <x v="370"/>
    <x v="0"/>
    <x v="6"/>
    <d v="2013-08-29T00:00:00"/>
    <n v="2"/>
    <x v="0"/>
    <s v="Tom Stivers"/>
    <x v="1"/>
    <s v="United States"/>
    <s v="Los Angeles"/>
    <s v="California"/>
    <s v="West"/>
    <x v="1"/>
    <x v="6"/>
    <s v="Newell Chalk Holder"/>
    <x v="338"/>
    <n v="2"/>
    <n v="0"/>
    <n v="3.7995999999999999"/>
  </r>
  <r>
    <n v="4585"/>
    <x v="808"/>
    <x v="3"/>
    <x v="0"/>
    <d v="2014-11-05T00:00:00"/>
    <n v="2"/>
    <x v="0"/>
    <s v="Nancy Lomonaco"/>
    <x v="2"/>
    <s v="United States"/>
    <s v="Danville"/>
    <s v="California"/>
    <s v="West"/>
    <x v="1"/>
    <x v="12"/>
    <s v="White Business Envelopes with Contemporary Seam, Recycled White Business Envelopes"/>
    <x v="3354"/>
    <n v="7"/>
    <n v="0"/>
    <n v="38.29"/>
  </r>
  <r>
    <n v="4586"/>
    <x v="808"/>
    <x v="3"/>
    <x v="0"/>
    <d v="2014-11-05T00:00:00"/>
    <n v="2"/>
    <x v="0"/>
    <s v="Nancy Lomonaco"/>
    <x v="2"/>
    <s v="United States"/>
    <s v="Danville"/>
    <s v="California"/>
    <s v="West"/>
    <x v="1"/>
    <x v="6"/>
    <s v="Nontoxic Chalk"/>
    <x v="3355"/>
    <n v="5"/>
    <n v="0"/>
    <n v="4.2240000000000002"/>
  </r>
  <r>
    <n v="4587"/>
    <x v="808"/>
    <x v="3"/>
    <x v="0"/>
    <d v="2014-11-05T00:00:00"/>
    <n v="2"/>
    <x v="0"/>
    <s v="Nancy Lomonaco"/>
    <x v="2"/>
    <s v="United States"/>
    <s v="Danville"/>
    <s v="California"/>
    <s v="West"/>
    <x v="1"/>
    <x v="8"/>
    <s v="GBC Therma-A-Bind 250T Electric Binding System"/>
    <x v="3356"/>
    <n v="6"/>
    <n v="0.2"/>
    <n v="206.6232"/>
  </r>
  <r>
    <n v="4588"/>
    <x v="808"/>
    <x v="3"/>
    <x v="0"/>
    <d v="2014-11-05T00:00:00"/>
    <n v="2"/>
    <x v="0"/>
    <s v="Nancy Lomonaco"/>
    <x v="2"/>
    <s v="United States"/>
    <s v="Danville"/>
    <s v="California"/>
    <s v="West"/>
    <x v="1"/>
    <x v="13"/>
    <s v="Super Bands, 12/Pack"/>
    <x v="2228"/>
    <n v="3"/>
    <n v="0"/>
    <n v="0.16739999999999999"/>
  </r>
  <r>
    <n v="4589"/>
    <x v="808"/>
    <x v="3"/>
    <x v="0"/>
    <d v="2014-11-05T00:00:00"/>
    <n v="2"/>
    <x v="0"/>
    <s v="Nancy Lomonaco"/>
    <x v="2"/>
    <s v="United States"/>
    <s v="Danville"/>
    <s v="California"/>
    <s v="West"/>
    <x v="0"/>
    <x v="5"/>
    <s v="Document Clip Frames"/>
    <x v="3357"/>
    <n v="3"/>
    <n v="0"/>
    <n v="10.5084"/>
  </r>
  <r>
    <n v="4590"/>
    <x v="808"/>
    <x v="3"/>
    <x v="0"/>
    <d v="2014-11-05T00:00:00"/>
    <n v="2"/>
    <x v="0"/>
    <s v="Nancy Lomonaco"/>
    <x v="2"/>
    <s v="United States"/>
    <s v="Danville"/>
    <s v="California"/>
    <s v="West"/>
    <x v="1"/>
    <x v="4"/>
    <s v="Space Solutions Commercial Steel Shelving"/>
    <x v="3358"/>
    <n v="7"/>
    <n v="0"/>
    <n v="22.627500000000001"/>
  </r>
  <r>
    <n v="4591"/>
    <x v="482"/>
    <x v="0"/>
    <x v="4"/>
    <d v="2014-01-01T00:00:00"/>
    <n v="5"/>
    <x v="1"/>
    <s v="Mike Caudle"/>
    <x v="1"/>
    <s v="United States"/>
    <s v="Los Angeles"/>
    <s v="California"/>
    <s v="West"/>
    <x v="1"/>
    <x v="14"/>
    <s v="Fiskars Home &amp; Office Scissors"/>
    <x v="2720"/>
    <n v="2"/>
    <n v="0"/>
    <n v="4.9728000000000003"/>
  </r>
  <r>
    <n v="4592"/>
    <x v="482"/>
    <x v="0"/>
    <x v="4"/>
    <d v="2014-01-01T00:00:00"/>
    <n v="5"/>
    <x v="1"/>
    <s v="Mike Caudle"/>
    <x v="1"/>
    <s v="United States"/>
    <s v="Los Angeles"/>
    <s v="California"/>
    <s v="West"/>
    <x v="2"/>
    <x v="7"/>
    <s v="Mitel 5320 IP Phone VoIP phone"/>
    <x v="3081"/>
    <n v="2"/>
    <n v="0.2"/>
    <n v="30.238399999999999"/>
  </r>
  <r>
    <n v="4593"/>
    <x v="482"/>
    <x v="0"/>
    <x v="4"/>
    <d v="2014-01-01T00:00:00"/>
    <n v="5"/>
    <x v="1"/>
    <s v="Mike Caudle"/>
    <x v="1"/>
    <s v="United States"/>
    <s v="Los Angeles"/>
    <s v="California"/>
    <s v="West"/>
    <x v="0"/>
    <x v="1"/>
    <s v="Global Armless Task Chair, Royal Blue"/>
    <x v="1741"/>
    <n v="3"/>
    <n v="0.2"/>
    <n v="-5.4882"/>
  </r>
  <r>
    <n v="4594"/>
    <x v="482"/>
    <x v="0"/>
    <x v="4"/>
    <d v="2014-01-01T00:00:00"/>
    <n v="5"/>
    <x v="1"/>
    <s v="Mike Caudle"/>
    <x v="1"/>
    <s v="United States"/>
    <s v="Los Angeles"/>
    <s v="California"/>
    <s v="West"/>
    <x v="1"/>
    <x v="9"/>
    <s v="Hoover Replacement Belts For Soft Guard &amp; Commercial Ltweight Upright Vacs, 2/Pk"/>
    <x v="2263"/>
    <n v="2"/>
    <n v="0"/>
    <n v="2.0539999999999998"/>
  </r>
  <r>
    <n v="4595"/>
    <x v="482"/>
    <x v="0"/>
    <x v="4"/>
    <d v="2014-01-01T00:00:00"/>
    <n v="5"/>
    <x v="1"/>
    <s v="Mike Caudle"/>
    <x v="1"/>
    <s v="United States"/>
    <s v="Los Angeles"/>
    <s v="California"/>
    <s v="West"/>
    <x v="0"/>
    <x v="3"/>
    <s v="Bretford Rectangular Conference Table Tops"/>
    <x v="3359"/>
    <n v="3"/>
    <n v="0.2"/>
    <n v="33.851700000000001"/>
  </r>
  <r>
    <n v="4596"/>
    <x v="482"/>
    <x v="0"/>
    <x v="4"/>
    <d v="2014-01-01T00:00:00"/>
    <n v="5"/>
    <x v="1"/>
    <s v="Mike Caudle"/>
    <x v="1"/>
    <s v="United States"/>
    <s v="Los Angeles"/>
    <s v="California"/>
    <s v="West"/>
    <x v="1"/>
    <x v="6"/>
    <s v="Model L Table or Wall-Mount Pencil Sharpener"/>
    <x v="3360"/>
    <n v="3"/>
    <n v="0"/>
    <n v="15.111599999999999"/>
  </r>
  <r>
    <n v="4597"/>
    <x v="5"/>
    <x v="0"/>
    <x v="4"/>
    <d v="2013-12-11T00:00:00"/>
    <n v="5"/>
    <x v="0"/>
    <s v="Tony Chapman"/>
    <x v="2"/>
    <s v="United States"/>
    <s v="Washington"/>
    <s v="District of Columbia"/>
    <s v="East"/>
    <x v="1"/>
    <x v="6"/>
    <s v="BIC Brite Liner Grip Highlighters, Assorted, 5/Pack"/>
    <x v="3361"/>
    <n v="8"/>
    <n v="0"/>
    <n v="13.2288"/>
  </r>
  <r>
    <n v="4598"/>
    <x v="735"/>
    <x v="3"/>
    <x v="6"/>
    <d v="2014-09-02T00:00:00"/>
    <n v="4"/>
    <x v="1"/>
    <s v="Matthew Grinstein"/>
    <x v="2"/>
    <s v="United States"/>
    <s v="Milwaukee"/>
    <s v="Wisconsin"/>
    <s v="Central"/>
    <x v="1"/>
    <x v="14"/>
    <s v="Acme Stainless Steel Office Snips"/>
    <x v="3362"/>
    <n v="3"/>
    <n v="0"/>
    <n v="5.8887"/>
  </r>
  <r>
    <n v="4599"/>
    <x v="735"/>
    <x v="3"/>
    <x v="6"/>
    <d v="2014-09-02T00:00:00"/>
    <n v="4"/>
    <x v="1"/>
    <s v="Matthew Grinstein"/>
    <x v="2"/>
    <s v="United States"/>
    <s v="Milwaukee"/>
    <s v="Wisconsin"/>
    <s v="Central"/>
    <x v="1"/>
    <x v="9"/>
    <s v="Acco 6 Outlet Guardian Premium Plus Surge Suppressor"/>
    <x v="3363"/>
    <n v="5"/>
    <n v="0"/>
    <n v="26.564"/>
  </r>
  <r>
    <n v="4600"/>
    <x v="747"/>
    <x v="1"/>
    <x v="7"/>
    <d v="2012-07-20T00:00:00"/>
    <n v="4"/>
    <x v="1"/>
    <s v="Michael Granlund"/>
    <x v="2"/>
    <s v="United States"/>
    <s v="Baltimore"/>
    <s v="Maryland"/>
    <s v="East"/>
    <x v="0"/>
    <x v="1"/>
    <s v="Global Manager's Adjustable Task Chair, Storm"/>
    <x v="3364"/>
    <n v="1"/>
    <n v="0"/>
    <n v="43.784199999999998"/>
  </r>
  <r>
    <n v="4601"/>
    <x v="747"/>
    <x v="1"/>
    <x v="7"/>
    <d v="2012-07-20T00:00:00"/>
    <n v="4"/>
    <x v="1"/>
    <s v="Michael Granlund"/>
    <x v="2"/>
    <s v="United States"/>
    <s v="Baltimore"/>
    <s v="Maryland"/>
    <s v="East"/>
    <x v="1"/>
    <x v="12"/>
    <s v="White Envelopes, White Envelopes with Clear Poly Window"/>
    <x v="3365"/>
    <n v="9"/>
    <n v="0"/>
    <n v="63.134999999999998"/>
  </r>
  <r>
    <n v="4602"/>
    <x v="747"/>
    <x v="1"/>
    <x v="7"/>
    <d v="2012-07-20T00:00:00"/>
    <n v="4"/>
    <x v="1"/>
    <s v="Michael Granlund"/>
    <x v="2"/>
    <s v="United States"/>
    <s v="Baltimore"/>
    <s v="Maryland"/>
    <s v="East"/>
    <x v="1"/>
    <x v="13"/>
    <s v="Acco Banker's Clasps, 5 3/4&quot;-Long"/>
    <x v="132"/>
    <n v="4"/>
    <n v="0"/>
    <n v="5.4143999999999997"/>
  </r>
  <r>
    <n v="4603"/>
    <x v="989"/>
    <x v="1"/>
    <x v="5"/>
    <d v="2012-05-29T00:00:00"/>
    <n v="3"/>
    <x v="0"/>
    <s v="Ben Ferrer"/>
    <x v="2"/>
    <s v="United States"/>
    <s v="Jacksonville"/>
    <s v="North Carolina"/>
    <s v="South"/>
    <x v="1"/>
    <x v="10"/>
    <s v="Xerox 1991"/>
    <x v="3366"/>
    <n v="1"/>
    <n v="0.2"/>
    <n v="5.9383999999999997"/>
  </r>
  <r>
    <n v="4604"/>
    <x v="989"/>
    <x v="1"/>
    <x v="5"/>
    <d v="2012-05-29T00:00:00"/>
    <n v="3"/>
    <x v="0"/>
    <s v="Ben Ferrer"/>
    <x v="2"/>
    <s v="United States"/>
    <s v="Jacksonville"/>
    <s v="North Carolina"/>
    <s v="South"/>
    <x v="1"/>
    <x v="10"/>
    <s v="Xerox 1937"/>
    <x v="3367"/>
    <n v="4"/>
    <n v="0.2"/>
    <n v="53.8048"/>
  </r>
  <r>
    <n v="4605"/>
    <x v="989"/>
    <x v="1"/>
    <x v="5"/>
    <d v="2012-05-29T00:00:00"/>
    <n v="3"/>
    <x v="0"/>
    <s v="Ben Ferrer"/>
    <x v="2"/>
    <s v="United States"/>
    <s v="Jacksonville"/>
    <s v="North Carolina"/>
    <s v="South"/>
    <x v="1"/>
    <x v="12"/>
    <s v="Security-Tint Envelopes"/>
    <x v="2059"/>
    <n v="2"/>
    <n v="0.2"/>
    <n v="4.4311999999999996"/>
  </r>
  <r>
    <n v="4606"/>
    <x v="989"/>
    <x v="1"/>
    <x v="5"/>
    <d v="2012-05-29T00:00:00"/>
    <n v="3"/>
    <x v="0"/>
    <s v="Ben Ferrer"/>
    <x v="2"/>
    <s v="United States"/>
    <s v="Jacksonville"/>
    <s v="North Carolina"/>
    <s v="South"/>
    <x v="2"/>
    <x v="11"/>
    <s v="Logitech 910-002974 M325 Wireless Mouse for Web Scrolling"/>
    <x v="3368"/>
    <n v="7"/>
    <n v="0.2"/>
    <n v="50.383200000000002"/>
  </r>
  <r>
    <n v="4607"/>
    <x v="71"/>
    <x v="1"/>
    <x v="5"/>
    <d v="2012-06-02T00:00:00"/>
    <n v="5"/>
    <x v="1"/>
    <s v="Maxwell Schwartz"/>
    <x v="0"/>
    <s v="United States"/>
    <s v="Rochester"/>
    <s v="New York"/>
    <s v="East"/>
    <x v="2"/>
    <x v="7"/>
    <s v="Panasonic Kx-TS550"/>
    <x v="3369"/>
    <n v="1"/>
    <n v="0"/>
    <n v="13.3371"/>
  </r>
  <r>
    <n v="4608"/>
    <x v="71"/>
    <x v="1"/>
    <x v="5"/>
    <d v="2012-06-02T00:00:00"/>
    <n v="5"/>
    <x v="1"/>
    <s v="Maxwell Schwartz"/>
    <x v="0"/>
    <s v="United States"/>
    <s v="Rochester"/>
    <s v="New York"/>
    <s v="East"/>
    <x v="1"/>
    <x v="4"/>
    <s v="Hot File 7-Pocket, Floor Stand"/>
    <x v="3370"/>
    <n v="3"/>
    <n v="0"/>
    <n v="160.62299999999999"/>
  </r>
  <r>
    <n v="4609"/>
    <x v="71"/>
    <x v="1"/>
    <x v="5"/>
    <d v="2012-06-02T00:00:00"/>
    <n v="5"/>
    <x v="1"/>
    <s v="Maxwell Schwartz"/>
    <x v="0"/>
    <s v="United States"/>
    <s v="Rochester"/>
    <s v="New York"/>
    <s v="East"/>
    <x v="1"/>
    <x v="8"/>
    <s v="Acco Pressboard Covers with Storage Hooks, 9 1/2&quot; x 11&quot;, Executive Red"/>
    <x v="855"/>
    <n v="2"/>
    <n v="0.2"/>
    <n v="2.0573999999999999"/>
  </r>
  <r>
    <n v="4610"/>
    <x v="71"/>
    <x v="1"/>
    <x v="5"/>
    <d v="2012-06-02T00:00:00"/>
    <n v="5"/>
    <x v="1"/>
    <s v="Maxwell Schwartz"/>
    <x v="0"/>
    <s v="United States"/>
    <s v="Rochester"/>
    <s v="New York"/>
    <s v="East"/>
    <x v="1"/>
    <x v="10"/>
    <s v="Xerox 219"/>
    <x v="1544"/>
    <n v="7"/>
    <n v="0"/>
    <n v="21.7728"/>
  </r>
  <r>
    <n v="4611"/>
    <x v="45"/>
    <x v="3"/>
    <x v="0"/>
    <d v="2014-11-15T00:00:00"/>
    <n v="5"/>
    <x v="1"/>
    <s v="Joel Eaton"/>
    <x v="0"/>
    <s v="United States"/>
    <s v="Oceanside"/>
    <s v="California"/>
    <s v="West"/>
    <x v="0"/>
    <x v="5"/>
    <s v="Eldon Wave Desk Accessories"/>
    <x v="346"/>
    <n v="8"/>
    <n v="0"/>
    <n v="20.732800000000001"/>
  </r>
  <r>
    <n v="4612"/>
    <x v="990"/>
    <x v="0"/>
    <x v="9"/>
    <d v="2013-01-26T00:00:00"/>
    <n v="2"/>
    <x v="0"/>
    <s v="Henry Goldwyn"/>
    <x v="1"/>
    <s v="United States"/>
    <s v="Gulfport"/>
    <s v="Mississippi"/>
    <s v="South"/>
    <x v="1"/>
    <x v="8"/>
    <s v="XtraLife ClearVue Slant-D Ring Binders by Cardinal"/>
    <x v="3371"/>
    <n v="4"/>
    <n v="0"/>
    <n v="15.68"/>
  </r>
  <r>
    <n v="4613"/>
    <x v="413"/>
    <x v="3"/>
    <x v="9"/>
    <d v="2014-01-07T00:00:00"/>
    <n v="6"/>
    <x v="1"/>
    <s v="Emily Phan"/>
    <x v="0"/>
    <s v="United States"/>
    <s v="Jacksonville"/>
    <s v="Florida"/>
    <s v="South"/>
    <x v="1"/>
    <x v="6"/>
    <s v="Newell 345"/>
    <x v="1634"/>
    <n v="3"/>
    <n v="0.2"/>
    <n v="3.5712000000000002"/>
  </r>
  <r>
    <n v="4614"/>
    <x v="413"/>
    <x v="3"/>
    <x v="9"/>
    <d v="2014-01-07T00:00:00"/>
    <n v="6"/>
    <x v="1"/>
    <s v="Emily Phan"/>
    <x v="0"/>
    <s v="United States"/>
    <s v="Jacksonville"/>
    <s v="Florida"/>
    <s v="South"/>
    <x v="1"/>
    <x v="10"/>
    <s v="Things To Do Today Pad"/>
    <x v="3372"/>
    <n v="5"/>
    <n v="0.2"/>
    <n v="8.218"/>
  </r>
  <r>
    <n v="4615"/>
    <x v="64"/>
    <x v="0"/>
    <x v="8"/>
    <d v="2013-09-11T00:00:00"/>
    <n v="5"/>
    <x v="1"/>
    <s v="Gary Hansen"/>
    <x v="2"/>
    <s v="United States"/>
    <s v="Houston"/>
    <s v="Texas"/>
    <s v="Central"/>
    <x v="1"/>
    <x v="9"/>
    <s v="Eureka The Boss Plus 12-Amp Hard Box Upright Vacuum, Red"/>
    <x v="3373"/>
    <n v="3"/>
    <n v="0.8"/>
    <n v="-166.39349999999999"/>
  </r>
  <r>
    <n v="4616"/>
    <x v="64"/>
    <x v="0"/>
    <x v="8"/>
    <d v="2013-09-11T00:00:00"/>
    <n v="5"/>
    <x v="1"/>
    <s v="Gary Hansen"/>
    <x v="2"/>
    <s v="United States"/>
    <s v="Houston"/>
    <s v="Texas"/>
    <s v="Central"/>
    <x v="1"/>
    <x v="13"/>
    <s v="Advantus Map Pennant Flags and Round Head Tacks"/>
    <x v="2634"/>
    <n v="9"/>
    <n v="0.2"/>
    <n v="4.266"/>
  </r>
  <r>
    <n v="4617"/>
    <x v="406"/>
    <x v="1"/>
    <x v="8"/>
    <d v="2012-09-07T00:00:00"/>
    <n v="3"/>
    <x v="0"/>
    <s v="David Smith"/>
    <x v="1"/>
    <s v="United States"/>
    <s v="Houston"/>
    <s v="Texas"/>
    <s v="Central"/>
    <x v="2"/>
    <x v="11"/>
    <s v="Sony Micro Vault Click 16 GB USB 2.0 Flash Drive"/>
    <x v="3374"/>
    <n v="3"/>
    <n v="0.2"/>
    <n v="6.7187999999999999"/>
  </r>
  <r>
    <n v="4618"/>
    <x v="481"/>
    <x v="1"/>
    <x v="8"/>
    <d v="2012-09-26T00:00:00"/>
    <n v="5"/>
    <x v="1"/>
    <s v="Tracy Hopkins"/>
    <x v="2"/>
    <s v="United States"/>
    <s v="Everett"/>
    <s v="Massachusetts"/>
    <s v="East"/>
    <x v="2"/>
    <x v="7"/>
    <s v="Polycom VoiceStation 500 Conference phone"/>
    <x v="3375"/>
    <n v="2"/>
    <n v="0"/>
    <n v="147.47499999999999"/>
  </r>
  <r>
    <n v="4619"/>
    <x v="481"/>
    <x v="1"/>
    <x v="8"/>
    <d v="2012-09-26T00:00:00"/>
    <n v="5"/>
    <x v="1"/>
    <s v="Tracy Hopkins"/>
    <x v="2"/>
    <s v="United States"/>
    <s v="Everett"/>
    <s v="Massachusetts"/>
    <s v="East"/>
    <x v="0"/>
    <x v="1"/>
    <s v="Global Ergonomic Managers Chair"/>
    <x v="3036"/>
    <n v="3"/>
    <n v="0"/>
    <n v="141.1644"/>
  </r>
  <r>
    <n v="4620"/>
    <x v="165"/>
    <x v="3"/>
    <x v="4"/>
    <d v="2014-12-26T00:00:00"/>
    <n v="1"/>
    <x v="2"/>
    <s v="Robert Marley"/>
    <x v="2"/>
    <s v="United States"/>
    <s v="Los Angeles"/>
    <s v="California"/>
    <s v="West"/>
    <x v="2"/>
    <x v="16"/>
    <s v="Hewlett Packard LaserJet 3310 Copier"/>
    <x v="3376"/>
    <n v="6"/>
    <n v="0.2"/>
    <n v="1007.9832"/>
  </r>
  <r>
    <n v="4621"/>
    <x v="165"/>
    <x v="3"/>
    <x v="4"/>
    <d v="2014-12-26T00:00:00"/>
    <n v="1"/>
    <x v="2"/>
    <s v="Robert Marley"/>
    <x v="2"/>
    <s v="United States"/>
    <s v="Los Angeles"/>
    <s v="California"/>
    <s v="West"/>
    <x v="1"/>
    <x v="8"/>
    <s v="Vinyl Sectional Post Binders"/>
    <x v="3377"/>
    <n v="3"/>
    <n v="0.2"/>
    <n v="33.93"/>
  </r>
  <r>
    <n v="4622"/>
    <x v="348"/>
    <x v="1"/>
    <x v="2"/>
    <d v="2012-10-08T00:00:00"/>
    <n v="3"/>
    <x v="0"/>
    <s v="Sylvia Foulston"/>
    <x v="1"/>
    <s v="United States"/>
    <s v="Wilmington"/>
    <s v="Delaware"/>
    <s v="East"/>
    <x v="1"/>
    <x v="4"/>
    <s v="Personal Filing Tote with Lid, Black/Gray"/>
    <x v="3378"/>
    <n v="5"/>
    <n v="0"/>
    <n v="21.713999999999999"/>
  </r>
  <r>
    <n v="4623"/>
    <x v="428"/>
    <x v="3"/>
    <x v="8"/>
    <d v="2014-09-15T00:00:00"/>
    <n v="5"/>
    <x v="1"/>
    <s v="Sean O'Donnell"/>
    <x v="0"/>
    <s v="United States"/>
    <s v="Columbia"/>
    <s v="Tennessee"/>
    <s v="South"/>
    <x v="1"/>
    <x v="14"/>
    <s v="Staples"/>
    <x v="3379"/>
    <n v="3"/>
    <n v="0.2"/>
    <n v="-1.9872000000000001"/>
  </r>
  <r>
    <n v="4624"/>
    <x v="428"/>
    <x v="3"/>
    <x v="8"/>
    <d v="2014-09-15T00:00:00"/>
    <n v="5"/>
    <x v="1"/>
    <s v="Sean O'Donnell"/>
    <x v="0"/>
    <s v="United States"/>
    <s v="Columbia"/>
    <s v="Tennessee"/>
    <s v="South"/>
    <x v="1"/>
    <x v="10"/>
    <s v="Xerox 1888"/>
    <x v="3380"/>
    <n v="4"/>
    <n v="0.2"/>
    <n v="62.137599999999999"/>
  </r>
  <r>
    <n v="4625"/>
    <x v="428"/>
    <x v="3"/>
    <x v="8"/>
    <d v="2014-09-15T00:00:00"/>
    <n v="5"/>
    <x v="1"/>
    <s v="Sean O'Donnell"/>
    <x v="0"/>
    <s v="United States"/>
    <s v="Columbia"/>
    <s v="Tennessee"/>
    <s v="South"/>
    <x v="1"/>
    <x v="4"/>
    <s v="Fellowes Super Stor/Drawer Files"/>
    <x v="3381"/>
    <n v="2"/>
    <n v="0.2"/>
    <n v="-3.2309999999999999"/>
  </r>
  <r>
    <n v="4626"/>
    <x v="428"/>
    <x v="3"/>
    <x v="8"/>
    <d v="2014-09-15T00:00:00"/>
    <n v="5"/>
    <x v="1"/>
    <s v="Sean O'Donnell"/>
    <x v="0"/>
    <s v="United States"/>
    <s v="Columbia"/>
    <s v="Tennessee"/>
    <s v="South"/>
    <x v="0"/>
    <x v="5"/>
    <s v="Eldon Wave Desk Accessories"/>
    <x v="2127"/>
    <n v="3"/>
    <n v="0.2"/>
    <n v="4.2408000000000001"/>
  </r>
  <r>
    <n v="4627"/>
    <x v="373"/>
    <x v="0"/>
    <x v="0"/>
    <d v="2013-11-19T00:00:00"/>
    <n v="5"/>
    <x v="1"/>
    <s v="Cyma Kinney"/>
    <x v="1"/>
    <s v="United States"/>
    <s v="New York City"/>
    <s v="New York"/>
    <s v="East"/>
    <x v="1"/>
    <x v="4"/>
    <s v="Tenex File Box, Personal Filing Tote with Lid, Black"/>
    <x v="3378"/>
    <n v="5"/>
    <n v="0"/>
    <n v="20.163"/>
  </r>
  <r>
    <n v="4628"/>
    <x v="373"/>
    <x v="0"/>
    <x v="0"/>
    <d v="2013-11-19T00:00:00"/>
    <n v="5"/>
    <x v="1"/>
    <s v="Cyma Kinney"/>
    <x v="1"/>
    <s v="United States"/>
    <s v="New York City"/>
    <s v="New York"/>
    <s v="East"/>
    <x v="1"/>
    <x v="4"/>
    <s v="Eldon Simplefile Box Office"/>
    <x v="3382"/>
    <n v="2"/>
    <n v="0"/>
    <n v="6.9664000000000001"/>
  </r>
  <r>
    <n v="4629"/>
    <x v="373"/>
    <x v="0"/>
    <x v="0"/>
    <d v="2013-11-19T00:00:00"/>
    <n v="5"/>
    <x v="1"/>
    <s v="Cyma Kinney"/>
    <x v="1"/>
    <s v="United States"/>
    <s v="New York City"/>
    <s v="New York"/>
    <s v="East"/>
    <x v="1"/>
    <x v="6"/>
    <s v="Boston Electric Pencil Sharpener, Model 1818, Charcoal Black"/>
    <x v="3383"/>
    <n v="5"/>
    <n v="0"/>
    <n v="39.409999999999997"/>
  </r>
  <r>
    <n v="4630"/>
    <x v="373"/>
    <x v="0"/>
    <x v="0"/>
    <d v="2013-11-19T00:00:00"/>
    <n v="5"/>
    <x v="1"/>
    <s v="Cyma Kinney"/>
    <x v="1"/>
    <s v="United States"/>
    <s v="New York City"/>
    <s v="New York"/>
    <s v="East"/>
    <x v="1"/>
    <x v="4"/>
    <s v="Portable Personal File Box"/>
    <x v="898"/>
    <n v="3"/>
    <n v="0"/>
    <n v="9.8901000000000003"/>
  </r>
  <r>
    <n v="4631"/>
    <x v="52"/>
    <x v="1"/>
    <x v="2"/>
    <d v="2012-10-15T00:00:00"/>
    <n v="0"/>
    <x v="3"/>
    <s v="Guy Armstrong"/>
    <x v="0"/>
    <s v="United States"/>
    <s v="Mount Pleasant"/>
    <s v="Michigan"/>
    <s v="Central"/>
    <x v="0"/>
    <x v="5"/>
    <s v="DAX Cubicle Frames, 8-1/2 x 11"/>
    <x v="1790"/>
    <n v="2"/>
    <n v="0"/>
    <n v="6.1703999999999999"/>
  </r>
  <r>
    <n v="4632"/>
    <x v="646"/>
    <x v="3"/>
    <x v="6"/>
    <d v="2014-08-09T00:00:00"/>
    <n v="5"/>
    <x v="0"/>
    <s v="Bruce Degenhardt"/>
    <x v="0"/>
    <s v="United States"/>
    <s v="San Francisco"/>
    <s v="California"/>
    <s v="West"/>
    <x v="1"/>
    <x v="2"/>
    <s v="Avery 473"/>
    <x v="2616"/>
    <n v="5"/>
    <n v="0"/>
    <n v="24.84"/>
  </r>
  <r>
    <n v="4633"/>
    <x v="646"/>
    <x v="3"/>
    <x v="6"/>
    <d v="2014-08-09T00:00:00"/>
    <n v="5"/>
    <x v="0"/>
    <s v="Bruce Degenhardt"/>
    <x v="0"/>
    <s v="United States"/>
    <s v="San Francisco"/>
    <s v="California"/>
    <s v="West"/>
    <x v="0"/>
    <x v="5"/>
    <s v="Deflect-o EconoMat Studded, No Bevel Mat for Low Pile Carpeting"/>
    <x v="3384"/>
    <n v="3"/>
    <n v="0"/>
    <n v="11.1564"/>
  </r>
  <r>
    <n v="4634"/>
    <x v="291"/>
    <x v="1"/>
    <x v="6"/>
    <d v="2012-08-26T00:00:00"/>
    <n v="5"/>
    <x v="1"/>
    <s v="David Smith"/>
    <x v="1"/>
    <s v="United States"/>
    <s v="San Francisco"/>
    <s v="California"/>
    <s v="West"/>
    <x v="0"/>
    <x v="0"/>
    <s v="Sauder Camden County Collection Library"/>
    <x v="3385"/>
    <n v="6"/>
    <n v="0.15"/>
    <n v="34.494"/>
  </r>
  <r>
    <n v="4635"/>
    <x v="291"/>
    <x v="1"/>
    <x v="6"/>
    <d v="2012-08-26T00:00:00"/>
    <n v="5"/>
    <x v="1"/>
    <s v="David Smith"/>
    <x v="1"/>
    <s v="United States"/>
    <s v="San Francisco"/>
    <s v="California"/>
    <s v="West"/>
    <x v="1"/>
    <x v="4"/>
    <s v="Carina Double Wide Media Storage Towers in Natural &amp; Black"/>
    <x v="1225"/>
    <n v="1"/>
    <n v="0"/>
    <n v="3.2391999999999999"/>
  </r>
  <r>
    <n v="4636"/>
    <x v="846"/>
    <x v="3"/>
    <x v="10"/>
    <d v="2014-03-18T00:00:00"/>
    <n v="5"/>
    <x v="1"/>
    <s v="Bill Stewart"/>
    <x v="1"/>
    <s v="United States"/>
    <s v="San Francisco"/>
    <s v="California"/>
    <s v="West"/>
    <x v="1"/>
    <x v="4"/>
    <s v="Carina Double Wide Media Storage Towers in Natural &amp; Black"/>
    <x v="420"/>
    <n v="3"/>
    <n v="0"/>
    <n v="9.7175999999999991"/>
  </r>
  <r>
    <n v="4637"/>
    <x v="842"/>
    <x v="3"/>
    <x v="3"/>
    <d v="2014-04-30T00:00:00"/>
    <n v="2"/>
    <x v="2"/>
    <s v="Arthur Prichep"/>
    <x v="0"/>
    <s v="United States"/>
    <s v="Los Angeles"/>
    <s v="California"/>
    <s v="West"/>
    <x v="1"/>
    <x v="6"/>
    <s v="Boston School Pro Electric Pencil Sharpener, 1670"/>
    <x v="1832"/>
    <n v="4"/>
    <n v="0"/>
    <n v="33.458399999999997"/>
  </r>
  <r>
    <n v="4638"/>
    <x v="842"/>
    <x v="3"/>
    <x v="3"/>
    <d v="2014-04-30T00:00:00"/>
    <n v="2"/>
    <x v="2"/>
    <s v="Arthur Prichep"/>
    <x v="0"/>
    <s v="United States"/>
    <s v="Los Angeles"/>
    <s v="California"/>
    <s v="West"/>
    <x v="1"/>
    <x v="6"/>
    <s v="Newell Chalk Holder"/>
    <x v="708"/>
    <n v="3"/>
    <n v="0"/>
    <n v="5.6993999999999998"/>
  </r>
  <r>
    <n v="4639"/>
    <x v="842"/>
    <x v="3"/>
    <x v="3"/>
    <d v="2014-04-30T00:00:00"/>
    <n v="2"/>
    <x v="2"/>
    <s v="Arthur Prichep"/>
    <x v="0"/>
    <s v="United States"/>
    <s v="Los Angeles"/>
    <s v="California"/>
    <s v="West"/>
    <x v="1"/>
    <x v="6"/>
    <s v="Boston Home &amp; Office Model 2000 Electric Pencil Sharpeners"/>
    <x v="2812"/>
    <n v="2"/>
    <n v="0"/>
    <n v="12.298"/>
  </r>
  <r>
    <n v="4640"/>
    <x v="108"/>
    <x v="0"/>
    <x v="8"/>
    <d v="2013-09-17T00:00:00"/>
    <n v="5"/>
    <x v="1"/>
    <s v="Jill Fjeld"/>
    <x v="0"/>
    <s v="United States"/>
    <s v="Newport News"/>
    <s v="Virginia"/>
    <s v="South"/>
    <x v="2"/>
    <x v="16"/>
    <s v="Canon PC-428 Personal Copier"/>
    <x v="3386"/>
    <n v="8"/>
    <n v="0"/>
    <n v="751.9624"/>
  </r>
  <r>
    <n v="4641"/>
    <x v="108"/>
    <x v="0"/>
    <x v="8"/>
    <d v="2013-09-17T00:00:00"/>
    <n v="5"/>
    <x v="1"/>
    <s v="Jill Fjeld"/>
    <x v="0"/>
    <s v="United States"/>
    <s v="Newport News"/>
    <s v="Virginia"/>
    <s v="South"/>
    <x v="1"/>
    <x v="12"/>
    <s v="#10 Self-Seal White Envelopes"/>
    <x v="3387"/>
    <n v="1"/>
    <n v="0"/>
    <n v="5.4340999999999999"/>
  </r>
  <r>
    <n v="4642"/>
    <x v="760"/>
    <x v="3"/>
    <x v="2"/>
    <d v="2014-10-25T00:00:00"/>
    <n v="2"/>
    <x v="0"/>
    <s v="Helen Abelman"/>
    <x v="0"/>
    <s v="United States"/>
    <s v="Fort Collins"/>
    <s v="Colorado"/>
    <s v="West"/>
    <x v="1"/>
    <x v="8"/>
    <s v="Storex Flexible Poly Binders with Double Pockets"/>
    <x v="754"/>
    <n v="4"/>
    <n v="0.7"/>
    <n v="-2.5344000000000002"/>
  </r>
  <r>
    <n v="4643"/>
    <x v="760"/>
    <x v="3"/>
    <x v="2"/>
    <d v="2014-10-25T00:00:00"/>
    <n v="2"/>
    <x v="0"/>
    <s v="Helen Abelman"/>
    <x v="0"/>
    <s v="United States"/>
    <s v="Fort Collins"/>
    <s v="Colorado"/>
    <s v="West"/>
    <x v="0"/>
    <x v="1"/>
    <s v="Office Star - Ergonomic Mid Back Chair with 2-Way Adjustable Arms"/>
    <x v="1077"/>
    <n v="4"/>
    <n v="0.2"/>
    <n v="-28.956800000000001"/>
  </r>
  <r>
    <n v="4644"/>
    <x v="991"/>
    <x v="1"/>
    <x v="6"/>
    <d v="2012-08-06T00:00:00"/>
    <n v="4"/>
    <x v="1"/>
    <s v="Corey-Lock"/>
    <x v="0"/>
    <s v="United States"/>
    <s v="Seattle"/>
    <s v="Washington"/>
    <s v="West"/>
    <x v="1"/>
    <x v="8"/>
    <s v="Ibico Presentation Index for Binding Systems"/>
    <x v="2850"/>
    <n v="2"/>
    <n v="0.2"/>
    <n v="2.1492"/>
  </r>
  <r>
    <n v="4645"/>
    <x v="991"/>
    <x v="1"/>
    <x v="6"/>
    <d v="2012-08-06T00:00:00"/>
    <n v="4"/>
    <x v="1"/>
    <s v="Corey-Lock"/>
    <x v="0"/>
    <s v="United States"/>
    <s v="Seattle"/>
    <s v="Washington"/>
    <s v="West"/>
    <x v="2"/>
    <x v="15"/>
    <s v="Okidata C331dn Printer"/>
    <x v="2666"/>
    <n v="2"/>
    <n v="0.2"/>
    <n v="41.88"/>
  </r>
  <r>
    <n v="4646"/>
    <x v="399"/>
    <x v="0"/>
    <x v="6"/>
    <d v="2013-08-17T00:00:00"/>
    <n v="4"/>
    <x v="1"/>
    <s v="Becky Castell"/>
    <x v="2"/>
    <s v="United States"/>
    <s v="New York City"/>
    <s v="New York"/>
    <s v="East"/>
    <x v="0"/>
    <x v="1"/>
    <s v="Global Geo Office Task Chair, Gray"/>
    <x v="3388"/>
    <n v="2"/>
    <n v="0.1"/>
    <n v="-8.0980000000000008"/>
  </r>
  <r>
    <n v="4647"/>
    <x v="992"/>
    <x v="2"/>
    <x v="5"/>
    <d v="2011-06-05T00:00:00"/>
    <n v="6"/>
    <x v="1"/>
    <s v="Ellis Ballard"/>
    <x v="1"/>
    <s v="United States"/>
    <s v="Richmond"/>
    <s v="Virginia"/>
    <s v="South"/>
    <x v="1"/>
    <x v="10"/>
    <s v="Ampad Poly Cover Wirebound Steno Book, 6&quot; x 9&quot; Assorted Colors, Gregg Ruled"/>
    <x v="3389"/>
    <n v="3"/>
    <n v="0"/>
    <n v="6.1289999999999996"/>
  </r>
  <r>
    <n v="4648"/>
    <x v="993"/>
    <x v="0"/>
    <x v="3"/>
    <d v="2013-05-02T00:00:00"/>
    <n v="5"/>
    <x v="1"/>
    <s v="Dennis Bolton"/>
    <x v="2"/>
    <s v="United States"/>
    <s v="New York City"/>
    <s v="New York"/>
    <s v="East"/>
    <x v="0"/>
    <x v="1"/>
    <s v="Office Star - Mid Back Dual function Ergonomic High Back Chair with 2-Way Adjustable Arms"/>
    <x v="3390"/>
    <n v="3"/>
    <n v="0.1"/>
    <n v="62.782200000000003"/>
  </r>
  <r>
    <n v="4649"/>
    <x v="304"/>
    <x v="3"/>
    <x v="5"/>
    <d v="2014-05-20T00:00:00"/>
    <n v="5"/>
    <x v="1"/>
    <s v="Ken Black"/>
    <x v="1"/>
    <s v="United States"/>
    <s v="Seattle"/>
    <s v="Washington"/>
    <s v="West"/>
    <x v="1"/>
    <x v="10"/>
    <s v="Xerox 1917"/>
    <x v="3391"/>
    <n v="9"/>
    <n v="0"/>
    <n v="206.88929999999999"/>
  </r>
  <r>
    <n v="4650"/>
    <x v="304"/>
    <x v="3"/>
    <x v="5"/>
    <d v="2014-05-20T00:00:00"/>
    <n v="5"/>
    <x v="1"/>
    <s v="Ken Black"/>
    <x v="1"/>
    <s v="United States"/>
    <s v="Seattle"/>
    <s v="Washington"/>
    <s v="West"/>
    <x v="1"/>
    <x v="14"/>
    <s v="Martin-Yale Premier Letter Opener"/>
    <x v="3392"/>
    <n v="5"/>
    <n v="0"/>
    <n v="1.9319999999999999"/>
  </r>
  <r>
    <n v="4651"/>
    <x v="798"/>
    <x v="3"/>
    <x v="3"/>
    <d v="2014-04-13T00:00:00"/>
    <n v="4"/>
    <x v="1"/>
    <s v="Adrian Hane"/>
    <x v="2"/>
    <s v="United States"/>
    <s v="San Francisco"/>
    <s v="California"/>
    <s v="West"/>
    <x v="1"/>
    <x v="10"/>
    <s v="Xerox 1891"/>
    <x v="1644"/>
    <n v="5"/>
    <n v="0"/>
    <n v="114.9385"/>
  </r>
  <r>
    <n v="4652"/>
    <x v="798"/>
    <x v="3"/>
    <x v="3"/>
    <d v="2014-04-13T00:00:00"/>
    <n v="4"/>
    <x v="1"/>
    <s v="Adrian Hane"/>
    <x v="2"/>
    <s v="United States"/>
    <s v="San Francisco"/>
    <s v="California"/>
    <s v="West"/>
    <x v="1"/>
    <x v="10"/>
    <s v="Xerox 1942"/>
    <x v="3393"/>
    <n v="4"/>
    <n v="0"/>
    <n v="97.88"/>
  </r>
  <r>
    <n v="4653"/>
    <x v="922"/>
    <x v="3"/>
    <x v="11"/>
    <d v="2014-02-24T00:00:00"/>
    <n v="6"/>
    <x v="1"/>
    <s v="Gary Hansen"/>
    <x v="2"/>
    <s v="United States"/>
    <s v="Perth Amboy"/>
    <s v="New Jersey"/>
    <s v="East"/>
    <x v="1"/>
    <x v="10"/>
    <s v="Adams Telephone Message Book W/Dividers/Space For Phone Numbers, 5 1/4&quot;X8 1/2&quot;, 300/Messages"/>
    <x v="2660"/>
    <n v="2"/>
    <n v="0"/>
    <n v="5.7624000000000004"/>
  </r>
  <r>
    <n v="4654"/>
    <x v="922"/>
    <x v="3"/>
    <x v="11"/>
    <d v="2014-02-24T00:00:00"/>
    <n v="6"/>
    <x v="1"/>
    <s v="Gary Hansen"/>
    <x v="2"/>
    <s v="United States"/>
    <s v="Perth Amboy"/>
    <s v="New Jersey"/>
    <s v="East"/>
    <x v="1"/>
    <x v="4"/>
    <s v="Fellowes Bases and Tops For Staxonsteel/High-Stak Systems"/>
    <x v="3394"/>
    <n v="5"/>
    <n v="0"/>
    <n v="39.948"/>
  </r>
  <r>
    <n v="4655"/>
    <x v="92"/>
    <x v="3"/>
    <x v="1"/>
    <d v="2014-06-27T00:00:00"/>
    <n v="2"/>
    <x v="0"/>
    <s v="Kean Thornton"/>
    <x v="0"/>
    <s v="United States"/>
    <s v="San Francisco"/>
    <s v="California"/>
    <s v="West"/>
    <x v="1"/>
    <x v="13"/>
    <s v="Acco Banker's Clasps, 5 3/4&quot;-Long"/>
    <x v="704"/>
    <n v="1"/>
    <n v="0"/>
    <n v="1.3535999999999999"/>
  </r>
  <r>
    <n v="4656"/>
    <x v="952"/>
    <x v="2"/>
    <x v="5"/>
    <d v="2011-05-10T00:00:00"/>
    <n v="5"/>
    <x v="1"/>
    <s v="Katharine Harms"/>
    <x v="1"/>
    <s v="United States"/>
    <s v="Freeport"/>
    <s v="Illinois"/>
    <s v="Central"/>
    <x v="1"/>
    <x v="4"/>
    <s v="Eldon Portable Mobile Manager"/>
    <x v="3395"/>
    <n v="2"/>
    <n v="0.2"/>
    <n v="3.9592000000000001"/>
  </r>
  <r>
    <n v="4657"/>
    <x v="910"/>
    <x v="1"/>
    <x v="5"/>
    <d v="2012-05-07T00:00:00"/>
    <n v="4"/>
    <x v="1"/>
    <s v="Stewart Visinsky"/>
    <x v="0"/>
    <s v="United States"/>
    <s v="Philadelphia"/>
    <s v="Pennsylvania"/>
    <s v="East"/>
    <x v="1"/>
    <x v="6"/>
    <s v="Sanford Prismacolor Professional Thick Lead Art Pencils, 36-Color Set"/>
    <x v="3396"/>
    <n v="2"/>
    <n v="0.2"/>
    <n v="14.2272"/>
  </r>
  <r>
    <n v="4658"/>
    <x v="910"/>
    <x v="1"/>
    <x v="5"/>
    <d v="2012-05-07T00:00:00"/>
    <n v="4"/>
    <x v="1"/>
    <s v="Stewart Visinsky"/>
    <x v="0"/>
    <s v="United States"/>
    <s v="Philadelphia"/>
    <s v="Pennsylvania"/>
    <s v="East"/>
    <x v="1"/>
    <x v="9"/>
    <s v="Holmes Replacement Filter for HEPA Air Cleaner, Large Room"/>
    <x v="769"/>
    <n v="2"/>
    <n v="0.2"/>
    <n v="6.5164"/>
  </r>
  <r>
    <n v="4659"/>
    <x v="910"/>
    <x v="1"/>
    <x v="5"/>
    <d v="2012-05-07T00:00:00"/>
    <n v="4"/>
    <x v="1"/>
    <s v="Stewart Visinsky"/>
    <x v="0"/>
    <s v="United States"/>
    <s v="Philadelphia"/>
    <s v="Pennsylvania"/>
    <s v="East"/>
    <x v="1"/>
    <x v="10"/>
    <s v="Xerox 1897"/>
    <x v="885"/>
    <n v="2"/>
    <n v="0.2"/>
    <n v="2.8883999999999999"/>
  </r>
  <r>
    <n v="4660"/>
    <x v="910"/>
    <x v="1"/>
    <x v="5"/>
    <d v="2012-05-07T00:00:00"/>
    <n v="4"/>
    <x v="1"/>
    <s v="Stewart Visinsky"/>
    <x v="0"/>
    <s v="United States"/>
    <s v="Philadelphia"/>
    <s v="Pennsylvania"/>
    <s v="East"/>
    <x v="1"/>
    <x v="9"/>
    <s v="Bravo II Megaboss 12-Amp Hard Body Upright, Replacement Belts, 2 Belts per Pack"/>
    <x v="3397"/>
    <n v="7"/>
    <n v="0.2"/>
    <n v="2.0474999999999999"/>
  </r>
  <r>
    <n v="4661"/>
    <x v="910"/>
    <x v="1"/>
    <x v="5"/>
    <d v="2012-05-07T00:00:00"/>
    <n v="4"/>
    <x v="1"/>
    <s v="Stewart Visinsky"/>
    <x v="0"/>
    <s v="United States"/>
    <s v="Philadelphia"/>
    <s v="Pennsylvania"/>
    <s v="East"/>
    <x v="2"/>
    <x v="11"/>
    <s v="SanDisk Cruzer 16 GB USB Flash Drive"/>
    <x v="288"/>
    <n v="3"/>
    <n v="0.2"/>
    <n v="-0.34439999999999998"/>
  </r>
  <r>
    <n v="4662"/>
    <x v="910"/>
    <x v="1"/>
    <x v="5"/>
    <d v="2012-05-07T00:00:00"/>
    <n v="4"/>
    <x v="1"/>
    <s v="Stewart Visinsky"/>
    <x v="0"/>
    <s v="United States"/>
    <s v="Philadelphia"/>
    <s v="Pennsylvania"/>
    <s v="East"/>
    <x v="0"/>
    <x v="1"/>
    <s v="Global Leather Highback Executive Chair with Pneumatic Height Adjustment, Black"/>
    <x v="2749"/>
    <n v="6"/>
    <n v="0.3"/>
    <n v="-36.176400000000001"/>
  </r>
  <r>
    <n v="4663"/>
    <x v="910"/>
    <x v="1"/>
    <x v="5"/>
    <d v="2012-05-07T00:00:00"/>
    <n v="4"/>
    <x v="1"/>
    <s v="Stewart Visinsky"/>
    <x v="0"/>
    <s v="United States"/>
    <s v="Philadelphia"/>
    <s v="Pennsylvania"/>
    <s v="East"/>
    <x v="1"/>
    <x v="4"/>
    <s v="Fellowes Bankers Box Stor/Drawer Steel Plus"/>
    <x v="3398"/>
    <n v="3"/>
    <n v="0.2"/>
    <n v="-9.5939999999999994"/>
  </r>
  <r>
    <n v="4664"/>
    <x v="31"/>
    <x v="0"/>
    <x v="8"/>
    <d v="2013-09-23T00:00:00"/>
    <n v="4"/>
    <x v="1"/>
    <s v="Patrick O'Brill"/>
    <x v="0"/>
    <s v="United States"/>
    <s v="Jacksonville"/>
    <s v="Florida"/>
    <s v="South"/>
    <x v="1"/>
    <x v="2"/>
    <s v="Avery 480"/>
    <x v="3399"/>
    <n v="1"/>
    <n v="0.2"/>
    <n v="1.05"/>
  </r>
  <r>
    <n v="4665"/>
    <x v="897"/>
    <x v="0"/>
    <x v="8"/>
    <d v="2013-09-27T00:00:00"/>
    <n v="4"/>
    <x v="1"/>
    <s v="Amy Cox"/>
    <x v="0"/>
    <s v="United States"/>
    <s v="Pembroke Pines"/>
    <s v="Florida"/>
    <s v="South"/>
    <x v="1"/>
    <x v="8"/>
    <s v="Acco Suede Grain Vinyl Round Ring Binder"/>
    <x v="3400"/>
    <n v="9"/>
    <n v="0.7"/>
    <n v="-6.0048000000000004"/>
  </r>
  <r>
    <n v="4666"/>
    <x v="897"/>
    <x v="0"/>
    <x v="8"/>
    <d v="2013-09-27T00:00:00"/>
    <n v="4"/>
    <x v="1"/>
    <s v="Amy Cox"/>
    <x v="0"/>
    <s v="United States"/>
    <s v="Pembroke Pines"/>
    <s v="Florida"/>
    <s v="South"/>
    <x v="1"/>
    <x v="2"/>
    <s v="Avery Address/Shipping Labels for Typewriters, 4&quot; x 2&quot;"/>
    <x v="3319"/>
    <n v="2"/>
    <n v="0.2"/>
    <n v="5.7960000000000003"/>
  </r>
  <r>
    <n v="4667"/>
    <x v="994"/>
    <x v="0"/>
    <x v="9"/>
    <d v="2013-01-17T00:00:00"/>
    <n v="7"/>
    <x v="1"/>
    <s v="Ken Black"/>
    <x v="1"/>
    <s v="United States"/>
    <s v="Seattle"/>
    <s v="Washington"/>
    <s v="West"/>
    <x v="0"/>
    <x v="5"/>
    <s v="24-Hour Round Wall Clock"/>
    <x v="705"/>
    <n v="4"/>
    <n v="0"/>
    <n v="34.365600000000001"/>
  </r>
  <r>
    <n v="4668"/>
    <x v="994"/>
    <x v="0"/>
    <x v="9"/>
    <d v="2013-01-17T00:00:00"/>
    <n v="7"/>
    <x v="1"/>
    <s v="Ken Black"/>
    <x v="1"/>
    <s v="United States"/>
    <s v="Seattle"/>
    <s v="Washington"/>
    <s v="West"/>
    <x v="2"/>
    <x v="11"/>
    <s v="Logitech Media Keyboard K200"/>
    <x v="3401"/>
    <n v="2"/>
    <n v="0"/>
    <n v="13.296200000000001"/>
  </r>
  <r>
    <n v="4669"/>
    <x v="636"/>
    <x v="3"/>
    <x v="5"/>
    <d v="2014-05-12T00:00:00"/>
    <n v="5"/>
    <x v="1"/>
    <s v="Dorothy Badders"/>
    <x v="1"/>
    <s v="United States"/>
    <s v="Fort Worth"/>
    <s v="Texas"/>
    <s v="Central"/>
    <x v="1"/>
    <x v="8"/>
    <s v="Avery Durable Poly Binders"/>
    <x v="3402"/>
    <n v="10"/>
    <n v="0.8"/>
    <n v="-18.802"/>
  </r>
  <r>
    <n v="4670"/>
    <x v="636"/>
    <x v="3"/>
    <x v="5"/>
    <d v="2014-05-12T00:00:00"/>
    <n v="5"/>
    <x v="1"/>
    <s v="Dorothy Badders"/>
    <x v="1"/>
    <s v="United States"/>
    <s v="Fort Worth"/>
    <s v="Texas"/>
    <s v="Central"/>
    <x v="0"/>
    <x v="0"/>
    <s v="Sauder Mission Library with Doors, Fruitwood Finish"/>
    <x v="3403"/>
    <n v="7"/>
    <n v="0.32"/>
    <n v="-119.1918"/>
  </r>
  <r>
    <n v="4671"/>
    <x v="636"/>
    <x v="3"/>
    <x v="5"/>
    <d v="2014-05-12T00:00:00"/>
    <n v="5"/>
    <x v="1"/>
    <s v="Dorothy Badders"/>
    <x v="1"/>
    <s v="United States"/>
    <s v="Fort Worth"/>
    <s v="Texas"/>
    <s v="Central"/>
    <x v="1"/>
    <x v="4"/>
    <s v="Fellowes Staxonsteel Drawer Files"/>
    <x v="3404"/>
    <n v="5"/>
    <n v="0.2"/>
    <n v="-57.951000000000001"/>
  </r>
  <r>
    <n v="4672"/>
    <x v="995"/>
    <x v="0"/>
    <x v="6"/>
    <d v="2013-08-07T00:00:00"/>
    <n v="6"/>
    <x v="1"/>
    <s v="Ken Lonsdale"/>
    <x v="0"/>
    <s v="United States"/>
    <s v="Detroit"/>
    <s v="Michigan"/>
    <s v="Central"/>
    <x v="1"/>
    <x v="9"/>
    <s v="Honeywell Quietcare HEPA Air Cleaner"/>
    <x v="3405"/>
    <n v="4"/>
    <n v="0.1"/>
    <n v="72.358000000000004"/>
  </r>
  <r>
    <n v="4673"/>
    <x v="995"/>
    <x v="0"/>
    <x v="6"/>
    <d v="2013-08-07T00:00:00"/>
    <n v="6"/>
    <x v="1"/>
    <s v="Ken Lonsdale"/>
    <x v="0"/>
    <s v="United States"/>
    <s v="Detroit"/>
    <s v="Michigan"/>
    <s v="Central"/>
    <x v="2"/>
    <x v="7"/>
    <s v="ClearOne Communications CHAT 70 OC Speaker Phone"/>
    <x v="3406"/>
    <n v="4"/>
    <n v="0"/>
    <n v="165.34960000000001"/>
  </r>
  <r>
    <n v="4674"/>
    <x v="995"/>
    <x v="0"/>
    <x v="6"/>
    <d v="2013-08-07T00:00:00"/>
    <n v="6"/>
    <x v="1"/>
    <s v="Ken Lonsdale"/>
    <x v="0"/>
    <s v="United States"/>
    <s v="Detroit"/>
    <s v="Michigan"/>
    <s v="Central"/>
    <x v="2"/>
    <x v="7"/>
    <s v="Polycom SoundPoint Pro SE-225 Corded phone"/>
    <x v="3407"/>
    <n v="1"/>
    <n v="0"/>
    <n v="33.3172"/>
  </r>
  <r>
    <n v="4675"/>
    <x v="995"/>
    <x v="0"/>
    <x v="6"/>
    <d v="2013-08-07T00:00:00"/>
    <n v="6"/>
    <x v="1"/>
    <s v="Ken Lonsdale"/>
    <x v="0"/>
    <s v="United States"/>
    <s v="Detroit"/>
    <s v="Michigan"/>
    <s v="Central"/>
    <x v="0"/>
    <x v="5"/>
    <s v="Eldon ClusterMat Chair Mat with Cordless Antistatic Protection"/>
    <x v="1042"/>
    <n v="3"/>
    <n v="0"/>
    <n v="30.023399999999999"/>
  </r>
  <r>
    <n v="4676"/>
    <x v="996"/>
    <x v="3"/>
    <x v="10"/>
    <d v="2014-03-30T00:00:00"/>
    <n v="2"/>
    <x v="0"/>
    <s v="Alejandro Grove"/>
    <x v="0"/>
    <s v="United States"/>
    <s v="Philadelphia"/>
    <s v="Pennsylvania"/>
    <s v="East"/>
    <x v="0"/>
    <x v="5"/>
    <s v="Eldon Expressions Punched Metal &amp; Wood Desk Accessories, Black &amp; Cherry"/>
    <x v="1632"/>
    <n v="2"/>
    <n v="0.2"/>
    <n v="1.5007999999999999"/>
  </r>
  <r>
    <n v="4677"/>
    <x v="619"/>
    <x v="2"/>
    <x v="10"/>
    <d v="2011-03-19T00:00:00"/>
    <n v="5"/>
    <x v="1"/>
    <s v="Jason Fortune-"/>
    <x v="0"/>
    <s v="United States"/>
    <s v="Logan"/>
    <s v="Utah"/>
    <s v="West"/>
    <x v="1"/>
    <x v="8"/>
    <s v="GBC Wire Binding Combs"/>
    <x v="3408"/>
    <n v="4"/>
    <n v="0.2"/>
    <n v="11.167199999999999"/>
  </r>
  <r>
    <n v="4678"/>
    <x v="619"/>
    <x v="2"/>
    <x v="10"/>
    <d v="2011-03-19T00:00:00"/>
    <n v="5"/>
    <x v="1"/>
    <s v="Jason Fortune-"/>
    <x v="0"/>
    <s v="United States"/>
    <s v="Logan"/>
    <s v="Utah"/>
    <s v="West"/>
    <x v="1"/>
    <x v="4"/>
    <s v="Carina Double Wide Media Storage Towers in Natural &amp; Black"/>
    <x v="1225"/>
    <n v="1"/>
    <n v="0"/>
    <n v="3.2391999999999999"/>
  </r>
  <r>
    <n v="4679"/>
    <x v="619"/>
    <x v="2"/>
    <x v="10"/>
    <d v="2011-03-19T00:00:00"/>
    <n v="5"/>
    <x v="1"/>
    <s v="Jason Fortune-"/>
    <x v="0"/>
    <s v="United States"/>
    <s v="Logan"/>
    <s v="Utah"/>
    <s v="West"/>
    <x v="2"/>
    <x v="11"/>
    <s v="Imation 30456 USB Flash Drive 8GB"/>
    <x v="137"/>
    <n v="12"/>
    <n v="0"/>
    <n v="6.6239999999999997"/>
  </r>
  <r>
    <n v="4680"/>
    <x v="619"/>
    <x v="2"/>
    <x v="10"/>
    <d v="2011-03-19T00:00:00"/>
    <n v="5"/>
    <x v="1"/>
    <s v="Jason Fortune-"/>
    <x v="0"/>
    <s v="United States"/>
    <s v="Logan"/>
    <s v="Utah"/>
    <s v="West"/>
    <x v="1"/>
    <x v="4"/>
    <s v="Staples"/>
    <x v="788"/>
    <n v="2"/>
    <n v="0"/>
    <n v="5.7671999999999999"/>
  </r>
  <r>
    <n v="4681"/>
    <x v="619"/>
    <x v="2"/>
    <x v="10"/>
    <d v="2011-03-19T00:00:00"/>
    <n v="5"/>
    <x v="1"/>
    <s v="Jason Fortune-"/>
    <x v="0"/>
    <s v="United States"/>
    <s v="Logan"/>
    <s v="Utah"/>
    <s v="West"/>
    <x v="1"/>
    <x v="8"/>
    <s v="Premium Transparent Presentation Covers, No Pattern/Clear, 8 1/2&quot; x 11&quot;"/>
    <x v="3409"/>
    <n v="2"/>
    <n v="0.2"/>
    <n v="20.165600000000001"/>
  </r>
  <r>
    <n v="4682"/>
    <x v="216"/>
    <x v="0"/>
    <x v="7"/>
    <d v="2013-07-19T00:00:00"/>
    <n v="4"/>
    <x v="0"/>
    <s v="Richard Eichhorn"/>
    <x v="0"/>
    <s v="United States"/>
    <s v="Auburn"/>
    <s v="New York"/>
    <s v="East"/>
    <x v="1"/>
    <x v="13"/>
    <s v="Acco Hot Clips Clips to Go"/>
    <x v="3410"/>
    <n v="9"/>
    <n v="0"/>
    <n v="13.3245"/>
  </r>
  <r>
    <n v="4683"/>
    <x v="49"/>
    <x v="0"/>
    <x v="4"/>
    <d v="2013-12-02T00:00:00"/>
    <n v="0"/>
    <x v="3"/>
    <s v="Mike Vittorini"/>
    <x v="0"/>
    <s v="United States"/>
    <s v="Raleigh"/>
    <s v="North Carolina"/>
    <s v="South"/>
    <x v="2"/>
    <x v="7"/>
    <s v="Jabra Supreme Plus Driver Edition Headset"/>
    <x v="3411"/>
    <n v="9"/>
    <n v="0.2"/>
    <n v="86.392799999999994"/>
  </r>
  <r>
    <n v="4684"/>
    <x v="48"/>
    <x v="0"/>
    <x v="6"/>
    <d v="2013-09-04T00:00:00"/>
    <n v="5"/>
    <x v="1"/>
    <s v="George Bell"/>
    <x v="1"/>
    <s v="United States"/>
    <s v="Philadelphia"/>
    <s v="Pennsylvania"/>
    <s v="East"/>
    <x v="0"/>
    <x v="3"/>
    <s v="Barricks 18&quot; x 48&quot; Non-Folding Utility Table with Bottom Storage Shelf"/>
    <x v="3412"/>
    <n v="4"/>
    <n v="0.4"/>
    <n v="-56.448"/>
  </r>
  <r>
    <n v="4685"/>
    <x v="48"/>
    <x v="0"/>
    <x v="6"/>
    <d v="2013-09-04T00:00:00"/>
    <n v="5"/>
    <x v="1"/>
    <s v="George Bell"/>
    <x v="1"/>
    <s v="United States"/>
    <s v="Philadelphia"/>
    <s v="Pennsylvania"/>
    <s v="East"/>
    <x v="0"/>
    <x v="0"/>
    <s v="O'Sullivan 5-Shelf Heavy-Duty Bookcases"/>
    <x v="3413"/>
    <n v="4"/>
    <n v="0.5"/>
    <n v="-81.94"/>
  </r>
  <r>
    <n v="4686"/>
    <x v="48"/>
    <x v="0"/>
    <x v="6"/>
    <d v="2013-09-04T00:00:00"/>
    <n v="5"/>
    <x v="1"/>
    <s v="George Bell"/>
    <x v="1"/>
    <s v="United States"/>
    <s v="Philadelphia"/>
    <s v="Pennsylvania"/>
    <s v="East"/>
    <x v="1"/>
    <x v="8"/>
    <s v="Fellowes Black Plastic Comb Bindings"/>
    <x v="3414"/>
    <n v="2"/>
    <n v="0.7"/>
    <n v="-2.7888000000000002"/>
  </r>
  <r>
    <n v="4687"/>
    <x v="48"/>
    <x v="0"/>
    <x v="6"/>
    <d v="2013-09-04T00:00:00"/>
    <n v="5"/>
    <x v="1"/>
    <s v="George Bell"/>
    <x v="1"/>
    <s v="United States"/>
    <s v="Philadelphia"/>
    <s v="Pennsylvania"/>
    <s v="East"/>
    <x v="1"/>
    <x v="13"/>
    <s v="Revere Boxed Rubber Bands by Revere"/>
    <x v="1785"/>
    <n v="7"/>
    <n v="0.2"/>
    <n v="-2.3814000000000002"/>
  </r>
  <r>
    <n v="4688"/>
    <x v="890"/>
    <x v="0"/>
    <x v="1"/>
    <d v="2013-07-01T00:00:00"/>
    <n v="6"/>
    <x v="1"/>
    <s v="Hunter Lopez"/>
    <x v="0"/>
    <s v="United States"/>
    <s v="Richmond"/>
    <s v="Indiana"/>
    <s v="Central"/>
    <x v="2"/>
    <x v="7"/>
    <s v="Panasonic KX TS208W Corded phone"/>
    <x v="3415"/>
    <n v="9"/>
    <n v="0"/>
    <n v="123.45480000000001"/>
  </r>
  <r>
    <n v="4689"/>
    <x v="983"/>
    <x v="3"/>
    <x v="10"/>
    <d v="2014-04-04T00:00:00"/>
    <n v="4"/>
    <x v="1"/>
    <s v="Becky Pak"/>
    <x v="0"/>
    <s v="United States"/>
    <s v="Lancaster"/>
    <s v="Pennsylvania"/>
    <s v="East"/>
    <x v="1"/>
    <x v="8"/>
    <s v="Acco Pressboard Covers with Storage Hooks, 14 7/8&quot; x 11&quot;, Executive Red"/>
    <x v="3416"/>
    <n v="5"/>
    <n v="0.7"/>
    <n v="-4.7625000000000002"/>
  </r>
  <r>
    <n v="4690"/>
    <x v="414"/>
    <x v="2"/>
    <x v="4"/>
    <d v="2011-12-22T00:00:00"/>
    <n v="2"/>
    <x v="2"/>
    <s v="Carol Triggs"/>
    <x v="0"/>
    <s v="United States"/>
    <s v="Tucson"/>
    <s v="Arizona"/>
    <s v="West"/>
    <x v="0"/>
    <x v="5"/>
    <s v="Computer Room Manger, 14&quot;"/>
    <x v="3417"/>
    <n v="2"/>
    <n v="0.2"/>
    <n v="10.393599999999999"/>
  </r>
  <r>
    <n v="4691"/>
    <x v="414"/>
    <x v="2"/>
    <x v="4"/>
    <d v="2011-12-22T00:00:00"/>
    <n v="2"/>
    <x v="2"/>
    <s v="Carol Triggs"/>
    <x v="0"/>
    <s v="United States"/>
    <s v="Tucson"/>
    <s v="Arizona"/>
    <s v="West"/>
    <x v="2"/>
    <x v="11"/>
    <s v="Logitech 910-002974 M325 Wireless Mouse for Web Scrolling"/>
    <x v="973"/>
    <n v="3"/>
    <n v="0.2"/>
    <n v="21.5928"/>
  </r>
  <r>
    <n v="4692"/>
    <x v="414"/>
    <x v="2"/>
    <x v="4"/>
    <d v="2011-12-22T00:00:00"/>
    <n v="2"/>
    <x v="2"/>
    <s v="Carol Triggs"/>
    <x v="0"/>
    <s v="United States"/>
    <s v="Tucson"/>
    <s v="Arizona"/>
    <s v="West"/>
    <x v="0"/>
    <x v="1"/>
    <s v="Global Low Back Tilter Chair"/>
    <x v="2463"/>
    <n v="3"/>
    <n v="0.2"/>
    <n v="-42.4116"/>
  </r>
  <r>
    <n v="4693"/>
    <x v="414"/>
    <x v="2"/>
    <x v="4"/>
    <d v="2011-12-22T00:00:00"/>
    <n v="2"/>
    <x v="2"/>
    <s v="Carol Triggs"/>
    <x v="0"/>
    <s v="United States"/>
    <s v="Tucson"/>
    <s v="Arizona"/>
    <s v="West"/>
    <x v="1"/>
    <x v="10"/>
    <s v="Xerox 1888"/>
    <x v="1765"/>
    <n v="5"/>
    <n v="0.2"/>
    <n v="77.671999999999997"/>
  </r>
  <r>
    <n v="4694"/>
    <x v="414"/>
    <x v="2"/>
    <x v="4"/>
    <d v="2011-12-22T00:00:00"/>
    <n v="2"/>
    <x v="2"/>
    <s v="Carol Triggs"/>
    <x v="0"/>
    <s v="United States"/>
    <s v="Tucson"/>
    <s v="Arizona"/>
    <s v="West"/>
    <x v="1"/>
    <x v="10"/>
    <s v="Xerox 1954"/>
    <x v="578"/>
    <n v="2"/>
    <n v="0.2"/>
    <n v="2.64"/>
  </r>
  <r>
    <n v="4695"/>
    <x v="997"/>
    <x v="1"/>
    <x v="4"/>
    <d v="2012-12-17T00:00:00"/>
    <n v="0"/>
    <x v="3"/>
    <s v="John Lee"/>
    <x v="0"/>
    <s v="United States"/>
    <s v="Detroit"/>
    <s v="Michigan"/>
    <s v="Central"/>
    <x v="1"/>
    <x v="8"/>
    <s v="GBC Plastic Binding Combs"/>
    <x v="3418"/>
    <n v="4"/>
    <n v="0"/>
    <n v="14.4648"/>
  </r>
  <r>
    <n v="4696"/>
    <x v="997"/>
    <x v="1"/>
    <x v="4"/>
    <d v="2012-12-17T00:00:00"/>
    <n v="0"/>
    <x v="3"/>
    <s v="John Lee"/>
    <x v="0"/>
    <s v="United States"/>
    <s v="Detroit"/>
    <s v="Michigan"/>
    <s v="Central"/>
    <x v="0"/>
    <x v="1"/>
    <s v="Hon Valutask Swivel Chairs"/>
    <x v="3271"/>
    <n v="3"/>
    <n v="0"/>
    <n v="48.470399999999998"/>
  </r>
  <r>
    <n v="4697"/>
    <x v="997"/>
    <x v="1"/>
    <x v="4"/>
    <d v="2012-12-17T00:00:00"/>
    <n v="0"/>
    <x v="3"/>
    <s v="John Lee"/>
    <x v="0"/>
    <s v="United States"/>
    <s v="Detroit"/>
    <s v="Michigan"/>
    <s v="Central"/>
    <x v="0"/>
    <x v="1"/>
    <s v="Harbour Creations 67200 Series Stacking Chairs"/>
    <x v="3419"/>
    <n v="2"/>
    <n v="0"/>
    <n v="38.437199999999997"/>
  </r>
  <r>
    <n v="4698"/>
    <x v="997"/>
    <x v="1"/>
    <x v="4"/>
    <d v="2012-12-17T00:00:00"/>
    <n v="0"/>
    <x v="3"/>
    <s v="John Lee"/>
    <x v="0"/>
    <s v="United States"/>
    <s v="Detroit"/>
    <s v="Michigan"/>
    <s v="Central"/>
    <x v="0"/>
    <x v="1"/>
    <s v="Global Value Steno Chair, Gray"/>
    <x v="3420"/>
    <n v="9"/>
    <n v="0"/>
    <n v="136.66499999999999"/>
  </r>
  <r>
    <n v="4699"/>
    <x v="997"/>
    <x v="1"/>
    <x v="4"/>
    <d v="2012-12-17T00:00:00"/>
    <n v="0"/>
    <x v="3"/>
    <s v="John Lee"/>
    <x v="0"/>
    <s v="United States"/>
    <s v="Detroit"/>
    <s v="Michigan"/>
    <s v="Central"/>
    <x v="0"/>
    <x v="5"/>
    <s v="Tenex Carpeted, Granite-Look or Clear Contemporary Contour Shape Chair Mats"/>
    <x v="3421"/>
    <n v="3"/>
    <n v="0"/>
    <n v="14.8491"/>
  </r>
  <r>
    <n v="4700"/>
    <x v="943"/>
    <x v="3"/>
    <x v="5"/>
    <d v="2014-05-18T00:00:00"/>
    <n v="6"/>
    <x v="1"/>
    <s v="Julie Kriz"/>
    <x v="2"/>
    <s v="United States"/>
    <s v="Austin"/>
    <s v="Texas"/>
    <s v="Central"/>
    <x v="1"/>
    <x v="6"/>
    <s v="Newell 348"/>
    <x v="791"/>
    <n v="2"/>
    <n v="0.2"/>
    <n v="0.59040000000000004"/>
  </r>
  <r>
    <n v="4701"/>
    <x v="943"/>
    <x v="3"/>
    <x v="5"/>
    <d v="2014-05-18T00:00:00"/>
    <n v="6"/>
    <x v="1"/>
    <s v="Julie Kriz"/>
    <x v="2"/>
    <s v="United States"/>
    <s v="Austin"/>
    <s v="Texas"/>
    <s v="Central"/>
    <x v="1"/>
    <x v="4"/>
    <s v="Safco Commercial Shelving"/>
    <x v="3422"/>
    <n v="2"/>
    <n v="0.2"/>
    <n v="-14.8832"/>
  </r>
  <r>
    <n v="4702"/>
    <x v="943"/>
    <x v="3"/>
    <x v="5"/>
    <d v="2014-05-18T00:00:00"/>
    <n v="6"/>
    <x v="1"/>
    <s v="Julie Kriz"/>
    <x v="2"/>
    <s v="United States"/>
    <s v="Austin"/>
    <s v="Texas"/>
    <s v="Central"/>
    <x v="1"/>
    <x v="10"/>
    <s v="Xerox 1927"/>
    <x v="1297"/>
    <n v="2"/>
    <n v="0.2"/>
    <n v="2.14"/>
  </r>
  <r>
    <n v="4703"/>
    <x v="943"/>
    <x v="3"/>
    <x v="5"/>
    <d v="2014-05-18T00:00:00"/>
    <n v="6"/>
    <x v="1"/>
    <s v="Julie Kriz"/>
    <x v="2"/>
    <s v="United States"/>
    <s v="Austin"/>
    <s v="Texas"/>
    <s v="Central"/>
    <x v="0"/>
    <x v="5"/>
    <s v="Telescoping Adjustable Floor Lamp"/>
    <x v="3423"/>
    <n v="1"/>
    <n v="0.6"/>
    <n v="-6.9965000000000002"/>
  </r>
  <r>
    <n v="4704"/>
    <x v="890"/>
    <x v="0"/>
    <x v="1"/>
    <d v="2013-06-29T00:00:00"/>
    <n v="4"/>
    <x v="1"/>
    <s v="Dave Hallsten"/>
    <x v="1"/>
    <s v="United States"/>
    <s v="Houston"/>
    <s v="Texas"/>
    <s v="Central"/>
    <x v="1"/>
    <x v="9"/>
    <s v="Holmes HEPA Air Purifier"/>
    <x v="3424"/>
    <n v="2"/>
    <n v="0.8"/>
    <n v="-19.602"/>
  </r>
  <r>
    <n v="4705"/>
    <x v="624"/>
    <x v="0"/>
    <x v="5"/>
    <d v="2013-05-19T00:00:00"/>
    <n v="1"/>
    <x v="2"/>
    <s v="Arthur Gainer"/>
    <x v="0"/>
    <s v="United States"/>
    <s v="Waterbury"/>
    <s v="Connecticut"/>
    <s v="East"/>
    <x v="1"/>
    <x v="14"/>
    <s v="Acme Forged Steel Scissors with Black Enamel Handles"/>
    <x v="3425"/>
    <n v="7"/>
    <n v="0"/>
    <n v="18.8993"/>
  </r>
  <r>
    <n v="4706"/>
    <x v="624"/>
    <x v="0"/>
    <x v="5"/>
    <d v="2013-05-19T00:00:00"/>
    <n v="1"/>
    <x v="2"/>
    <s v="Arthur Gainer"/>
    <x v="0"/>
    <s v="United States"/>
    <s v="Waterbury"/>
    <s v="Connecticut"/>
    <s v="East"/>
    <x v="1"/>
    <x v="2"/>
    <s v="Avery 519"/>
    <x v="2"/>
    <n v="2"/>
    <n v="0"/>
    <n v="6.8714000000000004"/>
  </r>
  <r>
    <n v="4707"/>
    <x v="624"/>
    <x v="0"/>
    <x v="5"/>
    <d v="2013-05-19T00:00:00"/>
    <n v="1"/>
    <x v="2"/>
    <s v="Arthur Gainer"/>
    <x v="0"/>
    <s v="United States"/>
    <s v="Waterbury"/>
    <s v="Connecticut"/>
    <s v="East"/>
    <x v="0"/>
    <x v="5"/>
    <s v="Eldon Advantage Chair Mats for Low to Medium Pile Carpets"/>
    <x v="3426"/>
    <n v="4"/>
    <n v="0"/>
    <n v="17.324000000000002"/>
  </r>
  <r>
    <n v="4708"/>
    <x v="222"/>
    <x v="3"/>
    <x v="1"/>
    <d v="2014-07-01T00:00:00"/>
    <n v="1"/>
    <x v="2"/>
    <s v="William Brown"/>
    <x v="0"/>
    <s v="United States"/>
    <s v="Los Angeles"/>
    <s v="California"/>
    <s v="West"/>
    <x v="1"/>
    <x v="8"/>
    <s v="GBC DocuBind TL200 Manual Binding Machine"/>
    <x v="1630"/>
    <n v="5"/>
    <n v="0.2"/>
    <n v="302.37299999999999"/>
  </r>
  <r>
    <n v="4709"/>
    <x v="222"/>
    <x v="3"/>
    <x v="1"/>
    <d v="2014-07-01T00:00:00"/>
    <n v="1"/>
    <x v="2"/>
    <s v="William Brown"/>
    <x v="0"/>
    <s v="United States"/>
    <s v="Los Angeles"/>
    <s v="California"/>
    <s v="West"/>
    <x v="1"/>
    <x v="4"/>
    <s v="Trav-L-File Heavy-Duty Shuttle II, Black"/>
    <x v="3427"/>
    <n v="3"/>
    <n v="0"/>
    <n v="39.213000000000001"/>
  </r>
  <r>
    <n v="4710"/>
    <x v="222"/>
    <x v="3"/>
    <x v="1"/>
    <d v="2014-07-01T00:00:00"/>
    <n v="1"/>
    <x v="2"/>
    <s v="William Brown"/>
    <x v="0"/>
    <s v="United States"/>
    <s v="Los Angeles"/>
    <s v="California"/>
    <s v="West"/>
    <x v="1"/>
    <x v="6"/>
    <s v="Newell 328"/>
    <x v="2582"/>
    <n v="2"/>
    <n v="0"/>
    <n v="3.0367999999999999"/>
  </r>
  <r>
    <n v="4711"/>
    <x v="222"/>
    <x v="3"/>
    <x v="1"/>
    <d v="2014-07-01T00:00:00"/>
    <n v="1"/>
    <x v="2"/>
    <s v="William Brown"/>
    <x v="0"/>
    <s v="United States"/>
    <s v="Los Angeles"/>
    <s v="California"/>
    <s v="West"/>
    <x v="2"/>
    <x v="11"/>
    <s v="Enermax Briskie RF Wireless Keyboard and Mouse Combo"/>
    <x v="1030"/>
    <n v="3"/>
    <n v="0"/>
    <n v="22.4316"/>
  </r>
  <r>
    <n v="4712"/>
    <x v="691"/>
    <x v="2"/>
    <x v="10"/>
    <d v="2011-03-31T00:00:00"/>
    <n v="0"/>
    <x v="3"/>
    <s v="Jas O'Carroll"/>
    <x v="0"/>
    <s v="United States"/>
    <s v="Philadelphia"/>
    <s v="Pennsylvania"/>
    <s v="East"/>
    <x v="1"/>
    <x v="8"/>
    <s v="Avery Round Ring Poly Binders"/>
    <x v="3428"/>
    <n v="1"/>
    <n v="0.7"/>
    <n v="-0.59640000000000004"/>
  </r>
  <r>
    <n v="4713"/>
    <x v="757"/>
    <x v="2"/>
    <x v="4"/>
    <d v="2011-12-21T00:00:00"/>
    <n v="5"/>
    <x v="1"/>
    <s v="Ed Jacobs"/>
    <x v="0"/>
    <s v="United States"/>
    <s v="Huntsville"/>
    <s v="Texas"/>
    <s v="Central"/>
    <x v="1"/>
    <x v="10"/>
    <s v="Xerox 224"/>
    <x v="1566"/>
    <n v="7"/>
    <n v="0.2"/>
    <n v="12.700799999999999"/>
  </r>
  <r>
    <n v="4714"/>
    <x v="757"/>
    <x v="2"/>
    <x v="4"/>
    <d v="2011-12-21T00:00:00"/>
    <n v="5"/>
    <x v="1"/>
    <s v="Ed Jacobs"/>
    <x v="0"/>
    <s v="United States"/>
    <s v="Huntsville"/>
    <s v="Texas"/>
    <s v="Central"/>
    <x v="0"/>
    <x v="5"/>
    <s v="Tenex Carpeted, Granite-Look or Clear Contemporary Contour Shape Chair Mats"/>
    <x v="3429"/>
    <n v="2"/>
    <n v="0.6"/>
    <n v="-74.952600000000004"/>
  </r>
  <r>
    <n v="4715"/>
    <x v="796"/>
    <x v="3"/>
    <x v="5"/>
    <d v="2014-05-21T00:00:00"/>
    <n v="2"/>
    <x v="2"/>
    <s v="Adrian Barton"/>
    <x v="0"/>
    <s v="United States"/>
    <s v="Portland"/>
    <s v="Oregon"/>
    <s v="West"/>
    <x v="2"/>
    <x v="7"/>
    <s v="Aastra 6757i CT Wireless VoIP phone"/>
    <x v="3430"/>
    <n v="2"/>
    <n v="0.2"/>
    <n v="38.779200000000003"/>
  </r>
  <r>
    <n v="4716"/>
    <x v="793"/>
    <x v="1"/>
    <x v="5"/>
    <d v="2012-05-16T00:00:00"/>
    <n v="4"/>
    <x v="1"/>
    <s v="Larry Tron"/>
    <x v="0"/>
    <s v="United States"/>
    <s v="Louisville"/>
    <s v="Colorado"/>
    <s v="West"/>
    <x v="2"/>
    <x v="7"/>
    <s v="VTech DS6151"/>
    <x v="1212"/>
    <n v="2"/>
    <n v="0.2"/>
    <n v="20.1584"/>
  </r>
  <r>
    <n v="4717"/>
    <x v="734"/>
    <x v="3"/>
    <x v="4"/>
    <d v="2014-12-08T00:00:00"/>
    <n v="4"/>
    <x v="0"/>
    <s v="Corinna Mitchell"/>
    <x v="2"/>
    <s v="United States"/>
    <s v="Seattle"/>
    <s v="Washington"/>
    <s v="West"/>
    <x v="0"/>
    <x v="3"/>
    <s v="Bevis Oval Conference Table, Walnut"/>
    <x v="3431"/>
    <n v="2"/>
    <n v="0"/>
    <n v="88.733199999999997"/>
  </r>
  <r>
    <n v="4718"/>
    <x v="295"/>
    <x v="1"/>
    <x v="4"/>
    <d v="2012-12-17T00:00:00"/>
    <n v="5"/>
    <x v="1"/>
    <s v="Eric Murdock"/>
    <x v="0"/>
    <s v="United States"/>
    <s v="Baltimore"/>
    <s v="Maryland"/>
    <s v="East"/>
    <x v="1"/>
    <x v="6"/>
    <s v="Rogers Handheld Barrel Pencil Sharpener"/>
    <x v="3432"/>
    <n v="3"/>
    <n v="0"/>
    <n v="2.2193999999999998"/>
  </r>
  <r>
    <n v="4719"/>
    <x v="998"/>
    <x v="1"/>
    <x v="2"/>
    <d v="2012-10-11T00:00:00"/>
    <n v="1"/>
    <x v="2"/>
    <s v="Denny Joy"/>
    <x v="1"/>
    <s v="United States"/>
    <s v="San Francisco"/>
    <s v="California"/>
    <s v="West"/>
    <x v="1"/>
    <x v="10"/>
    <s v="Xerox 1894"/>
    <x v="1544"/>
    <n v="7"/>
    <n v="0"/>
    <n v="21.7728"/>
  </r>
  <r>
    <n v="4720"/>
    <x v="24"/>
    <x v="1"/>
    <x v="3"/>
    <d v="2012-04-20T00:00:00"/>
    <n v="2"/>
    <x v="0"/>
    <s v="Deanra Eno"/>
    <x v="2"/>
    <s v="United States"/>
    <s v="Los Angeles"/>
    <s v="California"/>
    <s v="West"/>
    <x v="1"/>
    <x v="4"/>
    <s v="Tennsco Stur-D-Stor Boltless Shelving, 5 Shelves, 24&quot; Deep, Sand"/>
    <x v="3433"/>
    <n v="7"/>
    <n v="0"/>
    <n v="9.4717000000000002"/>
  </r>
  <r>
    <n v="4721"/>
    <x v="24"/>
    <x v="1"/>
    <x v="3"/>
    <d v="2012-04-20T00:00:00"/>
    <n v="2"/>
    <x v="0"/>
    <s v="Deanra Eno"/>
    <x v="2"/>
    <s v="United States"/>
    <s v="Los Angeles"/>
    <s v="California"/>
    <s v="West"/>
    <x v="1"/>
    <x v="10"/>
    <s v="Xerox 19"/>
    <x v="1156"/>
    <n v="2"/>
    <n v="0"/>
    <n v="27.882000000000001"/>
  </r>
  <r>
    <n v="4722"/>
    <x v="159"/>
    <x v="2"/>
    <x v="1"/>
    <d v="2011-06-11T00:00:00"/>
    <n v="4"/>
    <x v="0"/>
    <s v="Nick Radford"/>
    <x v="0"/>
    <s v="United States"/>
    <s v="Aurora"/>
    <s v="Illinois"/>
    <s v="Central"/>
    <x v="0"/>
    <x v="3"/>
    <s v="Bevis Round Conference Table Top, X-Base"/>
    <x v="3434"/>
    <n v="3"/>
    <n v="0.5"/>
    <n v="-209.76929999999999"/>
  </r>
  <r>
    <n v="4723"/>
    <x v="853"/>
    <x v="3"/>
    <x v="8"/>
    <d v="2014-09-08T00:00:00"/>
    <n v="6"/>
    <x v="1"/>
    <s v="Christine Kargatis"/>
    <x v="2"/>
    <s v="United States"/>
    <s v="Seattle"/>
    <s v="Washington"/>
    <s v="West"/>
    <x v="1"/>
    <x v="6"/>
    <s v="Staples"/>
    <x v="3435"/>
    <n v="1"/>
    <n v="0"/>
    <n v="2.9561999999999999"/>
  </r>
  <r>
    <n v="4724"/>
    <x v="730"/>
    <x v="0"/>
    <x v="5"/>
    <d v="2013-05-23T00:00:00"/>
    <n v="0"/>
    <x v="3"/>
    <s v="Jeremy Farry"/>
    <x v="0"/>
    <s v="United States"/>
    <s v="Athens"/>
    <s v="Georgia"/>
    <s v="South"/>
    <x v="1"/>
    <x v="2"/>
    <s v="Avery 493"/>
    <x v="1646"/>
    <n v="3"/>
    <n v="0"/>
    <n v="7.2176999999999998"/>
  </r>
  <r>
    <n v="4725"/>
    <x v="583"/>
    <x v="0"/>
    <x v="0"/>
    <d v="2013-11-16T00:00:00"/>
    <n v="4"/>
    <x v="1"/>
    <s v="Laurel Beltran"/>
    <x v="2"/>
    <s v="United States"/>
    <s v="Apopka"/>
    <s v="Florida"/>
    <s v="South"/>
    <x v="1"/>
    <x v="8"/>
    <s v="Ibico Standard Transparent Covers"/>
    <x v="3436"/>
    <n v="2"/>
    <n v="0.7"/>
    <n v="-6.9215999999999998"/>
  </r>
  <r>
    <n v="4726"/>
    <x v="583"/>
    <x v="0"/>
    <x v="0"/>
    <d v="2013-11-16T00:00:00"/>
    <n v="4"/>
    <x v="1"/>
    <s v="Laurel Beltran"/>
    <x v="2"/>
    <s v="United States"/>
    <s v="Apopka"/>
    <s v="Florida"/>
    <s v="South"/>
    <x v="1"/>
    <x v="9"/>
    <s v="Sanyo 2.5 Cubic Foot Mid-Size Office Refrigerators"/>
    <x v="3437"/>
    <n v="3"/>
    <n v="0.2"/>
    <n v="50.3658"/>
  </r>
  <r>
    <n v="4727"/>
    <x v="641"/>
    <x v="2"/>
    <x v="0"/>
    <d v="2011-11-29T00:00:00"/>
    <n v="4"/>
    <x v="0"/>
    <s v="Mike Pelletier"/>
    <x v="2"/>
    <s v="United States"/>
    <s v="New York City"/>
    <s v="New York"/>
    <s v="East"/>
    <x v="1"/>
    <x v="4"/>
    <s v="Tennsco Snap-Together Open Shelving Units, Starter Sets and Add-On Units"/>
    <x v="2068"/>
    <n v="4"/>
    <n v="0"/>
    <n v="55.896000000000001"/>
  </r>
  <r>
    <n v="4728"/>
    <x v="641"/>
    <x v="2"/>
    <x v="0"/>
    <d v="2011-11-29T00:00:00"/>
    <n v="4"/>
    <x v="0"/>
    <s v="Mike Pelletier"/>
    <x v="2"/>
    <s v="United States"/>
    <s v="New York City"/>
    <s v="New York"/>
    <s v="East"/>
    <x v="0"/>
    <x v="0"/>
    <s v="Sauder Camden County Collection Libraries, Planked Cherry Finish"/>
    <x v="3438"/>
    <n v="3"/>
    <n v="0.2"/>
    <n v="-37.943399999999997"/>
  </r>
  <r>
    <n v="4729"/>
    <x v="845"/>
    <x v="2"/>
    <x v="0"/>
    <d v="2011-11-12T00:00:00"/>
    <n v="5"/>
    <x v="1"/>
    <s v="Lena Hernandez"/>
    <x v="0"/>
    <s v="United States"/>
    <s v="San Francisco"/>
    <s v="California"/>
    <s v="West"/>
    <x v="1"/>
    <x v="8"/>
    <s v="Wilson Jones Legal Size Ring Binders"/>
    <x v="3439"/>
    <n v="7"/>
    <n v="0.2"/>
    <n v="46.179000000000002"/>
  </r>
  <r>
    <n v="4730"/>
    <x v="427"/>
    <x v="0"/>
    <x v="7"/>
    <d v="2013-07-24T00:00:00"/>
    <n v="5"/>
    <x v="0"/>
    <s v="Susan Vittorini"/>
    <x v="0"/>
    <s v="United States"/>
    <s v="Dallas"/>
    <s v="Texas"/>
    <s v="Central"/>
    <x v="2"/>
    <x v="11"/>
    <s v="SanDisk Cruzer 4 GB USB Flash Drive"/>
    <x v="3440"/>
    <n v="3"/>
    <n v="0.2"/>
    <n v="3.3098999999999998"/>
  </r>
  <r>
    <n v="4731"/>
    <x v="368"/>
    <x v="1"/>
    <x v="10"/>
    <d v="2012-03-31T00:00:00"/>
    <n v="2"/>
    <x v="0"/>
    <s v="Richard Bierner"/>
    <x v="0"/>
    <s v="United States"/>
    <s v="San Diego"/>
    <s v="California"/>
    <s v="West"/>
    <x v="1"/>
    <x v="10"/>
    <s v="Xerox 1880"/>
    <x v="3441"/>
    <n v="6"/>
    <n v="0"/>
    <n v="99.940799999999996"/>
  </r>
  <r>
    <n v="4732"/>
    <x v="368"/>
    <x v="1"/>
    <x v="10"/>
    <d v="2012-03-31T00:00:00"/>
    <n v="2"/>
    <x v="0"/>
    <s v="Richard Bierner"/>
    <x v="0"/>
    <s v="United States"/>
    <s v="San Diego"/>
    <s v="California"/>
    <s v="West"/>
    <x v="1"/>
    <x v="10"/>
    <s v="Tops Wirebound Message Log Books"/>
    <x v="3442"/>
    <n v="3"/>
    <n v="0"/>
    <n v="4.5401999999999996"/>
  </r>
  <r>
    <n v="4733"/>
    <x v="368"/>
    <x v="1"/>
    <x v="10"/>
    <d v="2012-03-31T00:00:00"/>
    <n v="2"/>
    <x v="0"/>
    <s v="Richard Bierner"/>
    <x v="0"/>
    <s v="United States"/>
    <s v="San Diego"/>
    <s v="California"/>
    <s v="West"/>
    <x v="2"/>
    <x v="11"/>
    <s v="Memorex Froggy Flash Drive 8 GB"/>
    <x v="3443"/>
    <n v="3"/>
    <n v="0"/>
    <n v="20.767499999999998"/>
  </r>
  <r>
    <n v="4734"/>
    <x v="368"/>
    <x v="1"/>
    <x v="10"/>
    <d v="2012-03-31T00:00:00"/>
    <n v="2"/>
    <x v="0"/>
    <s v="Richard Bierner"/>
    <x v="0"/>
    <s v="United States"/>
    <s v="San Diego"/>
    <s v="California"/>
    <s v="West"/>
    <x v="0"/>
    <x v="5"/>
    <s v="G.E. Longer-Life Indoor Recessed Floodlight Bulbs"/>
    <x v="544"/>
    <n v="3"/>
    <n v="0"/>
    <n v="9.5616000000000003"/>
  </r>
  <r>
    <n v="4735"/>
    <x v="281"/>
    <x v="0"/>
    <x v="3"/>
    <d v="2013-04-13T00:00:00"/>
    <n v="5"/>
    <x v="1"/>
    <s v="Dorris liebe"/>
    <x v="1"/>
    <s v="United States"/>
    <s v="New York City"/>
    <s v="New York"/>
    <s v="East"/>
    <x v="0"/>
    <x v="1"/>
    <s v="Hon Deluxe Fabric Upholstered Stacking Chairs, Rounded Back"/>
    <x v="3444"/>
    <n v="3"/>
    <n v="0.1"/>
    <n v="146.38800000000001"/>
  </r>
  <r>
    <n v="4736"/>
    <x v="385"/>
    <x v="1"/>
    <x v="1"/>
    <d v="2012-06-19T00:00:00"/>
    <n v="6"/>
    <x v="1"/>
    <s v="Penelope Sewall"/>
    <x v="2"/>
    <s v="United States"/>
    <s v="Lewiston"/>
    <s v="Maine"/>
    <s v="East"/>
    <x v="1"/>
    <x v="8"/>
    <s v="ACCOHIDE 3-Ring Binder, Blue, 1&quot;"/>
    <x v="338"/>
    <n v="2"/>
    <n v="0"/>
    <n v="3.8822000000000001"/>
  </r>
  <r>
    <n v="4737"/>
    <x v="385"/>
    <x v="1"/>
    <x v="1"/>
    <d v="2012-06-19T00:00:00"/>
    <n v="6"/>
    <x v="1"/>
    <s v="Penelope Sewall"/>
    <x v="2"/>
    <s v="United States"/>
    <s v="Lewiston"/>
    <s v="Maine"/>
    <s v="East"/>
    <x v="1"/>
    <x v="8"/>
    <s v="Recycled Easel Ring Binders"/>
    <x v="3445"/>
    <n v="2"/>
    <n v="0"/>
    <n v="13.428000000000001"/>
  </r>
  <r>
    <n v="4738"/>
    <x v="385"/>
    <x v="1"/>
    <x v="1"/>
    <d v="2012-06-19T00:00:00"/>
    <n v="6"/>
    <x v="1"/>
    <s v="Penelope Sewall"/>
    <x v="2"/>
    <s v="United States"/>
    <s v="Lewiston"/>
    <s v="Maine"/>
    <s v="East"/>
    <x v="2"/>
    <x v="11"/>
    <s v="Lenovo 17-Key USB Numeric Keypad"/>
    <x v="3446"/>
    <n v="2"/>
    <n v="0"/>
    <n v="14.9556"/>
  </r>
  <r>
    <n v="4739"/>
    <x v="954"/>
    <x v="1"/>
    <x v="11"/>
    <d v="2012-02-24T00:00:00"/>
    <n v="6"/>
    <x v="1"/>
    <s v="Guy Thornton"/>
    <x v="0"/>
    <s v="United States"/>
    <s v="Long Beach"/>
    <s v="California"/>
    <s v="West"/>
    <x v="1"/>
    <x v="2"/>
    <s v="Avery 4027 File Folder Labels for Dot Matrix Printers, 5000 Labels per Box, White"/>
    <x v="3447"/>
    <n v="2"/>
    <n v="0"/>
    <n v="28.087599999999998"/>
  </r>
  <r>
    <n v="4740"/>
    <x v="954"/>
    <x v="1"/>
    <x v="11"/>
    <d v="2012-02-24T00:00:00"/>
    <n v="6"/>
    <x v="1"/>
    <s v="Guy Thornton"/>
    <x v="0"/>
    <s v="United States"/>
    <s v="Long Beach"/>
    <s v="California"/>
    <s v="West"/>
    <x v="0"/>
    <x v="3"/>
    <s v="Hon 61000 Series Interactive Training Tables"/>
    <x v="3448"/>
    <n v="1"/>
    <n v="0.2"/>
    <n v="-0.88859999999999995"/>
  </r>
  <r>
    <n v="4741"/>
    <x v="105"/>
    <x v="3"/>
    <x v="0"/>
    <d v="2014-11-17T00:00:00"/>
    <n v="4"/>
    <x v="1"/>
    <s v="Christine Sundaresam"/>
    <x v="0"/>
    <s v="United States"/>
    <s v="Seattle"/>
    <s v="Washington"/>
    <s v="West"/>
    <x v="1"/>
    <x v="2"/>
    <s v="Avery 483"/>
    <x v="739"/>
    <n v="2"/>
    <n v="0"/>
    <n v="4.5815999999999999"/>
  </r>
  <r>
    <n v="4742"/>
    <x v="105"/>
    <x v="3"/>
    <x v="0"/>
    <d v="2014-11-17T00:00:00"/>
    <n v="4"/>
    <x v="1"/>
    <s v="Christine Sundaresam"/>
    <x v="0"/>
    <s v="United States"/>
    <s v="Seattle"/>
    <s v="Washington"/>
    <s v="West"/>
    <x v="1"/>
    <x v="6"/>
    <s v="Dixon Ticonderoga Maple Cedar Pencil, #2"/>
    <x v="3214"/>
    <n v="3"/>
    <n v="0"/>
    <n v="2.3025000000000002"/>
  </r>
  <r>
    <n v="4743"/>
    <x v="105"/>
    <x v="3"/>
    <x v="0"/>
    <d v="2014-11-17T00:00:00"/>
    <n v="4"/>
    <x v="1"/>
    <s v="Christine Sundaresam"/>
    <x v="0"/>
    <s v="United States"/>
    <s v="Seattle"/>
    <s v="Washington"/>
    <s v="West"/>
    <x v="1"/>
    <x v="14"/>
    <s v="Acme Forged Steel Scissors with Black Enamel Handles"/>
    <x v="1048"/>
    <n v="3"/>
    <n v="0"/>
    <n v="8.0997000000000003"/>
  </r>
  <r>
    <n v="4744"/>
    <x v="916"/>
    <x v="3"/>
    <x v="10"/>
    <d v="2014-03-06T00:00:00"/>
    <n v="0"/>
    <x v="3"/>
    <s v="Julia Dunbar"/>
    <x v="0"/>
    <s v="United States"/>
    <s v="Rochester"/>
    <s v="Minnesota"/>
    <s v="Central"/>
    <x v="1"/>
    <x v="13"/>
    <s v="Advantus Map Pennant Flags and Round Head Tacks"/>
    <x v="2263"/>
    <n v="2"/>
    <n v="0"/>
    <n v="2.528"/>
  </r>
  <r>
    <n v="4745"/>
    <x v="916"/>
    <x v="3"/>
    <x v="10"/>
    <d v="2014-03-06T00:00:00"/>
    <n v="0"/>
    <x v="3"/>
    <s v="Julia Dunbar"/>
    <x v="0"/>
    <s v="United States"/>
    <s v="Rochester"/>
    <s v="Minnesota"/>
    <s v="Central"/>
    <x v="1"/>
    <x v="4"/>
    <s v="Recycled Steel Personal File for Standard File Folders"/>
    <x v="3449"/>
    <n v="4"/>
    <n v="0"/>
    <n v="57.501600000000003"/>
  </r>
  <r>
    <n v="4746"/>
    <x v="916"/>
    <x v="3"/>
    <x v="10"/>
    <d v="2014-03-06T00:00:00"/>
    <n v="0"/>
    <x v="3"/>
    <s v="Julia Dunbar"/>
    <x v="0"/>
    <s v="United States"/>
    <s v="Rochester"/>
    <s v="Minnesota"/>
    <s v="Central"/>
    <x v="1"/>
    <x v="8"/>
    <s v="GBC ProClick Punch Binding System"/>
    <x v="3346"/>
    <n v="2"/>
    <n v="0"/>
    <n v="62.700400000000002"/>
  </r>
  <r>
    <n v="4747"/>
    <x v="916"/>
    <x v="3"/>
    <x v="10"/>
    <d v="2014-03-06T00:00:00"/>
    <n v="0"/>
    <x v="3"/>
    <s v="Julia Dunbar"/>
    <x v="0"/>
    <s v="United States"/>
    <s v="Rochester"/>
    <s v="Minnesota"/>
    <s v="Central"/>
    <x v="1"/>
    <x v="8"/>
    <s v="Avery Hole Reinforcements"/>
    <x v="3450"/>
    <n v="3"/>
    <n v="0"/>
    <n v="9.1580999999999992"/>
  </r>
  <r>
    <n v="4748"/>
    <x v="840"/>
    <x v="0"/>
    <x v="10"/>
    <d v="2013-03-04T00:00:00"/>
    <n v="0"/>
    <x v="3"/>
    <s v="Theresa Swint"/>
    <x v="1"/>
    <s v="United States"/>
    <s v="San Francisco"/>
    <s v="California"/>
    <s v="West"/>
    <x v="1"/>
    <x v="14"/>
    <s v="Elite 5&quot; Scissors"/>
    <x v="3451"/>
    <n v="3"/>
    <n v="0"/>
    <n v="7.6050000000000004"/>
  </r>
  <r>
    <n v="4749"/>
    <x v="840"/>
    <x v="0"/>
    <x v="10"/>
    <d v="2013-03-04T00:00:00"/>
    <n v="0"/>
    <x v="3"/>
    <s v="Theresa Swint"/>
    <x v="1"/>
    <s v="United States"/>
    <s v="San Francisco"/>
    <s v="California"/>
    <s v="West"/>
    <x v="0"/>
    <x v="5"/>
    <s v="Executive Impressions 10&quot; Spectator Wall Clock"/>
    <x v="2629"/>
    <n v="3"/>
    <n v="0"/>
    <n v="11.995200000000001"/>
  </r>
  <r>
    <n v="4750"/>
    <x v="435"/>
    <x v="0"/>
    <x v="4"/>
    <d v="2013-12-26T00:00:00"/>
    <n v="1"/>
    <x v="2"/>
    <s v="Benjamin Venier"/>
    <x v="1"/>
    <s v="United States"/>
    <s v="Seattle"/>
    <s v="Washington"/>
    <s v="West"/>
    <x v="1"/>
    <x v="10"/>
    <s v="Xerox 1898"/>
    <x v="653"/>
    <n v="5"/>
    <n v="0"/>
    <n v="16.032"/>
  </r>
  <r>
    <n v="4751"/>
    <x v="877"/>
    <x v="0"/>
    <x v="2"/>
    <d v="2013-10-10T00:00:00"/>
    <n v="2"/>
    <x v="2"/>
    <s v="Dionis Lloyd"/>
    <x v="1"/>
    <s v="United States"/>
    <s v="Spokane"/>
    <s v="Washington"/>
    <s v="West"/>
    <x v="2"/>
    <x v="15"/>
    <s v="Okidata C331dn Printer"/>
    <x v="2471"/>
    <n v="3"/>
    <n v="0.2"/>
    <n v="62.82"/>
  </r>
  <r>
    <n v="4752"/>
    <x v="10"/>
    <x v="0"/>
    <x v="4"/>
    <d v="2013-12-14T00:00:00"/>
    <n v="4"/>
    <x v="1"/>
    <s v="Emily Burns"/>
    <x v="0"/>
    <s v="United States"/>
    <s v="Franklin"/>
    <s v="Tennessee"/>
    <s v="South"/>
    <x v="2"/>
    <x v="7"/>
    <s v="ARKON Windshield Dashboard Air Vent Car Mount Holder"/>
    <x v="1374"/>
    <n v="3"/>
    <n v="0.2"/>
    <n v="-9.1530000000000005"/>
  </r>
  <r>
    <n v="4753"/>
    <x v="225"/>
    <x v="3"/>
    <x v="0"/>
    <d v="2014-11-25T00:00:00"/>
    <n v="4"/>
    <x v="1"/>
    <s v="Erica Smith"/>
    <x v="0"/>
    <s v="United States"/>
    <s v="Jackson"/>
    <s v="Tennessee"/>
    <s v="South"/>
    <x v="0"/>
    <x v="1"/>
    <s v="Office Star - Mesh Screen back chair with Vinyl seat"/>
    <x v="3452"/>
    <n v="2"/>
    <n v="0.2"/>
    <n v="-23.5764"/>
  </r>
  <r>
    <n v="4754"/>
    <x v="295"/>
    <x v="1"/>
    <x v="4"/>
    <d v="2012-12-16T00:00:00"/>
    <n v="4"/>
    <x v="1"/>
    <s v="Joni Blumstein"/>
    <x v="0"/>
    <s v="United States"/>
    <s v="Austin"/>
    <s v="Texas"/>
    <s v="Central"/>
    <x v="2"/>
    <x v="11"/>
    <s v="AmazonBasics 3-Button USB Wired Mouse"/>
    <x v="4"/>
    <n v="4"/>
    <n v="0.2"/>
    <n v="6.4307999999999996"/>
  </r>
  <r>
    <n v="4755"/>
    <x v="447"/>
    <x v="3"/>
    <x v="11"/>
    <d v="2014-02-09T00:00:00"/>
    <n v="5"/>
    <x v="1"/>
    <s v="Shahid Collister"/>
    <x v="0"/>
    <s v="United States"/>
    <s v="Pembroke Pines"/>
    <s v="Florida"/>
    <s v="South"/>
    <x v="1"/>
    <x v="8"/>
    <s v="GBC Instant Report Kit"/>
    <x v="2350"/>
    <n v="2"/>
    <n v="0.7"/>
    <n v="-2.5880000000000001"/>
  </r>
  <r>
    <n v="4756"/>
    <x v="447"/>
    <x v="3"/>
    <x v="11"/>
    <d v="2014-02-09T00:00:00"/>
    <n v="5"/>
    <x v="1"/>
    <s v="Shahid Collister"/>
    <x v="0"/>
    <s v="United States"/>
    <s v="Pembroke Pines"/>
    <s v="Florida"/>
    <s v="South"/>
    <x v="1"/>
    <x v="10"/>
    <s v="14-7/8 x 11 Blue Bar Computer Printout Paper"/>
    <x v="905"/>
    <n v="3"/>
    <n v="0.2"/>
    <n v="40.3536"/>
  </r>
  <r>
    <n v="4757"/>
    <x v="296"/>
    <x v="3"/>
    <x v="8"/>
    <d v="2014-09-26T00:00:00"/>
    <n v="4"/>
    <x v="1"/>
    <s v="Emily Burns"/>
    <x v="0"/>
    <s v="United States"/>
    <s v="Philadelphia"/>
    <s v="Pennsylvania"/>
    <s v="East"/>
    <x v="1"/>
    <x v="8"/>
    <s v="Insertable Tab Indexes For Data Binders"/>
    <x v="3453"/>
    <n v="2"/>
    <n v="0.7"/>
    <n v="-1.5264"/>
  </r>
  <r>
    <n v="4758"/>
    <x v="504"/>
    <x v="3"/>
    <x v="5"/>
    <d v="2014-05-06T00:00:00"/>
    <n v="5"/>
    <x v="1"/>
    <s v="Tony Chapman"/>
    <x v="2"/>
    <s v="United States"/>
    <s v="Danville"/>
    <s v="Illinois"/>
    <s v="Central"/>
    <x v="1"/>
    <x v="8"/>
    <s v="GBC Linen Binding Covers"/>
    <x v="3454"/>
    <n v="7"/>
    <n v="0.8"/>
    <n v="-69.395200000000003"/>
  </r>
  <r>
    <n v="4759"/>
    <x v="935"/>
    <x v="2"/>
    <x v="0"/>
    <d v="2011-11-07T00:00:00"/>
    <n v="4"/>
    <x v="1"/>
    <s v="Speros Goranitis"/>
    <x v="0"/>
    <s v="United States"/>
    <s v="New York City"/>
    <s v="New York"/>
    <s v="East"/>
    <x v="2"/>
    <x v="7"/>
    <s v="Panasonic KX-TG9471B"/>
    <x v="2243"/>
    <n v="4"/>
    <n v="0"/>
    <n v="219.50880000000001"/>
  </r>
  <r>
    <n v="4760"/>
    <x v="935"/>
    <x v="2"/>
    <x v="0"/>
    <d v="2011-11-07T00:00:00"/>
    <n v="4"/>
    <x v="1"/>
    <s v="Speros Goranitis"/>
    <x v="0"/>
    <s v="United States"/>
    <s v="New York City"/>
    <s v="New York"/>
    <s v="East"/>
    <x v="1"/>
    <x v="8"/>
    <s v="Surelock Post Binders"/>
    <x v="780"/>
    <n v="2"/>
    <n v="0.2"/>
    <n v="18.335999999999999"/>
  </r>
  <r>
    <n v="4761"/>
    <x v="935"/>
    <x v="2"/>
    <x v="0"/>
    <d v="2011-11-07T00:00:00"/>
    <n v="4"/>
    <x v="1"/>
    <s v="Speros Goranitis"/>
    <x v="0"/>
    <s v="United States"/>
    <s v="New York City"/>
    <s v="New York"/>
    <s v="East"/>
    <x v="1"/>
    <x v="8"/>
    <s v="Acco Pressboard Covers with Storage Hooks, 14 7/8&quot; x 11&quot;, Light Blue"/>
    <x v="3455"/>
    <n v="2"/>
    <n v="0.2"/>
    <n v="2.8477999999999999"/>
  </r>
  <r>
    <n v="4762"/>
    <x v="945"/>
    <x v="0"/>
    <x v="4"/>
    <d v="2014-01-05T00:00:00"/>
    <n v="5"/>
    <x v="1"/>
    <s v="Bryan Mills"/>
    <x v="0"/>
    <s v="United States"/>
    <s v="Columbus"/>
    <s v="Ohio"/>
    <s v="East"/>
    <x v="1"/>
    <x v="2"/>
    <s v="Avery 487"/>
    <x v="2144"/>
    <n v="2"/>
    <n v="0.2"/>
    <n v="1.9925999999999999"/>
  </r>
  <r>
    <n v="4763"/>
    <x v="945"/>
    <x v="0"/>
    <x v="4"/>
    <d v="2014-01-05T00:00:00"/>
    <n v="5"/>
    <x v="1"/>
    <s v="Bryan Mills"/>
    <x v="0"/>
    <s v="United States"/>
    <s v="Columbus"/>
    <s v="Ohio"/>
    <s v="East"/>
    <x v="1"/>
    <x v="14"/>
    <s v="Acme Office Executive Series Stainless Steel Trimmers"/>
    <x v="3456"/>
    <n v="2"/>
    <n v="0.2"/>
    <n v="1.0284"/>
  </r>
  <r>
    <n v="4764"/>
    <x v="328"/>
    <x v="2"/>
    <x v="8"/>
    <d v="2011-09-21T00:00:00"/>
    <n v="4"/>
    <x v="1"/>
    <s v="Nick Radford"/>
    <x v="0"/>
    <s v="United States"/>
    <s v="Chula Vista"/>
    <s v="California"/>
    <s v="West"/>
    <x v="1"/>
    <x v="12"/>
    <s v="Tyvek Interoffice Envelopes, 9 1/2&quot; x 12 1/2&quot;, 100/Box"/>
    <x v="1091"/>
    <n v="3"/>
    <n v="0"/>
    <n v="85.981800000000007"/>
  </r>
  <r>
    <n v="4765"/>
    <x v="221"/>
    <x v="3"/>
    <x v="0"/>
    <d v="2014-11-28T00:00:00"/>
    <n v="3"/>
    <x v="2"/>
    <s v="Patrick Gardner"/>
    <x v="0"/>
    <s v="United States"/>
    <s v="San Francisco"/>
    <s v="California"/>
    <s v="West"/>
    <x v="1"/>
    <x v="6"/>
    <s v="BIC Liqua Brite Liner"/>
    <x v="3457"/>
    <n v="4"/>
    <n v="0"/>
    <n v="9.9936000000000007"/>
  </r>
  <r>
    <n v="4766"/>
    <x v="999"/>
    <x v="1"/>
    <x v="3"/>
    <d v="2012-04-28T00:00:00"/>
    <n v="4"/>
    <x v="1"/>
    <s v="Deborah Brumfield"/>
    <x v="2"/>
    <s v="United States"/>
    <s v="New York City"/>
    <s v="New York"/>
    <s v="East"/>
    <x v="1"/>
    <x v="6"/>
    <s v="BOSTON Ranger #55 Pencil Sharpener, Black"/>
    <x v="2416"/>
    <n v="1"/>
    <n v="0"/>
    <n v="7.5370999999999997"/>
  </r>
  <r>
    <n v="4767"/>
    <x v="1000"/>
    <x v="1"/>
    <x v="10"/>
    <d v="2012-03-12T00:00:00"/>
    <n v="3"/>
    <x v="2"/>
    <s v="Noel Staavos"/>
    <x v="1"/>
    <s v="United States"/>
    <s v="San Antonio"/>
    <s v="Texas"/>
    <s v="Central"/>
    <x v="2"/>
    <x v="11"/>
    <s v="Maxell 4.7GB DVD-R"/>
    <x v="3458"/>
    <n v="5"/>
    <n v="0.2"/>
    <n v="29.798999999999999"/>
  </r>
  <r>
    <n v="4768"/>
    <x v="1000"/>
    <x v="1"/>
    <x v="10"/>
    <d v="2012-03-12T00:00:00"/>
    <n v="3"/>
    <x v="2"/>
    <s v="Noel Staavos"/>
    <x v="1"/>
    <s v="United States"/>
    <s v="San Antonio"/>
    <s v="Texas"/>
    <s v="Central"/>
    <x v="2"/>
    <x v="7"/>
    <s v="Panasonic KX T7736-B Digital phone"/>
    <x v="3459"/>
    <n v="3"/>
    <n v="0.2"/>
    <n v="22.4925"/>
  </r>
  <r>
    <n v="4769"/>
    <x v="455"/>
    <x v="3"/>
    <x v="1"/>
    <d v="2014-06-04T00:00:00"/>
    <n v="1"/>
    <x v="3"/>
    <s v="Cari Schnelling"/>
    <x v="0"/>
    <s v="United States"/>
    <s v="Jacksonville"/>
    <s v="North Carolina"/>
    <s v="South"/>
    <x v="1"/>
    <x v="10"/>
    <s v="Things To Do Today Spiral Book"/>
    <x v="863"/>
    <n v="4"/>
    <n v="0.2"/>
    <n v="9.1872000000000007"/>
  </r>
  <r>
    <n v="4770"/>
    <x v="251"/>
    <x v="0"/>
    <x v="8"/>
    <d v="2013-09-25T00:00:00"/>
    <n v="5"/>
    <x v="0"/>
    <s v="Chuck Clark"/>
    <x v="2"/>
    <s v="United States"/>
    <s v="San Francisco"/>
    <s v="California"/>
    <s v="West"/>
    <x v="1"/>
    <x v="8"/>
    <s v="Cardinal Holdit Business Card Pockets"/>
    <x v="1627"/>
    <n v="3"/>
    <n v="0.2"/>
    <n v="4.1832000000000003"/>
  </r>
  <r>
    <n v="4771"/>
    <x v="251"/>
    <x v="0"/>
    <x v="8"/>
    <d v="2013-09-25T00:00:00"/>
    <n v="5"/>
    <x v="0"/>
    <s v="Chuck Clark"/>
    <x v="2"/>
    <s v="United States"/>
    <s v="San Francisco"/>
    <s v="California"/>
    <s v="West"/>
    <x v="1"/>
    <x v="14"/>
    <s v="Kleencut Forged Office Shears by Acme United Corporation"/>
    <x v="869"/>
    <n v="3"/>
    <n v="0"/>
    <n v="1.8720000000000001"/>
  </r>
  <r>
    <n v="4772"/>
    <x v="656"/>
    <x v="2"/>
    <x v="2"/>
    <d v="2011-11-03T00:00:00"/>
    <n v="3"/>
    <x v="0"/>
    <s v="Amy Cox"/>
    <x v="0"/>
    <s v="United States"/>
    <s v="Avondale"/>
    <s v="Arizona"/>
    <s v="West"/>
    <x v="2"/>
    <x v="7"/>
    <s v="Plantronics HL10 Handset Lifter"/>
    <x v="3460"/>
    <n v="8"/>
    <n v="0.2"/>
    <n v="83.512799999999999"/>
  </r>
  <r>
    <n v="4773"/>
    <x v="51"/>
    <x v="3"/>
    <x v="0"/>
    <d v="2014-11-28T00:00:00"/>
    <n v="4"/>
    <x v="1"/>
    <s v="Christopher Martinez"/>
    <x v="0"/>
    <s v="United States"/>
    <s v="Chicago"/>
    <s v="Illinois"/>
    <s v="Central"/>
    <x v="0"/>
    <x v="5"/>
    <s v="Contemporary Wood/Metal Frame"/>
    <x v="3461"/>
    <n v="1"/>
    <n v="0.6"/>
    <n v="-4.04"/>
  </r>
  <r>
    <n v="4774"/>
    <x v="51"/>
    <x v="3"/>
    <x v="0"/>
    <d v="2014-11-28T00:00:00"/>
    <n v="4"/>
    <x v="1"/>
    <s v="Christopher Martinez"/>
    <x v="0"/>
    <s v="United States"/>
    <s v="Chicago"/>
    <s v="Illinois"/>
    <s v="Central"/>
    <x v="1"/>
    <x v="2"/>
    <s v="Avery File Folder Labels"/>
    <x v="132"/>
    <n v="5"/>
    <n v="0.2"/>
    <n v="4.1760000000000002"/>
  </r>
  <r>
    <n v="4775"/>
    <x v="51"/>
    <x v="3"/>
    <x v="0"/>
    <d v="2014-11-28T00:00:00"/>
    <n v="4"/>
    <x v="1"/>
    <s v="Christopher Martinez"/>
    <x v="0"/>
    <s v="United States"/>
    <s v="Chicago"/>
    <s v="Illinois"/>
    <s v="Central"/>
    <x v="2"/>
    <x v="7"/>
    <s v="Toshiba IPT2010-SD IP Telephone"/>
    <x v="2643"/>
    <n v="2"/>
    <n v="0.2"/>
    <n v="16.678799999999999"/>
  </r>
  <r>
    <n v="4776"/>
    <x v="673"/>
    <x v="3"/>
    <x v="0"/>
    <d v="2014-11-22T00:00:00"/>
    <n v="5"/>
    <x v="1"/>
    <s v="Eileen Kiefer"/>
    <x v="2"/>
    <s v="United States"/>
    <s v="Escondido"/>
    <s v="California"/>
    <s v="West"/>
    <x v="1"/>
    <x v="6"/>
    <s v="Newell 328"/>
    <x v="368"/>
    <n v="4"/>
    <n v="0"/>
    <n v="6.0735999999999999"/>
  </r>
  <r>
    <n v="4777"/>
    <x v="317"/>
    <x v="0"/>
    <x v="11"/>
    <d v="2013-02-23T00:00:00"/>
    <n v="4"/>
    <x v="0"/>
    <s v="Cyma Kinney"/>
    <x v="1"/>
    <s v="United States"/>
    <s v="Long Beach"/>
    <s v="New York"/>
    <s v="East"/>
    <x v="1"/>
    <x v="2"/>
    <s v="Staples"/>
    <x v="1298"/>
    <n v="3"/>
    <n v="0"/>
    <n v="4.0749000000000004"/>
  </r>
  <r>
    <n v="4778"/>
    <x v="317"/>
    <x v="0"/>
    <x v="11"/>
    <d v="2013-02-23T00:00:00"/>
    <n v="4"/>
    <x v="0"/>
    <s v="Cyma Kinney"/>
    <x v="1"/>
    <s v="United States"/>
    <s v="Long Beach"/>
    <s v="New York"/>
    <s v="East"/>
    <x v="1"/>
    <x v="14"/>
    <s v="Acme Office Executive Series Stainless Steel Trimmers"/>
    <x v="3462"/>
    <n v="3"/>
    <n v="0"/>
    <n v="6.6845999999999997"/>
  </r>
  <r>
    <n v="4779"/>
    <x v="659"/>
    <x v="3"/>
    <x v="0"/>
    <d v="2014-11-12T00:00:00"/>
    <n v="4"/>
    <x v="1"/>
    <s v="Pete Kriz"/>
    <x v="0"/>
    <s v="United States"/>
    <s v="Newark"/>
    <s v="Delaware"/>
    <s v="East"/>
    <x v="1"/>
    <x v="9"/>
    <s v="Holmes Odor Grabber"/>
    <x v="3463"/>
    <n v="7"/>
    <n v="0"/>
    <n v="33.310200000000002"/>
  </r>
  <r>
    <n v="4780"/>
    <x v="1001"/>
    <x v="2"/>
    <x v="7"/>
    <d v="2011-07-10T00:00:00"/>
    <n v="2"/>
    <x v="2"/>
    <s v="Michelle Huthwaite"/>
    <x v="0"/>
    <s v="United States"/>
    <s v="Buffalo"/>
    <s v="New York"/>
    <s v="East"/>
    <x v="0"/>
    <x v="1"/>
    <s v="Situations Contoured Folding Chairs, 4/Set"/>
    <x v="3464"/>
    <n v="1"/>
    <n v="0.1"/>
    <n v="10.647"/>
  </r>
  <r>
    <n v="4781"/>
    <x v="845"/>
    <x v="2"/>
    <x v="0"/>
    <d v="2011-11-12T00:00:00"/>
    <n v="5"/>
    <x v="1"/>
    <s v="Steven Cartwright"/>
    <x v="0"/>
    <s v="United States"/>
    <s v="Houston"/>
    <s v="Texas"/>
    <s v="Central"/>
    <x v="0"/>
    <x v="1"/>
    <s v="Hon Deluxe Fabric Upholstered Stacking Chairs, Squared Back"/>
    <x v="3465"/>
    <n v="4"/>
    <n v="0.3"/>
    <n v="0"/>
  </r>
  <r>
    <n v="4782"/>
    <x v="845"/>
    <x v="2"/>
    <x v="0"/>
    <d v="2011-11-12T00:00:00"/>
    <n v="5"/>
    <x v="1"/>
    <s v="Steven Cartwright"/>
    <x v="0"/>
    <s v="United States"/>
    <s v="Houston"/>
    <s v="Texas"/>
    <s v="Central"/>
    <x v="1"/>
    <x v="8"/>
    <s v="Avery Triangle Shaped Sheet Lifters, Black, 2/Pack"/>
    <x v="3466"/>
    <n v="3"/>
    <n v="0.8"/>
    <n v="-2.214"/>
  </r>
  <r>
    <n v="4783"/>
    <x v="845"/>
    <x v="2"/>
    <x v="0"/>
    <d v="2011-11-12T00:00:00"/>
    <n v="5"/>
    <x v="1"/>
    <s v="Steven Cartwright"/>
    <x v="0"/>
    <s v="United States"/>
    <s v="Houston"/>
    <s v="Texas"/>
    <s v="Central"/>
    <x v="1"/>
    <x v="14"/>
    <s v="Acme Stainless Steel Office Snips"/>
    <x v="3467"/>
    <n v="7"/>
    <n v="0.2"/>
    <n v="3.5623"/>
  </r>
  <r>
    <n v="4784"/>
    <x v="480"/>
    <x v="3"/>
    <x v="9"/>
    <d v="2014-02-02T00:00:00"/>
    <n v="4"/>
    <x v="1"/>
    <s v="Giulietta Baptist"/>
    <x v="0"/>
    <s v="United States"/>
    <s v="Wichita"/>
    <s v="Kansas"/>
    <s v="Central"/>
    <x v="1"/>
    <x v="10"/>
    <s v="Xerox 1934"/>
    <x v="999"/>
    <n v="5"/>
    <n v="0"/>
    <n v="137.15100000000001"/>
  </r>
  <r>
    <n v="4785"/>
    <x v="555"/>
    <x v="1"/>
    <x v="4"/>
    <d v="2012-12-16T00:00:00"/>
    <n v="5"/>
    <x v="1"/>
    <s v="Irene Maddox"/>
    <x v="0"/>
    <s v="United States"/>
    <s v="Colorado Springs"/>
    <s v="Colorado"/>
    <s v="West"/>
    <x v="1"/>
    <x v="6"/>
    <s v="Newell 313"/>
    <x v="1317"/>
    <n v="5"/>
    <n v="0.2"/>
    <n v="1.1479999999999999"/>
  </r>
  <r>
    <n v="4786"/>
    <x v="555"/>
    <x v="1"/>
    <x v="4"/>
    <d v="2012-12-16T00:00:00"/>
    <n v="5"/>
    <x v="1"/>
    <s v="Irene Maddox"/>
    <x v="0"/>
    <s v="United States"/>
    <s v="Colorado Springs"/>
    <s v="Colorado"/>
    <s v="West"/>
    <x v="0"/>
    <x v="0"/>
    <s v="Bush Westfield Collection Bookcases, Dark Cherry Finish"/>
    <x v="3468"/>
    <n v="4"/>
    <n v="0.7"/>
    <n v="-143.79040000000001"/>
  </r>
  <r>
    <n v="4787"/>
    <x v="555"/>
    <x v="1"/>
    <x v="4"/>
    <d v="2012-12-16T00:00:00"/>
    <n v="5"/>
    <x v="1"/>
    <s v="Irene Maddox"/>
    <x v="0"/>
    <s v="United States"/>
    <s v="Colorado Springs"/>
    <s v="Colorado"/>
    <s v="West"/>
    <x v="1"/>
    <x v="6"/>
    <s v="Newell 326"/>
    <x v="1700"/>
    <n v="3"/>
    <n v="0.2"/>
    <n v="0.47520000000000001"/>
  </r>
  <r>
    <n v="4788"/>
    <x v="555"/>
    <x v="1"/>
    <x v="4"/>
    <d v="2012-12-16T00:00:00"/>
    <n v="5"/>
    <x v="1"/>
    <s v="Irene Maddox"/>
    <x v="0"/>
    <s v="United States"/>
    <s v="Colorado Springs"/>
    <s v="Colorado"/>
    <s v="West"/>
    <x v="2"/>
    <x v="11"/>
    <s v="Logitech Keyboard K120"/>
    <x v="3469"/>
    <n v="4"/>
    <n v="0.2"/>
    <n v="-6.5339999999999998"/>
  </r>
  <r>
    <n v="4789"/>
    <x v="555"/>
    <x v="1"/>
    <x v="4"/>
    <d v="2012-12-16T00:00:00"/>
    <n v="5"/>
    <x v="1"/>
    <s v="Irene Maddox"/>
    <x v="0"/>
    <s v="United States"/>
    <s v="Colorado Springs"/>
    <s v="Colorado"/>
    <s v="West"/>
    <x v="0"/>
    <x v="5"/>
    <s v="Master Caster Door Stop, Large Neon Orange"/>
    <x v="3470"/>
    <n v="9"/>
    <n v="0.2"/>
    <n v="15.069599999999999"/>
  </r>
  <r>
    <n v="4790"/>
    <x v="555"/>
    <x v="1"/>
    <x v="4"/>
    <d v="2012-12-16T00:00:00"/>
    <n v="5"/>
    <x v="1"/>
    <s v="Irene Maddox"/>
    <x v="0"/>
    <s v="United States"/>
    <s v="Colorado Springs"/>
    <s v="Colorado"/>
    <s v="West"/>
    <x v="0"/>
    <x v="5"/>
    <s v="DAX Wood Document Frame"/>
    <x v="3471"/>
    <n v="5"/>
    <n v="0.2"/>
    <n v="10.984"/>
  </r>
  <r>
    <n v="4791"/>
    <x v="555"/>
    <x v="1"/>
    <x v="4"/>
    <d v="2012-12-16T00:00:00"/>
    <n v="5"/>
    <x v="1"/>
    <s v="Irene Maddox"/>
    <x v="0"/>
    <s v="United States"/>
    <s v="Colorado Springs"/>
    <s v="Colorado"/>
    <s v="West"/>
    <x v="0"/>
    <x v="3"/>
    <s v="Bevis Rectangular Conference Tables"/>
    <x v="3472"/>
    <n v="5"/>
    <n v="0.5"/>
    <n v="-248.166"/>
  </r>
  <r>
    <n v="4792"/>
    <x v="555"/>
    <x v="1"/>
    <x v="4"/>
    <d v="2012-12-16T00:00:00"/>
    <n v="5"/>
    <x v="1"/>
    <s v="Irene Maddox"/>
    <x v="0"/>
    <s v="United States"/>
    <s v="Colorado Springs"/>
    <s v="Colorado"/>
    <s v="West"/>
    <x v="1"/>
    <x v="10"/>
    <s v="Xerox 1932"/>
    <x v="629"/>
    <n v="3"/>
    <n v="0.2"/>
    <n v="28.706399999999999"/>
  </r>
  <r>
    <n v="4793"/>
    <x v="555"/>
    <x v="1"/>
    <x v="4"/>
    <d v="2012-12-16T00:00:00"/>
    <n v="5"/>
    <x v="1"/>
    <s v="Irene Maddox"/>
    <x v="0"/>
    <s v="United States"/>
    <s v="Colorado Springs"/>
    <s v="Colorado"/>
    <s v="West"/>
    <x v="1"/>
    <x v="10"/>
    <s v="Avery Personal Creations Heavyweight Cards"/>
    <x v="3473"/>
    <n v="3"/>
    <n v="0.2"/>
    <n v="9.6936"/>
  </r>
  <r>
    <n v="4794"/>
    <x v="685"/>
    <x v="1"/>
    <x v="1"/>
    <d v="2012-07-04T00:00:00"/>
    <n v="5"/>
    <x v="1"/>
    <s v="Michelle Moray"/>
    <x v="0"/>
    <s v="United States"/>
    <s v="New York City"/>
    <s v="New York"/>
    <s v="East"/>
    <x v="1"/>
    <x v="10"/>
    <s v="Ampad Phone Message Book, Recycled, 400 Message Capacity, 5 ¾” x 11”"/>
    <x v="1589"/>
    <n v="4"/>
    <n v="0"/>
    <n v="11.231999999999999"/>
  </r>
  <r>
    <n v="4795"/>
    <x v="199"/>
    <x v="1"/>
    <x v="10"/>
    <d v="2012-03-23T00:00:00"/>
    <n v="7"/>
    <x v="1"/>
    <s v="Monica Federle"/>
    <x v="1"/>
    <s v="United States"/>
    <s v="Los Angeles"/>
    <s v="California"/>
    <s v="West"/>
    <x v="0"/>
    <x v="5"/>
    <s v="Howard Miller 11-1/2&quot; Diameter Brentwood Wall Clock"/>
    <x v="3474"/>
    <n v="1"/>
    <n v="0"/>
    <n v="18.114599999999999"/>
  </r>
  <r>
    <n v="4796"/>
    <x v="863"/>
    <x v="1"/>
    <x v="6"/>
    <d v="2012-08-17T00:00:00"/>
    <n v="4"/>
    <x v="1"/>
    <s v="Clytie Kelty"/>
    <x v="0"/>
    <s v="United States"/>
    <s v="Marietta"/>
    <s v="Georgia"/>
    <s v="South"/>
    <x v="1"/>
    <x v="8"/>
    <s v="Staples"/>
    <x v="713"/>
    <n v="3"/>
    <n v="0"/>
    <n v="2.7071999999999998"/>
  </r>
  <r>
    <n v="4797"/>
    <x v="675"/>
    <x v="0"/>
    <x v="5"/>
    <d v="2013-05-20T00:00:00"/>
    <n v="5"/>
    <x v="1"/>
    <s v="Michael Kennedy"/>
    <x v="1"/>
    <s v="United States"/>
    <s v="Jacksonville"/>
    <s v="Florida"/>
    <s v="South"/>
    <x v="1"/>
    <x v="8"/>
    <s v="GBC DocuBind P50 Personal Binding Machine"/>
    <x v="3475"/>
    <n v="3"/>
    <n v="0.7"/>
    <n v="-44.1462"/>
  </r>
  <r>
    <n v="4798"/>
    <x v="675"/>
    <x v="0"/>
    <x v="5"/>
    <d v="2013-05-20T00:00:00"/>
    <n v="5"/>
    <x v="1"/>
    <s v="Michael Kennedy"/>
    <x v="1"/>
    <s v="United States"/>
    <s v="Jacksonville"/>
    <s v="Florida"/>
    <s v="South"/>
    <x v="1"/>
    <x v="10"/>
    <s v="Xerox 23"/>
    <x v="276"/>
    <n v="6"/>
    <n v="0.2"/>
    <n v="10.8864"/>
  </r>
  <r>
    <n v="4799"/>
    <x v="675"/>
    <x v="0"/>
    <x v="5"/>
    <d v="2013-05-20T00:00:00"/>
    <n v="5"/>
    <x v="1"/>
    <s v="Michael Kennedy"/>
    <x v="1"/>
    <s v="United States"/>
    <s v="Jacksonville"/>
    <s v="Florida"/>
    <s v="South"/>
    <x v="0"/>
    <x v="5"/>
    <s v="DAX Copper Panel Document Frame, 5 x 7 Size"/>
    <x v="3476"/>
    <n v="3"/>
    <n v="0.2"/>
    <n v="8.3027999999999995"/>
  </r>
  <r>
    <n v="4800"/>
    <x v="675"/>
    <x v="0"/>
    <x v="5"/>
    <d v="2013-05-20T00:00:00"/>
    <n v="5"/>
    <x v="1"/>
    <s v="Michael Kennedy"/>
    <x v="1"/>
    <s v="United States"/>
    <s v="Jacksonville"/>
    <s v="Florida"/>
    <s v="South"/>
    <x v="2"/>
    <x v="7"/>
    <s v="LF Elite 3D Dazzle Designer Hard Case Cover, Lf Stylus Pen and Wiper For Apple Iphone 5c Mini Lite"/>
    <x v="3477"/>
    <n v="5"/>
    <n v="0.2"/>
    <n v="4.3600000000000003"/>
  </r>
  <r>
    <n v="4801"/>
    <x v="675"/>
    <x v="0"/>
    <x v="5"/>
    <d v="2013-05-20T00:00:00"/>
    <n v="5"/>
    <x v="1"/>
    <s v="Michael Kennedy"/>
    <x v="1"/>
    <s v="United States"/>
    <s v="Jacksonville"/>
    <s v="Florida"/>
    <s v="South"/>
    <x v="1"/>
    <x v="6"/>
    <s v="Dixon Ticonderoga Pencils"/>
    <x v="408"/>
    <n v="2"/>
    <n v="0.2"/>
    <n v="0.41720000000000002"/>
  </r>
  <r>
    <n v="4802"/>
    <x v="675"/>
    <x v="0"/>
    <x v="5"/>
    <d v="2013-05-20T00:00:00"/>
    <n v="5"/>
    <x v="1"/>
    <s v="Michael Kennedy"/>
    <x v="1"/>
    <s v="United States"/>
    <s v="Jacksonville"/>
    <s v="Florida"/>
    <s v="South"/>
    <x v="1"/>
    <x v="8"/>
    <s v="Wilson Jones International Size A4 Ring Binders"/>
    <x v="3478"/>
    <n v="2"/>
    <n v="0.7"/>
    <n v="-7.6120000000000001"/>
  </r>
  <r>
    <n v="4803"/>
    <x v="675"/>
    <x v="0"/>
    <x v="5"/>
    <d v="2013-05-20T00:00:00"/>
    <n v="5"/>
    <x v="1"/>
    <s v="Michael Kennedy"/>
    <x v="1"/>
    <s v="United States"/>
    <s v="Jacksonville"/>
    <s v="Florida"/>
    <s v="South"/>
    <x v="1"/>
    <x v="8"/>
    <s v="Avery Heavy-Duty EZD  Binder With Locking Rings"/>
    <x v="2513"/>
    <n v="8"/>
    <n v="0.7"/>
    <n v="-9.8208000000000002"/>
  </r>
  <r>
    <n v="4804"/>
    <x v="1002"/>
    <x v="3"/>
    <x v="7"/>
    <d v="2014-07-18T00:00:00"/>
    <n v="4"/>
    <x v="0"/>
    <s v="Mark Hamilton"/>
    <x v="0"/>
    <s v="United States"/>
    <s v="Philadelphia"/>
    <s v="Pennsylvania"/>
    <s v="East"/>
    <x v="2"/>
    <x v="7"/>
    <s v="Cisco SPA508G"/>
    <x v="3479"/>
    <n v="1"/>
    <n v="0.4"/>
    <n v="-7.2588999999999997"/>
  </r>
  <r>
    <n v="4805"/>
    <x v="1002"/>
    <x v="3"/>
    <x v="7"/>
    <d v="2014-07-18T00:00:00"/>
    <n v="4"/>
    <x v="0"/>
    <s v="Mark Hamilton"/>
    <x v="0"/>
    <s v="United States"/>
    <s v="Philadelphia"/>
    <s v="Pennsylvania"/>
    <s v="East"/>
    <x v="0"/>
    <x v="5"/>
    <s v="Nu-Dell Executive Frame"/>
    <x v="3480"/>
    <n v="9"/>
    <n v="0.2"/>
    <n v="19.339200000000002"/>
  </r>
  <r>
    <n v="4806"/>
    <x v="6"/>
    <x v="1"/>
    <x v="0"/>
    <d v="2012-11-25T00:00:00"/>
    <n v="3"/>
    <x v="0"/>
    <s v="Nathan Gelder"/>
    <x v="0"/>
    <s v="United States"/>
    <s v="Los Angeles"/>
    <s v="California"/>
    <s v="West"/>
    <x v="1"/>
    <x v="10"/>
    <s v="Xerox 1887"/>
    <x v="2428"/>
    <n v="2"/>
    <n v="0"/>
    <n v="18.211200000000002"/>
  </r>
  <r>
    <n v="4807"/>
    <x v="6"/>
    <x v="1"/>
    <x v="0"/>
    <d v="2012-11-25T00:00:00"/>
    <n v="3"/>
    <x v="0"/>
    <s v="Nathan Gelder"/>
    <x v="0"/>
    <s v="United States"/>
    <s v="Los Angeles"/>
    <s v="California"/>
    <s v="West"/>
    <x v="1"/>
    <x v="10"/>
    <s v="Xerox 1971"/>
    <x v="3481"/>
    <n v="10"/>
    <n v="0"/>
    <n v="19.260000000000002"/>
  </r>
  <r>
    <n v="4808"/>
    <x v="6"/>
    <x v="1"/>
    <x v="0"/>
    <d v="2012-11-25T00:00:00"/>
    <n v="3"/>
    <x v="0"/>
    <s v="Nathan Gelder"/>
    <x v="0"/>
    <s v="United States"/>
    <s v="Los Angeles"/>
    <s v="California"/>
    <s v="West"/>
    <x v="1"/>
    <x v="4"/>
    <s v="Personal Folder Holder, Ebony"/>
    <x v="683"/>
    <n v="3"/>
    <n v="0"/>
    <n v="10.089"/>
  </r>
  <r>
    <n v="4809"/>
    <x v="533"/>
    <x v="2"/>
    <x v="0"/>
    <d v="2011-11-28T00:00:00"/>
    <n v="5"/>
    <x v="1"/>
    <s v="Phillip Breyer"/>
    <x v="1"/>
    <s v="United States"/>
    <s v="Philadelphia"/>
    <s v="Pennsylvania"/>
    <s v="East"/>
    <x v="1"/>
    <x v="12"/>
    <s v="Quality Park Security Envelopes"/>
    <x v="3482"/>
    <n v="3"/>
    <n v="0.2"/>
    <n v="21.197700000000001"/>
  </r>
  <r>
    <n v="4810"/>
    <x v="17"/>
    <x v="1"/>
    <x v="4"/>
    <d v="2012-12-30T00:00:00"/>
    <n v="3"/>
    <x v="2"/>
    <s v="Richard Eichhorn"/>
    <x v="0"/>
    <s v="United States"/>
    <s v="Eau Claire"/>
    <s v="Wisconsin"/>
    <s v="Central"/>
    <x v="1"/>
    <x v="10"/>
    <s v="Xerox 1917"/>
    <x v="3483"/>
    <n v="4"/>
    <n v="0"/>
    <n v="91.950800000000001"/>
  </r>
  <r>
    <n v="4811"/>
    <x v="17"/>
    <x v="1"/>
    <x v="4"/>
    <d v="2012-12-30T00:00:00"/>
    <n v="3"/>
    <x v="2"/>
    <s v="Richard Eichhorn"/>
    <x v="0"/>
    <s v="United States"/>
    <s v="Eau Claire"/>
    <s v="Wisconsin"/>
    <s v="Central"/>
    <x v="2"/>
    <x v="7"/>
    <s v="Cisco SPA 502G IP Phone"/>
    <x v="3484"/>
    <n v="2"/>
    <n v="0"/>
    <n v="71.97"/>
  </r>
  <r>
    <n v="4812"/>
    <x v="696"/>
    <x v="0"/>
    <x v="0"/>
    <d v="2013-11-20T00:00:00"/>
    <n v="5"/>
    <x v="0"/>
    <s v="Eugene Barchas"/>
    <x v="0"/>
    <s v="United States"/>
    <s v="Philadelphia"/>
    <s v="Pennsylvania"/>
    <s v="East"/>
    <x v="0"/>
    <x v="1"/>
    <s v="Global Ergonomic Managers Chair"/>
    <x v="3485"/>
    <n v="3"/>
    <n v="0.3"/>
    <n v="-21.717600000000001"/>
  </r>
  <r>
    <n v="4813"/>
    <x v="696"/>
    <x v="0"/>
    <x v="0"/>
    <d v="2013-11-20T00:00:00"/>
    <n v="5"/>
    <x v="0"/>
    <s v="Eugene Barchas"/>
    <x v="0"/>
    <s v="United States"/>
    <s v="Philadelphia"/>
    <s v="Pennsylvania"/>
    <s v="East"/>
    <x v="2"/>
    <x v="16"/>
    <s v="Sharp AL-1530CS Digital Copier"/>
    <x v="384"/>
    <n v="4"/>
    <n v="0.4"/>
    <n v="179.99639999999999"/>
  </r>
  <r>
    <n v="4814"/>
    <x v="696"/>
    <x v="0"/>
    <x v="0"/>
    <d v="2013-11-20T00:00:00"/>
    <n v="5"/>
    <x v="0"/>
    <s v="Eugene Barchas"/>
    <x v="0"/>
    <s v="United States"/>
    <s v="Philadelphia"/>
    <s v="Pennsylvania"/>
    <s v="East"/>
    <x v="0"/>
    <x v="5"/>
    <s v="DAX Contemporary Wood Frame with Silver Metal Mat, Desktop, 11 x 14 Size"/>
    <x v="3486"/>
    <n v="3"/>
    <n v="0.2"/>
    <n v="9.7151999999999994"/>
  </r>
  <r>
    <n v="4815"/>
    <x v="541"/>
    <x v="0"/>
    <x v="5"/>
    <d v="2013-05-11T00:00:00"/>
    <n v="2"/>
    <x v="2"/>
    <s v="Trudy Brown"/>
    <x v="0"/>
    <s v="United States"/>
    <s v="Los Angeles"/>
    <s v="California"/>
    <s v="West"/>
    <x v="1"/>
    <x v="10"/>
    <s v="Xerox 1920"/>
    <x v="1444"/>
    <n v="3"/>
    <n v="0"/>
    <n v="8.0730000000000004"/>
  </r>
  <r>
    <n v="4816"/>
    <x v="58"/>
    <x v="2"/>
    <x v="4"/>
    <d v="2011-12-31T00:00:00"/>
    <n v="5"/>
    <x v="1"/>
    <s v="Maureen Gnade"/>
    <x v="0"/>
    <s v="United States"/>
    <s v="Philadelphia"/>
    <s v="Pennsylvania"/>
    <s v="East"/>
    <x v="1"/>
    <x v="10"/>
    <s v="Wirebound Message Books, Two 4 1/4&quot; x 5&quot; Forms per Page"/>
    <x v="3487"/>
    <n v="3"/>
    <n v="0.2"/>
    <n v="6.1641000000000004"/>
  </r>
  <r>
    <n v="4817"/>
    <x v="58"/>
    <x v="2"/>
    <x v="4"/>
    <d v="2011-12-31T00:00:00"/>
    <n v="5"/>
    <x v="1"/>
    <s v="Maureen Gnade"/>
    <x v="0"/>
    <s v="United States"/>
    <s v="Philadelphia"/>
    <s v="Pennsylvania"/>
    <s v="East"/>
    <x v="1"/>
    <x v="9"/>
    <s v="Holmes 99% HEPA Air Purifier"/>
    <x v="3488"/>
    <n v="2"/>
    <n v="0.2"/>
    <n v="5.6315999999999997"/>
  </r>
  <r>
    <n v="4818"/>
    <x v="58"/>
    <x v="2"/>
    <x v="4"/>
    <d v="2011-12-31T00:00:00"/>
    <n v="5"/>
    <x v="1"/>
    <s v="Maureen Gnade"/>
    <x v="0"/>
    <s v="United States"/>
    <s v="Philadelphia"/>
    <s v="Pennsylvania"/>
    <s v="East"/>
    <x v="1"/>
    <x v="9"/>
    <s v="Tripp Lite TLP810NET Broadband Surge for Modem/Fax"/>
    <x v="3489"/>
    <n v="2"/>
    <n v="0.2"/>
    <n v="8.1552000000000007"/>
  </r>
  <r>
    <n v="4819"/>
    <x v="58"/>
    <x v="2"/>
    <x v="4"/>
    <d v="2011-12-31T00:00:00"/>
    <n v="5"/>
    <x v="1"/>
    <s v="Maureen Gnade"/>
    <x v="0"/>
    <s v="United States"/>
    <s v="Philadelphia"/>
    <s v="Pennsylvania"/>
    <s v="East"/>
    <x v="1"/>
    <x v="4"/>
    <s v="Sensible Storage WireTech Storage Systems"/>
    <x v="3490"/>
    <n v="4"/>
    <n v="0.2"/>
    <n v="-42.588000000000001"/>
  </r>
  <r>
    <n v="4820"/>
    <x v="110"/>
    <x v="3"/>
    <x v="1"/>
    <d v="2014-06-15T00:00:00"/>
    <n v="6"/>
    <x v="1"/>
    <s v="Liz Willingham"/>
    <x v="0"/>
    <s v="United States"/>
    <s v="Norwich"/>
    <s v="Connecticut"/>
    <s v="East"/>
    <x v="1"/>
    <x v="8"/>
    <s v="Wilson Jones Impact Binders"/>
    <x v="3491"/>
    <n v="2"/>
    <n v="0"/>
    <n v="5.0763999999999996"/>
  </r>
  <r>
    <n v="4821"/>
    <x v="1003"/>
    <x v="1"/>
    <x v="3"/>
    <d v="2012-04-11T00:00:00"/>
    <n v="4"/>
    <x v="1"/>
    <s v="Peter Fuller"/>
    <x v="0"/>
    <s v="United States"/>
    <s v="San Antonio"/>
    <s v="Texas"/>
    <s v="Central"/>
    <x v="1"/>
    <x v="9"/>
    <s v="Hoover Upright Vacuum With Dirt Cup"/>
    <x v="3492"/>
    <n v="8"/>
    <n v="0.8"/>
    <n v="-1181.2824000000001"/>
  </r>
  <r>
    <n v="4822"/>
    <x v="1003"/>
    <x v="1"/>
    <x v="3"/>
    <d v="2012-04-11T00:00:00"/>
    <n v="4"/>
    <x v="1"/>
    <s v="Peter Fuller"/>
    <x v="0"/>
    <s v="United States"/>
    <s v="San Antonio"/>
    <s v="Texas"/>
    <s v="Central"/>
    <x v="2"/>
    <x v="11"/>
    <s v="Razer Kraken PRO Over Ear PC and Music Headset"/>
    <x v="3050"/>
    <n v="6"/>
    <n v="0.2"/>
    <n v="47.994"/>
  </r>
  <r>
    <n v="4823"/>
    <x v="212"/>
    <x v="0"/>
    <x v="7"/>
    <d v="2013-07-12T00:00:00"/>
    <n v="1"/>
    <x v="3"/>
    <s v="Nick Zandusky"/>
    <x v="2"/>
    <s v="United States"/>
    <s v="Yuma"/>
    <s v="Arizona"/>
    <s v="West"/>
    <x v="1"/>
    <x v="8"/>
    <s v="GBC Standard Therm-A-Bind Covers"/>
    <x v="3493"/>
    <n v="6"/>
    <n v="0.7"/>
    <n v="-35.884799999999998"/>
  </r>
  <r>
    <n v="4824"/>
    <x v="831"/>
    <x v="0"/>
    <x v="0"/>
    <d v="2013-11-27T00:00:00"/>
    <n v="5"/>
    <x v="1"/>
    <s v="Chloris Kastensmidt"/>
    <x v="0"/>
    <s v="United States"/>
    <s v="Columbus"/>
    <s v="Ohio"/>
    <s v="East"/>
    <x v="2"/>
    <x v="15"/>
    <s v="Texas Instrument TI-15 Fraction Calculator"/>
    <x v="3494"/>
    <n v="7"/>
    <n v="0.7"/>
    <n v="-24.276"/>
  </r>
  <r>
    <n v="4825"/>
    <x v="831"/>
    <x v="0"/>
    <x v="0"/>
    <d v="2013-11-27T00:00:00"/>
    <n v="5"/>
    <x v="1"/>
    <s v="Chloris Kastensmidt"/>
    <x v="0"/>
    <s v="United States"/>
    <s v="Columbus"/>
    <s v="Ohio"/>
    <s v="East"/>
    <x v="0"/>
    <x v="1"/>
    <s v="Global Value Steno Chair, Gray"/>
    <x v="3495"/>
    <n v="3"/>
    <n v="0.3"/>
    <n v="-9.1110000000000007"/>
  </r>
  <r>
    <n v="4826"/>
    <x v="831"/>
    <x v="0"/>
    <x v="0"/>
    <d v="2013-11-27T00:00:00"/>
    <n v="5"/>
    <x v="1"/>
    <s v="Chloris Kastensmidt"/>
    <x v="0"/>
    <s v="United States"/>
    <s v="Columbus"/>
    <s v="Ohio"/>
    <s v="East"/>
    <x v="0"/>
    <x v="5"/>
    <s v="Computer Room Manger, 14&quot;"/>
    <x v="2486"/>
    <n v="3"/>
    <n v="0.2"/>
    <n v="15.590400000000001"/>
  </r>
  <r>
    <n v="4827"/>
    <x v="105"/>
    <x v="3"/>
    <x v="0"/>
    <d v="2014-11-16T00:00:00"/>
    <n v="3"/>
    <x v="2"/>
    <s v="Jim Epp"/>
    <x v="1"/>
    <s v="United States"/>
    <s v="Los Angeles"/>
    <s v="California"/>
    <s v="West"/>
    <x v="1"/>
    <x v="8"/>
    <s v="Acco 3-Hole Punch"/>
    <x v="260"/>
    <n v="4"/>
    <n v="0.2"/>
    <n v="4.9055999999999997"/>
  </r>
  <r>
    <n v="4828"/>
    <x v="301"/>
    <x v="2"/>
    <x v="0"/>
    <d v="2011-11-08T00:00:00"/>
    <n v="7"/>
    <x v="1"/>
    <s v="Jack O'Briant"/>
    <x v="1"/>
    <s v="United States"/>
    <s v="Richmond"/>
    <s v="Kentucky"/>
    <s v="South"/>
    <x v="1"/>
    <x v="4"/>
    <s v="Multi-Use Personal File Cart and Caster Set, Three Stacking Bins"/>
    <x v="2803"/>
    <n v="2"/>
    <n v="0"/>
    <n v="19.465599999999998"/>
  </r>
  <r>
    <n v="4829"/>
    <x v="301"/>
    <x v="2"/>
    <x v="0"/>
    <d v="2011-11-08T00:00:00"/>
    <n v="7"/>
    <x v="1"/>
    <s v="Jack O'Briant"/>
    <x v="1"/>
    <s v="United States"/>
    <s v="Richmond"/>
    <s v="Kentucky"/>
    <s v="South"/>
    <x v="1"/>
    <x v="6"/>
    <s v="OIC #2 Pencils, Medium Soft"/>
    <x v="713"/>
    <n v="3"/>
    <n v="0"/>
    <n v="1.6355999999999999"/>
  </r>
  <r>
    <n v="4830"/>
    <x v="666"/>
    <x v="0"/>
    <x v="5"/>
    <d v="2013-05-22T00:00:00"/>
    <n v="6"/>
    <x v="1"/>
    <s v="Thomas Thornton"/>
    <x v="0"/>
    <s v="United States"/>
    <s v="New York City"/>
    <s v="New York"/>
    <s v="East"/>
    <x v="1"/>
    <x v="8"/>
    <s v="Binder Posts"/>
    <x v="2638"/>
    <n v="3"/>
    <n v="0.2"/>
    <n v="4.4771999999999998"/>
  </r>
  <r>
    <n v="4831"/>
    <x v="845"/>
    <x v="2"/>
    <x v="0"/>
    <d v="2011-11-12T00:00:00"/>
    <n v="5"/>
    <x v="1"/>
    <s v="Maribeth Schnelling"/>
    <x v="0"/>
    <s v="United States"/>
    <s v="Wausau"/>
    <s v="Wisconsin"/>
    <s v="Central"/>
    <x v="1"/>
    <x v="9"/>
    <s v="Belkin 8 Outlet Surge Protector"/>
    <x v="3496"/>
    <n v="6"/>
    <n v="0"/>
    <n v="68.846400000000003"/>
  </r>
  <r>
    <n v="4832"/>
    <x v="845"/>
    <x v="2"/>
    <x v="0"/>
    <d v="2011-11-12T00:00:00"/>
    <n v="5"/>
    <x v="1"/>
    <s v="Maribeth Schnelling"/>
    <x v="0"/>
    <s v="United States"/>
    <s v="Wausau"/>
    <s v="Wisconsin"/>
    <s v="Central"/>
    <x v="1"/>
    <x v="4"/>
    <s v="Portable Personal File Box"/>
    <x v="898"/>
    <n v="3"/>
    <n v="0"/>
    <n v="9.8901000000000003"/>
  </r>
  <r>
    <n v="4833"/>
    <x v="845"/>
    <x v="2"/>
    <x v="0"/>
    <d v="2011-11-12T00:00:00"/>
    <n v="5"/>
    <x v="1"/>
    <s v="Maribeth Schnelling"/>
    <x v="0"/>
    <s v="United States"/>
    <s v="Wausau"/>
    <s v="Wisconsin"/>
    <s v="Central"/>
    <x v="1"/>
    <x v="4"/>
    <s v="X-Rack File for Hanging Folders"/>
    <x v="2383"/>
    <n v="2"/>
    <n v="0"/>
    <n v="5.8708"/>
  </r>
  <r>
    <n v="4834"/>
    <x v="845"/>
    <x v="2"/>
    <x v="0"/>
    <d v="2011-11-12T00:00:00"/>
    <n v="5"/>
    <x v="1"/>
    <s v="Maribeth Schnelling"/>
    <x v="0"/>
    <s v="United States"/>
    <s v="Wausau"/>
    <s v="Wisconsin"/>
    <s v="Central"/>
    <x v="1"/>
    <x v="8"/>
    <s v="ACCOHIDE 3-Ring Binder, Blue, 1&quot;"/>
    <x v="708"/>
    <n v="3"/>
    <n v="0"/>
    <n v="5.8232999999999997"/>
  </r>
  <r>
    <n v="4835"/>
    <x v="361"/>
    <x v="3"/>
    <x v="2"/>
    <d v="2014-10-11T00:00:00"/>
    <n v="5"/>
    <x v="1"/>
    <s v="Mike Pelletier"/>
    <x v="2"/>
    <s v="United States"/>
    <s v="San Francisco"/>
    <s v="California"/>
    <s v="West"/>
    <x v="1"/>
    <x v="8"/>
    <s v="Avery Framed View Binder, EZD Ring (Locking), Navy, 1 1/2&quot;"/>
    <x v="3009"/>
    <n v="5"/>
    <n v="0.2"/>
    <n v="13.473000000000001"/>
  </r>
  <r>
    <n v="4836"/>
    <x v="361"/>
    <x v="3"/>
    <x v="2"/>
    <d v="2014-10-11T00:00:00"/>
    <n v="5"/>
    <x v="1"/>
    <s v="Mike Pelletier"/>
    <x v="2"/>
    <s v="United States"/>
    <s v="San Francisco"/>
    <s v="California"/>
    <s v="West"/>
    <x v="1"/>
    <x v="10"/>
    <s v="Xerox 1951"/>
    <x v="1156"/>
    <n v="2"/>
    <n v="0"/>
    <n v="27.882000000000001"/>
  </r>
  <r>
    <n v="4837"/>
    <x v="361"/>
    <x v="3"/>
    <x v="2"/>
    <d v="2014-10-11T00:00:00"/>
    <n v="5"/>
    <x v="1"/>
    <s v="Mike Pelletier"/>
    <x v="2"/>
    <s v="United States"/>
    <s v="San Francisco"/>
    <s v="California"/>
    <s v="West"/>
    <x v="1"/>
    <x v="8"/>
    <s v="Avery Hole Reinforcements"/>
    <x v="950"/>
    <n v="4"/>
    <n v="0.2"/>
    <n v="7.2267999999999999"/>
  </r>
  <r>
    <n v="4838"/>
    <x v="702"/>
    <x v="3"/>
    <x v="1"/>
    <d v="2014-06-04T00:00:00"/>
    <n v="2"/>
    <x v="2"/>
    <s v="Fred Harton"/>
    <x v="0"/>
    <s v="United States"/>
    <s v="Dublin"/>
    <s v="Ohio"/>
    <s v="East"/>
    <x v="1"/>
    <x v="8"/>
    <s v="Cardinal HOLDit! Binder Insert Strips,Extra Strips"/>
    <x v="3497"/>
    <n v="2"/>
    <n v="0.7"/>
    <n v="-2.6585999999999999"/>
  </r>
  <r>
    <n v="4839"/>
    <x v="702"/>
    <x v="3"/>
    <x v="1"/>
    <d v="2014-06-04T00:00:00"/>
    <n v="2"/>
    <x v="2"/>
    <s v="Fred Harton"/>
    <x v="0"/>
    <s v="United States"/>
    <s v="Dublin"/>
    <s v="Ohio"/>
    <s v="East"/>
    <x v="1"/>
    <x v="10"/>
    <s v="Xerox 1924"/>
    <x v="3498"/>
    <n v="6"/>
    <n v="0.2"/>
    <n v="10.0572"/>
  </r>
  <r>
    <n v="4840"/>
    <x v="702"/>
    <x v="3"/>
    <x v="1"/>
    <d v="2014-06-04T00:00:00"/>
    <n v="2"/>
    <x v="2"/>
    <s v="Fred Harton"/>
    <x v="0"/>
    <s v="United States"/>
    <s v="Dublin"/>
    <s v="Ohio"/>
    <s v="East"/>
    <x v="2"/>
    <x v="7"/>
    <s v="Panasonic KX-TG6844B Expandable Digital Cordless Telephone"/>
    <x v="3097"/>
    <n v="4"/>
    <n v="0.4"/>
    <n v="-34.314799999999998"/>
  </r>
  <r>
    <n v="4841"/>
    <x v="225"/>
    <x v="3"/>
    <x v="0"/>
    <d v="2014-11-26T00:00:00"/>
    <n v="5"/>
    <x v="1"/>
    <s v="Sample Company A"/>
    <x v="2"/>
    <s v="United States"/>
    <s v="Henderson"/>
    <s v="Kentucky"/>
    <s v="South"/>
    <x v="0"/>
    <x v="5"/>
    <s v="9-3/4 Diameter Round Wall Clock"/>
    <x v="3499"/>
    <n v="2"/>
    <n v="0"/>
    <n v="11.583600000000001"/>
  </r>
  <r>
    <n v="4842"/>
    <x v="443"/>
    <x v="0"/>
    <x v="4"/>
    <d v="2013-12-29T00:00:00"/>
    <n v="5"/>
    <x v="1"/>
    <s v="Neoma Murray"/>
    <x v="0"/>
    <s v="United States"/>
    <s v="Bowling Green"/>
    <s v="Ohio"/>
    <s v="East"/>
    <x v="1"/>
    <x v="8"/>
    <s v="Universal Recycled Hanging Pressboard Report Binders, Letter Size"/>
    <x v="3500"/>
    <n v="3"/>
    <n v="0.7"/>
    <n v="-4.0721999999999996"/>
  </r>
  <r>
    <n v="4843"/>
    <x v="365"/>
    <x v="3"/>
    <x v="8"/>
    <d v="2014-10-05T00:00:00"/>
    <n v="5"/>
    <x v="1"/>
    <s v="Jas O'Carroll"/>
    <x v="0"/>
    <s v="United States"/>
    <s v="Memphis"/>
    <s v="Tennessee"/>
    <s v="South"/>
    <x v="1"/>
    <x v="4"/>
    <s v="Carina Media Storage Towers in Natural &amp; Black"/>
    <x v="3501"/>
    <n v="5"/>
    <n v="0.2"/>
    <n v="-54.881999999999998"/>
  </r>
  <r>
    <n v="4844"/>
    <x v="77"/>
    <x v="0"/>
    <x v="0"/>
    <d v="2013-11-10T00:00:00"/>
    <n v="2"/>
    <x v="2"/>
    <s v="Cindy Chapman"/>
    <x v="0"/>
    <s v="United States"/>
    <s v="Lakewood"/>
    <s v="New Jersey"/>
    <s v="East"/>
    <x v="1"/>
    <x v="13"/>
    <s v="Rubber Band Ball"/>
    <x v="3502"/>
    <n v="4"/>
    <n v="0"/>
    <n v="0.29920000000000002"/>
  </r>
  <r>
    <n v="4845"/>
    <x v="527"/>
    <x v="2"/>
    <x v="3"/>
    <d v="2011-04-05T00:00:00"/>
    <n v="1"/>
    <x v="2"/>
    <s v="Mary Zewe"/>
    <x v="1"/>
    <s v="United States"/>
    <s v="Los Angeles"/>
    <s v="California"/>
    <s v="West"/>
    <x v="1"/>
    <x v="8"/>
    <s v="Avery Non-Stick Binders"/>
    <x v="1576"/>
    <n v="2"/>
    <n v="0.2"/>
    <n v="2.2450000000000001"/>
  </r>
  <r>
    <n v="4846"/>
    <x v="862"/>
    <x v="1"/>
    <x v="7"/>
    <d v="2012-07-26T00:00:00"/>
    <n v="3"/>
    <x v="0"/>
    <s v="Melanie Seite"/>
    <x v="0"/>
    <s v="United States"/>
    <s v="Rochester"/>
    <s v="New York"/>
    <s v="East"/>
    <x v="1"/>
    <x v="8"/>
    <s v="Acco 3-Hole Punch"/>
    <x v="3503"/>
    <n v="3"/>
    <n v="0.2"/>
    <n v="3.6791999999999998"/>
  </r>
  <r>
    <n v="4847"/>
    <x v="402"/>
    <x v="2"/>
    <x v="1"/>
    <d v="2011-06-27T00:00:00"/>
    <n v="2"/>
    <x v="0"/>
    <s v="Grace Kelly"/>
    <x v="1"/>
    <s v="United States"/>
    <s v="Salem"/>
    <s v="Oregon"/>
    <s v="West"/>
    <x v="2"/>
    <x v="7"/>
    <s v="Plantronics 81402"/>
    <x v="1259"/>
    <n v="5"/>
    <n v="0.2"/>
    <n v="19.797000000000001"/>
  </r>
  <r>
    <n v="4848"/>
    <x v="402"/>
    <x v="2"/>
    <x v="1"/>
    <d v="2011-06-27T00:00:00"/>
    <n v="2"/>
    <x v="0"/>
    <s v="Grace Kelly"/>
    <x v="1"/>
    <s v="United States"/>
    <s v="Salem"/>
    <s v="Oregon"/>
    <s v="West"/>
    <x v="1"/>
    <x v="6"/>
    <s v="Avery Hi-Liter EverBold Pen Style Fluorescent Highlighters, 4/Pack"/>
    <x v="3504"/>
    <n v="11"/>
    <n v="0.2"/>
    <n v="17.908000000000001"/>
  </r>
  <r>
    <n v="4849"/>
    <x v="402"/>
    <x v="2"/>
    <x v="1"/>
    <d v="2011-06-27T00:00:00"/>
    <n v="2"/>
    <x v="0"/>
    <s v="Grace Kelly"/>
    <x v="1"/>
    <s v="United States"/>
    <s v="Salem"/>
    <s v="Oregon"/>
    <s v="West"/>
    <x v="1"/>
    <x v="6"/>
    <s v="Hunt BOSTON Vista Battery-Operated Pencil Sharpener, Black"/>
    <x v="1719"/>
    <n v="1"/>
    <n v="0.2"/>
    <n v="0.81620000000000004"/>
  </r>
  <r>
    <n v="4850"/>
    <x v="78"/>
    <x v="2"/>
    <x v="8"/>
    <d v="2011-09-14T00:00:00"/>
    <n v="6"/>
    <x v="1"/>
    <s v="Marc Crier"/>
    <x v="0"/>
    <s v="United States"/>
    <s v="Pasco"/>
    <s v="Washington"/>
    <s v="West"/>
    <x v="1"/>
    <x v="6"/>
    <s v="Prang Colored Pencils"/>
    <x v="486"/>
    <n v="2"/>
    <n v="0"/>
    <n v="2.6459999999999999"/>
  </r>
  <r>
    <n v="4851"/>
    <x v="78"/>
    <x v="2"/>
    <x v="8"/>
    <d v="2011-09-14T00:00:00"/>
    <n v="6"/>
    <x v="1"/>
    <s v="Marc Crier"/>
    <x v="0"/>
    <s v="United States"/>
    <s v="Pasco"/>
    <s v="Washington"/>
    <s v="West"/>
    <x v="0"/>
    <x v="1"/>
    <s v="Hon Deluxe Fabric Upholstered Stacking Chairs, Rounded Back"/>
    <x v="3505"/>
    <n v="5"/>
    <n v="0.2"/>
    <n v="121.99"/>
  </r>
  <r>
    <n v="4852"/>
    <x v="78"/>
    <x v="2"/>
    <x v="8"/>
    <d v="2011-09-14T00:00:00"/>
    <n v="6"/>
    <x v="1"/>
    <s v="Marc Crier"/>
    <x v="0"/>
    <s v="United States"/>
    <s v="Pasco"/>
    <s v="Washington"/>
    <s v="West"/>
    <x v="1"/>
    <x v="6"/>
    <s v="Hunt PowerHouse Electric Pencil Sharpener, Blue"/>
    <x v="3506"/>
    <n v="8"/>
    <n v="0"/>
    <n v="91.152000000000001"/>
  </r>
  <r>
    <n v="4853"/>
    <x v="78"/>
    <x v="2"/>
    <x v="8"/>
    <d v="2011-09-14T00:00:00"/>
    <n v="6"/>
    <x v="1"/>
    <s v="Marc Crier"/>
    <x v="0"/>
    <s v="United States"/>
    <s v="Pasco"/>
    <s v="Washington"/>
    <s v="West"/>
    <x v="1"/>
    <x v="4"/>
    <s v="Carina Double Wide Media Storage Towers in Natural &amp; Black"/>
    <x v="1056"/>
    <n v="6"/>
    <n v="0"/>
    <n v="19.435199999999998"/>
  </r>
  <r>
    <n v="4854"/>
    <x v="432"/>
    <x v="2"/>
    <x v="4"/>
    <d v="2011-12-15T00:00:00"/>
    <n v="3"/>
    <x v="0"/>
    <s v="Logan Haushalter"/>
    <x v="0"/>
    <s v="United States"/>
    <s v="Oakland"/>
    <s v="California"/>
    <s v="West"/>
    <x v="0"/>
    <x v="5"/>
    <s v="Eldon Image Series Desk Accessories, Burgundy"/>
    <x v="3507"/>
    <n v="3"/>
    <n v="0"/>
    <n v="4.5144000000000002"/>
  </r>
  <r>
    <n v="4855"/>
    <x v="432"/>
    <x v="2"/>
    <x v="4"/>
    <d v="2011-12-15T00:00:00"/>
    <n v="3"/>
    <x v="0"/>
    <s v="Logan Haushalter"/>
    <x v="0"/>
    <s v="United States"/>
    <s v="Oakland"/>
    <s v="California"/>
    <s v="West"/>
    <x v="1"/>
    <x v="4"/>
    <s v="Woodgrain Magazine Files by Perma"/>
    <x v="3010"/>
    <n v="3"/>
    <n v="0"/>
    <n v="0.62580000000000002"/>
  </r>
  <r>
    <n v="4856"/>
    <x v="432"/>
    <x v="2"/>
    <x v="4"/>
    <d v="2011-12-15T00:00:00"/>
    <n v="3"/>
    <x v="0"/>
    <s v="Logan Haushalter"/>
    <x v="0"/>
    <s v="United States"/>
    <s v="Oakland"/>
    <s v="California"/>
    <s v="West"/>
    <x v="0"/>
    <x v="5"/>
    <s v="Longer-Life Soft White Bulbs"/>
    <x v="354"/>
    <n v="3"/>
    <n v="0"/>
    <n v="4.4352"/>
  </r>
  <r>
    <n v="4857"/>
    <x v="1004"/>
    <x v="1"/>
    <x v="9"/>
    <d v="2012-01-17T00:00:00"/>
    <n v="4"/>
    <x v="1"/>
    <s v="Philip Brown"/>
    <x v="0"/>
    <s v="United States"/>
    <s v="Los Angeles"/>
    <s v="California"/>
    <s v="West"/>
    <x v="1"/>
    <x v="8"/>
    <s v="Binding Machine Supplies"/>
    <x v="817"/>
    <n v="3"/>
    <n v="0.2"/>
    <n v="24.502800000000001"/>
  </r>
  <r>
    <n v="4858"/>
    <x v="1004"/>
    <x v="1"/>
    <x v="9"/>
    <d v="2012-01-17T00:00:00"/>
    <n v="4"/>
    <x v="1"/>
    <s v="Philip Brown"/>
    <x v="0"/>
    <s v="United States"/>
    <s v="Los Angeles"/>
    <s v="California"/>
    <s v="West"/>
    <x v="0"/>
    <x v="5"/>
    <s v="Floodlight Indoor Halogen Bulbs, 1 Bulb per Pack, 60 Watts"/>
    <x v="291"/>
    <n v="4"/>
    <n v="0"/>
    <n v="38.024000000000001"/>
  </r>
  <r>
    <n v="4859"/>
    <x v="1004"/>
    <x v="1"/>
    <x v="9"/>
    <d v="2012-01-17T00:00:00"/>
    <n v="4"/>
    <x v="1"/>
    <s v="Philip Brown"/>
    <x v="0"/>
    <s v="United States"/>
    <s v="Los Angeles"/>
    <s v="California"/>
    <s v="West"/>
    <x v="0"/>
    <x v="5"/>
    <s v="Deflect-o EconoMat Nonstudded, No Bevel Mat"/>
    <x v="3508"/>
    <n v="9"/>
    <n v="0"/>
    <n v="92.97"/>
  </r>
  <r>
    <n v="4860"/>
    <x v="934"/>
    <x v="3"/>
    <x v="4"/>
    <d v="2014-12-20T00:00:00"/>
    <n v="4"/>
    <x v="1"/>
    <s v="Saphhira Shifley"/>
    <x v="1"/>
    <s v="United States"/>
    <s v="Oak Park"/>
    <s v="Illinois"/>
    <s v="Central"/>
    <x v="1"/>
    <x v="6"/>
    <s v="Newell 307"/>
    <x v="1315"/>
    <n v="7"/>
    <n v="0.2"/>
    <n v="1.0192000000000001"/>
  </r>
  <r>
    <n v="4861"/>
    <x v="122"/>
    <x v="0"/>
    <x v="4"/>
    <d v="2013-12-25T00:00:00"/>
    <n v="6"/>
    <x v="1"/>
    <s v="Grace Kelly"/>
    <x v="1"/>
    <s v="United States"/>
    <s v="Morristown"/>
    <s v="New Jersey"/>
    <s v="East"/>
    <x v="1"/>
    <x v="8"/>
    <s v="GBC DocuBind TL300 Electric Binding System"/>
    <x v="1612"/>
    <n v="2"/>
    <n v="0"/>
    <n v="843.17060000000004"/>
  </r>
  <r>
    <n v="4862"/>
    <x v="909"/>
    <x v="2"/>
    <x v="3"/>
    <d v="2011-04-16T00:00:00"/>
    <n v="5"/>
    <x v="0"/>
    <s v="Gary Mitchum"/>
    <x v="2"/>
    <s v="United States"/>
    <s v="Austin"/>
    <s v="Texas"/>
    <s v="Central"/>
    <x v="2"/>
    <x v="7"/>
    <s v="Jawbone JAMBOX Wireless Bluetooth Speaker"/>
    <x v="3509"/>
    <n v="6"/>
    <n v="0.2"/>
    <n v="265.42320000000001"/>
  </r>
  <r>
    <n v="4863"/>
    <x v="338"/>
    <x v="0"/>
    <x v="0"/>
    <d v="2013-11-15T00:00:00"/>
    <n v="4"/>
    <x v="1"/>
    <s v="Sally Hughsby"/>
    <x v="1"/>
    <s v="United States"/>
    <s v="New York City"/>
    <s v="New York"/>
    <s v="East"/>
    <x v="1"/>
    <x v="8"/>
    <s v="Canvas Sectional Post Binders"/>
    <x v="3510"/>
    <n v="1"/>
    <n v="0.2"/>
    <n v="7.3834"/>
  </r>
  <r>
    <n v="4864"/>
    <x v="338"/>
    <x v="0"/>
    <x v="0"/>
    <d v="2013-11-15T00:00:00"/>
    <n v="4"/>
    <x v="1"/>
    <s v="Sally Hughsby"/>
    <x v="1"/>
    <s v="United States"/>
    <s v="New York City"/>
    <s v="New York"/>
    <s v="East"/>
    <x v="1"/>
    <x v="8"/>
    <s v="Wilson Jones Century Plastic Molded Ring Binders"/>
    <x v="3511"/>
    <n v="3"/>
    <n v="0.2"/>
    <n v="16.823699999999999"/>
  </r>
  <r>
    <n v="4865"/>
    <x v="335"/>
    <x v="3"/>
    <x v="1"/>
    <d v="2014-07-01T00:00:00"/>
    <n v="4"/>
    <x v="1"/>
    <s v="Steven Cartwright"/>
    <x v="0"/>
    <s v="United States"/>
    <s v="New York City"/>
    <s v="New York"/>
    <s v="East"/>
    <x v="2"/>
    <x v="7"/>
    <s v="Mophie Juice Pack Helium for iPhone"/>
    <x v="758"/>
    <n v="3"/>
    <n v="0"/>
    <n v="67.191599999999994"/>
  </r>
  <r>
    <n v="4866"/>
    <x v="38"/>
    <x v="3"/>
    <x v="0"/>
    <d v="2014-11-19T00:00:00"/>
    <n v="5"/>
    <x v="1"/>
    <s v="Ted Trevino"/>
    <x v="0"/>
    <s v="United States"/>
    <s v="Seattle"/>
    <s v="Washington"/>
    <s v="West"/>
    <x v="0"/>
    <x v="1"/>
    <s v="Global Troy Executive Leather Low-Back Tilter"/>
    <x v="3512"/>
    <n v="6"/>
    <n v="0.2"/>
    <n v="150.29400000000001"/>
  </r>
  <r>
    <n v="4867"/>
    <x v="38"/>
    <x v="3"/>
    <x v="0"/>
    <d v="2014-11-19T00:00:00"/>
    <n v="5"/>
    <x v="1"/>
    <s v="Ted Trevino"/>
    <x v="0"/>
    <s v="United States"/>
    <s v="Seattle"/>
    <s v="Washington"/>
    <s v="West"/>
    <x v="1"/>
    <x v="8"/>
    <s v="GBC DocuBind P50 Personal Binding Machine"/>
    <x v="3513"/>
    <n v="11"/>
    <n v="0.2"/>
    <n v="190.0206"/>
  </r>
  <r>
    <n v="4868"/>
    <x v="38"/>
    <x v="3"/>
    <x v="0"/>
    <d v="2014-11-19T00:00:00"/>
    <n v="5"/>
    <x v="1"/>
    <s v="Ted Trevino"/>
    <x v="0"/>
    <s v="United States"/>
    <s v="Seattle"/>
    <s v="Washington"/>
    <s v="West"/>
    <x v="1"/>
    <x v="4"/>
    <s v="Space Solutions HD Industrial Steel Shelving."/>
    <x v="3129"/>
    <n v="3"/>
    <n v="0"/>
    <n v="10.347300000000001"/>
  </r>
  <r>
    <n v="4869"/>
    <x v="38"/>
    <x v="3"/>
    <x v="0"/>
    <d v="2014-11-19T00:00:00"/>
    <n v="5"/>
    <x v="1"/>
    <s v="Ted Trevino"/>
    <x v="0"/>
    <s v="United States"/>
    <s v="Seattle"/>
    <s v="Washington"/>
    <s v="West"/>
    <x v="1"/>
    <x v="2"/>
    <s v="Avery File Folder Labels"/>
    <x v="874"/>
    <n v="3"/>
    <n v="0"/>
    <n v="4.2336"/>
  </r>
  <r>
    <n v="4870"/>
    <x v="221"/>
    <x v="3"/>
    <x v="0"/>
    <d v="2014-11-30T00:00:00"/>
    <n v="5"/>
    <x v="1"/>
    <s v="Shaun Chance"/>
    <x v="1"/>
    <s v="United States"/>
    <s v="Lancaster"/>
    <s v="Pennsylvania"/>
    <s v="East"/>
    <x v="2"/>
    <x v="7"/>
    <s v="Blue Parrot B250XT Professional Grade Wireless Bluetooth Headset with"/>
    <x v="3514"/>
    <n v="2"/>
    <n v="0.4"/>
    <n v="-14.997999999999999"/>
  </r>
  <r>
    <n v="4871"/>
    <x v="221"/>
    <x v="3"/>
    <x v="0"/>
    <d v="2014-11-30T00:00:00"/>
    <n v="5"/>
    <x v="1"/>
    <s v="Shaun Chance"/>
    <x v="1"/>
    <s v="United States"/>
    <s v="Lancaster"/>
    <s v="Pennsylvania"/>
    <s v="East"/>
    <x v="1"/>
    <x v="10"/>
    <s v="Xerox 1919"/>
    <x v="2299"/>
    <n v="7"/>
    <n v="0.2"/>
    <n v="83.209699999999998"/>
  </r>
  <r>
    <n v="4872"/>
    <x v="979"/>
    <x v="3"/>
    <x v="5"/>
    <d v="2014-05-28T00:00:00"/>
    <n v="4"/>
    <x v="1"/>
    <s v="Ken Lonsdale"/>
    <x v="0"/>
    <s v="United States"/>
    <s v="Houston"/>
    <s v="Texas"/>
    <s v="Central"/>
    <x v="1"/>
    <x v="13"/>
    <s v="OIC Thumb-Tacks"/>
    <x v="3515"/>
    <n v="2"/>
    <n v="0.2"/>
    <n v="0.61560000000000004"/>
  </r>
  <r>
    <n v="4873"/>
    <x v="979"/>
    <x v="3"/>
    <x v="5"/>
    <d v="2014-05-28T00:00:00"/>
    <n v="4"/>
    <x v="1"/>
    <s v="Ken Lonsdale"/>
    <x v="0"/>
    <s v="United States"/>
    <s v="Houston"/>
    <s v="Texas"/>
    <s v="Central"/>
    <x v="1"/>
    <x v="9"/>
    <s v="Acco 6 Outlet Guardian Premium Plus Surge Suppressor"/>
    <x v="3516"/>
    <n v="5"/>
    <n v="0.8"/>
    <n v="-46.716000000000001"/>
  </r>
  <r>
    <n v="4874"/>
    <x v="979"/>
    <x v="3"/>
    <x v="5"/>
    <d v="2014-05-28T00:00:00"/>
    <n v="4"/>
    <x v="1"/>
    <s v="Ken Lonsdale"/>
    <x v="0"/>
    <s v="United States"/>
    <s v="Houston"/>
    <s v="Texas"/>
    <s v="Central"/>
    <x v="1"/>
    <x v="4"/>
    <s v="Tennsco Commercial Shelving"/>
    <x v="3517"/>
    <n v="3"/>
    <n v="0.2"/>
    <n v="-11.5938"/>
  </r>
  <r>
    <n v="4875"/>
    <x v="979"/>
    <x v="3"/>
    <x v="5"/>
    <d v="2014-05-28T00:00:00"/>
    <n v="4"/>
    <x v="1"/>
    <s v="Ken Lonsdale"/>
    <x v="0"/>
    <s v="United States"/>
    <s v="Houston"/>
    <s v="Texas"/>
    <s v="Central"/>
    <x v="1"/>
    <x v="8"/>
    <s v="Storex Dura Pro Binders"/>
    <x v="1452"/>
    <n v="1"/>
    <n v="0.8"/>
    <n v="-1.9601999999999999"/>
  </r>
  <r>
    <n v="4876"/>
    <x v="266"/>
    <x v="2"/>
    <x v="4"/>
    <d v="2011-12-07T00:00:00"/>
    <n v="5"/>
    <x v="1"/>
    <s v="Katherine Nockton"/>
    <x v="1"/>
    <s v="United States"/>
    <s v="Columbus"/>
    <s v="Ohio"/>
    <s v="East"/>
    <x v="2"/>
    <x v="11"/>
    <s v="Imation 32GB Pocket Pro USB 3.0 Flash Drive - 32 GB - Black - 1 P ..."/>
    <x v="596"/>
    <n v="5"/>
    <n v="0.2"/>
    <n v="29.95"/>
  </r>
  <r>
    <n v="4877"/>
    <x v="462"/>
    <x v="2"/>
    <x v="2"/>
    <d v="2011-10-09T00:00:00"/>
    <n v="6"/>
    <x v="1"/>
    <s v="Sara Luxemburg"/>
    <x v="2"/>
    <s v="United States"/>
    <s v="Durham"/>
    <s v="North Carolina"/>
    <s v="South"/>
    <x v="1"/>
    <x v="4"/>
    <s v="Advantus Rolling Drawer Organizers"/>
    <x v="3518"/>
    <n v="2"/>
    <n v="0.2"/>
    <n v="4.6176000000000004"/>
  </r>
  <r>
    <n v="4878"/>
    <x v="462"/>
    <x v="2"/>
    <x v="2"/>
    <d v="2011-10-09T00:00:00"/>
    <n v="6"/>
    <x v="1"/>
    <s v="Sara Luxemburg"/>
    <x v="2"/>
    <s v="United States"/>
    <s v="Durham"/>
    <s v="North Carolina"/>
    <s v="South"/>
    <x v="1"/>
    <x v="6"/>
    <s v="DIXON Oriole Pencils"/>
    <x v="3519"/>
    <n v="3"/>
    <n v="0.2"/>
    <n v="0.46439999999999998"/>
  </r>
  <r>
    <n v="4879"/>
    <x v="875"/>
    <x v="0"/>
    <x v="7"/>
    <d v="2013-08-01T00:00:00"/>
    <n v="2"/>
    <x v="2"/>
    <s v="Pierre Wener"/>
    <x v="0"/>
    <s v="United States"/>
    <s v="Pensacola"/>
    <s v="Florida"/>
    <s v="South"/>
    <x v="1"/>
    <x v="8"/>
    <s v="Avery Triangle Shaped Sheet Lifters, Black, 2/Pack"/>
    <x v="3520"/>
    <n v="3"/>
    <n v="0.7"/>
    <n v="-1.476"/>
  </r>
  <r>
    <n v="4880"/>
    <x v="808"/>
    <x v="3"/>
    <x v="0"/>
    <d v="2014-11-06T00:00:00"/>
    <n v="3"/>
    <x v="0"/>
    <s v="Thomas Boland"/>
    <x v="1"/>
    <s v="United States"/>
    <s v="Henderson"/>
    <s v="Kentucky"/>
    <s v="South"/>
    <x v="1"/>
    <x v="12"/>
    <s v="Letter or Legal Size Expandable Poly String Tie Envelopes"/>
    <x v="3521"/>
    <n v="2"/>
    <n v="0"/>
    <n v="2.6067999999999998"/>
  </r>
  <r>
    <n v="4881"/>
    <x v="808"/>
    <x v="3"/>
    <x v="0"/>
    <d v="2014-11-06T00:00:00"/>
    <n v="3"/>
    <x v="0"/>
    <s v="Thomas Boland"/>
    <x v="1"/>
    <s v="United States"/>
    <s v="Henderson"/>
    <s v="Kentucky"/>
    <s v="South"/>
    <x v="0"/>
    <x v="1"/>
    <s v="Hon Deluxe Fabric Upholstered Stacking Chairs, Rounded Back"/>
    <x v="3505"/>
    <n v="4"/>
    <n v="0"/>
    <n v="292.77600000000001"/>
  </r>
  <r>
    <n v="4882"/>
    <x v="808"/>
    <x v="3"/>
    <x v="0"/>
    <d v="2014-11-06T00:00:00"/>
    <n v="3"/>
    <x v="0"/>
    <s v="Thomas Boland"/>
    <x v="1"/>
    <s v="United States"/>
    <s v="Henderson"/>
    <s v="Kentucky"/>
    <s v="South"/>
    <x v="2"/>
    <x v="11"/>
    <s v="Logitech diNovo Edge Keyboard"/>
    <x v="3522"/>
    <n v="9"/>
    <n v="0"/>
    <n v="517.47929999999997"/>
  </r>
  <r>
    <n v="4883"/>
    <x v="808"/>
    <x v="3"/>
    <x v="0"/>
    <d v="2014-11-06T00:00:00"/>
    <n v="3"/>
    <x v="0"/>
    <s v="Thomas Boland"/>
    <x v="1"/>
    <s v="United States"/>
    <s v="Henderson"/>
    <s v="Kentucky"/>
    <s v="South"/>
    <x v="1"/>
    <x v="4"/>
    <s v="Super Decoflex Portable Personal File"/>
    <x v="3523"/>
    <n v="4"/>
    <n v="0"/>
    <n v="16.7776"/>
  </r>
  <r>
    <n v="4884"/>
    <x v="144"/>
    <x v="3"/>
    <x v="10"/>
    <d v="2014-03-16T00:00:00"/>
    <n v="7"/>
    <x v="1"/>
    <s v="Alan Hwang"/>
    <x v="0"/>
    <s v="United States"/>
    <s v="Anaheim"/>
    <s v="California"/>
    <s v="West"/>
    <x v="1"/>
    <x v="8"/>
    <s v="Green Canvas Binder for 8-1/2&quot; x 14&quot; Sheets"/>
    <x v="3524"/>
    <n v="5"/>
    <n v="0.2"/>
    <n v="64.2"/>
  </r>
  <r>
    <n v="4885"/>
    <x v="144"/>
    <x v="3"/>
    <x v="10"/>
    <d v="2014-03-16T00:00:00"/>
    <n v="7"/>
    <x v="1"/>
    <s v="Alan Hwang"/>
    <x v="0"/>
    <s v="United States"/>
    <s v="Anaheim"/>
    <s v="California"/>
    <s v="West"/>
    <x v="1"/>
    <x v="6"/>
    <s v="Newell 323"/>
    <x v="3525"/>
    <n v="2"/>
    <n v="0"/>
    <n v="0.87360000000000004"/>
  </r>
  <r>
    <n v="4886"/>
    <x v="757"/>
    <x v="2"/>
    <x v="4"/>
    <d v="2011-12-20T00:00:00"/>
    <n v="4"/>
    <x v="1"/>
    <s v="Steve Chapman"/>
    <x v="1"/>
    <s v="United States"/>
    <s v="Detroit"/>
    <s v="Michigan"/>
    <s v="Central"/>
    <x v="1"/>
    <x v="10"/>
    <s v="Xerox 1929"/>
    <x v="1147"/>
    <n v="5"/>
    <n v="0"/>
    <n v="52.531999999999996"/>
  </r>
  <r>
    <n v="4887"/>
    <x v="85"/>
    <x v="0"/>
    <x v="0"/>
    <d v="2013-12-02T00:00:00"/>
    <n v="3"/>
    <x v="0"/>
    <s v="Randy Ferguson"/>
    <x v="1"/>
    <s v="United States"/>
    <s v="Marietta"/>
    <s v="Georgia"/>
    <s v="South"/>
    <x v="0"/>
    <x v="1"/>
    <s v="Global Push Button Manager's Chair, Indigo"/>
    <x v="3526"/>
    <n v="3"/>
    <n v="0"/>
    <n v="52.974299999999999"/>
  </r>
  <r>
    <n v="4888"/>
    <x v="85"/>
    <x v="0"/>
    <x v="0"/>
    <d v="2013-12-02T00:00:00"/>
    <n v="3"/>
    <x v="0"/>
    <s v="Randy Ferguson"/>
    <x v="1"/>
    <s v="United States"/>
    <s v="Marietta"/>
    <s v="Georgia"/>
    <s v="South"/>
    <x v="2"/>
    <x v="11"/>
    <s v="Kingston Digital DataTraveler 32GB USB 2.0"/>
    <x v="3527"/>
    <n v="6"/>
    <n v="0"/>
    <n v="6.1020000000000003"/>
  </r>
  <r>
    <n v="4889"/>
    <x v="85"/>
    <x v="0"/>
    <x v="0"/>
    <d v="2013-12-02T00:00:00"/>
    <n v="3"/>
    <x v="0"/>
    <s v="Randy Ferguson"/>
    <x v="1"/>
    <s v="United States"/>
    <s v="Marietta"/>
    <s v="Georgia"/>
    <s v="South"/>
    <x v="1"/>
    <x v="4"/>
    <s v="Tennsco Single-Tier Lockers"/>
    <x v="490"/>
    <n v="3"/>
    <n v="0"/>
    <n v="56.301000000000002"/>
  </r>
  <r>
    <n v="4890"/>
    <x v="85"/>
    <x v="0"/>
    <x v="0"/>
    <d v="2013-12-02T00:00:00"/>
    <n v="3"/>
    <x v="0"/>
    <s v="Randy Ferguson"/>
    <x v="1"/>
    <s v="United States"/>
    <s v="Marietta"/>
    <s v="Georgia"/>
    <s v="South"/>
    <x v="1"/>
    <x v="4"/>
    <s v="24 Capacity Maxi Data Binder Racks, Pearl"/>
    <x v="3528"/>
    <n v="6"/>
    <n v="0"/>
    <n v="315.82499999999999"/>
  </r>
  <r>
    <n v="4891"/>
    <x v="443"/>
    <x v="0"/>
    <x v="4"/>
    <d v="2013-12-31T00:00:00"/>
    <n v="7"/>
    <x v="1"/>
    <s v="Edward Hooks"/>
    <x v="1"/>
    <s v="United States"/>
    <s v="Seattle"/>
    <s v="Washington"/>
    <s v="West"/>
    <x v="1"/>
    <x v="6"/>
    <s v="Newell 317"/>
    <x v="138"/>
    <n v="3"/>
    <n v="0"/>
    <n v="2.5577999999999999"/>
  </r>
  <r>
    <n v="4892"/>
    <x v="443"/>
    <x v="0"/>
    <x v="4"/>
    <d v="2013-12-31T00:00:00"/>
    <n v="7"/>
    <x v="1"/>
    <s v="Edward Hooks"/>
    <x v="1"/>
    <s v="United States"/>
    <s v="Seattle"/>
    <s v="Washington"/>
    <s v="West"/>
    <x v="1"/>
    <x v="10"/>
    <s v="Computer Printout Paper with Letter-Trim Perforations"/>
    <x v="2428"/>
    <n v="2"/>
    <n v="0"/>
    <n v="18.211200000000002"/>
  </r>
  <r>
    <n v="4893"/>
    <x v="443"/>
    <x v="0"/>
    <x v="4"/>
    <d v="2013-12-31T00:00:00"/>
    <n v="7"/>
    <x v="1"/>
    <s v="Edward Hooks"/>
    <x v="1"/>
    <s v="United States"/>
    <s v="Seattle"/>
    <s v="Washington"/>
    <s v="West"/>
    <x v="1"/>
    <x v="6"/>
    <s v="Sanford EarthWrite Recycled Pencils, Medium Soft, #2"/>
    <x v="3529"/>
    <n v="2"/>
    <n v="0"/>
    <n v="1.1759999999999999"/>
  </r>
  <r>
    <n v="4894"/>
    <x v="443"/>
    <x v="0"/>
    <x v="4"/>
    <d v="2013-12-31T00:00:00"/>
    <n v="7"/>
    <x v="1"/>
    <s v="Edward Hooks"/>
    <x v="1"/>
    <s v="United States"/>
    <s v="Seattle"/>
    <s v="Washington"/>
    <s v="West"/>
    <x v="1"/>
    <x v="4"/>
    <s v="SAFCO Boltless Steel Shelving"/>
    <x v="3530"/>
    <n v="2"/>
    <n v="0"/>
    <n v="2.2728000000000002"/>
  </r>
  <r>
    <n v="4895"/>
    <x v="443"/>
    <x v="0"/>
    <x v="4"/>
    <d v="2013-12-31T00:00:00"/>
    <n v="7"/>
    <x v="1"/>
    <s v="Edward Hooks"/>
    <x v="1"/>
    <s v="United States"/>
    <s v="Seattle"/>
    <s v="Washington"/>
    <s v="West"/>
    <x v="1"/>
    <x v="10"/>
    <s v="Xerox 1911"/>
    <x v="3531"/>
    <n v="1"/>
    <n v="0"/>
    <n v="22.992000000000001"/>
  </r>
  <r>
    <n v="4896"/>
    <x v="443"/>
    <x v="0"/>
    <x v="4"/>
    <d v="2013-12-31T00:00:00"/>
    <n v="7"/>
    <x v="1"/>
    <s v="Edward Hooks"/>
    <x v="1"/>
    <s v="United States"/>
    <s v="Seattle"/>
    <s v="Washington"/>
    <s v="West"/>
    <x v="1"/>
    <x v="12"/>
    <s v="Staples"/>
    <x v="1156"/>
    <n v="2"/>
    <n v="0"/>
    <n v="30.360399999999998"/>
  </r>
  <r>
    <n v="4897"/>
    <x v="443"/>
    <x v="0"/>
    <x v="4"/>
    <d v="2013-12-31T00:00:00"/>
    <n v="7"/>
    <x v="1"/>
    <s v="Edward Hooks"/>
    <x v="1"/>
    <s v="United States"/>
    <s v="Seattle"/>
    <s v="Washington"/>
    <s v="West"/>
    <x v="1"/>
    <x v="4"/>
    <s v="Tennsco Snap-Together Open Shelving Units, Starter Sets and Add-On Units"/>
    <x v="2068"/>
    <n v="4"/>
    <n v="0"/>
    <n v="55.896000000000001"/>
  </r>
  <r>
    <n v="4898"/>
    <x v="771"/>
    <x v="2"/>
    <x v="2"/>
    <d v="2011-10-17T00:00:00"/>
    <n v="2"/>
    <x v="2"/>
    <s v="Anna Chung"/>
    <x v="0"/>
    <s v="United States"/>
    <s v="Parma"/>
    <s v="Ohio"/>
    <s v="East"/>
    <x v="0"/>
    <x v="1"/>
    <s v="Global Italian Leather Office Chair"/>
    <x v="1699"/>
    <n v="2"/>
    <n v="0.3"/>
    <n v="-7.8587999999999996"/>
  </r>
  <r>
    <n v="4899"/>
    <x v="771"/>
    <x v="2"/>
    <x v="2"/>
    <d v="2011-10-17T00:00:00"/>
    <n v="2"/>
    <x v="2"/>
    <s v="Anna Chung"/>
    <x v="0"/>
    <s v="United States"/>
    <s v="Parma"/>
    <s v="Ohio"/>
    <s v="East"/>
    <x v="1"/>
    <x v="10"/>
    <s v="Xerox 1897"/>
    <x v="885"/>
    <n v="2"/>
    <n v="0.2"/>
    <n v="2.8883999999999999"/>
  </r>
  <r>
    <n v="4900"/>
    <x v="250"/>
    <x v="0"/>
    <x v="6"/>
    <d v="2013-08-28T00:00:00"/>
    <n v="5"/>
    <x v="1"/>
    <s v="Sheri Gordon"/>
    <x v="0"/>
    <s v="United States"/>
    <s v="Gresham"/>
    <s v="Oregon"/>
    <s v="West"/>
    <x v="1"/>
    <x v="8"/>
    <s v="GBC Imprintable Covers"/>
    <x v="3532"/>
    <n v="8"/>
    <n v="0.7"/>
    <n v="-18.446400000000001"/>
  </r>
  <r>
    <n v="4901"/>
    <x v="94"/>
    <x v="3"/>
    <x v="4"/>
    <d v="2014-12-22T00:00:00"/>
    <n v="4"/>
    <x v="1"/>
    <s v="Christine Abelman"/>
    <x v="1"/>
    <s v="United States"/>
    <s v="Anaheim"/>
    <s v="California"/>
    <s v="West"/>
    <x v="1"/>
    <x v="4"/>
    <s v="Iceberg Mobile Mega Data/Printer Cart "/>
    <x v="2246"/>
    <n v="4"/>
    <n v="0"/>
    <n v="125.14319999999999"/>
  </r>
  <r>
    <n v="4902"/>
    <x v="94"/>
    <x v="3"/>
    <x v="4"/>
    <d v="2014-12-22T00:00:00"/>
    <n v="4"/>
    <x v="1"/>
    <s v="Christine Abelman"/>
    <x v="1"/>
    <s v="United States"/>
    <s v="Anaheim"/>
    <s v="California"/>
    <s v="West"/>
    <x v="1"/>
    <x v="14"/>
    <s v="Fiskars Spring-Action Scissors"/>
    <x v="62"/>
    <n v="1"/>
    <n v="0"/>
    <n v="3.6347999999999998"/>
  </r>
  <r>
    <n v="4903"/>
    <x v="469"/>
    <x v="3"/>
    <x v="10"/>
    <d v="2014-03-13T00:00:00"/>
    <n v="5"/>
    <x v="1"/>
    <s v="Shahid Hopkins"/>
    <x v="0"/>
    <s v="United States"/>
    <s v="New York City"/>
    <s v="New York"/>
    <s v="East"/>
    <x v="1"/>
    <x v="8"/>
    <s v="3M Organizer Strips"/>
    <x v="233"/>
    <n v="6"/>
    <n v="0.2"/>
    <n v="9.0719999999999992"/>
  </r>
  <r>
    <n v="4904"/>
    <x v="469"/>
    <x v="3"/>
    <x v="10"/>
    <d v="2014-03-13T00:00:00"/>
    <n v="5"/>
    <x v="1"/>
    <s v="Shahid Hopkins"/>
    <x v="0"/>
    <s v="United States"/>
    <s v="New York City"/>
    <s v="New York"/>
    <s v="East"/>
    <x v="1"/>
    <x v="2"/>
    <s v="Avery 4027 File Folder Labels for Dot Matrix Printers, 5000 Labels per Box, White"/>
    <x v="3533"/>
    <n v="3"/>
    <n v="0"/>
    <n v="42.131399999999999"/>
  </r>
  <r>
    <n v="4905"/>
    <x v="588"/>
    <x v="2"/>
    <x v="4"/>
    <d v="2011-12-03T00:00:00"/>
    <n v="2"/>
    <x v="0"/>
    <s v="Matt Connell"/>
    <x v="1"/>
    <s v="United States"/>
    <s v="Houston"/>
    <s v="Texas"/>
    <s v="Central"/>
    <x v="0"/>
    <x v="1"/>
    <s v="Hon 4070 Series Pagoda Round Back Stacking Chairs"/>
    <x v="3534"/>
    <n v="3"/>
    <n v="0.3"/>
    <n v="-19.258800000000001"/>
  </r>
  <r>
    <n v="4906"/>
    <x v="1005"/>
    <x v="2"/>
    <x v="2"/>
    <d v="2011-10-16T00:00:00"/>
    <n v="2"/>
    <x v="0"/>
    <s v="Jim Epp"/>
    <x v="1"/>
    <s v="United States"/>
    <s v="Concord"/>
    <s v="New Hampshire"/>
    <s v="East"/>
    <x v="1"/>
    <x v="8"/>
    <s v="Avery Metallic Poly Binders"/>
    <x v="988"/>
    <n v="4"/>
    <n v="0"/>
    <n v="11.0016"/>
  </r>
  <r>
    <n v="4907"/>
    <x v="1005"/>
    <x v="2"/>
    <x v="2"/>
    <d v="2011-10-16T00:00:00"/>
    <n v="2"/>
    <x v="0"/>
    <s v="Jim Epp"/>
    <x v="1"/>
    <s v="United States"/>
    <s v="Concord"/>
    <s v="New Hampshire"/>
    <s v="East"/>
    <x v="1"/>
    <x v="4"/>
    <s v="Fellowes Bankers Box Recycled Super Stor/Drawer"/>
    <x v="3535"/>
    <n v="5"/>
    <n v="0"/>
    <n v="16.193999999999999"/>
  </r>
  <r>
    <n v="4908"/>
    <x v="728"/>
    <x v="2"/>
    <x v="0"/>
    <d v="2011-11-23T00:00:00"/>
    <n v="5"/>
    <x v="0"/>
    <s v="MaryBeth Skach"/>
    <x v="0"/>
    <s v="United States"/>
    <s v="Fairfield"/>
    <s v="Ohio"/>
    <s v="East"/>
    <x v="1"/>
    <x v="8"/>
    <s v="Pressboard Hanging Data Binders for Unburst Sheets"/>
    <x v="921"/>
    <n v="8"/>
    <n v="0.7"/>
    <n v="-8.6592000000000002"/>
  </r>
  <r>
    <n v="4909"/>
    <x v="728"/>
    <x v="2"/>
    <x v="0"/>
    <d v="2011-11-23T00:00:00"/>
    <n v="5"/>
    <x v="0"/>
    <s v="MaryBeth Skach"/>
    <x v="0"/>
    <s v="United States"/>
    <s v="Fairfield"/>
    <s v="Ohio"/>
    <s v="East"/>
    <x v="2"/>
    <x v="7"/>
    <s v="PNY Rapid USB Car Charger - Black"/>
    <x v="3536"/>
    <n v="2"/>
    <n v="0.4"/>
    <n v="-2.0773999999999999"/>
  </r>
  <r>
    <n v="4910"/>
    <x v="424"/>
    <x v="3"/>
    <x v="9"/>
    <d v="2014-01-19T00:00:00"/>
    <n v="4"/>
    <x v="1"/>
    <s v="Brosina Hoffman"/>
    <x v="0"/>
    <s v="United States"/>
    <s v="Johnson City"/>
    <s v="Tennessee"/>
    <s v="South"/>
    <x v="1"/>
    <x v="12"/>
    <s v="#10- 4 1/8&quot; x 9 1/2&quot; Security-Tint Envelopes"/>
    <x v="823"/>
    <n v="3"/>
    <n v="0.2"/>
    <n v="6.6467999999999998"/>
  </r>
  <r>
    <n v="4911"/>
    <x v="424"/>
    <x v="3"/>
    <x v="9"/>
    <d v="2014-01-19T00:00:00"/>
    <n v="4"/>
    <x v="1"/>
    <s v="Brosina Hoffman"/>
    <x v="0"/>
    <s v="United States"/>
    <s v="Johnson City"/>
    <s v="Tennessee"/>
    <s v="South"/>
    <x v="1"/>
    <x v="10"/>
    <s v="Xerox 1931"/>
    <x v="1566"/>
    <n v="7"/>
    <n v="0.2"/>
    <n v="12.700799999999999"/>
  </r>
  <r>
    <n v="4912"/>
    <x v="424"/>
    <x v="3"/>
    <x v="9"/>
    <d v="2014-01-19T00:00:00"/>
    <n v="4"/>
    <x v="1"/>
    <s v="Brosina Hoffman"/>
    <x v="0"/>
    <s v="United States"/>
    <s v="Johnson City"/>
    <s v="Tennessee"/>
    <s v="South"/>
    <x v="2"/>
    <x v="7"/>
    <s v="iHome FM Clock Radio with Lightning Dock"/>
    <x v="1752"/>
    <n v="2"/>
    <n v="0.2"/>
    <n v="6.9989999999999997"/>
  </r>
  <r>
    <n v="4913"/>
    <x v="424"/>
    <x v="3"/>
    <x v="9"/>
    <d v="2014-01-19T00:00:00"/>
    <n v="4"/>
    <x v="1"/>
    <s v="Brosina Hoffman"/>
    <x v="0"/>
    <s v="United States"/>
    <s v="Johnson City"/>
    <s v="Tennessee"/>
    <s v="South"/>
    <x v="1"/>
    <x v="8"/>
    <s v="Ibico Presentation Index for Binding Systems"/>
    <x v="3537"/>
    <n v="5"/>
    <n v="0.7"/>
    <n v="-4.577"/>
  </r>
  <r>
    <n v="4914"/>
    <x v="424"/>
    <x v="3"/>
    <x v="9"/>
    <d v="2014-01-19T00:00:00"/>
    <n v="4"/>
    <x v="1"/>
    <s v="Brosina Hoffman"/>
    <x v="0"/>
    <s v="United States"/>
    <s v="Johnson City"/>
    <s v="Tennessee"/>
    <s v="South"/>
    <x v="1"/>
    <x v="8"/>
    <s v="Avery Durable Slant Ring Binders With Label Holder"/>
    <x v="3538"/>
    <n v="2"/>
    <n v="0.7"/>
    <n v="-1.8391999999999999"/>
  </r>
  <r>
    <n v="4915"/>
    <x v="496"/>
    <x v="1"/>
    <x v="8"/>
    <d v="2012-09-26T00:00:00"/>
    <n v="2"/>
    <x v="0"/>
    <s v="Max Engle"/>
    <x v="0"/>
    <s v="United States"/>
    <s v="Seattle"/>
    <s v="Washington"/>
    <s v="West"/>
    <x v="1"/>
    <x v="6"/>
    <s v="BOSTON Model 1800 Electric Pencil Sharpeners, Putty/Woodgrain"/>
    <x v="3539"/>
    <n v="2"/>
    <n v="0"/>
    <n v="10.4284"/>
  </r>
  <r>
    <n v="4916"/>
    <x v="496"/>
    <x v="1"/>
    <x v="8"/>
    <d v="2012-09-26T00:00:00"/>
    <n v="2"/>
    <x v="0"/>
    <s v="Max Engle"/>
    <x v="0"/>
    <s v="United States"/>
    <s v="Seattle"/>
    <s v="Washington"/>
    <s v="West"/>
    <x v="1"/>
    <x v="8"/>
    <s v="Avery Hole Reinforcements"/>
    <x v="475"/>
    <n v="3"/>
    <n v="0.2"/>
    <n v="5.4200999999999997"/>
  </r>
  <r>
    <n v="4917"/>
    <x v="449"/>
    <x v="3"/>
    <x v="2"/>
    <d v="2014-10-12T00:00:00"/>
    <n v="2"/>
    <x v="0"/>
    <s v="Maria Bertelson"/>
    <x v="0"/>
    <s v="United States"/>
    <s v="League City"/>
    <s v="Texas"/>
    <s v="Central"/>
    <x v="1"/>
    <x v="6"/>
    <s v="Bulldog Vacuum Base Pencil Sharpener"/>
    <x v="3540"/>
    <n v="7"/>
    <n v="0.2"/>
    <n v="5.8750999999999998"/>
  </r>
  <r>
    <n v="4918"/>
    <x v="449"/>
    <x v="3"/>
    <x v="2"/>
    <d v="2014-10-12T00:00:00"/>
    <n v="2"/>
    <x v="0"/>
    <s v="Maria Bertelson"/>
    <x v="0"/>
    <s v="United States"/>
    <s v="League City"/>
    <s v="Texas"/>
    <s v="Central"/>
    <x v="0"/>
    <x v="1"/>
    <s v="Hon Every-Day Chair Series Swivel Task Chairs"/>
    <x v="277"/>
    <n v="3"/>
    <n v="0.3"/>
    <n v="-32.6646"/>
  </r>
  <r>
    <n v="4919"/>
    <x v="1006"/>
    <x v="0"/>
    <x v="9"/>
    <d v="2013-01-07T00:00:00"/>
    <n v="5"/>
    <x v="1"/>
    <s v="Brendan Murry"/>
    <x v="1"/>
    <s v="United States"/>
    <s v="Gaithersburg"/>
    <s v="Maryland"/>
    <s v="East"/>
    <x v="0"/>
    <x v="0"/>
    <s v="Bush Westfield Collection Bookcases, Medium Cherry Finish"/>
    <x v="2093"/>
    <n v="3"/>
    <n v="0"/>
    <n v="38.266800000000003"/>
  </r>
  <r>
    <n v="4920"/>
    <x v="1006"/>
    <x v="0"/>
    <x v="9"/>
    <d v="2013-01-07T00:00:00"/>
    <n v="5"/>
    <x v="1"/>
    <s v="Brendan Murry"/>
    <x v="1"/>
    <s v="United States"/>
    <s v="Gaithersburg"/>
    <s v="Maryland"/>
    <s v="East"/>
    <x v="2"/>
    <x v="7"/>
    <s v="GE 30522EE2"/>
    <x v="3541"/>
    <n v="2"/>
    <n v="0"/>
    <n v="67.274199999999993"/>
  </r>
  <r>
    <n v="4921"/>
    <x v="971"/>
    <x v="3"/>
    <x v="6"/>
    <d v="2014-08-24T00:00:00"/>
    <n v="4"/>
    <x v="1"/>
    <s v="Sonia Cooley"/>
    <x v="0"/>
    <s v="United States"/>
    <s v="Chicago"/>
    <s v="Illinois"/>
    <s v="Central"/>
    <x v="1"/>
    <x v="8"/>
    <s v="Binder Posts"/>
    <x v="3327"/>
    <n v="2"/>
    <n v="0.8"/>
    <n v="-3.9032"/>
  </r>
  <r>
    <n v="4922"/>
    <x v="53"/>
    <x v="3"/>
    <x v="4"/>
    <d v="2014-12-30T00:00:00"/>
    <n v="4"/>
    <x v="0"/>
    <s v="Mick Hernandez"/>
    <x v="2"/>
    <s v="United States"/>
    <s v="Huntsville"/>
    <s v="Alabama"/>
    <s v="South"/>
    <x v="1"/>
    <x v="10"/>
    <s v="14-7/8 x 11 Blue Bar Computer Printout Paper"/>
    <x v="3542"/>
    <n v="2"/>
    <n v="0"/>
    <n v="46.118400000000001"/>
  </r>
  <r>
    <n v="4923"/>
    <x v="53"/>
    <x v="3"/>
    <x v="4"/>
    <d v="2014-12-30T00:00:00"/>
    <n v="4"/>
    <x v="0"/>
    <s v="Mick Hernandez"/>
    <x v="2"/>
    <s v="United States"/>
    <s v="Huntsville"/>
    <s v="Alabama"/>
    <s v="South"/>
    <x v="1"/>
    <x v="13"/>
    <s v="Assorted Color Push Pins"/>
    <x v="3543"/>
    <n v="2"/>
    <n v="0"/>
    <n v="1.1946000000000001"/>
  </r>
  <r>
    <n v="4924"/>
    <x v="53"/>
    <x v="3"/>
    <x v="4"/>
    <d v="2014-12-30T00:00:00"/>
    <n v="4"/>
    <x v="0"/>
    <s v="Mick Hernandez"/>
    <x v="2"/>
    <s v="United States"/>
    <s v="Huntsville"/>
    <s v="Alabama"/>
    <s v="South"/>
    <x v="1"/>
    <x v="10"/>
    <s v="Xerox 1915"/>
    <x v="2651"/>
    <n v="6"/>
    <n v="0"/>
    <n v="301.96800000000002"/>
  </r>
  <r>
    <n v="4925"/>
    <x v="53"/>
    <x v="3"/>
    <x v="4"/>
    <d v="2014-12-30T00:00:00"/>
    <n v="4"/>
    <x v="0"/>
    <s v="Mick Hernandez"/>
    <x v="2"/>
    <s v="United States"/>
    <s v="Huntsville"/>
    <s v="Alabama"/>
    <s v="South"/>
    <x v="2"/>
    <x v="7"/>
    <s v="AT&amp;T 17929 Lendline Telephone"/>
    <x v="3377"/>
    <n v="2"/>
    <n v="0"/>
    <n v="23.524799999999999"/>
  </r>
  <r>
    <n v="4926"/>
    <x v="18"/>
    <x v="3"/>
    <x v="8"/>
    <d v="2014-09-14T00:00:00"/>
    <n v="3"/>
    <x v="2"/>
    <s v="Alex Russell"/>
    <x v="1"/>
    <s v="United States"/>
    <s v="Lawrence"/>
    <s v="Massachusetts"/>
    <s v="East"/>
    <x v="1"/>
    <x v="6"/>
    <s v="Eberhard Faber 3 1/2&quot; Golf Pencils"/>
    <x v="3544"/>
    <n v="2"/>
    <n v="0"/>
    <n v="3.72"/>
  </r>
  <r>
    <n v="4927"/>
    <x v="15"/>
    <x v="3"/>
    <x v="2"/>
    <d v="2014-10-24T00:00:00"/>
    <n v="4"/>
    <x v="1"/>
    <s v="Mary O'Rourke"/>
    <x v="0"/>
    <s v="United States"/>
    <s v="Chicago"/>
    <s v="Illinois"/>
    <s v="Central"/>
    <x v="0"/>
    <x v="3"/>
    <s v="Lesro Round Back Collection Coffee Table, End Table"/>
    <x v="3545"/>
    <n v="1"/>
    <n v="0.5"/>
    <n v="-67.543499999999995"/>
  </r>
  <r>
    <n v="4928"/>
    <x v="96"/>
    <x v="3"/>
    <x v="4"/>
    <d v="2014-12-07T00:00:00"/>
    <n v="5"/>
    <x v="1"/>
    <s v="Alan Dominguez"/>
    <x v="2"/>
    <s v="United States"/>
    <s v="Fairfield"/>
    <s v="Connecticut"/>
    <s v="East"/>
    <x v="1"/>
    <x v="10"/>
    <s v="Xerox 214"/>
    <x v="537"/>
    <n v="3"/>
    <n v="0"/>
    <n v="9.3312000000000008"/>
  </r>
  <r>
    <n v="4929"/>
    <x v="96"/>
    <x v="3"/>
    <x v="4"/>
    <d v="2014-12-07T00:00:00"/>
    <n v="5"/>
    <x v="1"/>
    <s v="Alan Dominguez"/>
    <x v="2"/>
    <s v="United States"/>
    <s v="Fairfield"/>
    <s v="Connecticut"/>
    <s v="East"/>
    <x v="0"/>
    <x v="1"/>
    <s v="Global Comet Stacking Armless Chair"/>
    <x v="3546"/>
    <n v="3"/>
    <n v="0"/>
    <n v="251.202"/>
  </r>
  <r>
    <n v="4930"/>
    <x v="814"/>
    <x v="2"/>
    <x v="8"/>
    <d v="2011-09-03T00:00:00"/>
    <n v="1"/>
    <x v="2"/>
    <s v="Katherine Ducich"/>
    <x v="0"/>
    <s v="United States"/>
    <s v="New York City"/>
    <s v="New York"/>
    <s v="East"/>
    <x v="1"/>
    <x v="6"/>
    <s v="Newell 324"/>
    <x v="2444"/>
    <n v="5"/>
    <n v="0"/>
    <n v="16.170000000000002"/>
  </r>
  <r>
    <n v="4931"/>
    <x v="814"/>
    <x v="2"/>
    <x v="8"/>
    <d v="2011-09-03T00:00:00"/>
    <n v="1"/>
    <x v="2"/>
    <s v="Katherine Ducich"/>
    <x v="0"/>
    <s v="United States"/>
    <s v="New York City"/>
    <s v="New York"/>
    <s v="East"/>
    <x v="1"/>
    <x v="10"/>
    <s v="Staples"/>
    <x v="1801"/>
    <n v="3"/>
    <n v="0"/>
    <n v="7.0217999999999998"/>
  </r>
  <r>
    <n v="4932"/>
    <x v="613"/>
    <x v="3"/>
    <x v="10"/>
    <d v="2014-03-31T00:00:00"/>
    <n v="5"/>
    <x v="1"/>
    <s v="Filia McAdams"/>
    <x v="1"/>
    <s v="United States"/>
    <s v="Seattle"/>
    <s v="Washington"/>
    <s v="West"/>
    <x v="1"/>
    <x v="6"/>
    <s v="Newell 309"/>
    <x v="789"/>
    <n v="2"/>
    <n v="0"/>
    <n v="6.93"/>
  </r>
  <r>
    <n v="4933"/>
    <x v="694"/>
    <x v="1"/>
    <x v="8"/>
    <d v="2012-10-04T00:00:00"/>
    <n v="6"/>
    <x v="1"/>
    <s v="Zuschuss Carroll"/>
    <x v="0"/>
    <s v="United States"/>
    <s v="Aurora"/>
    <s v="Colorado"/>
    <s v="West"/>
    <x v="1"/>
    <x v="12"/>
    <s v="#10 White Business Envelopes,4 1/8 x 9 1/2"/>
    <x v="3547"/>
    <n v="1"/>
    <n v="0.2"/>
    <n v="4.2309000000000001"/>
  </r>
  <r>
    <n v="4934"/>
    <x v="694"/>
    <x v="1"/>
    <x v="8"/>
    <d v="2012-10-04T00:00:00"/>
    <n v="6"/>
    <x v="1"/>
    <s v="Zuschuss Carroll"/>
    <x v="0"/>
    <s v="United States"/>
    <s v="Aurora"/>
    <s v="Colorado"/>
    <s v="West"/>
    <x v="1"/>
    <x v="8"/>
    <s v="Wilson Jones Easy Flow II Sheet Lifters"/>
    <x v="879"/>
    <n v="2"/>
    <n v="0.7"/>
    <n v="-0.79200000000000004"/>
  </r>
  <r>
    <n v="4935"/>
    <x v="694"/>
    <x v="1"/>
    <x v="8"/>
    <d v="2012-10-04T00:00:00"/>
    <n v="6"/>
    <x v="1"/>
    <s v="Zuschuss Carroll"/>
    <x v="0"/>
    <s v="United States"/>
    <s v="Aurora"/>
    <s v="Colorado"/>
    <s v="West"/>
    <x v="1"/>
    <x v="13"/>
    <s v="Staples"/>
    <x v="3548"/>
    <n v="3"/>
    <n v="0.2"/>
    <n v="0.84599999999999997"/>
  </r>
  <r>
    <n v="4936"/>
    <x v="1007"/>
    <x v="1"/>
    <x v="10"/>
    <d v="2012-03-21T00:00:00"/>
    <n v="6"/>
    <x v="1"/>
    <s v="Karen Seio"/>
    <x v="1"/>
    <s v="United States"/>
    <s v="Lehi"/>
    <s v="Utah"/>
    <s v="West"/>
    <x v="2"/>
    <x v="7"/>
    <s v="SmartStand Mobile Device Holder, Assorted Colors"/>
    <x v="3549"/>
    <n v="3"/>
    <n v="0.2"/>
    <n v="1.6776"/>
  </r>
  <r>
    <n v="4937"/>
    <x v="1008"/>
    <x v="3"/>
    <x v="9"/>
    <d v="2014-01-14T00:00:00"/>
    <n v="7"/>
    <x v="1"/>
    <s v="Dennis Pardue"/>
    <x v="2"/>
    <s v="United States"/>
    <s v="Tuscaloosa"/>
    <s v="Alabama"/>
    <s v="South"/>
    <x v="1"/>
    <x v="8"/>
    <s v="Wilson Jones Turn Tabs Binder Tool for Ring Binders"/>
    <x v="3550"/>
    <n v="7"/>
    <n v="0"/>
    <n v="15.5204"/>
  </r>
  <r>
    <n v="4938"/>
    <x v="286"/>
    <x v="2"/>
    <x v="9"/>
    <d v="2011-01-19T00:00:00"/>
    <n v="5"/>
    <x v="1"/>
    <s v="Brian Dahlen"/>
    <x v="0"/>
    <s v="United States"/>
    <s v="San Francisco"/>
    <s v="California"/>
    <s v="West"/>
    <x v="1"/>
    <x v="4"/>
    <s v="Tennsco 6- and 18-Compartment Lockers"/>
    <x v="2184"/>
    <n v="5"/>
    <n v="0"/>
    <n v="238.65299999999999"/>
  </r>
  <r>
    <n v="4939"/>
    <x v="286"/>
    <x v="2"/>
    <x v="9"/>
    <d v="2011-01-19T00:00:00"/>
    <n v="5"/>
    <x v="1"/>
    <s v="Brian Dahlen"/>
    <x v="0"/>
    <s v="United States"/>
    <s v="San Francisco"/>
    <s v="California"/>
    <s v="West"/>
    <x v="0"/>
    <x v="0"/>
    <s v="O'Sullivan Elevations Bookcase, Cherry Finish"/>
    <x v="3551"/>
    <n v="3"/>
    <n v="0.15"/>
    <n v="3.9293999999999998"/>
  </r>
  <r>
    <n v="4940"/>
    <x v="286"/>
    <x v="2"/>
    <x v="9"/>
    <d v="2011-01-19T00:00:00"/>
    <n v="5"/>
    <x v="1"/>
    <s v="Brian Dahlen"/>
    <x v="0"/>
    <s v="United States"/>
    <s v="San Francisco"/>
    <s v="California"/>
    <s v="West"/>
    <x v="1"/>
    <x v="6"/>
    <s v="4009 Highlighters by Sanford"/>
    <x v="189"/>
    <n v="5"/>
    <n v="0"/>
    <n v="6.5670000000000002"/>
  </r>
  <r>
    <n v="4941"/>
    <x v="525"/>
    <x v="1"/>
    <x v="11"/>
    <d v="2012-02-13T00:00:00"/>
    <n v="7"/>
    <x v="1"/>
    <s v="Ivan Liston"/>
    <x v="0"/>
    <s v="United States"/>
    <s v="Wilmington"/>
    <s v="Delaware"/>
    <s v="East"/>
    <x v="0"/>
    <x v="1"/>
    <s v="Office Star - Contemporary Swivel Chair with Padded Adjustable Arms and Flex Back"/>
    <x v="3552"/>
    <n v="9"/>
    <n v="0"/>
    <n v="266.4522"/>
  </r>
  <r>
    <n v="4942"/>
    <x v="525"/>
    <x v="1"/>
    <x v="11"/>
    <d v="2012-02-13T00:00:00"/>
    <n v="7"/>
    <x v="1"/>
    <s v="Ivan Liston"/>
    <x v="0"/>
    <s v="United States"/>
    <s v="Wilmington"/>
    <s v="Delaware"/>
    <s v="East"/>
    <x v="0"/>
    <x v="0"/>
    <s v="Hon Metal Bookcases, Putty"/>
    <x v="510"/>
    <n v="4"/>
    <n v="0"/>
    <n v="82.336799999999997"/>
  </r>
  <r>
    <n v="4943"/>
    <x v="525"/>
    <x v="1"/>
    <x v="11"/>
    <d v="2012-02-13T00:00:00"/>
    <n v="7"/>
    <x v="1"/>
    <s v="Ivan Liston"/>
    <x v="0"/>
    <s v="United States"/>
    <s v="Wilmington"/>
    <s v="Delaware"/>
    <s v="East"/>
    <x v="1"/>
    <x v="6"/>
    <s v="SANFORD Liquid Accent Tank-Style Highlighters"/>
    <x v="1093"/>
    <n v="2"/>
    <n v="0"/>
    <n v="1.7607999999999999"/>
  </r>
  <r>
    <n v="4944"/>
    <x v="202"/>
    <x v="3"/>
    <x v="4"/>
    <d v="2014-12-28T00:00:00"/>
    <n v="6"/>
    <x v="1"/>
    <s v="Liz Preis"/>
    <x v="0"/>
    <s v="United States"/>
    <s v="Lafayette"/>
    <s v="Indiana"/>
    <s v="Central"/>
    <x v="1"/>
    <x v="4"/>
    <s v="Tennsco Single-Tier Lockers"/>
    <x v="2545"/>
    <n v="1"/>
    <n v="0"/>
    <n v="18.766999999999999"/>
  </r>
  <r>
    <n v="4945"/>
    <x v="64"/>
    <x v="0"/>
    <x v="8"/>
    <d v="2013-09-07T00:00:00"/>
    <n v="1"/>
    <x v="2"/>
    <s v="Joseph Holt"/>
    <x v="0"/>
    <s v="United States"/>
    <s v="Redondo Beach"/>
    <s v="California"/>
    <s v="West"/>
    <x v="1"/>
    <x v="10"/>
    <s v="14-7/8 x 11 Blue Bar Computer Printout Paper"/>
    <x v="3542"/>
    <n v="2"/>
    <n v="0"/>
    <n v="46.118400000000001"/>
  </r>
  <r>
    <n v="4946"/>
    <x v="64"/>
    <x v="0"/>
    <x v="8"/>
    <d v="2013-09-07T00:00:00"/>
    <n v="1"/>
    <x v="2"/>
    <s v="Joseph Holt"/>
    <x v="0"/>
    <s v="United States"/>
    <s v="Redondo Beach"/>
    <s v="California"/>
    <s v="West"/>
    <x v="1"/>
    <x v="8"/>
    <s v="Angle-D Binders with Locking Rings, Label Holders"/>
    <x v="2582"/>
    <n v="2"/>
    <n v="0.2"/>
    <n v="3.9420000000000002"/>
  </r>
  <r>
    <n v="4947"/>
    <x v="64"/>
    <x v="0"/>
    <x v="8"/>
    <d v="2013-09-07T00:00:00"/>
    <n v="1"/>
    <x v="2"/>
    <s v="Joseph Holt"/>
    <x v="0"/>
    <s v="United States"/>
    <s v="Redondo Beach"/>
    <s v="California"/>
    <s v="West"/>
    <x v="1"/>
    <x v="13"/>
    <s v="Advantus Push Pins"/>
    <x v="1001"/>
    <n v="2"/>
    <n v="0"/>
    <n v="1.7876000000000001"/>
  </r>
  <r>
    <n v="4948"/>
    <x v="777"/>
    <x v="2"/>
    <x v="2"/>
    <d v="2011-10-09T00:00:00"/>
    <n v="5"/>
    <x v="1"/>
    <s v="Joy Daniels"/>
    <x v="0"/>
    <s v="United States"/>
    <s v="Seattle"/>
    <s v="Washington"/>
    <s v="West"/>
    <x v="1"/>
    <x v="2"/>
    <s v="Avery 519"/>
    <x v="3119"/>
    <n v="4"/>
    <n v="0"/>
    <n v="13.742800000000001"/>
  </r>
  <r>
    <n v="4949"/>
    <x v="344"/>
    <x v="3"/>
    <x v="0"/>
    <d v="2014-12-03T00:00:00"/>
    <n v="5"/>
    <x v="1"/>
    <s v="Bill Donatelli"/>
    <x v="0"/>
    <s v="United States"/>
    <s v="Los Angeles"/>
    <s v="California"/>
    <s v="West"/>
    <x v="1"/>
    <x v="8"/>
    <s v="Premium Transparent Presentation Covers by GBC"/>
    <x v="3553"/>
    <n v="7"/>
    <n v="0.2"/>
    <n v="41.120800000000003"/>
  </r>
  <r>
    <n v="4950"/>
    <x v="344"/>
    <x v="3"/>
    <x v="0"/>
    <d v="2014-12-03T00:00:00"/>
    <n v="5"/>
    <x v="1"/>
    <s v="Bill Donatelli"/>
    <x v="0"/>
    <s v="United States"/>
    <s v="Los Angeles"/>
    <s v="California"/>
    <s v="West"/>
    <x v="0"/>
    <x v="5"/>
    <s v="Eldon 200 Class Desk Accessories"/>
    <x v="605"/>
    <n v="3"/>
    <n v="0"/>
    <n v="6.0288000000000004"/>
  </r>
  <r>
    <n v="4951"/>
    <x v="99"/>
    <x v="0"/>
    <x v="2"/>
    <d v="2013-11-02T00:00:00"/>
    <n v="4"/>
    <x v="0"/>
    <s v="Denise Leinenbach"/>
    <x v="0"/>
    <s v="United States"/>
    <s v="New York City"/>
    <s v="New York"/>
    <s v="East"/>
    <x v="1"/>
    <x v="6"/>
    <s v="BIC Brite Liner Highlighters"/>
    <x v="2122"/>
    <n v="3"/>
    <n v="0"/>
    <n v="5.2164000000000001"/>
  </r>
  <r>
    <n v="4952"/>
    <x v="988"/>
    <x v="1"/>
    <x v="1"/>
    <d v="2012-06-13T00:00:00"/>
    <n v="4"/>
    <x v="1"/>
    <s v="Nathan Cano"/>
    <x v="0"/>
    <s v="United States"/>
    <s v="Royal Oak"/>
    <s v="Michigan"/>
    <s v="Central"/>
    <x v="1"/>
    <x v="10"/>
    <s v="Xerox 1995"/>
    <x v="91"/>
    <n v="2"/>
    <n v="0"/>
    <n v="6.2207999999999997"/>
  </r>
  <r>
    <n v="4953"/>
    <x v="166"/>
    <x v="3"/>
    <x v="4"/>
    <d v="2014-12-13T00:00:00"/>
    <n v="4"/>
    <x v="0"/>
    <s v="Alan Schoenberger"/>
    <x v="1"/>
    <s v="United States"/>
    <s v="San Francisco"/>
    <s v="California"/>
    <s v="West"/>
    <x v="1"/>
    <x v="9"/>
    <s v="Belkin 8-Outlet Premiere SurgeMaster II Surge Protectors"/>
    <x v="3554"/>
    <n v="1"/>
    <n v="0"/>
    <n v="20.844000000000001"/>
  </r>
  <r>
    <n v="4954"/>
    <x v="199"/>
    <x v="1"/>
    <x v="10"/>
    <d v="2012-03-20T00:00:00"/>
    <n v="4"/>
    <x v="1"/>
    <s v="Michael Stewart"/>
    <x v="1"/>
    <s v="United States"/>
    <s v="New York City"/>
    <s v="New York"/>
    <s v="East"/>
    <x v="2"/>
    <x v="7"/>
    <s v="Plantronics MX500i Earset"/>
    <x v="3555"/>
    <n v="2"/>
    <n v="0"/>
    <n v="2.577"/>
  </r>
  <r>
    <n v="4955"/>
    <x v="3"/>
    <x v="2"/>
    <x v="1"/>
    <d v="2011-06-13T00:00:00"/>
    <n v="4"/>
    <x v="0"/>
    <s v="Thomas Seio"/>
    <x v="1"/>
    <s v="United States"/>
    <s v="North Las Vegas"/>
    <s v="Nevada"/>
    <s v="West"/>
    <x v="1"/>
    <x v="6"/>
    <s v="DIXON Oriole Pencils"/>
    <x v="3556"/>
    <n v="7"/>
    <n v="0"/>
    <n v="4.6955999999999998"/>
  </r>
  <r>
    <n v="4956"/>
    <x v="3"/>
    <x v="2"/>
    <x v="1"/>
    <d v="2011-06-13T00:00:00"/>
    <n v="4"/>
    <x v="0"/>
    <s v="Thomas Seio"/>
    <x v="1"/>
    <s v="United States"/>
    <s v="North Las Vegas"/>
    <s v="Nevada"/>
    <s v="West"/>
    <x v="1"/>
    <x v="10"/>
    <s v="Xerox 1909"/>
    <x v="1204"/>
    <n v="3"/>
    <n v="0"/>
    <n v="36.404400000000003"/>
  </r>
  <r>
    <n v="4957"/>
    <x v="3"/>
    <x v="2"/>
    <x v="1"/>
    <d v="2011-06-13T00:00:00"/>
    <n v="4"/>
    <x v="0"/>
    <s v="Thomas Seio"/>
    <x v="1"/>
    <s v="United States"/>
    <s v="North Las Vegas"/>
    <s v="Nevada"/>
    <s v="West"/>
    <x v="0"/>
    <x v="5"/>
    <s v="Executive Impressions 13-1/2&quot; Indoor/Outdoor Wall Clock"/>
    <x v="3557"/>
    <n v="2"/>
    <n v="0"/>
    <n v="14.212"/>
  </r>
  <r>
    <n v="4958"/>
    <x v="305"/>
    <x v="1"/>
    <x v="10"/>
    <d v="2012-03-26T00:00:00"/>
    <n v="6"/>
    <x v="1"/>
    <s v="Joe Kamberova"/>
    <x v="0"/>
    <s v="United States"/>
    <s v="Carrollton"/>
    <s v="Texas"/>
    <s v="Central"/>
    <x v="1"/>
    <x v="8"/>
    <s v="GBC Standard Plastic Binding Systems' Combs"/>
    <x v="3558"/>
    <n v="2"/>
    <n v="0.8"/>
    <n v="-4.3959999999999999"/>
  </r>
  <r>
    <n v="4959"/>
    <x v="305"/>
    <x v="1"/>
    <x v="10"/>
    <d v="2012-03-26T00:00:00"/>
    <n v="6"/>
    <x v="1"/>
    <s v="Joe Kamberova"/>
    <x v="0"/>
    <s v="United States"/>
    <s v="Carrollton"/>
    <s v="Texas"/>
    <s v="Central"/>
    <x v="1"/>
    <x v="13"/>
    <s v="Staples"/>
    <x v="3559"/>
    <n v="9"/>
    <n v="0.2"/>
    <n v="6.1307999999999998"/>
  </r>
  <r>
    <n v="4960"/>
    <x v="741"/>
    <x v="0"/>
    <x v="0"/>
    <d v="2013-11-23T00:00:00"/>
    <n v="4"/>
    <x v="1"/>
    <s v="Tracy Collins"/>
    <x v="2"/>
    <s v="United States"/>
    <s v="Los Angeles"/>
    <s v="California"/>
    <s v="West"/>
    <x v="2"/>
    <x v="7"/>
    <s v="Grandstream GXP2100 Mainstream Business Phone"/>
    <x v="3560"/>
    <n v="1"/>
    <n v="0.2"/>
    <n v="6.1192000000000002"/>
  </r>
  <r>
    <n v="4961"/>
    <x v="741"/>
    <x v="0"/>
    <x v="0"/>
    <d v="2013-11-23T00:00:00"/>
    <n v="4"/>
    <x v="1"/>
    <s v="Tracy Collins"/>
    <x v="2"/>
    <s v="United States"/>
    <s v="Los Angeles"/>
    <s v="California"/>
    <s v="West"/>
    <x v="1"/>
    <x v="9"/>
    <s v="Fellowes Command Center 5-outlet power strip"/>
    <x v="3561"/>
    <n v="1"/>
    <n v="0"/>
    <n v="18.316800000000001"/>
  </r>
  <r>
    <n v="4962"/>
    <x v="1009"/>
    <x v="2"/>
    <x v="10"/>
    <d v="2011-03-08T00:00:00"/>
    <n v="1"/>
    <x v="2"/>
    <s v="Aaron Bergman"/>
    <x v="0"/>
    <s v="United States"/>
    <s v="Seattle"/>
    <s v="Washington"/>
    <s v="West"/>
    <x v="0"/>
    <x v="1"/>
    <s v="Global Push Button Manager's Chair, Indigo"/>
    <x v="3562"/>
    <n v="1"/>
    <n v="0.2"/>
    <n v="5.4801000000000002"/>
  </r>
  <r>
    <n v="4963"/>
    <x v="1009"/>
    <x v="2"/>
    <x v="10"/>
    <d v="2011-03-08T00:00:00"/>
    <n v="1"/>
    <x v="2"/>
    <s v="Aaron Bergman"/>
    <x v="0"/>
    <s v="United States"/>
    <s v="Seattle"/>
    <s v="Washington"/>
    <s v="West"/>
    <x v="1"/>
    <x v="6"/>
    <s v="Newell 330"/>
    <x v="1444"/>
    <n v="3"/>
    <n v="0"/>
    <n v="4.6643999999999997"/>
  </r>
  <r>
    <n v="4964"/>
    <x v="1009"/>
    <x v="2"/>
    <x v="10"/>
    <d v="2011-03-08T00:00:00"/>
    <n v="1"/>
    <x v="2"/>
    <s v="Aaron Bergman"/>
    <x v="0"/>
    <s v="United States"/>
    <s v="Seattle"/>
    <s v="Washington"/>
    <s v="West"/>
    <x v="1"/>
    <x v="4"/>
    <s v="Carina 42&quot;Hx23 3/4&quot;W Media Storage Unit"/>
    <x v="420"/>
    <n v="3"/>
    <n v="0"/>
    <n v="4.8587999999999996"/>
  </r>
  <r>
    <n v="4965"/>
    <x v="666"/>
    <x v="0"/>
    <x v="5"/>
    <d v="2013-05-20T00:00:00"/>
    <n v="4"/>
    <x v="0"/>
    <s v="Darren Powers"/>
    <x v="0"/>
    <s v="United States"/>
    <s v="Fort Lauderdale"/>
    <s v="Florida"/>
    <s v="South"/>
    <x v="1"/>
    <x v="8"/>
    <s v="GBC Instant Report Kit"/>
    <x v="3563"/>
    <n v="4"/>
    <n v="0.7"/>
    <n v="-5.1760000000000002"/>
  </r>
  <r>
    <n v="4966"/>
    <x v="442"/>
    <x v="1"/>
    <x v="5"/>
    <d v="2012-05-28T00:00:00"/>
    <n v="3"/>
    <x v="0"/>
    <s v="Craig Yedwab"/>
    <x v="1"/>
    <s v="United States"/>
    <s v="Columbia"/>
    <s v="Tennessee"/>
    <s v="South"/>
    <x v="2"/>
    <x v="7"/>
    <s v="Wi-Ex zBoost YX540 Cellular Phone Signal Booster"/>
    <x v="3564"/>
    <n v="4"/>
    <n v="0.2"/>
    <n v="58.38"/>
  </r>
  <r>
    <n v="4967"/>
    <x v="991"/>
    <x v="1"/>
    <x v="6"/>
    <d v="2012-08-05T00:00:00"/>
    <n v="3"/>
    <x v="0"/>
    <s v="Brad Eason"/>
    <x v="2"/>
    <s v="United States"/>
    <s v="Providence"/>
    <s v="Rhode Island"/>
    <s v="East"/>
    <x v="2"/>
    <x v="7"/>
    <s v="Plantronics MX500i Earset"/>
    <x v="3565"/>
    <n v="3"/>
    <n v="0"/>
    <n v="3.8654999999999999"/>
  </r>
  <r>
    <n v="4968"/>
    <x v="991"/>
    <x v="1"/>
    <x v="6"/>
    <d v="2012-08-05T00:00:00"/>
    <n v="3"/>
    <x v="0"/>
    <s v="Brad Eason"/>
    <x v="2"/>
    <s v="United States"/>
    <s v="Providence"/>
    <s v="Rhode Island"/>
    <s v="East"/>
    <x v="1"/>
    <x v="10"/>
    <s v="Important Message Pads, 50 4-1/4 x 5-1/2 Forms per Pad"/>
    <x v="3566"/>
    <n v="2"/>
    <n v="0"/>
    <n v="4.1159999999999997"/>
  </r>
  <r>
    <n v="4969"/>
    <x v="991"/>
    <x v="1"/>
    <x v="6"/>
    <d v="2012-08-05T00:00:00"/>
    <n v="3"/>
    <x v="0"/>
    <s v="Brad Eason"/>
    <x v="2"/>
    <s v="United States"/>
    <s v="Providence"/>
    <s v="Rhode Island"/>
    <s v="East"/>
    <x v="2"/>
    <x v="11"/>
    <s v="Logitech G700s Rechargeable Gaming Mouse"/>
    <x v="1636"/>
    <n v="2"/>
    <n v="0"/>
    <n v="83.991600000000005"/>
  </r>
  <r>
    <n v="4970"/>
    <x v="991"/>
    <x v="1"/>
    <x v="6"/>
    <d v="2012-08-05T00:00:00"/>
    <n v="3"/>
    <x v="0"/>
    <s v="Brad Eason"/>
    <x v="2"/>
    <s v="United States"/>
    <s v="Providence"/>
    <s v="Rhode Island"/>
    <s v="East"/>
    <x v="0"/>
    <x v="1"/>
    <s v="Office Star Flex Back Scooter Chair with White Frame"/>
    <x v="3567"/>
    <n v="1"/>
    <n v="0"/>
    <n v="15.5372"/>
  </r>
  <r>
    <n v="4971"/>
    <x v="61"/>
    <x v="0"/>
    <x v="0"/>
    <d v="2013-11-10T00:00:00"/>
    <n v="3"/>
    <x v="2"/>
    <s v="Kelly Lampkin"/>
    <x v="1"/>
    <s v="United States"/>
    <s v="Jacksonville"/>
    <s v="Florida"/>
    <s v="South"/>
    <x v="0"/>
    <x v="1"/>
    <s v="High-Back Leather Manager's Chair"/>
    <x v="3568"/>
    <n v="2"/>
    <n v="0.2"/>
    <n v="-28.597799999999999"/>
  </r>
  <r>
    <n v="4972"/>
    <x v="61"/>
    <x v="0"/>
    <x v="0"/>
    <d v="2013-11-10T00:00:00"/>
    <n v="3"/>
    <x v="2"/>
    <s v="Kelly Lampkin"/>
    <x v="1"/>
    <s v="United States"/>
    <s v="Jacksonville"/>
    <s v="Florida"/>
    <s v="South"/>
    <x v="1"/>
    <x v="10"/>
    <s v="Embossed Ink Jet Note Cards"/>
    <x v="3569"/>
    <n v="2"/>
    <n v="0.2"/>
    <n v="12.639200000000001"/>
  </r>
  <r>
    <n v="4973"/>
    <x v="61"/>
    <x v="0"/>
    <x v="0"/>
    <d v="2013-11-10T00:00:00"/>
    <n v="3"/>
    <x v="2"/>
    <s v="Kelly Lampkin"/>
    <x v="1"/>
    <s v="United States"/>
    <s v="Jacksonville"/>
    <s v="Florida"/>
    <s v="South"/>
    <x v="0"/>
    <x v="5"/>
    <s v="Executive Impressions 14&quot; Contract Wall Clock"/>
    <x v="3570"/>
    <n v="2"/>
    <n v="0.2"/>
    <n v="5.7797999999999998"/>
  </r>
  <r>
    <n v="4974"/>
    <x v="61"/>
    <x v="0"/>
    <x v="0"/>
    <d v="2013-11-10T00:00:00"/>
    <n v="3"/>
    <x v="2"/>
    <s v="Kelly Lampkin"/>
    <x v="1"/>
    <s v="United States"/>
    <s v="Jacksonville"/>
    <s v="Florida"/>
    <s v="South"/>
    <x v="1"/>
    <x v="10"/>
    <s v="Eaton Premium Continuous-Feed Paper, 25% Cotton, Letter Size, White, 1000 Shts/Box"/>
    <x v="1638"/>
    <n v="2"/>
    <n v="0.2"/>
    <n v="31.0688"/>
  </r>
  <r>
    <n v="4975"/>
    <x v="77"/>
    <x v="0"/>
    <x v="0"/>
    <d v="2013-11-13T00:00:00"/>
    <n v="5"/>
    <x v="1"/>
    <s v="Penelope Sewall"/>
    <x v="2"/>
    <s v="United States"/>
    <s v="Oceanside"/>
    <s v="California"/>
    <s v="West"/>
    <x v="1"/>
    <x v="10"/>
    <s v="Wirebound Four 2-3/4 x 5 Forms per Page, 400 Sets per Book"/>
    <x v="3571"/>
    <n v="2"/>
    <n v="0"/>
    <n v="6.3209999999999997"/>
  </r>
  <r>
    <n v="4976"/>
    <x v="227"/>
    <x v="1"/>
    <x v="8"/>
    <d v="2012-09-23T00:00:00"/>
    <n v="5"/>
    <x v="0"/>
    <s v="Justin Ritter"/>
    <x v="1"/>
    <s v="United States"/>
    <s v="Jacksonville"/>
    <s v="Florida"/>
    <s v="South"/>
    <x v="2"/>
    <x v="11"/>
    <s v="Enermax Acrylux Wireless Keyboard"/>
    <x v="3572"/>
    <n v="9"/>
    <n v="0.2"/>
    <n v="152.38800000000001"/>
  </r>
  <r>
    <n v="4977"/>
    <x v="214"/>
    <x v="1"/>
    <x v="4"/>
    <d v="2012-12-09T00:00:00"/>
    <n v="2"/>
    <x v="2"/>
    <s v="Alan Hwang"/>
    <x v="0"/>
    <s v="United States"/>
    <s v="New York City"/>
    <s v="New York"/>
    <s v="East"/>
    <x v="1"/>
    <x v="8"/>
    <s v="Pressboard Data Binders by Wilson Jones"/>
    <x v="788"/>
    <n v="5"/>
    <n v="0.2"/>
    <n v="7.2089999999999996"/>
  </r>
  <r>
    <n v="4978"/>
    <x v="214"/>
    <x v="1"/>
    <x v="4"/>
    <d v="2012-12-09T00:00:00"/>
    <n v="2"/>
    <x v="2"/>
    <s v="Alan Hwang"/>
    <x v="0"/>
    <s v="United States"/>
    <s v="New York City"/>
    <s v="New York"/>
    <s v="East"/>
    <x v="1"/>
    <x v="8"/>
    <s v="Avery Durable Slant Ring Binders With Label Holder"/>
    <x v="1299"/>
    <n v="2"/>
    <n v="0.2"/>
    <n v="2.3408000000000002"/>
  </r>
  <r>
    <n v="4979"/>
    <x v="214"/>
    <x v="1"/>
    <x v="4"/>
    <d v="2012-12-09T00:00:00"/>
    <n v="2"/>
    <x v="2"/>
    <s v="Alan Hwang"/>
    <x v="0"/>
    <s v="United States"/>
    <s v="New York City"/>
    <s v="New York"/>
    <s v="East"/>
    <x v="2"/>
    <x v="7"/>
    <s v="Digium D40 VoIP phone"/>
    <x v="3573"/>
    <n v="6"/>
    <n v="0"/>
    <n v="224.4426"/>
  </r>
  <r>
    <n v="4980"/>
    <x v="10"/>
    <x v="0"/>
    <x v="4"/>
    <d v="2013-12-14T00:00:00"/>
    <n v="4"/>
    <x v="0"/>
    <s v="Rob Williams"/>
    <x v="1"/>
    <s v="United States"/>
    <s v="Chicago"/>
    <s v="Illinois"/>
    <s v="Central"/>
    <x v="1"/>
    <x v="14"/>
    <s v="Acme Office Executive Series Stainless Steel Trimmers"/>
    <x v="3574"/>
    <n v="3"/>
    <n v="0.2"/>
    <n v="1.5426"/>
  </r>
  <r>
    <n v="4981"/>
    <x v="10"/>
    <x v="0"/>
    <x v="4"/>
    <d v="2013-12-14T00:00:00"/>
    <n v="4"/>
    <x v="0"/>
    <s v="Rob Williams"/>
    <x v="1"/>
    <s v="United States"/>
    <s v="Chicago"/>
    <s v="Illinois"/>
    <s v="Central"/>
    <x v="1"/>
    <x v="9"/>
    <s v="Belkin 6 Outlet Metallic Surge Strip"/>
    <x v="3575"/>
    <n v="2"/>
    <n v="0.8"/>
    <n v="-11.761200000000001"/>
  </r>
  <r>
    <n v="4982"/>
    <x v="10"/>
    <x v="0"/>
    <x v="4"/>
    <d v="2013-12-14T00:00:00"/>
    <n v="4"/>
    <x v="0"/>
    <s v="Rob Williams"/>
    <x v="1"/>
    <s v="United States"/>
    <s v="Chicago"/>
    <s v="Illinois"/>
    <s v="Central"/>
    <x v="2"/>
    <x v="11"/>
    <s v="Kingston Digital DataTraveler 8GB USB 2.0"/>
    <x v="2160"/>
    <n v="4"/>
    <n v="0.2"/>
    <n v="-1.4279999999999999"/>
  </r>
  <r>
    <n v="4983"/>
    <x v="912"/>
    <x v="2"/>
    <x v="0"/>
    <d v="2011-11-22T00:00:00"/>
    <n v="6"/>
    <x v="1"/>
    <s v="Adam Hart"/>
    <x v="1"/>
    <s v="United States"/>
    <s v="Huntington Beach"/>
    <s v="California"/>
    <s v="West"/>
    <x v="1"/>
    <x v="2"/>
    <s v="Permanent Self-Adhesive File Folder Labels for Typewriters by Universal"/>
    <x v="3576"/>
    <n v="2"/>
    <n v="0"/>
    <n v="2.4011999999999998"/>
  </r>
  <r>
    <n v="4984"/>
    <x v="61"/>
    <x v="0"/>
    <x v="0"/>
    <d v="2013-11-11T00:00:00"/>
    <n v="4"/>
    <x v="0"/>
    <s v="Irene Maddox"/>
    <x v="0"/>
    <s v="United States"/>
    <s v="San Diego"/>
    <s v="California"/>
    <s v="West"/>
    <x v="1"/>
    <x v="4"/>
    <s v="Eldon Portable Mobile Manager"/>
    <x v="3577"/>
    <n v="3"/>
    <n v="0"/>
    <n v="22.9068"/>
  </r>
  <r>
    <n v="4985"/>
    <x v="684"/>
    <x v="1"/>
    <x v="8"/>
    <d v="2012-09-10T00:00:00"/>
    <n v="4"/>
    <x v="1"/>
    <s v="Cyma Kinney"/>
    <x v="1"/>
    <s v="United States"/>
    <s v="Nashville"/>
    <s v="Tennessee"/>
    <s v="South"/>
    <x v="1"/>
    <x v="13"/>
    <s v="Assorted Color Push Pins"/>
    <x v="3578"/>
    <n v="5"/>
    <n v="0.2"/>
    <n v="1.1765000000000001"/>
  </r>
  <r>
    <n v="4986"/>
    <x v="1010"/>
    <x v="2"/>
    <x v="8"/>
    <d v="2011-09-03T00:00:00"/>
    <n v="0"/>
    <x v="3"/>
    <s v="Allen Goldenen"/>
    <x v="0"/>
    <s v="United States"/>
    <s v="New York City"/>
    <s v="New York"/>
    <s v="East"/>
    <x v="1"/>
    <x v="2"/>
    <s v="Avery 514"/>
    <x v="928"/>
    <n v="5"/>
    <n v="0"/>
    <n v="7.056"/>
  </r>
  <r>
    <n v="4987"/>
    <x v="423"/>
    <x v="0"/>
    <x v="3"/>
    <d v="2013-04-29T00:00:00"/>
    <n v="4"/>
    <x v="1"/>
    <s v="Craig Leslie"/>
    <x v="2"/>
    <s v="United States"/>
    <s v="Colorado Springs"/>
    <s v="Colorado"/>
    <s v="West"/>
    <x v="1"/>
    <x v="10"/>
    <s v="Xerox 226"/>
    <x v="12"/>
    <n v="3"/>
    <n v="0.2"/>
    <n v="5.4432"/>
  </r>
  <r>
    <n v="4988"/>
    <x v="423"/>
    <x v="0"/>
    <x v="3"/>
    <d v="2013-04-29T00:00:00"/>
    <n v="4"/>
    <x v="1"/>
    <s v="Craig Leslie"/>
    <x v="2"/>
    <s v="United States"/>
    <s v="Colorado Springs"/>
    <s v="Colorado"/>
    <s v="West"/>
    <x v="0"/>
    <x v="1"/>
    <s v="SAFCO Arco Folding Chair"/>
    <x v="3579"/>
    <n v="6"/>
    <n v="0.2"/>
    <n v="149.148"/>
  </r>
  <r>
    <n v="4989"/>
    <x v="423"/>
    <x v="0"/>
    <x v="3"/>
    <d v="2013-04-29T00:00:00"/>
    <n v="4"/>
    <x v="1"/>
    <s v="Craig Leslie"/>
    <x v="2"/>
    <s v="United States"/>
    <s v="Colorado Springs"/>
    <s v="Colorado"/>
    <s v="West"/>
    <x v="1"/>
    <x v="8"/>
    <s v="Wilson Jones Impact Binders"/>
    <x v="3580"/>
    <n v="2"/>
    <n v="0.7"/>
    <n v="-2.1756000000000002"/>
  </r>
  <r>
    <n v="4990"/>
    <x v="515"/>
    <x v="3"/>
    <x v="8"/>
    <d v="2014-09-05T00:00:00"/>
    <n v="4"/>
    <x v="1"/>
    <s v="Arthur Wiediger"/>
    <x v="2"/>
    <s v="United States"/>
    <s v="San Francisco"/>
    <s v="California"/>
    <s v="West"/>
    <x v="1"/>
    <x v="8"/>
    <s v="Acco Suede Grain Vinyl Round Ring Binder"/>
    <x v="405"/>
    <n v="3"/>
    <n v="0.2"/>
    <n v="2.1684000000000001"/>
  </r>
  <r>
    <n v="4991"/>
    <x v="515"/>
    <x v="3"/>
    <x v="8"/>
    <d v="2014-09-05T00:00:00"/>
    <n v="4"/>
    <x v="1"/>
    <s v="Arthur Wiediger"/>
    <x v="2"/>
    <s v="United States"/>
    <s v="San Francisco"/>
    <s v="California"/>
    <s v="West"/>
    <x v="2"/>
    <x v="7"/>
    <s v="Aastra 6757i CT Wireless VoIP phone"/>
    <x v="3581"/>
    <n v="4"/>
    <n v="0.2"/>
    <n v="77.558400000000006"/>
  </r>
  <r>
    <n v="4992"/>
    <x v="226"/>
    <x v="3"/>
    <x v="4"/>
    <d v="2014-12-14T00:00:00"/>
    <n v="6"/>
    <x v="1"/>
    <s v="Henry Goldwyn"/>
    <x v="1"/>
    <s v="United States"/>
    <s v="Chicago"/>
    <s v="Illinois"/>
    <s v="Central"/>
    <x v="1"/>
    <x v="8"/>
    <s v="Ibico EPK-21 Electric Binding System"/>
    <x v="3582"/>
    <n v="5"/>
    <n v="0.8"/>
    <n v="-2929.4845"/>
  </r>
  <r>
    <n v="4993"/>
    <x v="217"/>
    <x v="1"/>
    <x v="4"/>
    <d v="2012-12-25T00:00:00"/>
    <n v="7"/>
    <x v="1"/>
    <s v="Robert Barroso"/>
    <x v="1"/>
    <s v="United States"/>
    <s v="Memphis"/>
    <s v="Tennessee"/>
    <s v="South"/>
    <x v="1"/>
    <x v="12"/>
    <s v="#10- 4 1/8&quot; x 9 1/2&quot; Recycled Envelopes"/>
    <x v="3583"/>
    <n v="8"/>
    <n v="0.2"/>
    <n v="18.878399999999999"/>
  </r>
  <r>
    <n v="4994"/>
    <x v="217"/>
    <x v="1"/>
    <x v="4"/>
    <d v="2012-12-25T00:00:00"/>
    <n v="7"/>
    <x v="1"/>
    <s v="Robert Barroso"/>
    <x v="1"/>
    <s v="United States"/>
    <s v="Memphis"/>
    <s v="Tennessee"/>
    <s v="South"/>
    <x v="1"/>
    <x v="2"/>
    <s v="Avery 507"/>
    <x v="3584"/>
    <n v="8"/>
    <n v="0.2"/>
    <n v="5.9904000000000002"/>
  </r>
  <r>
    <n v="4995"/>
    <x v="217"/>
    <x v="1"/>
    <x v="4"/>
    <d v="2012-12-25T00:00:00"/>
    <n v="7"/>
    <x v="1"/>
    <s v="Robert Barroso"/>
    <x v="1"/>
    <s v="United States"/>
    <s v="Memphis"/>
    <s v="Tennessee"/>
    <s v="South"/>
    <x v="0"/>
    <x v="5"/>
    <s v="Master Caster Door Stop, Brown"/>
    <x v="2308"/>
    <n v="5"/>
    <n v="0.2"/>
    <n v="3.556"/>
  </r>
  <r>
    <n v="4996"/>
    <x v="130"/>
    <x v="2"/>
    <x v="0"/>
    <d v="2011-11-10T00:00:00"/>
    <n v="6"/>
    <x v="1"/>
    <s v="Sam Zeldin"/>
    <x v="2"/>
    <s v="United States"/>
    <s v="New York City"/>
    <s v="New York"/>
    <s v="East"/>
    <x v="1"/>
    <x v="8"/>
    <s v="Acco Flexible ACCOHIDE Square Ring Data Binder, Dark Blue, 11 1/2&quot; X 14&quot; 7/8&quot;"/>
    <x v="3585"/>
    <n v="4"/>
    <n v="0.2"/>
    <n v="18.873200000000001"/>
  </r>
  <r>
    <n v="4997"/>
    <x v="434"/>
    <x v="3"/>
    <x v="10"/>
    <d v="2014-03-16T00:00:00"/>
    <n v="5"/>
    <x v="1"/>
    <s v="Karen Seio"/>
    <x v="1"/>
    <s v="United States"/>
    <s v="Raleigh"/>
    <s v="North Carolina"/>
    <s v="South"/>
    <x v="1"/>
    <x v="9"/>
    <s v="Euro Pro Shark Stick Mini Vacuum"/>
    <x v="3586"/>
    <n v="1"/>
    <n v="0.2"/>
    <n v="3.6587999999999998"/>
  </r>
  <r>
    <n v="4998"/>
    <x v="434"/>
    <x v="3"/>
    <x v="10"/>
    <d v="2014-03-16T00:00:00"/>
    <n v="5"/>
    <x v="1"/>
    <s v="Karen Seio"/>
    <x v="1"/>
    <s v="United States"/>
    <s v="Raleigh"/>
    <s v="North Carolina"/>
    <s v="South"/>
    <x v="1"/>
    <x v="8"/>
    <s v="Heavy-Duty E-Z-D Binders"/>
    <x v="3587"/>
    <n v="4"/>
    <n v="0.7"/>
    <n v="-10.0372"/>
  </r>
  <r>
    <n v="4999"/>
    <x v="1011"/>
    <x v="0"/>
    <x v="9"/>
    <d v="2013-02-04T00:00:00"/>
    <n v="4"/>
    <x v="1"/>
    <s v="Sample Company A"/>
    <x v="2"/>
    <s v="United States"/>
    <s v="Los Angeles"/>
    <s v="California"/>
    <s v="West"/>
    <x v="2"/>
    <x v="7"/>
    <s v="AT&amp;T 1080 Phone"/>
    <x v="3588"/>
    <n v="1"/>
    <n v="0.2"/>
    <n v="8.2194000000000003"/>
  </r>
  <r>
    <n v="5000"/>
    <x v="1011"/>
    <x v="0"/>
    <x v="9"/>
    <d v="2013-02-04T00:00:00"/>
    <n v="4"/>
    <x v="1"/>
    <s v="Sample Company A"/>
    <x v="2"/>
    <s v="United States"/>
    <s v="Los Angeles"/>
    <s v="California"/>
    <s v="West"/>
    <x v="1"/>
    <x v="10"/>
    <s v="Staples"/>
    <x v="3589"/>
    <n v="5"/>
    <n v="0"/>
    <n v="27.783000000000001"/>
  </r>
  <r>
    <n v="5001"/>
    <x v="917"/>
    <x v="3"/>
    <x v="5"/>
    <d v="2014-05-13T00:00:00"/>
    <n v="5"/>
    <x v="1"/>
    <s v="Adam Bellavance"/>
    <x v="2"/>
    <s v="United States"/>
    <s v="Los Angeles"/>
    <s v="California"/>
    <s v="West"/>
    <x v="2"/>
    <x v="11"/>
    <s v="Logitech G600 MMO Gaming Mouse"/>
    <x v="3590"/>
    <n v="1"/>
    <n v="0"/>
    <n v="28.796399999999998"/>
  </r>
  <r>
    <n v="5002"/>
    <x v="1012"/>
    <x v="0"/>
    <x v="5"/>
    <d v="2013-05-25T00:00:00"/>
    <n v="0"/>
    <x v="3"/>
    <s v="Eugene Hildebrand"/>
    <x v="2"/>
    <s v="United States"/>
    <s v="Newport News"/>
    <s v="Virginia"/>
    <s v="South"/>
    <x v="1"/>
    <x v="14"/>
    <s v="Acme Hot Forged Carbon Steel Scissors with Nickel-Plated Handles, 3 7/8&quot; Cut, 8&quot;L"/>
    <x v="1667"/>
    <n v="5"/>
    <n v="0"/>
    <n v="20.155000000000001"/>
  </r>
  <r>
    <n v="5003"/>
    <x v="1012"/>
    <x v="0"/>
    <x v="5"/>
    <d v="2013-05-25T00:00:00"/>
    <n v="0"/>
    <x v="3"/>
    <s v="Eugene Hildebrand"/>
    <x v="2"/>
    <s v="United States"/>
    <s v="Newport News"/>
    <s v="Virginia"/>
    <s v="South"/>
    <x v="1"/>
    <x v="10"/>
    <s v="Xerox 1911"/>
    <x v="873"/>
    <n v="4"/>
    <n v="0"/>
    <n v="91.968000000000004"/>
  </r>
  <r>
    <n v="5004"/>
    <x v="877"/>
    <x v="0"/>
    <x v="2"/>
    <d v="2013-10-13T00:00:00"/>
    <n v="5"/>
    <x v="1"/>
    <s v="Cindy Chapman"/>
    <x v="0"/>
    <s v="United States"/>
    <s v="Los Angeles"/>
    <s v="California"/>
    <s v="West"/>
    <x v="1"/>
    <x v="10"/>
    <s v="Astroparche Fine Business Paper"/>
    <x v="232"/>
    <n v="2"/>
    <n v="0"/>
    <n v="5.0688000000000004"/>
  </r>
  <r>
    <n v="5005"/>
    <x v="1013"/>
    <x v="2"/>
    <x v="3"/>
    <d v="2011-05-02T00:00:00"/>
    <n v="2"/>
    <x v="0"/>
    <s v="Tamara Manning"/>
    <x v="0"/>
    <s v="United States"/>
    <s v="Jackson"/>
    <s v="Mississippi"/>
    <s v="South"/>
    <x v="2"/>
    <x v="11"/>
    <s v="Maxell 4.7GB DVD-RW 3/Pack"/>
    <x v="3591"/>
    <n v="3"/>
    <n v="0"/>
    <n v="16.2486"/>
  </r>
  <r>
    <n v="5006"/>
    <x v="113"/>
    <x v="1"/>
    <x v="0"/>
    <d v="2012-11-14T00:00:00"/>
    <n v="4"/>
    <x v="0"/>
    <s v="Steve Chapman"/>
    <x v="1"/>
    <s v="United States"/>
    <s v="Richmond"/>
    <s v="Indiana"/>
    <s v="Central"/>
    <x v="1"/>
    <x v="4"/>
    <s v="Letter Size Cart"/>
    <x v="409"/>
    <n v="5"/>
    <n v="0"/>
    <n v="207.14699999999999"/>
  </r>
  <r>
    <n v="5007"/>
    <x v="529"/>
    <x v="1"/>
    <x v="0"/>
    <d v="2012-11-14T00:00:00"/>
    <n v="5"/>
    <x v="1"/>
    <s v="Dean percer"/>
    <x v="2"/>
    <s v="United States"/>
    <s v="New York City"/>
    <s v="New York"/>
    <s v="East"/>
    <x v="2"/>
    <x v="15"/>
    <s v="Zebra ZM400 Thermal Label Printer"/>
    <x v="3592"/>
    <n v="2"/>
    <n v="0"/>
    <n v="1114.5119999999999"/>
  </r>
  <r>
    <n v="5008"/>
    <x v="529"/>
    <x v="1"/>
    <x v="0"/>
    <d v="2012-11-14T00:00:00"/>
    <n v="5"/>
    <x v="1"/>
    <s v="Dean percer"/>
    <x v="2"/>
    <s v="United States"/>
    <s v="New York City"/>
    <s v="New York"/>
    <s v="East"/>
    <x v="1"/>
    <x v="4"/>
    <s v="Perma STOR-ALL Hanging File Box, 13 1/8&quot;W x 12 1/4&quot;D x 10 1/2&quot;H"/>
    <x v="1444"/>
    <n v="3"/>
    <n v="0"/>
    <n v="3.0497999999999998"/>
  </r>
  <r>
    <n v="5009"/>
    <x v="67"/>
    <x v="1"/>
    <x v="8"/>
    <d v="2012-09-14T00:00:00"/>
    <n v="7"/>
    <x v="1"/>
    <s v="Lisa Ryan"/>
    <x v="1"/>
    <s v="United States"/>
    <s v="Philadelphia"/>
    <s v="Pennsylvania"/>
    <s v="East"/>
    <x v="1"/>
    <x v="8"/>
    <s v="GBC Wire Binding Strips"/>
    <x v="3593"/>
    <n v="1"/>
    <n v="0.7"/>
    <n v="-6.9828000000000001"/>
  </r>
  <r>
    <n v="5010"/>
    <x v="67"/>
    <x v="1"/>
    <x v="8"/>
    <d v="2012-09-14T00:00:00"/>
    <n v="7"/>
    <x v="1"/>
    <s v="Lisa Ryan"/>
    <x v="1"/>
    <s v="United States"/>
    <s v="Philadelphia"/>
    <s v="Pennsylvania"/>
    <s v="East"/>
    <x v="2"/>
    <x v="7"/>
    <s v="Samsung Galaxy Note 3"/>
    <x v="3594"/>
    <n v="6"/>
    <n v="0.4"/>
    <n v="-131.994"/>
  </r>
  <r>
    <n v="5011"/>
    <x v="67"/>
    <x v="1"/>
    <x v="8"/>
    <d v="2012-09-14T00:00:00"/>
    <n v="7"/>
    <x v="1"/>
    <s v="Lisa Ryan"/>
    <x v="1"/>
    <s v="United States"/>
    <s v="Philadelphia"/>
    <s v="Pennsylvania"/>
    <s v="East"/>
    <x v="1"/>
    <x v="8"/>
    <s v="Angle-D Ring Binders"/>
    <x v="3595"/>
    <n v="3"/>
    <n v="0.7"/>
    <n v="-3.9384000000000001"/>
  </r>
  <r>
    <n v="5012"/>
    <x v="943"/>
    <x v="3"/>
    <x v="5"/>
    <d v="2014-05-14T00:00:00"/>
    <n v="2"/>
    <x v="2"/>
    <s v="Todd Sumrall"/>
    <x v="1"/>
    <s v="United States"/>
    <s v="Phoenix"/>
    <s v="Arizona"/>
    <s v="West"/>
    <x v="0"/>
    <x v="0"/>
    <s v="Bestar Classic Bookcase"/>
    <x v="3596"/>
    <n v="7"/>
    <n v="0.7"/>
    <n v="-356.96429999999998"/>
  </r>
  <r>
    <n v="5013"/>
    <x v="246"/>
    <x v="3"/>
    <x v="7"/>
    <d v="2014-07-27T00:00:00"/>
    <n v="5"/>
    <x v="1"/>
    <s v="Sean Wendt"/>
    <x v="2"/>
    <s v="United States"/>
    <s v="Cleveland"/>
    <s v="Ohio"/>
    <s v="East"/>
    <x v="1"/>
    <x v="8"/>
    <s v="Vinyl Sectional Post Binders"/>
    <x v="3597"/>
    <n v="3"/>
    <n v="0.7"/>
    <n v="-22.62"/>
  </r>
  <r>
    <n v="5014"/>
    <x v="246"/>
    <x v="3"/>
    <x v="7"/>
    <d v="2014-07-27T00:00:00"/>
    <n v="5"/>
    <x v="1"/>
    <s v="Sean Wendt"/>
    <x v="2"/>
    <s v="United States"/>
    <s v="Cleveland"/>
    <s v="Ohio"/>
    <s v="East"/>
    <x v="1"/>
    <x v="4"/>
    <s v="Letter Size File"/>
    <x v="3598"/>
    <n v="7"/>
    <n v="0.2"/>
    <n v="25.010999999999999"/>
  </r>
  <r>
    <n v="5015"/>
    <x v="246"/>
    <x v="3"/>
    <x v="7"/>
    <d v="2014-07-27T00:00:00"/>
    <n v="5"/>
    <x v="1"/>
    <s v="Sean Wendt"/>
    <x v="2"/>
    <s v="United States"/>
    <s v="Cleveland"/>
    <s v="Ohio"/>
    <s v="East"/>
    <x v="2"/>
    <x v="7"/>
    <s v="Dexim XPower Skin Super-Thin Power Case for iPhone 5 - Black"/>
    <x v="3599"/>
    <n v="6"/>
    <n v="0.4"/>
    <n v="-52.640999999999998"/>
  </r>
  <r>
    <n v="5016"/>
    <x v="156"/>
    <x v="2"/>
    <x v="0"/>
    <d v="2011-11-29T00:00:00"/>
    <n v="5"/>
    <x v="1"/>
    <s v="Thea Hendricks"/>
    <x v="0"/>
    <s v="United States"/>
    <s v="Toledo"/>
    <s v="Ohio"/>
    <s v="East"/>
    <x v="0"/>
    <x v="5"/>
    <s v="Eldon 200 Class Desk Accessories, Burgundy"/>
    <x v="200"/>
    <n v="7"/>
    <n v="0.2"/>
    <n v="9.6712000000000007"/>
  </r>
  <r>
    <n v="5017"/>
    <x v="156"/>
    <x v="2"/>
    <x v="0"/>
    <d v="2011-11-29T00:00:00"/>
    <n v="5"/>
    <x v="1"/>
    <s v="Thea Hendricks"/>
    <x v="0"/>
    <s v="United States"/>
    <s v="Toledo"/>
    <s v="Ohio"/>
    <s v="East"/>
    <x v="2"/>
    <x v="7"/>
    <s v="Samsung Galaxy S4"/>
    <x v="3600"/>
    <n v="4"/>
    <n v="0.4"/>
    <n v="-250.39599999999999"/>
  </r>
  <r>
    <n v="5018"/>
    <x v="647"/>
    <x v="2"/>
    <x v="0"/>
    <d v="2011-11-18T00:00:00"/>
    <n v="3"/>
    <x v="2"/>
    <s v="Shahid Shariari"/>
    <x v="0"/>
    <s v="United States"/>
    <s v="Los Angeles"/>
    <s v="California"/>
    <s v="West"/>
    <x v="0"/>
    <x v="5"/>
    <s v="Eldon 100 Class Desk Accessories"/>
    <x v="3601"/>
    <n v="3"/>
    <n v="0"/>
    <n v="3.2351999999999999"/>
  </r>
  <r>
    <n v="5019"/>
    <x v="647"/>
    <x v="2"/>
    <x v="0"/>
    <d v="2011-11-18T00:00:00"/>
    <n v="3"/>
    <x v="2"/>
    <s v="Shahid Shariari"/>
    <x v="0"/>
    <s v="United States"/>
    <s v="Los Angeles"/>
    <s v="California"/>
    <s v="West"/>
    <x v="2"/>
    <x v="11"/>
    <s v="Logitech P710e Mobile Speakerphone"/>
    <x v="3602"/>
    <n v="3"/>
    <n v="0"/>
    <n v="146.76929999999999"/>
  </r>
  <r>
    <n v="5020"/>
    <x v="647"/>
    <x v="2"/>
    <x v="0"/>
    <d v="2011-11-18T00:00:00"/>
    <n v="3"/>
    <x v="2"/>
    <s v="Shahid Shariari"/>
    <x v="0"/>
    <s v="United States"/>
    <s v="Los Angeles"/>
    <s v="California"/>
    <s v="West"/>
    <x v="1"/>
    <x v="14"/>
    <s v="Acme Box Cutter Scissors"/>
    <x v="3603"/>
    <n v="2"/>
    <n v="0"/>
    <n v="5.3196000000000003"/>
  </r>
  <r>
    <n v="5021"/>
    <x v="721"/>
    <x v="3"/>
    <x v="10"/>
    <d v="2014-03-26T00:00:00"/>
    <n v="2"/>
    <x v="0"/>
    <s v="Mary Zewe"/>
    <x v="1"/>
    <s v="United States"/>
    <s v="New York City"/>
    <s v="New York"/>
    <s v="East"/>
    <x v="1"/>
    <x v="14"/>
    <s v="Premier Electric Letter Opener"/>
    <x v="3604"/>
    <n v="3"/>
    <n v="0"/>
    <n v="17.379000000000001"/>
  </r>
  <r>
    <n v="5022"/>
    <x v="122"/>
    <x v="0"/>
    <x v="4"/>
    <d v="2013-12-25T00:00:00"/>
    <n v="6"/>
    <x v="1"/>
    <s v="Jeremy Ellison"/>
    <x v="0"/>
    <s v="United States"/>
    <s v="San Diego"/>
    <s v="California"/>
    <s v="West"/>
    <x v="2"/>
    <x v="11"/>
    <s v="SanDisk Cruzer 64 GB USB Flash Drive"/>
    <x v="3605"/>
    <n v="2"/>
    <n v="0"/>
    <n v="21.792000000000002"/>
  </r>
  <r>
    <n v="5023"/>
    <x v="122"/>
    <x v="0"/>
    <x v="4"/>
    <d v="2013-12-25T00:00:00"/>
    <n v="6"/>
    <x v="1"/>
    <s v="Jeremy Ellison"/>
    <x v="0"/>
    <s v="United States"/>
    <s v="San Diego"/>
    <s v="California"/>
    <s v="West"/>
    <x v="2"/>
    <x v="11"/>
    <s v="Logitech P710e Mobile Speakerphone"/>
    <x v="3602"/>
    <n v="3"/>
    <n v="0"/>
    <n v="146.76929999999999"/>
  </r>
  <r>
    <n v="5024"/>
    <x v="122"/>
    <x v="0"/>
    <x v="4"/>
    <d v="2013-12-25T00:00:00"/>
    <n v="6"/>
    <x v="1"/>
    <s v="Jeremy Ellison"/>
    <x v="0"/>
    <s v="United States"/>
    <s v="San Diego"/>
    <s v="California"/>
    <s v="West"/>
    <x v="0"/>
    <x v="5"/>
    <s v="Eldon Expressions Wood and Plastic Desk Accessories, Oak"/>
    <x v="3009"/>
    <n v="4"/>
    <n v="0"/>
    <n v="11.1776"/>
  </r>
  <r>
    <n v="5025"/>
    <x v="570"/>
    <x v="3"/>
    <x v="7"/>
    <d v="2014-08-04T00:00:00"/>
    <n v="5"/>
    <x v="1"/>
    <s v="Roland Fjeld"/>
    <x v="0"/>
    <s v="United States"/>
    <s v="Oklahoma City"/>
    <s v="Oklahoma"/>
    <s v="Central"/>
    <x v="1"/>
    <x v="8"/>
    <s v="GBC Poly Designer Binding Covers"/>
    <x v="3347"/>
    <n v="2"/>
    <n v="0"/>
    <n v="16.405200000000001"/>
  </r>
  <r>
    <n v="5026"/>
    <x v="570"/>
    <x v="3"/>
    <x v="7"/>
    <d v="2014-08-04T00:00:00"/>
    <n v="5"/>
    <x v="1"/>
    <s v="Roland Fjeld"/>
    <x v="0"/>
    <s v="United States"/>
    <s v="Oklahoma City"/>
    <s v="Oklahoma"/>
    <s v="Central"/>
    <x v="2"/>
    <x v="7"/>
    <s v="Nortel Meridian M3904 Professional Digital phone"/>
    <x v="3606"/>
    <n v="3"/>
    <n v="0"/>
    <n v="133.97130000000001"/>
  </r>
  <r>
    <n v="5027"/>
    <x v="570"/>
    <x v="3"/>
    <x v="7"/>
    <d v="2014-08-04T00:00:00"/>
    <n v="5"/>
    <x v="1"/>
    <s v="Roland Fjeld"/>
    <x v="0"/>
    <s v="United States"/>
    <s v="Oklahoma City"/>
    <s v="Oklahoma"/>
    <s v="Central"/>
    <x v="1"/>
    <x v="9"/>
    <s v="Holmes Replacement Filter for HEPA Air Cleaner, Very Large Room, HEPA Filter"/>
    <x v="1584"/>
    <n v="2"/>
    <n v="0"/>
    <n v="60.552799999999998"/>
  </r>
  <r>
    <n v="5028"/>
    <x v="570"/>
    <x v="3"/>
    <x v="7"/>
    <d v="2014-08-04T00:00:00"/>
    <n v="5"/>
    <x v="1"/>
    <s v="Roland Fjeld"/>
    <x v="0"/>
    <s v="United States"/>
    <s v="Oklahoma City"/>
    <s v="Oklahoma"/>
    <s v="Central"/>
    <x v="0"/>
    <x v="1"/>
    <s v="Office Star Flex Back Scooter Chair with Aluminum Finish Frame"/>
    <x v="3607"/>
    <n v="3"/>
    <n v="0"/>
    <n v="72.640799999999999"/>
  </r>
  <r>
    <n v="5029"/>
    <x v="814"/>
    <x v="2"/>
    <x v="8"/>
    <d v="2011-09-07T00:00:00"/>
    <n v="5"/>
    <x v="0"/>
    <s v="Christina VanderZanden"/>
    <x v="0"/>
    <s v="United States"/>
    <s v="Chicago"/>
    <s v="Illinois"/>
    <s v="Central"/>
    <x v="2"/>
    <x v="11"/>
    <s v="Logitech Wireless Performance Mouse MX for PC and Mac"/>
    <x v="1946"/>
    <n v="3"/>
    <n v="0.2"/>
    <n v="53.994599999999998"/>
  </r>
  <r>
    <n v="5030"/>
    <x v="926"/>
    <x v="3"/>
    <x v="9"/>
    <d v="2014-02-03T00:00:00"/>
    <n v="4"/>
    <x v="1"/>
    <s v="Vivek Gonzalez"/>
    <x v="0"/>
    <s v="United States"/>
    <s v="San Francisco"/>
    <s v="California"/>
    <s v="West"/>
    <x v="1"/>
    <x v="6"/>
    <s v="Newell 339"/>
    <x v="480"/>
    <n v="3"/>
    <n v="0"/>
    <n v="2.1684000000000001"/>
  </r>
  <r>
    <n v="5031"/>
    <x v="926"/>
    <x v="3"/>
    <x v="9"/>
    <d v="2014-02-03T00:00:00"/>
    <n v="4"/>
    <x v="1"/>
    <s v="Vivek Gonzalez"/>
    <x v="0"/>
    <s v="United States"/>
    <s v="San Francisco"/>
    <s v="California"/>
    <s v="West"/>
    <x v="1"/>
    <x v="14"/>
    <s v="Acme Office Executive Series Stainless Steel Trimmers"/>
    <x v="3608"/>
    <n v="1"/>
    <n v="0"/>
    <n v="2.2282000000000002"/>
  </r>
  <r>
    <n v="5032"/>
    <x v="926"/>
    <x v="3"/>
    <x v="9"/>
    <d v="2014-02-03T00:00:00"/>
    <n v="4"/>
    <x v="1"/>
    <s v="Vivek Gonzalez"/>
    <x v="0"/>
    <s v="United States"/>
    <s v="San Francisco"/>
    <s v="California"/>
    <s v="West"/>
    <x v="1"/>
    <x v="8"/>
    <s v="Clear Mylar Reinforcing Strips"/>
    <x v="470"/>
    <n v="8"/>
    <n v="0.2"/>
    <n v="40.370399999999997"/>
  </r>
  <r>
    <n v="5033"/>
    <x v="482"/>
    <x v="0"/>
    <x v="4"/>
    <d v="2014-01-03T00:00:00"/>
    <n v="7"/>
    <x v="1"/>
    <s v="Brenda Bowman"/>
    <x v="1"/>
    <s v="United States"/>
    <s v="Vineland"/>
    <s v="New Jersey"/>
    <s v="East"/>
    <x v="0"/>
    <x v="1"/>
    <s v="Novimex Turbo Task Chair"/>
    <x v="3609"/>
    <n v="3"/>
    <n v="0"/>
    <n v="25.552800000000001"/>
  </r>
  <r>
    <n v="5034"/>
    <x v="482"/>
    <x v="0"/>
    <x v="4"/>
    <d v="2014-01-03T00:00:00"/>
    <n v="7"/>
    <x v="1"/>
    <s v="Brenda Bowman"/>
    <x v="1"/>
    <s v="United States"/>
    <s v="Vineland"/>
    <s v="New Jersey"/>
    <s v="East"/>
    <x v="1"/>
    <x v="9"/>
    <s v="Fellowes Advanced Computer Series Surge Protectors"/>
    <x v="3610"/>
    <n v="1"/>
    <n v="0"/>
    <n v="7.4172000000000002"/>
  </r>
  <r>
    <n v="5035"/>
    <x v="101"/>
    <x v="1"/>
    <x v="6"/>
    <d v="2012-08-13T00:00:00"/>
    <n v="4"/>
    <x v="0"/>
    <s v="Hallie Redmond"/>
    <x v="2"/>
    <s v="United States"/>
    <s v="Milwaukee"/>
    <s v="Wisconsin"/>
    <s v="Central"/>
    <x v="0"/>
    <x v="0"/>
    <s v="O'Sullivan Cherrywood Estates Traditional Barrister Bookcase"/>
    <x v="3611"/>
    <n v="5"/>
    <n v="0"/>
    <n v="48.118000000000002"/>
  </r>
  <r>
    <n v="5036"/>
    <x v="322"/>
    <x v="2"/>
    <x v="3"/>
    <d v="2011-04-12T00:00:00"/>
    <n v="6"/>
    <x v="1"/>
    <s v="Scott Cohen"/>
    <x v="1"/>
    <s v="United States"/>
    <s v="Seattle"/>
    <s v="Washington"/>
    <s v="West"/>
    <x v="0"/>
    <x v="3"/>
    <s v="Chromcraft Bull-Nose Wood Round Conference Table Top, Wood Base"/>
    <x v="2283"/>
    <n v="3"/>
    <n v="0"/>
    <n v="111.1035"/>
  </r>
  <r>
    <n v="5037"/>
    <x v="322"/>
    <x v="2"/>
    <x v="3"/>
    <d v="2011-04-12T00:00:00"/>
    <n v="6"/>
    <x v="1"/>
    <s v="Scott Cohen"/>
    <x v="1"/>
    <s v="United States"/>
    <s v="Seattle"/>
    <s v="Washington"/>
    <s v="West"/>
    <x v="2"/>
    <x v="11"/>
    <s v="Kingston Digital DataTraveler 32GB USB 2.0"/>
    <x v="1269"/>
    <n v="2"/>
    <n v="0"/>
    <n v="2.0339999999999998"/>
  </r>
  <r>
    <n v="5038"/>
    <x v="701"/>
    <x v="3"/>
    <x v="0"/>
    <d v="2014-11-22T00:00:00"/>
    <n v="4"/>
    <x v="0"/>
    <s v="Emily Grady"/>
    <x v="0"/>
    <s v="United States"/>
    <s v="Naperville"/>
    <s v="Illinois"/>
    <s v="Central"/>
    <x v="2"/>
    <x v="11"/>
    <s v="Logitech Illuminated - Keyboard"/>
    <x v="3612"/>
    <n v="5"/>
    <n v="0.2"/>
    <n v="83.986000000000004"/>
  </r>
  <r>
    <n v="5039"/>
    <x v="655"/>
    <x v="1"/>
    <x v="7"/>
    <d v="2012-07-12T00:00:00"/>
    <n v="1"/>
    <x v="2"/>
    <s v="Todd Sumrall"/>
    <x v="1"/>
    <s v="United States"/>
    <s v="Wilmington"/>
    <s v="Delaware"/>
    <s v="East"/>
    <x v="0"/>
    <x v="3"/>
    <s v="Lesro Sheffield Collection Coffee Table, End Table, Center Table, Corner Table"/>
    <x v="3613"/>
    <n v="4"/>
    <n v="0.3"/>
    <n v="-37.112400000000001"/>
  </r>
  <r>
    <n v="5040"/>
    <x v="655"/>
    <x v="1"/>
    <x v="7"/>
    <d v="2012-07-12T00:00:00"/>
    <n v="1"/>
    <x v="2"/>
    <s v="Todd Sumrall"/>
    <x v="1"/>
    <s v="United States"/>
    <s v="Wilmington"/>
    <s v="Delaware"/>
    <s v="East"/>
    <x v="2"/>
    <x v="7"/>
    <s v="Wilson Electronics DB Pro Signal Booster"/>
    <x v="3614"/>
    <n v="2"/>
    <n v="0"/>
    <n v="193.32"/>
  </r>
  <r>
    <n v="5041"/>
    <x v="655"/>
    <x v="1"/>
    <x v="7"/>
    <d v="2012-07-12T00:00:00"/>
    <n v="1"/>
    <x v="2"/>
    <s v="Todd Sumrall"/>
    <x v="1"/>
    <s v="United States"/>
    <s v="Wilmington"/>
    <s v="Delaware"/>
    <s v="East"/>
    <x v="1"/>
    <x v="8"/>
    <s v="Tuf-Vin Binders"/>
    <x v="3615"/>
    <n v="7"/>
    <n v="0"/>
    <n v="103.8982"/>
  </r>
  <r>
    <n v="5042"/>
    <x v="338"/>
    <x v="0"/>
    <x v="0"/>
    <d v="2013-11-14T00:00:00"/>
    <n v="3"/>
    <x v="0"/>
    <s v="Arianne Irving"/>
    <x v="0"/>
    <s v="United States"/>
    <s v="Los Angeles"/>
    <s v="California"/>
    <s v="West"/>
    <x v="1"/>
    <x v="10"/>
    <s v="Embossed Ink Jet Note Cards"/>
    <x v="3616"/>
    <n v="3"/>
    <n v="0"/>
    <n v="32.500799999999998"/>
  </r>
  <r>
    <n v="5043"/>
    <x v="338"/>
    <x v="0"/>
    <x v="0"/>
    <d v="2013-11-14T00:00:00"/>
    <n v="3"/>
    <x v="0"/>
    <s v="Arianne Irving"/>
    <x v="0"/>
    <s v="United States"/>
    <s v="Los Angeles"/>
    <s v="California"/>
    <s v="West"/>
    <x v="1"/>
    <x v="9"/>
    <s v="Belkin F9S820V06 8 Outlet Surge"/>
    <x v="677"/>
    <n v="4"/>
    <n v="0"/>
    <n v="38.975999999999999"/>
  </r>
  <r>
    <n v="5044"/>
    <x v="338"/>
    <x v="0"/>
    <x v="0"/>
    <d v="2013-11-14T00:00:00"/>
    <n v="3"/>
    <x v="0"/>
    <s v="Arianne Irving"/>
    <x v="0"/>
    <s v="United States"/>
    <s v="Los Angeles"/>
    <s v="California"/>
    <s v="West"/>
    <x v="0"/>
    <x v="5"/>
    <s v="Howard Miller 11-1/2&quot; Diameter Ridgewood Wall Clock"/>
    <x v="3617"/>
    <n v="9"/>
    <n v="0"/>
    <n v="191.65860000000001"/>
  </r>
  <r>
    <n v="5045"/>
    <x v="338"/>
    <x v="0"/>
    <x v="0"/>
    <d v="2013-11-14T00:00:00"/>
    <n v="3"/>
    <x v="0"/>
    <s v="Arianne Irving"/>
    <x v="0"/>
    <s v="United States"/>
    <s v="Los Angeles"/>
    <s v="California"/>
    <s v="West"/>
    <x v="1"/>
    <x v="10"/>
    <s v="Xerox 1933"/>
    <x v="3618"/>
    <n v="5"/>
    <n v="0"/>
    <n v="28.858000000000001"/>
  </r>
  <r>
    <n v="5046"/>
    <x v="338"/>
    <x v="0"/>
    <x v="0"/>
    <d v="2013-11-14T00:00:00"/>
    <n v="3"/>
    <x v="0"/>
    <s v="Arianne Irving"/>
    <x v="0"/>
    <s v="United States"/>
    <s v="Los Angeles"/>
    <s v="California"/>
    <s v="West"/>
    <x v="1"/>
    <x v="4"/>
    <s v="Standard Rollaway File with Lock"/>
    <x v="3619"/>
    <n v="4"/>
    <n v="0"/>
    <n v="187.39760000000001"/>
  </r>
  <r>
    <n v="5047"/>
    <x v="338"/>
    <x v="0"/>
    <x v="0"/>
    <d v="2013-11-14T00:00:00"/>
    <n v="3"/>
    <x v="0"/>
    <s v="Arianne Irving"/>
    <x v="0"/>
    <s v="United States"/>
    <s v="Los Angeles"/>
    <s v="California"/>
    <s v="West"/>
    <x v="1"/>
    <x v="8"/>
    <s v="Peel &amp; Stick Add-On Corner Pockets"/>
    <x v="1170"/>
    <n v="3"/>
    <n v="0.2"/>
    <n v="1.8144"/>
  </r>
  <r>
    <n v="5048"/>
    <x v="338"/>
    <x v="0"/>
    <x v="0"/>
    <d v="2013-11-14T00:00:00"/>
    <n v="3"/>
    <x v="0"/>
    <s v="Arianne Irving"/>
    <x v="0"/>
    <s v="United States"/>
    <s v="Los Angeles"/>
    <s v="California"/>
    <s v="West"/>
    <x v="1"/>
    <x v="6"/>
    <s v="Newell 338"/>
    <x v="453"/>
    <n v="5"/>
    <n v="0"/>
    <n v="3.9689999999999999"/>
  </r>
  <r>
    <n v="5049"/>
    <x v="691"/>
    <x v="2"/>
    <x v="10"/>
    <d v="2011-04-04T00:00:00"/>
    <n v="4"/>
    <x v="1"/>
    <s v="Dorothy Dickinson"/>
    <x v="0"/>
    <s v="United States"/>
    <s v="Chicago"/>
    <s v="Illinois"/>
    <s v="Central"/>
    <x v="1"/>
    <x v="8"/>
    <s v="Fellowes Black Plastic Comb Bindings"/>
    <x v="3620"/>
    <n v="7"/>
    <n v="0.8"/>
    <n v="-13.8278"/>
  </r>
  <r>
    <n v="5050"/>
    <x v="691"/>
    <x v="2"/>
    <x v="10"/>
    <d v="2011-04-04T00:00:00"/>
    <n v="4"/>
    <x v="1"/>
    <s v="Dorothy Dickinson"/>
    <x v="0"/>
    <s v="United States"/>
    <s v="Chicago"/>
    <s v="Illinois"/>
    <s v="Central"/>
    <x v="2"/>
    <x v="11"/>
    <s v="Kensington SlimBlade Notebook Wireless Mouse with Nano Receiver "/>
    <x v="1542"/>
    <n v="2"/>
    <n v="0.2"/>
    <n v="13.997199999999999"/>
  </r>
  <r>
    <n v="5051"/>
    <x v="227"/>
    <x v="1"/>
    <x v="8"/>
    <d v="2012-09-24T00:00:00"/>
    <n v="6"/>
    <x v="1"/>
    <s v="Adam Bellavance"/>
    <x v="2"/>
    <s v="United States"/>
    <s v="Des Moines"/>
    <s v="Washington"/>
    <s v="West"/>
    <x v="1"/>
    <x v="10"/>
    <s v="Wirebound Message Books, Four 2 3/4&quot; x 5&quot; Forms per Page, 600 Sets per Book"/>
    <x v="1878"/>
    <n v="2"/>
    <n v="0"/>
    <n v="8.7138000000000009"/>
  </r>
  <r>
    <n v="5052"/>
    <x v="209"/>
    <x v="1"/>
    <x v="0"/>
    <d v="2012-11-11T00:00:00"/>
    <n v="4"/>
    <x v="1"/>
    <s v="Karen Bern"/>
    <x v="1"/>
    <s v="United States"/>
    <s v="Philadelphia"/>
    <s v="Pennsylvania"/>
    <s v="East"/>
    <x v="1"/>
    <x v="12"/>
    <s v="White Envelopes, White Envelopes with Clear Poly Window"/>
    <x v="2878"/>
    <n v="2"/>
    <n v="0.2"/>
    <n v="7.93"/>
  </r>
  <r>
    <n v="5053"/>
    <x v="240"/>
    <x v="3"/>
    <x v="5"/>
    <d v="2014-05-20T00:00:00"/>
    <n v="0"/>
    <x v="3"/>
    <s v="John Castell"/>
    <x v="0"/>
    <s v="United States"/>
    <s v="Atlanta"/>
    <s v="Georgia"/>
    <s v="South"/>
    <x v="1"/>
    <x v="10"/>
    <s v="Tops White Computer Printout Paper"/>
    <x v="3483"/>
    <n v="4"/>
    <n v="0"/>
    <n v="91.950800000000001"/>
  </r>
  <r>
    <n v="5054"/>
    <x v="928"/>
    <x v="1"/>
    <x v="9"/>
    <d v="2012-01-08T00:00:00"/>
    <n v="5"/>
    <x v="0"/>
    <s v="Amy Hunt"/>
    <x v="0"/>
    <s v="United States"/>
    <s v="Dallas"/>
    <s v="Texas"/>
    <s v="Central"/>
    <x v="2"/>
    <x v="11"/>
    <s v="Enermax Acrylux Wireless Keyboard"/>
    <x v="3621"/>
    <n v="5"/>
    <n v="0.2"/>
    <n v="84.66"/>
  </r>
  <r>
    <n v="5055"/>
    <x v="928"/>
    <x v="1"/>
    <x v="9"/>
    <d v="2012-01-08T00:00:00"/>
    <n v="5"/>
    <x v="0"/>
    <s v="Amy Hunt"/>
    <x v="0"/>
    <s v="United States"/>
    <s v="Dallas"/>
    <s v="Texas"/>
    <s v="Central"/>
    <x v="1"/>
    <x v="6"/>
    <s v="Newell 317"/>
    <x v="2559"/>
    <n v="3"/>
    <n v="0.2"/>
    <n v="0.79379999999999995"/>
  </r>
  <r>
    <n v="5056"/>
    <x v="928"/>
    <x v="1"/>
    <x v="9"/>
    <d v="2012-01-08T00:00:00"/>
    <n v="5"/>
    <x v="0"/>
    <s v="Amy Hunt"/>
    <x v="0"/>
    <s v="United States"/>
    <s v="Dallas"/>
    <s v="Texas"/>
    <s v="Central"/>
    <x v="0"/>
    <x v="0"/>
    <s v="O'Sullivan Living Dimensions 5-Shelf Bookcases"/>
    <x v="3622"/>
    <n v="9"/>
    <n v="0.32"/>
    <n v="-437.54039999999998"/>
  </r>
  <r>
    <n v="5057"/>
    <x v="1014"/>
    <x v="1"/>
    <x v="8"/>
    <d v="2012-09-11T00:00:00"/>
    <n v="3"/>
    <x v="2"/>
    <s v="Neoma Murray"/>
    <x v="0"/>
    <s v="United States"/>
    <s v="Moreno Valley"/>
    <s v="California"/>
    <s v="West"/>
    <x v="1"/>
    <x v="10"/>
    <s v="Xerox 1928"/>
    <x v="1579"/>
    <n v="5"/>
    <n v="0"/>
    <n v="11.88"/>
  </r>
  <r>
    <n v="5058"/>
    <x v="1014"/>
    <x v="1"/>
    <x v="8"/>
    <d v="2012-09-11T00:00:00"/>
    <n v="3"/>
    <x v="2"/>
    <s v="Neoma Murray"/>
    <x v="0"/>
    <s v="United States"/>
    <s v="Moreno Valley"/>
    <s v="California"/>
    <s v="West"/>
    <x v="1"/>
    <x v="4"/>
    <s v="Eldon Shelf Savers Cubes and Bins"/>
    <x v="3623"/>
    <n v="6"/>
    <n v="0"/>
    <n v="0.83760000000000001"/>
  </r>
  <r>
    <n v="5059"/>
    <x v="1015"/>
    <x v="0"/>
    <x v="3"/>
    <d v="2013-04-08T00:00:00"/>
    <n v="4"/>
    <x v="1"/>
    <s v="Carlos Soltero"/>
    <x v="0"/>
    <s v="United States"/>
    <s v="Philadelphia"/>
    <s v="Pennsylvania"/>
    <s v="East"/>
    <x v="1"/>
    <x v="8"/>
    <s v="GBC Velobind Prepunched Cover Sets, Regency Series"/>
    <x v="3624"/>
    <n v="9"/>
    <n v="0.7"/>
    <n v="-83.204999999999998"/>
  </r>
  <r>
    <n v="5060"/>
    <x v="5"/>
    <x v="0"/>
    <x v="4"/>
    <d v="2013-12-08T00:00:00"/>
    <n v="2"/>
    <x v="0"/>
    <s v="Theone Pippenger"/>
    <x v="0"/>
    <s v="United States"/>
    <s v="Georgetown"/>
    <s v="Kentucky"/>
    <s v="South"/>
    <x v="2"/>
    <x v="7"/>
    <s v="Samsung Galaxy S III - 16GB - pebble blue (T-Mobile)"/>
    <x v="1527"/>
    <n v="2"/>
    <n v="0"/>
    <n v="195.99440000000001"/>
  </r>
  <r>
    <n v="5061"/>
    <x v="5"/>
    <x v="0"/>
    <x v="4"/>
    <d v="2013-12-08T00:00:00"/>
    <n v="2"/>
    <x v="0"/>
    <s v="Theone Pippenger"/>
    <x v="0"/>
    <s v="United States"/>
    <s v="Georgetown"/>
    <s v="Kentucky"/>
    <s v="South"/>
    <x v="1"/>
    <x v="4"/>
    <s v="Fellowes Bankers Box Staxonsteel Drawer File/Stacking System"/>
    <x v="3625"/>
    <n v="9"/>
    <n v="0"/>
    <n v="70.178399999999996"/>
  </r>
  <r>
    <n v="5062"/>
    <x v="412"/>
    <x v="1"/>
    <x v="5"/>
    <d v="2012-05-12T00:00:00"/>
    <n v="4"/>
    <x v="1"/>
    <s v="Daniel Lacy"/>
    <x v="0"/>
    <s v="United States"/>
    <s v="Minneapolis"/>
    <s v="Minnesota"/>
    <s v="Central"/>
    <x v="1"/>
    <x v="8"/>
    <s v="Wilson Jones Legal Size Ring Binders"/>
    <x v="3626"/>
    <n v="2"/>
    <n v="0"/>
    <n v="21.99"/>
  </r>
  <r>
    <n v="5063"/>
    <x v="412"/>
    <x v="1"/>
    <x v="5"/>
    <d v="2012-05-12T00:00:00"/>
    <n v="4"/>
    <x v="1"/>
    <s v="Daniel Lacy"/>
    <x v="0"/>
    <s v="United States"/>
    <s v="Minneapolis"/>
    <s v="Minnesota"/>
    <s v="Central"/>
    <x v="2"/>
    <x v="7"/>
    <s v="VTech DS6151"/>
    <x v="2216"/>
    <n v="3"/>
    <n v="0"/>
    <n v="105.83159999999999"/>
  </r>
  <r>
    <n v="5064"/>
    <x v="412"/>
    <x v="1"/>
    <x v="5"/>
    <d v="2012-05-12T00:00:00"/>
    <n v="4"/>
    <x v="1"/>
    <s v="Daniel Lacy"/>
    <x v="0"/>
    <s v="United States"/>
    <s v="Minneapolis"/>
    <s v="Minnesota"/>
    <s v="Central"/>
    <x v="0"/>
    <x v="5"/>
    <s v="Deflect-o EconoMat Studded, No Bevel Mat for Low Pile Carpeting"/>
    <x v="3384"/>
    <n v="3"/>
    <n v="0"/>
    <n v="11.1564"/>
  </r>
  <r>
    <n v="5065"/>
    <x v="585"/>
    <x v="3"/>
    <x v="8"/>
    <d v="2014-09-25T00:00:00"/>
    <n v="2"/>
    <x v="2"/>
    <s v="Christina Anderson"/>
    <x v="0"/>
    <s v="United States"/>
    <s v="Wilmington"/>
    <s v="Delaware"/>
    <s v="East"/>
    <x v="2"/>
    <x v="7"/>
    <s v="GE 30524EE4"/>
    <x v="3627"/>
    <n v="2"/>
    <n v="0"/>
    <n v="113.6742"/>
  </r>
  <r>
    <n v="5066"/>
    <x v="329"/>
    <x v="3"/>
    <x v="4"/>
    <d v="2014-12-08T00:00:00"/>
    <n v="7"/>
    <x v="1"/>
    <s v="Shahid Collister"/>
    <x v="0"/>
    <s v="United States"/>
    <s v="Burlington"/>
    <s v="North Carolina"/>
    <s v="South"/>
    <x v="2"/>
    <x v="11"/>
    <s v="Logitech Wireless Gaming Headset G930"/>
    <x v="2885"/>
    <n v="3"/>
    <n v="0.2"/>
    <n v="81.594899999999996"/>
  </r>
  <r>
    <n v="5067"/>
    <x v="329"/>
    <x v="3"/>
    <x v="4"/>
    <d v="2014-12-08T00:00:00"/>
    <n v="7"/>
    <x v="1"/>
    <s v="Shahid Collister"/>
    <x v="0"/>
    <s v="United States"/>
    <s v="Burlington"/>
    <s v="North Carolina"/>
    <s v="South"/>
    <x v="0"/>
    <x v="3"/>
    <s v="Bush Advantage Collection Racetrack Conference Table"/>
    <x v="3628"/>
    <n v="7"/>
    <n v="0.4"/>
    <n v="-653.28340000000003"/>
  </r>
  <r>
    <n v="5068"/>
    <x v="787"/>
    <x v="3"/>
    <x v="9"/>
    <d v="2014-01-20T00:00:00"/>
    <n v="4"/>
    <x v="1"/>
    <s v="Tonja Turnell"/>
    <x v="2"/>
    <s v="United States"/>
    <s v="Los Angeles"/>
    <s v="California"/>
    <s v="West"/>
    <x v="1"/>
    <x v="6"/>
    <s v="Newell 347"/>
    <x v="1567"/>
    <n v="5"/>
    <n v="0"/>
    <n v="6.2060000000000004"/>
  </r>
  <r>
    <n v="5069"/>
    <x v="233"/>
    <x v="2"/>
    <x v="6"/>
    <d v="2011-08-12T00:00:00"/>
    <n v="4"/>
    <x v="1"/>
    <s v="Matt Abelman"/>
    <x v="2"/>
    <s v="United States"/>
    <s v="Trenton"/>
    <s v="Michigan"/>
    <s v="Central"/>
    <x v="2"/>
    <x v="16"/>
    <s v="Sharp 1540cs Digital Laser Copier"/>
    <x v="3629"/>
    <n v="1"/>
    <n v="0"/>
    <n v="274.995"/>
  </r>
  <r>
    <n v="5070"/>
    <x v="233"/>
    <x v="2"/>
    <x v="6"/>
    <d v="2011-08-12T00:00:00"/>
    <n v="4"/>
    <x v="1"/>
    <s v="Matt Abelman"/>
    <x v="2"/>
    <s v="United States"/>
    <s v="Trenton"/>
    <s v="Michigan"/>
    <s v="Central"/>
    <x v="1"/>
    <x v="9"/>
    <s v="Acco Smartsocket Table Surge Protector, 6 Color-Coded Adapter Outlets"/>
    <x v="3630"/>
    <n v="3"/>
    <n v="0.1"/>
    <n v="37.229999999999997"/>
  </r>
  <r>
    <n v="5071"/>
    <x v="233"/>
    <x v="2"/>
    <x v="6"/>
    <d v="2011-08-12T00:00:00"/>
    <n v="4"/>
    <x v="1"/>
    <s v="Matt Abelman"/>
    <x v="2"/>
    <s v="United States"/>
    <s v="Trenton"/>
    <s v="Michigan"/>
    <s v="Central"/>
    <x v="1"/>
    <x v="12"/>
    <s v="Globe Weis Peel &amp; Seel First Class Envelopes"/>
    <x v="3631"/>
    <n v="3"/>
    <n v="0"/>
    <n v="17.253"/>
  </r>
  <r>
    <n v="5072"/>
    <x v="233"/>
    <x v="2"/>
    <x v="6"/>
    <d v="2011-08-12T00:00:00"/>
    <n v="4"/>
    <x v="1"/>
    <s v="Matt Abelman"/>
    <x v="2"/>
    <s v="United States"/>
    <s v="Trenton"/>
    <s v="Michigan"/>
    <s v="Central"/>
    <x v="0"/>
    <x v="5"/>
    <s v="Nu-Dell Float Frame 11 x 14 1/2"/>
    <x v="3632"/>
    <n v="6"/>
    <n v="0"/>
    <n v="22.6296"/>
  </r>
  <r>
    <n v="5073"/>
    <x v="233"/>
    <x v="2"/>
    <x v="6"/>
    <d v="2011-08-12T00:00:00"/>
    <n v="4"/>
    <x v="1"/>
    <s v="Matt Abelman"/>
    <x v="2"/>
    <s v="United States"/>
    <s v="Trenton"/>
    <s v="Michigan"/>
    <s v="Central"/>
    <x v="2"/>
    <x v="7"/>
    <s v="Motorola Droid Maxx"/>
    <x v="3633"/>
    <n v="2"/>
    <n v="0"/>
    <n v="83.994399999999999"/>
  </r>
  <r>
    <n v="5074"/>
    <x v="599"/>
    <x v="1"/>
    <x v="0"/>
    <d v="2012-11-05T00:00:00"/>
    <n v="0"/>
    <x v="3"/>
    <s v="Justin MacKendrick"/>
    <x v="0"/>
    <s v="United States"/>
    <s v="San Francisco"/>
    <s v="California"/>
    <s v="West"/>
    <x v="1"/>
    <x v="4"/>
    <s v="Hanging Personal Folder File"/>
    <x v="3634"/>
    <n v="4"/>
    <n v="0"/>
    <n v="15.7"/>
  </r>
  <r>
    <n v="5075"/>
    <x v="1016"/>
    <x v="3"/>
    <x v="3"/>
    <d v="2014-04-30T00:00:00"/>
    <n v="4"/>
    <x v="0"/>
    <s v="Mick Brown"/>
    <x v="0"/>
    <s v="United States"/>
    <s v="Los Angeles"/>
    <s v="California"/>
    <s v="West"/>
    <x v="1"/>
    <x v="8"/>
    <s v="Cardinal Slant-D Ring Binder, Heavy Gauge Vinyl"/>
    <x v="1150"/>
    <n v="2"/>
    <n v="0.2"/>
    <n v="4.5187999999999997"/>
  </r>
  <r>
    <n v="5076"/>
    <x v="1017"/>
    <x v="2"/>
    <x v="3"/>
    <d v="2011-04-22T00:00:00"/>
    <n v="2"/>
    <x v="0"/>
    <s v="Seth Vernon"/>
    <x v="0"/>
    <s v="United States"/>
    <s v="Houston"/>
    <s v="Texas"/>
    <s v="Central"/>
    <x v="0"/>
    <x v="3"/>
    <s v="Bush Advantage Collection Round Conference Table"/>
    <x v="3635"/>
    <n v="5"/>
    <n v="0.3"/>
    <n v="-95.67"/>
  </r>
  <r>
    <n v="5077"/>
    <x v="1017"/>
    <x v="2"/>
    <x v="3"/>
    <d v="2011-04-22T00:00:00"/>
    <n v="2"/>
    <x v="0"/>
    <s v="Seth Vernon"/>
    <x v="0"/>
    <s v="United States"/>
    <s v="Houston"/>
    <s v="Texas"/>
    <s v="Central"/>
    <x v="1"/>
    <x v="4"/>
    <s v="Personal Folder Holder, Ebony"/>
    <x v="3636"/>
    <n v="5"/>
    <n v="0.2"/>
    <n v="5.6050000000000004"/>
  </r>
  <r>
    <n v="5078"/>
    <x v="1017"/>
    <x v="2"/>
    <x v="3"/>
    <d v="2011-04-22T00:00:00"/>
    <n v="2"/>
    <x v="0"/>
    <s v="Seth Vernon"/>
    <x v="0"/>
    <s v="United States"/>
    <s v="Houston"/>
    <s v="Texas"/>
    <s v="Central"/>
    <x v="0"/>
    <x v="3"/>
    <s v="Riverside Furniture Stanwyck Manor Table Series"/>
    <x v="3637"/>
    <n v="2"/>
    <n v="0.3"/>
    <n v="-131.95099999999999"/>
  </r>
  <r>
    <n v="5079"/>
    <x v="343"/>
    <x v="3"/>
    <x v="0"/>
    <d v="2014-11-18T00:00:00"/>
    <n v="6"/>
    <x v="1"/>
    <s v="Catherine Glotzbach"/>
    <x v="2"/>
    <s v="United States"/>
    <s v="Milwaukee"/>
    <s v="Wisconsin"/>
    <s v="Central"/>
    <x v="1"/>
    <x v="8"/>
    <s v="Prestige Round Ring Binders"/>
    <x v="2556"/>
    <n v="3"/>
    <n v="0"/>
    <n v="8.5728000000000009"/>
  </r>
  <r>
    <n v="5080"/>
    <x v="920"/>
    <x v="3"/>
    <x v="0"/>
    <d v="2014-11-30T00:00:00"/>
    <n v="4"/>
    <x v="1"/>
    <s v="Bradley Drucker"/>
    <x v="0"/>
    <s v="United States"/>
    <s v="San Francisco"/>
    <s v="California"/>
    <s v="West"/>
    <x v="0"/>
    <x v="0"/>
    <s v="Sauder Forest Hills Library, Woodland Oak Finish"/>
    <x v="3638"/>
    <n v="3"/>
    <n v="0.15"/>
    <n v="-29.605799999999999"/>
  </r>
  <r>
    <n v="5081"/>
    <x v="920"/>
    <x v="3"/>
    <x v="0"/>
    <d v="2014-11-30T00:00:00"/>
    <n v="4"/>
    <x v="1"/>
    <s v="Bradley Drucker"/>
    <x v="0"/>
    <s v="United States"/>
    <s v="San Francisco"/>
    <s v="California"/>
    <s v="West"/>
    <x v="1"/>
    <x v="4"/>
    <s v="Sterilite Officeware Hinged File Box"/>
    <x v="3639"/>
    <n v="1"/>
    <n v="0"/>
    <n v="2.8296000000000001"/>
  </r>
  <r>
    <n v="5082"/>
    <x v="217"/>
    <x v="1"/>
    <x v="4"/>
    <d v="2012-12-18T00:00:00"/>
    <n v="0"/>
    <x v="3"/>
    <s v="Jim Kriz"/>
    <x v="2"/>
    <s v="United States"/>
    <s v="Cleveland"/>
    <s v="Ohio"/>
    <s v="East"/>
    <x v="1"/>
    <x v="10"/>
    <s v="Xerox 226"/>
    <x v="557"/>
    <n v="4"/>
    <n v="0.2"/>
    <n v="7.2576000000000001"/>
  </r>
  <r>
    <n v="5083"/>
    <x v="162"/>
    <x v="0"/>
    <x v="8"/>
    <d v="2013-09-13T00:00:00"/>
    <n v="4"/>
    <x v="1"/>
    <s v="Jill Matthias"/>
    <x v="0"/>
    <s v="United States"/>
    <s v="Monroe"/>
    <s v="North Carolina"/>
    <s v="South"/>
    <x v="2"/>
    <x v="11"/>
    <s v="Memorex Froggy Flash Drive 4 GB"/>
    <x v="200"/>
    <n v="4"/>
    <n v="0.2"/>
    <n v="8.3523999999999994"/>
  </r>
  <r>
    <n v="5084"/>
    <x v="162"/>
    <x v="0"/>
    <x v="8"/>
    <d v="2013-09-13T00:00:00"/>
    <n v="4"/>
    <x v="1"/>
    <s v="Jill Matthias"/>
    <x v="0"/>
    <s v="United States"/>
    <s v="Monroe"/>
    <s v="North Carolina"/>
    <s v="South"/>
    <x v="1"/>
    <x v="10"/>
    <s v="Petty Cash Envelope"/>
    <x v="2779"/>
    <n v="3"/>
    <n v="0.2"/>
    <n v="23.455200000000001"/>
  </r>
  <r>
    <n v="5085"/>
    <x v="112"/>
    <x v="0"/>
    <x v="1"/>
    <d v="2013-06-10T00:00:00"/>
    <n v="3"/>
    <x v="0"/>
    <s v="Scot Coram"/>
    <x v="1"/>
    <s v="United States"/>
    <s v="Lowell"/>
    <s v="Massachusetts"/>
    <s v="East"/>
    <x v="1"/>
    <x v="10"/>
    <s v="Xerox 1935"/>
    <x v="151"/>
    <n v="4"/>
    <n v="0"/>
    <n v="48.539200000000001"/>
  </r>
  <r>
    <n v="5086"/>
    <x v="974"/>
    <x v="1"/>
    <x v="1"/>
    <d v="2012-06-23T00:00:00"/>
    <n v="4"/>
    <x v="1"/>
    <s v="Maria Etezadi"/>
    <x v="2"/>
    <s v="United States"/>
    <s v="Dallas"/>
    <s v="Texas"/>
    <s v="Central"/>
    <x v="1"/>
    <x v="8"/>
    <s v="GBC White Gloss Covers, Plain Front"/>
    <x v="3640"/>
    <n v="2"/>
    <n v="0.8"/>
    <n v="-9.5568000000000008"/>
  </r>
  <r>
    <n v="5087"/>
    <x v="616"/>
    <x v="1"/>
    <x v="10"/>
    <d v="2012-03-09T00:00:00"/>
    <n v="4"/>
    <x v="1"/>
    <s v="Katherine Nockton"/>
    <x v="1"/>
    <s v="United States"/>
    <s v="Philadelphia"/>
    <s v="Pennsylvania"/>
    <s v="East"/>
    <x v="2"/>
    <x v="7"/>
    <s v="Samsung Convoy 3"/>
    <x v="3641"/>
    <n v="7"/>
    <n v="0.4"/>
    <n v="-93.2316"/>
  </r>
  <r>
    <n v="5088"/>
    <x v="616"/>
    <x v="1"/>
    <x v="10"/>
    <d v="2012-03-09T00:00:00"/>
    <n v="4"/>
    <x v="1"/>
    <s v="Katherine Nockton"/>
    <x v="1"/>
    <s v="United States"/>
    <s v="Philadelphia"/>
    <s v="Pennsylvania"/>
    <s v="East"/>
    <x v="2"/>
    <x v="11"/>
    <s v="Sony 16GB Class 10 Micro SDHC R40 Memory Card"/>
    <x v="3642"/>
    <n v="1"/>
    <n v="0.2"/>
    <n v="-1.2889999999999999"/>
  </r>
  <r>
    <n v="5089"/>
    <x v="616"/>
    <x v="1"/>
    <x v="10"/>
    <d v="2012-03-09T00:00:00"/>
    <n v="4"/>
    <x v="1"/>
    <s v="Katherine Nockton"/>
    <x v="1"/>
    <s v="United States"/>
    <s v="Philadelphia"/>
    <s v="Pennsylvania"/>
    <s v="East"/>
    <x v="1"/>
    <x v="8"/>
    <s v="Avery Round Ring Poly Binders"/>
    <x v="3643"/>
    <n v="3"/>
    <n v="0.7"/>
    <n v="-1.7891999999999999"/>
  </r>
  <r>
    <n v="5090"/>
    <x v="1018"/>
    <x v="3"/>
    <x v="6"/>
    <d v="2014-08-08T00:00:00"/>
    <n v="3"/>
    <x v="2"/>
    <s v="Harry Marie"/>
    <x v="1"/>
    <s v="United States"/>
    <s v="Loveland"/>
    <s v="Colorado"/>
    <s v="West"/>
    <x v="1"/>
    <x v="10"/>
    <s v="Hammermill CopyPlus Copy Paper (20Lb. and 84 Bright)"/>
    <x v="885"/>
    <n v="2"/>
    <n v="0.2"/>
    <n v="2.8883999999999999"/>
  </r>
  <r>
    <n v="5091"/>
    <x v="1018"/>
    <x v="3"/>
    <x v="6"/>
    <d v="2014-08-08T00:00:00"/>
    <n v="3"/>
    <x v="2"/>
    <s v="Harry Marie"/>
    <x v="1"/>
    <s v="United States"/>
    <s v="Loveland"/>
    <s v="Colorado"/>
    <s v="West"/>
    <x v="1"/>
    <x v="12"/>
    <s v="Manila Recycled Extra-Heavyweight Clasp Envelopes, 6&quot; x 9&quot;"/>
    <x v="1370"/>
    <n v="1"/>
    <n v="0.2"/>
    <n v="3.1842000000000001"/>
  </r>
  <r>
    <n v="5092"/>
    <x v="247"/>
    <x v="3"/>
    <x v="4"/>
    <d v="2015-01-04T00:00:00"/>
    <n v="4"/>
    <x v="1"/>
    <s v="Jill Matthias"/>
    <x v="0"/>
    <s v="United States"/>
    <s v="Loveland"/>
    <s v="Colorado"/>
    <s v="West"/>
    <x v="1"/>
    <x v="13"/>
    <s v="Bagged Rubber Bands"/>
    <x v="3644"/>
    <n v="3"/>
    <n v="0.2"/>
    <n v="-0.6048"/>
  </r>
  <r>
    <n v="5093"/>
    <x v="293"/>
    <x v="1"/>
    <x v="5"/>
    <d v="2012-05-27T00:00:00"/>
    <n v="4"/>
    <x v="1"/>
    <s v="Kristen Hastings"/>
    <x v="1"/>
    <s v="United States"/>
    <s v="Woonsocket"/>
    <s v="Rhode Island"/>
    <s v="East"/>
    <x v="1"/>
    <x v="4"/>
    <s v="Advantus Rolling Storage Box"/>
    <x v="488"/>
    <n v="3"/>
    <n v="0"/>
    <n v="13.891500000000001"/>
  </r>
  <r>
    <n v="5094"/>
    <x v="776"/>
    <x v="2"/>
    <x v="4"/>
    <d v="2011-12-10T00:00:00"/>
    <n v="4"/>
    <x v="1"/>
    <s v="Berenike Kampe"/>
    <x v="0"/>
    <s v="United States"/>
    <s v="Chicago"/>
    <s v="Illinois"/>
    <s v="Central"/>
    <x v="1"/>
    <x v="9"/>
    <s v="Bionaire 99.97% HEPA Air Cleaner"/>
    <x v="260"/>
    <n v="4"/>
    <n v="0.8"/>
    <n v="-31.536000000000001"/>
  </r>
  <r>
    <n v="5095"/>
    <x v="776"/>
    <x v="2"/>
    <x v="4"/>
    <d v="2011-12-10T00:00:00"/>
    <n v="4"/>
    <x v="1"/>
    <s v="Berenike Kampe"/>
    <x v="0"/>
    <s v="United States"/>
    <s v="Chicago"/>
    <s v="Illinois"/>
    <s v="Central"/>
    <x v="0"/>
    <x v="3"/>
    <s v="KI Adjustable-Height Table"/>
    <x v="2439"/>
    <n v="5"/>
    <n v="0.5"/>
    <n v="-120.372"/>
  </r>
  <r>
    <n v="5096"/>
    <x v="776"/>
    <x v="2"/>
    <x v="4"/>
    <d v="2011-12-10T00:00:00"/>
    <n v="4"/>
    <x v="1"/>
    <s v="Berenike Kampe"/>
    <x v="0"/>
    <s v="United States"/>
    <s v="Chicago"/>
    <s v="Illinois"/>
    <s v="Central"/>
    <x v="2"/>
    <x v="7"/>
    <s v="Shocksock Galaxy S4 Armband"/>
    <x v="1896"/>
    <n v="4"/>
    <n v="0.2"/>
    <n v="-7.008"/>
  </r>
  <r>
    <n v="5097"/>
    <x v="776"/>
    <x v="2"/>
    <x v="4"/>
    <d v="2011-12-10T00:00:00"/>
    <n v="4"/>
    <x v="1"/>
    <s v="Berenike Kampe"/>
    <x v="0"/>
    <s v="United States"/>
    <s v="Chicago"/>
    <s v="Illinois"/>
    <s v="Central"/>
    <x v="0"/>
    <x v="5"/>
    <s v="Nu-Dell Float Frame 11 x 14 1/2"/>
    <x v="2168"/>
    <n v="3"/>
    <n v="0.6"/>
    <n v="-4.8491999999999997"/>
  </r>
  <r>
    <n v="5098"/>
    <x v="776"/>
    <x v="2"/>
    <x v="4"/>
    <d v="2011-12-10T00:00:00"/>
    <n v="4"/>
    <x v="1"/>
    <s v="Berenike Kampe"/>
    <x v="0"/>
    <s v="United States"/>
    <s v="Chicago"/>
    <s v="Illinois"/>
    <s v="Central"/>
    <x v="1"/>
    <x v="8"/>
    <s v="Ibico Covers for Plastic or Wire Binding Elements"/>
    <x v="3645"/>
    <n v="2"/>
    <n v="0.8"/>
    <n v="-8.0500000000000007"/>
  </r>
  <r>
    <n v="5099"/>
    <x v="776"/>
    <x v="2"/>
    <x v="4"/>
    <d v="2011-12-10T00:00:00"/>
    <n v="4"/>
    <x v="1"/>
    <s v="Berenike Kampe"/>
    <x v="0"/>
    <s v="United States"/>
    <s v="Chicago"/>
    <s v="Illinois"/>
    <s v="Central"/>
    <x v="1"/>
    <x v="4"/>
    <s v="Rogers Deluxe File Chest"/>
    <x v="200"/>
    <n v="2"/>
    <n v="0.2"/>
    <n v="-8.3523999999999994"/>
  </r>
  <r>
    <n v="5100"/>
    <x v="976"/>
    <x v="1"/>
    <x v="6"/>
    <d v="2012-08-12T00:00:00"/>
    <n v="5"/>
    <x v="1"/>
    <s v="Parhena Norris"/>
    <x v="2"/>
    <s v="United States"/>
    <s v="Bakersfield"/>
    <s v="California"/>
    <s v="West"/>
    <x v="1"/>
    <x v="8"/>
    <s v="Cardinal Hold-It CD Pocket"/>
    <x v="3646"/>
    <n v="3"/>
    <n v="0.2"/>
    <n v="6.4638"/>
  </r>
  <r>
    <n v="5101"/>
    <x v="461"/>
    <x v="2"/>
    <x v="10"/>
    <d v="2011-03-17T00:00:00"/>
    <n v="0"/>
    <x v="3"/>
    <s v="Annie Zypern"/>
    <x v="0"/>
    <s v="United States"/>
    <s v="Dallas"/>
    <s v="Texas"/>
    <s v="Central"/>
    <x v="1"/>
    <x v="6"/>
    <s v="Newell 333"/>
    <x v="2999"/>
    <n v="2"/>
    <n v="0.2"/>
    <n v="0.33360000000000001"/>
  </r>
  <r>
    <n v="5102"/>
    <x v="461"/>
    <x v="2"/>
    <x v="10"/>
    <d v="2011-03-17T00:00:00"/>
    <n v="0"/>
    <x v="3"/>
    <s v="Annie Zypern"/>
    <x v="0"/>
    <s v="United States"/>
    <s v="Dallas"/>
    <s v="Texas"/>
    <s v="Central"/>
    <x v="1"/>
    <x v="10"/>
    <s v="Xerox 1966"/>
    <x v="1170"/>
    <n v="1"/>
    <n v="0.2"/>
    <n v="1.8792"/>
  </r>
  <r>
    <n v="5103"/>
    <x v="461"/>
    <x v="2"/>
    <x v="10"/>
    <d v="2011-03-17T00:00:00"/>
    <n v="0"/>
    <x v="3"/>
    <s v="Annie Zypern"/>
    <x v="0"/>
    <s v="United States"/>
    <s v="Dallas"/>
    <s v="Texas"/>
    <s v="Central"/>
    <x v="1"/>
    <x v="10"/>
    <s v="Xerox 1967"/>
    <x v="12"/>
    <n v="3"/>
    <n v="0.2"/>
    <n v="5.4432"/>
  </r>
  <r>
    <n v="5104"/>
    <x v="514"/>
    <x v="1"/>
    <x v="10"/>
    <d v="2012-03-30T00:00:00"/>
    <n v="4"/>
    <x v="0"/>
    <s v="Gene McClure"/>
    <x v="0"/>
    <s v="United States"/>
    <s v="Philadelphia"/>
    <s v="Pennsylvania"/>
    <s v="East"/>
    <x v="1"/>
    <x v="10"/>
    <s v="Southworth 25% Cotton Antique Laid Paper &amp; Envelopes"/>
    <x v="2648"/>
    <n v="6"/>
    <n v="0.2"/>
    <n v="12.51"/>
  </r>
  <r>
    <n v="5105"/>
    <x v="514"/>
    <x v="1"/>
    <x v="10"/>
    <d v="2012-03-30T00:00:00"/>
    <n v="4"/>
    <x v="0"/>
    <s v="Gene McClure"/>
    <x v="0"/>
    <s v="United States"/>
    <s v="Philadelphia"/>
    <s v="Pennsylvania"/>
    <s v="East"/>
    <x v="2"/>
    <x v="11"/>
    <s v="Verbatim 25 GB 6x Blu-ray Single Layer Recordable Disc, 3/Pack"/>
    <x v="3549"/>
    <n v="3"/>
    <n v="0.2"/>
    <n v="5.0327999999999999"/>
  </r>
  <r>
    <n v="5106"/>
    <x v="637"/>
    <x v="2"/>
    <x v="4"/>
    <d v="2011-12-20T00:00:00"/>
    <n v="6"/>
    <x v="1"/>
    <s v="Bryan Mills"/>
    <x v="0"/>
    <s v="United States"/>
    <s v="Deltona"/>
    <s v="Florida"/>
    <s v="South"/>
    <x v="0"/>
    <x v="1"/>
    <s v="Iceberg Nesting Folding Chair, 19w x 6d x 43h"/>
    <x v="3647"/>
    <n v="4"/>
    <n v="0.2"/>
    <n v="13.972799999999999"/>
  </r>
  <r>
    <n v="5107"/>
    <x v="444"/>
    <x v="1"/>
    <x v="8"/>
    <d v="2012-09-26T00:00:00"/>
    <n v="7"/>
    <x v="1"/>
    <s v="Nicole Hansen"/>
    <x v="1"/>
    <s v="United States"/>
    <s v="Columbus"/>
    <s v="Georgia"/>
    <s v="South"/>
    <x v="2"/>
    <x v="11"/>
    <s v="Kensington K72356US Mouse-in-a-Box USB Desktop Mouse"/>
    <x v="3648"/>
    <n v="4"/>
    <n v="0"/>
    <n v="23.225999999999999"/>
  </r>
  <r>
    <n v="5108"/>
    <x v="1016"/>
    <x v="3"/>
    <x v="3"/>
    <d v="2014-04-27T00:00:00"/>
    <n v="1"/>
    <x v="2"/>
    <s v="Parhena Norris"/>
    <x v="2"/>
    <s v="United States"/>
    <s v="Nashville"/>
    <s v="Tennessee"/>
    <s v="South"/>
    <x v="1"/>
    <x v="6"/>
    <s v="Newell 312"/>
    <x v="2078"/>
    <n v="9"/>
    <n v="0.2"/>
    <n v="5.2560000000000002"/>
  </r>
  <r>
    <n v="5109"/>
    <x v="1016"/>
    <x v="3"/>
    <x v="3"/>
    <d v="2014-04-27T00:00:00"/>
    <n v="1"/>
    <x v="2"/>
    <s v="Parhena Norris"/>
    <x v="2"/>
    <s v="United States"/>
    <s v="Nashville"/>
    <s v="Tennessee"/>
    <s v="South"/>
    <x v="1"/>
    <x v="6"/>
    <s v="Stanley Bostitch Contemporary Electric Pencil Sharpeners"/>
    <x v="3649"/>
    <n v="5"/>
    <n v="0.2"/>
    <n v="6.7919999999999998"/>
  </r>
  <r>
    <n v="5110"/>
    <x v="638"/>
    <x v="2"/>
    <x v="2"/>
    <d v="2011-10-22T00:00:00"/>
    <n v="4"/>
    <x v="1"/>
    <s v="Edward Hooks"/>
    <x v="1"/>
    <s v="United States"/>
    <s v="Philadelphia"/>
    <s v="Pennsylvania"/>
    <s v="East"/>
    <x v="1"/>
    <x v="12"/>
    <s v="White Business Envelopes with Contemporary Seam, Recycled White Business Envelopes"/>
    <x v="501"/>
    <n v="6"/>
    <n v="0.2"/>
    <n v="19.692"/>
  </r>
  <r>
    <n v="5111"/>
    <x v="638"/>
    <x v="2"/>
    <x v="2"/>
    <d v="2011-10-22T00:00:00"/>
    <n v="4"/>
    <x v="1"/>
    <s v="Edward Hooks"/>
    <x v="1"/>
    <s v="United States"/>
    <s v="Philadelphia"/>
    <s v="Pennsylvania"/>
    <s v="East"/>
    <x v="1"/>
    <x v="4"/>
    <s v="Eldon Base for stackable storage shelf, platinum"/>
    <x v="3650"/>
    <n v="6"/>
    <n v="0.2"/>
    <n v="-35.045999999999999"/>
  </r>
  <r>
    <n v="5112"/>
    <x v="638"/>
    <x v="2"/>
    <x v="2"/>
    <d v="2011-10-22T00:00:00"/>
    <n v="4"/>
    <x v="1"/>
    <s v="Edward Hooks"/>
    <x v="1"/>
    <s v="United States"/>
    <s v="Philadelphia"/>
    <s v="Pennsylvania"/>
    <s v="East"/>
    <x v="1"/>
    <x v="10"/>
    <s v="Adams &quot;While You Were Out&quot; Message Pads"/>
    <x v="3651"/>
    <n v="4"/>
    <n v="0.2"/>
    <n v="3.14"/>
  </r>
  <r>
    <n v="5113"/>
    <x v="50"/>
    <x v="1"/>
    <x v="0"/>
    <d v="2012-11-13T00:00:00"/>
    <n v="0"/>
    <x v="3"/>
    <s v="Helen Abelman"/>
    <x v="0"/>
    <s v="United States"/>
    <s v="Chicago"/>
    <s v="Illinois"/>
    <s v="Central"/>
    <x v="0"/>
    <x v="5"/>
    <s v="Eldon Imàge Series Desk Accessories, Clear"/>
    <x v="3652"/>
    <n v="9"/>
    <n v="0.6"/>
    <n v="-7.4358000000000004"/>
  </r>
  <r>
    <n v="5114"/>
    <x v="1011"/>
    <x v="0"/>
    <x v="9"/>
    <d v="2013-02-02T00:00:00"/>
    <n v="2"/>
    <x v="0"/>
    <s v="Aimee Bixby"/>
    <x v="0"/>
    <s v="United States"/>
    <s v="Dallas"/>
    <s v="Texas"/>
    <s v="Central"/>
    <x v="1"/>
    <x v="10"/>
    <s v="Xerox 1994"/>
    <x v="12"/>
    <n v="3"/>
    <n v="0.2"/>
    <n v="5.4432"/>
  </r>
  <r>
    <n v="5115"/>
    <x v="1019"/>
    <x v="0"/>
    <x v="0"/>
    <d v="2013-11-23T00:00:00"/>
    <n v="5"/>
    <x v="1"/>
    <s v="Maribeth Schnelling"/>
    <x v="0"/>
    <s v="United States"/>
    <s v="Carlsbad"/>
    <s v="New Mexico"/>
    <s v="West"/>
    <x v="1"/>
    <x v="8"/>
    <s v="Avery Non-Stick Binders"/>
    <x v="2168"/>
    <n v="3"/>
    <n v="0.2"/>
    <n v="3.3675000000000002"/>
  </r>
  <r>
    <n v="5116"/>
    <x v="800"/>
    <x v="3"/>
    <x v="7"/>
    <d v="2014-07-30T00:00:00"/>
    <n v="4"/>
    <x v="1"/>
    <s v="Dorothy Dickinson"/>
    <x v="0"/>
    <s v="United States"/>
    <s v="Philadelphia"/>
    <s v="Pennsylvania"/>
    <s v="East"/>
    <x v="1"/>
    <x v="2"/>
    <s v="Avery 491"/>
    <x v="106"/>
    <n v="1"/>
    <n v="0.2"/>
    <n v="1.0738000000000001"/>
  </r>
  <r>
    <n v="5117"/>
    <x v="343"/>
    <x v="3"/>
    <x v="0"/>
    <d v="2014-11-18T00:00:00"/>
    <n v="6"/>
    <x v="1"/>
    <s v="Meg Tillman"/>
    <x v="0"/>
    <s v="United States"/>
    <s v="New York City"/>
    <s v="New York"/>
    <s v="East"/>
    <x v="1"/>
    <x v="4"/>
    <s v="Belkin OmniView SE Rackmount Kit"/>
    <x v="3653"/>
    <n v="1"/>
    <n v="0"/>
    <n v="0"/>
  </r>
  <r>
    <n v="5118"/>
    <x v="120"/>
    <x v="1"/>
    <x v="8"/>
    <d v="2012-10-03T00:00:00"/>
    <n v="7"/>
    <x v="1"/>
    <s v="Gene McClure"/>
    <x v="0"/>
    <s v="United States"/>
    <s v="Oceanside"/>
    <s v="New York"/>
    <s v="East"/>
    <x v="1"/>
    <x v="13"/>
    <s v="Vinyl Coated Wire Paper Clips in Organizer Box, 800/Box"/>
    <x v="799"/>
    <n v="3"/>
    <n v="0"/>
    <n v="16.186800000000002"/>
  </r>
  <r>
    <n v="5119"/>
    <x v="120"/>
    <x v="1"/>
    <x v="8"/>
    <d v="2012-10-03T00:00:00"/>
    <n v="7"/>
    <x v="1"/>
    <s v="Gene McClure"/>
    <x v="0"/>
    <s v="United States"/>
    <s v="Oceanside"/>
    <s v="New York"/>
    <s v="East"/>
    <x v="2"/>
    <x v="15"/>
    <s v="Ativa MDM8000 8-Sheet Micro-Cut Shredder"/>
    <x v="3654"/>
    <n v="7"/>
    <n v="0"/>
    <n v="296.06709999999998"/>
  </r>
  <r>
    <n v="5120"/>
    <x v="120"/>
    <x v="1"/>
    <x v="8"/>
    <d v="2012-10-03T00:00:00"/>
    <n v="7"/>
    <x v="1"/>
    <s v="Gene McClure"/>
    <x v="0"/>
    <s v="United States"/>
    <s v="Oceanside"/>
    <s v="New York"/>
    <s v="East"/>
    <x v="1"/>
    <x v="8"/>
    <s v="GBC Imprintable Covers"/>
    <x v="3655"/>
    <n v="9"/>
    <n v="0.2"/>
    <n v="28.657800000000002"/>
  </r>
  <r>
    <n v="5121"/>
    <x v="527"/>
    <x v="2"/>
    <x v="3"/>
    <d v="2011-04-08T00:00:00"/>
    <n v="4"/>
    <x v="1"/>
    <s v="Ken Black"/>
    <x v="1"/>
    <s v="United States"/>
    <s v="Lafayette"/>
    <s v="Louisiana"/>
    <s v="South"/>
    <x v="1"/>
    <x v="4"/>
    <s v="Safco Commercial Shelving"/>
    <x v="3656"/>
    <n v="5"/>
    <n v="0"/>
    <n v="9.3019999999999996"/>
  </r>
  <r>
    <n v="5122"/>
    <x v="527"/>
    <x v="2"/>
    <x v="3"/>
    <d v="2011-04-08T00:00:00"/>
    <n v="4"/>
    <x v="1"/>
    <s v="Ken Black"/>
    <x v="1"/>
    <s v="United States"/>
    <s v="Lafayette"/>
    <s v="Louisiana"/>
    <s v="South"/>
    <x v="2"/>
    <x v="11"/>
    <s v="Logitech Wireless Marathon Mouse M705"/>
    <x v="2564"/>
    <n v="2"/>
    <n v="0"/>
    <n v="42.991399999999999"/>
  </r>
  <r>
    <n v="5123"/>
    <x v="527"/>
    <x v="2"/>
    <x v="3"/>
    <d v="2011-04-08T00:00:00"/>
    <n v="4"/>
    <x v="1"/>
    <s v="Ken Black"/>
    <x v="1"/>
    <s v="United States"/>
    <s v="Lafayette"/>
    <s v="Louisiana"/>
    <s v="South"/>
    <x v="1"/>
    <x v="10"/>
    <s v="Xerox 209"/>
    <x v="537"/>
    <n v="3"/>
    <n v="0"/>
    <n v="9.3312000000000008"/>
  </r>
  <r>
    <n v="5124"/>
    <x v="527"/>
    <x v="2"/>
    <x v="3"/>
    <d v="2011-04-08T00:00:00"/>
    <n v="4"/>
    <x v="1"/>
    <s v="Ken Black"/>
    <x v="1"/>
    <s v="United States"/>
    <s v="Lafayette"/>
    <s v="Louisiana"/>
    <s v="South"/>
    <x v="1"/>
    <x v="10"/>
    <s v="Xerox 1966"/>
    <x v="91"/>
    <n v="2"/>
    <n v="0"/>
    <n v="6.3503999999999996"/>
  </r>
  <r>
    <n v="5125"/>
    <x v="80"/>
    <x v="2"/>
    <x v="8"/>
    <d v="2011-09-14T00:00:00"/>
    <n v="0"/>
    <x v="3"/>
    <s v="Darrin Martin"/>
    <x v="0"/>
    <s v="United States"/>
    <s v="New York City"/>
    <s v="New York"/>
    <s v="East"/>
    <x v="0"/>
    <x v="3"/>
    <s v="KI Adjustable-Height Table"/>
    <x v="3657"/>
    <n v="9"/>
    <n v="0.4"/>
    <n v="-108.3348"/>
  </r>
  <r>
    <n v="5126"/>
    <x v="80"/>
    <x v="2"/>
    <x v="8"/>
    <d v="2011-09-14T00:00:00"/>
    <n v="0"/>
    <x v="3"/>
    <s v="Darrin Martin"/>
    <x v="0"/>
    <s v="United States"/>
    <s v="New York City"/>
    <s v="New York"/>
    <s v="East"/>
    <x v="1"/>
    <x v="12"/>
    <s v="Staples"/>
    <x v="3658"/>
    <n v="7"/>
    <n v="0"/>
    <n v="31.491599999999998"/>
  </r>
  <r>
    <n v="5127"/>
    <x v="80"/>
    <x v="2"/>
    <x v="8"/>
    <d v="2011-09-14T00:00:00"/>
    <n v="0"/>
    <x v="3"/>
    <s v="Darrin Martin"/>
    <x v="0"/>
    <s v="United States"/>
    <s v="New York City"/>
    <s v="New York"/>
    <s v="East"/>
    <x v="2"/>
    <x v="15"/>
    <s v="Ativa V4110MDD Micro-Cut Shredder"/>
    <x v="2430"/>
    <n v="4"/>
    <n v="0"/>
    <n v="1371.9803999999999"/>
  </r>
  <r>
    <n v="5128"/>
    <x v="80"/>
    <x v="2"/>
    <x v="8"/>
    <d v="2011-09-14T00:00:00"/>
    <n v="0"/>
    <x v="3"/>
    <s v="Darrin Martin"/>
    <x v="0"/>
    <s v="United States"/>
    <s v="New York City"/>
    <s v="New York"/>
    <s v="East"/>
    <x v="1"/>
    <x v="9"/>
    <s v="Honeywell Enviracaire Portable HEPA Air Cleaner for 17' x 22' Room"/>
    <x v="3659"/>
    <n v="2"/>
    <n v="0"/>
    <n v="198.429"/>
  </r>
  <r>
    <n v="5129"/>
    <x v="80"/>
    <x v="2"/>
    <x v="8"/>
    <d v="2011-09-14T00:00:00"/>
    <n v="0"/>
    <x v="3"/>
    <s v="Darrin Martin"/>
    <x v="0"/>
    <s v="United States"/>
    <s v="New York City"/>
    <s v="New York"/>
    <s v="East"/>
    <x v="2"/>
    <x v="7"/>
    <s v="Spigen Samsung Galaxy S5 Case Wallet"/>
    <x v="2141"/>
    <n v="1"/>
    <n v="0"/>
    <n v="4.4173999999999998"/>
  </r>
  <r>
    <n v="5130"/>
    <x v="80"/>
    <x v="2"/>
    <x v="8"/>
    <d v="2011-09-14T00:00:00"/>
    <n v="0"/>
    <x v="3"/>
    <s v="Darrin Martin"/>
    <x v="0"/>
    <s v="United States"/>
    <s v="New York City"/>
    <s v="New York"/>
    <s v="East"/>
    <x v="2"/>
    <x v="7"/>
    <s v="Vtech CS6719"/>
    <x v="1158"/>
    <n v="3"/>
    <n v="0"/>
    <n v="80.631600000000006"/>
  </r>
  <r>
    <n v="5131"/>
    <x v="80"/>
    <x v="2"/>
    <x v="8"/>
    <d v="2011-09-14T00:00:00"/>
    <n v="0"/>
    <x v="3"/>
    <s v="Darrin Martin"/>
    <x v="0"/>
    <s v="United States"/>
    <s v="New York City"/>
    <s v="New York"/>
    <s v="East"/>
    <x v="1"/>
    <x v="10"/>
    <s v="Xerox 198"/>
    <x v="3660"/>
    <n v="9"/>
    <n v="0"/>
    <n v="21.0654"/>
  </r>
  <r>
    <n v="5132"/>
    <x v="614"/>
    <x v="3"/>
    <x v="4"/>
    <d v="2015-01-06T00:00:00"/>
    <n v="7"/>
    <x v="1"/>
    <s v="Ben Peterman"/>
    <x v="1"/>
    <s v="United States"/>
    <s v="Anaheim"/>
    <s v="California"/>
    <s v="West"/>
    <x v="0"/>
    <x v="5"/>
    <s v="Nu-Dell Executive Frame"/>
    <x v="3661"/>
    <n v="8"/>
    <n v="0"/>
    <n v="37.414400000000001"/>
  </r>
  <r>
    <n v="5133"/>
    <x v="1020"/>
    <x v="1"/>
    <x v="1"/>
    <d v="2012-06-27T00:00:00"/>
    <n v="6"/>
    <x v="1"/>
    <s v="Emily Phan"/>
    <x v="0"/>
    <s v="United States"/>
    <s v="Deltona"/>
    <s v="Florida"/>
    <s v="South"/>
    <x v="2"/>
    <x v="7"/>
    <s v="Innergie mMini Combo Duo USB Travel Charging Kit"/>
    <x v="3662"/>
    <n v="3"/>
    <n v="0.2"/>
    <n v="37.791600000000003"/>
  </r>
  <r>
    <n v="5134"/>
    <x v="200"/>
    <x v="3"/>
    <x v="0"/>
    <d v="2014-12-01T00:00:00"/>
    <n v="4"/>
    <x v="1"/>
    <s v="Frank Gastineau"/>
    <x v="2"/>
    <s v="United States"/>
    <s v="New York City"/>
    <s v="New York"/>
    <s v="East"/>
    <x v="1"/>
    <x v="9"/>
    <s v="Black &amp; Decker Filter for Double Action Dustbuster Cordless Vac BLDV7210"/>
    <x v="3663"/>
    <n v="7"/>
    <n v="0"/>
    <n v="14.682499999999999"/>
  </r>
  <r>
    <n v="5135"/>
    <x v="200"/>
    <x v="3"/>
    <x v="0"/>
    <d v="2014-12-01T00:00:00"/>
    <n v="4"/>
    <x v="1"/>
    <s v="Frank Gastineau"/>
    <x v="2"/>
    <s v="United States"/>
    <s v="New York City"/>
    <s v="New York"/>
    <s v="East"/>
    <x v="1"/>
    <x v="8"/>
    <s v="Binding Machine Supplies"/>
    <x v="3664"/>
    <n v="4"/>
    <n v="0.2"/>
    <n v="32.670400000000001"/>
  </r>
  <r>
    <n v="5136"/>
    <x v="248"/>
    <x v="0"/>
    <x v="2"/>
    <d v="2013-10-29T00:00:00"/>
    <n v="5"/>
    <x v="1"/>
    <s v="Alejandro Ballentine"/>
    <x v="2"/>
    <s v="United States"/>
    <s v="Seattle"/>
    <s v="Washington"/>
    <s v="West"/>
    <x v="1"/>
    <x v="13"/>
    <s v="Advantus SlideClip Paper Clips"/>
    <x v="3665"/>
    <n v="5"/>
    <n v="0"/>
    <n v="8.1839999999999993"/>
  </r>
  <r>
    <n v="5137"/>
    <x v="639"/>
    <x v="1"/>
    <x v="4"/>
    <d v="2012-12-19T00:00:00"/>
    <n v="5"/>
    <x v="1"/>
    <s v="Rick Duston"/>
    <x v="0"/>
    <s v="United States"/>
    <s v="San Diego"/>
    <s v="California"/>
    <s v="West"/>
    <x v="1"/>
    <x v="8"/>
    <s v="Wilson Jones Standard D-Ring Binders"/>
    <x v="3666"/>
    <n v="2"/>
    <n v="0.2"/>
    <n v="2.7324000000000002"/>
  </r>
  <r>
    <n v="5138"/>
    <x v="373"/>
    <x v="0"/>
    <x v="0"/>
    <d v="2013-11-18T00:00:00"/>
    <n v="4"/>
    <x v="1"/>
    <s v="Tom Stivers"/>
    <x v="1"/>
    <s v="United States"/>
    <s v="Oklahoma City"/>
    <s v="Oklahoma"/>
    <s v="Central"/>
    <x v="0"/>
    <x v="5"/>
    <s v="Master Giant Foot Doorstop, Safety Yellow"/>
    <x v="631"/>
    <n v="4"/>
    <n v="0"/>
    <n v="13.0548"/>
  </r>
  <r>
    <n v="5139"/>
    <x v="365"/>
    <x v="3"/>
    <x v="8"/>
    <d v="2014-10-06T00:00:00"/>
    <n v="6"/>
    <x v="1"/>
    <s v="Joseph Airdo"/>
    <x v="0"/>
    <s v="United States"/>
    <s v="Mount Vernon"/>
    <s v="New York"/>
    <s v="East"/>
    <x v="1"/>
    <x v="12"/>
    <s v="Staples"/>
    <x v="1005"/>
    <n v="3"/>
    <n v="0"/>
    <n v="10.969799999999999"/>
  </r>
  <r>
    <n v="5140"/>
    <x v="365"/>
    <x v="3"/>
    <x v="8"/>
    <d v="2014-10-06T00:00:00"/>
    <n v="6"/>
    <x v="1"/>
    <s v="Joseph Airdo"/>
    <x v="0"/>
    <s v="United States"/>
    <s v="Mount Vernon"/>
    <s v="New York"/>
    <s v="East"/>
    <x v="1"/>
    <x v="10"/>
    <s v="Speediset Carbonless Redi-Letter 7&quot; x 8 1/2&quot;"/>
    <x v="3667"/>
    <n v="5"/>
    <n v="0"/>
    <n v="24.2285"/>
  </r>
  <r>
    <n v="5141"/>
    <x v="627"/>
    <x v="1"/>
    <x v="0"/>
    <d v="2012-11-12T00:00:00"/>
    <n v="4"/>
    <x v="1"/>
    <s v="Shaun Weien"/>
    <x v="0"/>
    <s v="United States"/>
    <s v="San Francisco"/>
    <s v="California"/>
    <s v="West"/>
    <x v="2"/>
    <x v="11"/>
    <s v="Microsoft Arc Touch Mouse"/>
    <x v="3668"/>
    <n v="2"/>
    <n v="0"/>
    <n v="43.164000000000001"/>
  </r>
  <r>
    <n v="5142"/>
    <x v="178"/>
    <x v="0"/>
    <x v="3"/>
    <d v="2013-04-06T00:00:00"/>
    <n v="4"/>
    <x v="1"/>
    <s v="Frank Preis"/>
    <x v="0"/>
    <s v="United States"/>
    <s v="New York City"/>
    <s v="New York"/>
    <s v="East"/>
    <x v="0"/>
    <x v="1"/>
    <s v="Hon Deluxe Fabric Upholstered Stacking Chairs, Rounded Back"/>
    <x v="3669"/>
    <n v="6"/>
    <n v="0.1"/>
    <n v="292.77600000000001"/>
  </r>
  <r>
    <n v="5143"/>
    <x v="178"/>
    <x v="0"/>
    <x v="3"/>
    <d v="2013-04-06T00:00:00"/>
    <n v="4"/>
    <x v="1"/>
    <s v="Frank Preis"/>
    <x v="0"/>
    <s v="United States"/>
    <s v="New York City"/>
    <s v="New York"/>
    <s v="East"/>
    <x v="1"/>
    <x v="14"/>
    <s v="Staples"/>
    <x v="1534"/>
    <n v="8"/>
    <n v="0"/>
    <n v="18.5136"/>
  </r>
  <r>
    <n v="5144"/>
    <x v="178"/>
    <x v="0"/>
    <x v="3"/>
    <d v="2013-04-06T00:00:00"/>
    <n v="4"/>
    <x v="1"/>
    <s v="Frank Preis"/>
    <x v="0"/>
    <s v="United States"/>
    <s v="New York City"/>
    <s v="New York"/>
    <s v="East"/>
    <x v="1"/>
    <x v="8"/>
    <s v="Avery Non-Stick Binders"/>
    <x v="3183"/>
    <n v="1"/>
    <n v="0.2"/>
    <n v="1.1225000000000001"/>
  </r>
  <r>
    <n v="5145"/>
    <x v="62"/>
    <x v="3"/>
    <x v="11"/>
    <d v="2014-02-08T00:00:00"/>
    <n v="5"/>
    <x v="1"/>
    <s v="John Lee"/>
    <x v="0"/>
    <s v="United States"/>
    <s v="Los Angeles"/>
    <s v="California"/>
    <s v="West"/>
    <x v="0"/>
    <x v="5"/>
    <s v="Howard Miller 11-1/2&quot; Diameter Grantwood Wall Clock"/>
    <x v="3670"/>
    <n v="2"/>
    <n v="0"/>
    <n v="29.328399999999998"/>
  </r>
  <r>
    <n v="5146"/>
    <x v="62"/>
    <x v="3"/>
    <x v="11"/>
    <d v="2014-02-08T00:00:00"/>
    <n v="5"/>
    <x v="1"/>
    <s v="John Lee"/>
    <x v="0"/>
    <s v="United States"/>
    <s v="Los Angeles"/>
    <s v="California"/>
    <s v="West"/>
    <x v="1"/>
    <x v="4"/>
    <s v="Multi-Use Personal File Cart and Caster Set, Three Stacking Bins"/>
    <x v="3671"/>
    <n v="4"/>
    <n v="0"/>
    <n v="38.931199999999997"/>
  </r>
  <r>
    <n v="5147"/>
    <x v="62"/>
    <x v="3"/>
    <x v="11"/>
    <d v="2014-02-08T00:00:00"/>
    <n v="5"/>
    <x v="1"/>
    <s v="John Lee"/>
    <x v="0"/>
    <s v="United States"/>
    <s v="Los Angeles"/>
    <s v="California"/>
    <s v="West"/>
    <x v="1"/>
    <x v="9"/>
    <s v="Harmony HEPA Quiet Air Purifiers"/>
    <x v="1039"/>
    <n v="4"/>
    <n v="0"/>
    <n v="16.38"/>
  </r>
  <r>
    <n v="5148"/>
    <x v="165"/>
    <x v="3"/>
    <x v="4"/>
    <d v="2015-01-01T00:00:00"/>
    <n v="7"/>
    <x v="1"/>
    <s v="James Lanier"/>
    <x v="2"/>
    <s v="United States"/>
    <s v="Chandler"/>
    <s v="Arizona"/>
    <s v="West"/>
    <x v="0"/>
    <x v="5"/>
    <s v="Acrylic Self-Standing Desk Frames"/>
    <x v="1076"/>
    <n v="4"/>
    <n v="0.2"/>
    <n v="1.9224000000000001"/>
  </r>
  <r>
    <n v="5149"/>
    <x v="165"/>
    <x v="3"/>
    <x v="4"/>
    <d v="2015-01-01T00:00:00"/>
    <n v="7"/>
    <x v="1"/>
    <s v="James Lanier"/>
    <x v="2"/>
    <s v="United States"/>
    <s v="Chandler"/>
    <s v="Arizona"/>
    <s v="West"/>
    <x v="0"/>
    <x v="1"/>
    <s v="Global Leather Executive Chair"/>
    <x v="3672"/>
    <n v="3"/>
    <n v="0.2"/>
    <n v="105.297"/>
  </r>
  <r>
    <n v="5150"/>
    <x v="261"/>
    <x v="2"/>
    <x v="1"/>
    <d v="2011-06-21T00:00:00"/>
    <n v="0"/>
    <x v="3"/>
    <s v="James Galang"/>
    <x v="0"/>
    <s v="United States"/>
    <s v="Long Beach"/>
    <s v="New York"/>
    <s v="East"/>
    <x v="2"/>
    <x v="7"/>
    <s v="Polycom SoundStation2 EX Conference phone"/>
    <x v="3673"/>
    <n v="3"/>
    <n v="0"/>
    <n v="352.30650000000003"/>
  </r>
  <r>
    <n v="5151"/>
    <x v="904"/>
    <x v="3"/>
    <x v="10"/>
    <d v="2014-03-11T00:00:00"/>
    <n v="4"/>
    <x v="0"/>
    <s v="Sally Hughsby"/>
    <x v="1"/>
    <s v="United States"/>
    <s v="San Francisco"/>
    <s v="California"/>
    <s v="West"/>
    <x v="1"/>
    <x v="4"/>
    <s v="File Shuttle II and Handi-File, Black"/>
    <x v="3674"/>
    <n v="2"/>
    <n v="0"/>
    <n v="16.945"/>
  </r>
  <r>
    <n v="5152"/>
    <x v="145"/>
    <x v="3"/>
    <x v="8"/>
    <d v="2014-09-29T00:00:00"/>
    <n v="3"/>
    <x v="2"/>
    <s v="Luke Schmidt"/>
    <x v="1"/>
    <s v="United States"/>
    <s v="Helena"/>
    <s v="Montana"/>
    <s v="West"/>
    <x v="1"/>
    <x v="4"/>
    <s v="Iris Project Case"/>
    <x v="1749"/>
    <n v="5"/>
    <n v="0"/>
    <n v="10.374000000000001"/>
  </r>
  <r>
    <n v="5153"/>
    <x v="479"/>
    <x v="2"/>
    <x v="1"/>
    <d v="2011-07-06T00:00:00"/>
    <n v="6"/>
    <x v="1"/>
    <s v="Cari Schnelling"/>
    <x v="0"/>
    <s v="United States"/>
    <s v="New York City"/>
    <s v="New York"/>
    <s v="East"/>
    <x v="1"/>
    <x v="8"/>
    <s v="Cardinal Poly Pocket Divider Pockets for Ring Binders"/>
    <x v="638"/>
    <n v="1"/>
    <n v="0.2"/>
    <n v="0.84"/>
  </r>
  <r>
    <n v="5154"/>
    <x v="479"/>
    <x v="2"/>
    <x v="1"/>
    <d v="2011-07-06T00:00:00"/>
    <n v="6"/>
    <x v="1"/>
    <s v="Cari Schnelling"/>
    <x v="0"/>
    <s v="United States"/>
    <s v="New York City"/>
    <s v="New York"/>
    <s v="East"/>
    <x v="1"/>
    <x v="6"/>
    <s v="Sanford Uni-Blazer View Highlighters, Chisel Tip, Yellow"/>
    <x v="3675"/>
    <n v="3"/>
    <n v="0"/>
    <n v="2.9039999999999999"/>
  </r>
  <r>
    <n v="5155"/>
    <x v="976"/>
    <x v="1"/>
    <x v="6"/>
    <d v="2012-08-08T00:00:00"/>
    <n v="1"/>
    <x v="2"/>
    <s v="Kelly Williams"/>
    <x v="0"/>
    <s v="United States"/>
    <s v="Kirkwood"/>
    <s v="Missouri"/>
    <s v="Central"/>
    <x v="1"/>
    <x v="8"/>
    <s v="Wilson Jones Hanging View Binder, White, 1&quot;"/>
    <x v="158"/>
    <n v="4"/>
    <n v="0"/>
    <n v="13.064"/>
  </r>
  <r>
    <n v="5156"/>
    <x v="976"/>
    <x v="1"/>
    <x v="6"/>
    <d v="2012-08-08T00:00:00"/>
    <n v="1"/>
    <x v="2"/>
    <s v="Kelly Williams"/>
    <x v="0"/>
    <s v="United States"/>
    <s v="Kirkwood"/>
    <s v="Missouri"/>
    <s v="Central"/>
    <x v="0"/>
    <x v="5"/>
    <s v="Tenex V2T-RE Standard Weight Series Chair Mat, 45&quot; x 53&quot;, Lip 25&quot; x 12&quot;"/>
    <x v="3609"/>
    <n v="3"/>
    <n v="0"/>
    <n v="34.070399999999999"/>
  </r>
  <r>
    <n v="5157"/>
    <x v="160"/>
    <x v="3"/>
    <x v="7"/>
    <d v="2014-07-05T00:00:00"/>
    <n v="4"/>
    <x v="0"/>
    <s v="Gary Hansen"/>
    <x v="2"/>
    <s v="United States"/>
    <s v="Chicago"/>
    <s v="Illinois"/>
    <s v="Central"/>
    <x v="2"/>
    <x v="7"/>
    <s v="Samsung Galaxy S4"/>
    <x v="3676"/>
    <n v="2"/>
    <n v="0.2"/>
    <n v="125.19799999999999"/>
  </r>
  <r>
    <n v="5158"/>
    <x v="160"/>
    <x v="3"/>
    <x v="7"/>
    <d v="2014-07-05T00:00:00"/>
    <n v="4"/>
    <x v="0"/>
    <s v="Gary Hansen"/>
    <x v="2"/>
    <s v="United States"/>
    <s v="Chicago"/>
    <s v="Illinois"/>
    <s v="Central"/>
    <x v="0"/>
    <x v="1"/>
    <s v="Global Enterprise Series Seating High-Back Swivel/Tilt Chairs"/>
    <x v="3677"/>
    <n v="3"/>
    <n v="0.3"/>
    <n v="-178.8468"/>
  </r>
  <r>
    <n v="5159"/>
    <x v="160"/>
    <x v="3"/>
    <x v="7"/>
    <d v="2014-07-05T00:00:00"/>
    <n v="4"/>
    <x v="0"/>
    <s v="Gary Hansen"/>
    <x v="2"/>
    <s v="United States"/>
    <s v="Chicago"/>
    <s v="Illinois"/>
    <s v="Central"/>
    <x v="0"/>
    <x v="5"/>
    <s v="Seth Thomas 13 1/2&quot; Wall Clock"/>
    <x v="3678"/>
    <n v="2"/>
    <n v="0.6"/>
    <n v="-10.3124"/>
  </r>
  <r>
    <n v="5160"/>
    <x v="662"/>
    <x v="1"/>
    <x v="2"/>
    <d v="2012-10-30T00:00:00"/>
    <n v="4"/>
    <x v="0"/>
    <s v="Andrew Gjertsen"/>
    <x v="1"/>
    <s v="United States"/>
    <s v="Peoria"/>
    <s v="Arizona"/>
    <s v="West"/>
    <x v="2"/>
    <x v="7"/>
    <s v="Panasonic KX-TG6844B Expandable Digital Cordless Telephone"/>
    <x v="550"/>
    <n v="2"/>
    <n v="0.2"/>
    <n v="9.2385999999999999"/>
  </r>
  <r>
    <n v="5161"/>
    <x v="662"/>
    <x v="1"/>
    <x v="2"/>
    <d v="2012-10-30T00:00:00"/>
    <n v="4"/>
    <x v="0"/>
    <s v="Andrew Gjertsen"/>
    <x v="1"/>
    <s v="United States"/>
    <s v="Peoria"/>
    <s v="Arizona"/>
    <s v="West"/>
    <x v="2"/>
    <x v="7"/>
    <s v="Plantronics MX500i Earset"/>
    <x v="3679"/>
    <n v="2"/>
    <n v="0.2"/>
    <n v="-14.603"/>
  </r>
  <r>
    <n v="5162"/>
    <x v="1021"/>
    <x v="2"/>
    <x v="7"/>
    <d v="2011-08-05T00:00:00"/>
    <n v="6"/>
    <x v="1"/>
    <s v="Tom Stivers"/>
    <x v="1"/>
    <s v="United States"/>
    <s v="Seattle"/>
    <s v="Washington"/>
    <s v="West"/>
    <x v="0"/>
    <x v="0"/>
    <s v="Rush Hierlooms Collection 1&quot; Thick Stackable Bookcases"/>
    <x v="3680"/>
    <n v="8"/>
    <n v="0"/>
    <n v="259.88959999999997"/>
  </r>
  <r>
    <n v="5163"/>
    <x v="741"/>
    <x v="0"/>
    <x v="0"/>
    <d v="2013-11-24T00:00:00"/>
    <n v="5"/>
    <x v="0"/>
    <s v="Ashley Jarboe"/>
    <x v="0"/>
    <s v="United States"/>
    <s v="Taylor"/>
    <s v="Michigan"/>
    <s v="Central"/>
    <x v="0"/>
    <x v="1"/>
    <s v="Novimex Swivel Fabric Task Chair"/>
    <x v="85"/>
    <n v="2"/>
    <n v="0"/>
    <n v="33.215600000000002"/>
  </r>
  <r>
    <n v="5164"/>
    <x v="380"/>
    <x v="1"/>
    <x v="7"/>
    <d v="2012-07-11T00:00:00"/>
    <n v="5"/>
    <x v="1"/>
    <s v="Sarah Jordon"/>
    <x v="0"/>
    <s v="United States"/>
    <s v="Pasadena"/>
    <s v="California"/>
    <s v="West"/>
    <x v="0"/>
    <x v="1"/>
    <s v="Novimex Turbo Task Chair"/>
    <x v="2932"/>
    <n v="3"/>
    <n v="0.2"/>
    <n v="-17.0352"/>
  </r>
  <r>
    <n v="5165"/>
    <x v="849"/>
    <x v="2"/>
    <x v="0"/>
    <d v="2011-11-16T00:00:00"/>
    <n v="6"/>
    <x v="1"/>
    <s v="Sam Craven"/>
    <x v="0"/>
    <s v="United States"/>
    <s v="Midland"/>
    <s v="Michigan"/>
    <s v="Central"/>
    <x v="1"/>
    <x v="6"/>
    <s v="Avery Hi-Liter Comfort Grip Fluorescent Highlighter, Yellow Ink"/>
    <x v="2769"/>
    <n v="2"/>
    <n v="0"/>
    <n v="1.5209999999999999"/>
  </r>
  <r>
    <n v="5166"/>
    <x v="849"/>
    <x v="2"/>
    <x v="0"/>
    <d v="2011-11-16T00:00:00"/>
    <n v="6"/>
    <x v="1"/>
    <s v="Sam Craven"/>
    <x v="0"/>
    <s v="United States"/>
    <s v="Midland"/>
    <s v="Michigan"/>
    <s v="Central"/>
    <x v="1"/>
    <x v="10"/>
    <s v="Xerox 199"/>
    <x v="1371"/>
    <n v="3"/>
    <n v="0"/>
    <n v="5.7779999999999996"/>
  </r>
  <r>
    <n v="5167"/>
    <x v="849"/>
    <x v="2"/>
    <x v="0"/>
    <d v="2011-11-16T00:00:00"/>
    <n v="6"/>
    <x v="1"/>
    <s v="Sam Craven"/>
    <x v="0"/>
    <s v="United States"/>
    <s v="Midland"/>
    <s v="Michigan"/>
    <s v="Central"/>
    <x v="1"/>
    <x v="10"/>
    <s v="Xerox 4200 Series MultiUse Premium Copy Paper (20Lb. and 84 Bright)"/>
    <x v="3329"/>
    <n v="3"/>
    <n v="0"/>
    <n v="7.1280000000000001"/>
  </r>
  <r>
    <n v="5168"/>
    <x v="849"/>
    <x v="2"/>
    <x v="0"/>
    <d v="2011-11-16T00:00:00"/>
    <n v="6"/>
    <x v="1"/>
    <s v="Sam Craven"/>
    <x v="0"/>
    <s v="United States"/>
    <s v="Midland"/>
    <s v="Michigan"/>
    <s v="Central"/>
    <x v="0"/>
    <x v="1"/>
    <s v="Hon Every-Day Series Multi-Task Chairs"/>
    <x v="3681"/>
    <n v="3"/>
    <n v="0"/>
    <n v="112.788"/>
  </r>
  <r>
    <n v="5169"/>
    <x v="849"/>
    <x v="2"/>
    <x v="0"/>
    <d v="2011-11-16T00:00:00"/>
    <n v="6"/>
    <x v="1"/>
    <s v="Sam Craven"/>
    <x v="0"/>
    <s v="United States"/>
    <s v="Midland"/>
    <s v="Michigan"/>
    <s v="Central"/>
    <x v="1"/>
    <x v="4"/>
    <s v="Acco Perma 3000 Stacking Storage Drawers"/>
    <x v="2714"/>
    <n v="3"/>
    <n v="0"/>
    <n v="11.958600000000001"/>
  </r>
  <r>
    <n v="5170"/>
    <x v="849"/>
    <x v="2"/>
    <x v="0"/>
    <d v="2011-11-16T00:00:00"/>
    <n v="6"/>
    <x v="1"/>
    <s v="Sam Craven"/>
    <x v="0"/>
    <s v="United States"/>
    <s v="Midland"/>
    <s v="Michigan"/>
    <s v="Central"/>
    <x v="1"/>
    <x v="4"/>
    <s v="Hot File 7-Pocket, Floor Stand"/>
    <x v="3370"/>
    <n v="3"/>
    <n v="0"/>
    <n v="160.62299999999999"/>
  </r>
  <r>
    <n v="5171"/>
    <x v="1022"/>
    <x v="0"/>
    <x v="5"/>
    <d v="2013-05-30T00:00:00"/>
    <n v="2"/>
    <x v="0"/>
    <s v="Laura Armstrong"/>
    <x v="1"/>
    <s v="United States"/>
    <s v="Detroit"/>
    <s v="Michigan"/>
    <s v="Central"/>
    <x v="0"/>
    <x v="1"/>
    <s v="HON 5400 Series Task Chairs for Big and Tall"/>
    <x v="3682"/>
    <n v="5"/>
    <n v="0"/>
    <n v="700.98"/>
  </r>
  <r>
    <n v="5172"/>
    <x v="1022"/>
    <x v="0"/>
    <x v="5"/>
    <d v="2013-05-30T00:00:00"/>
    <n v="2"/>
    <x v="0"/>
    <s v="Laura Armstrong"/>
    <x v="1"/>
    <s v="United States"/>
    <s v="Detroit"/>
    <s v="Michigan"/>
    <s v="Central"/>
    <x v="1"/>
    <x v="10"/>
    <s v="Xerox 1910"/>
    <x v="3683"/>
    <n v="3"/>
    <n v="0"/>
    <n v="69.177599999999998"/>
  </r>
  <r>
    <n v="5173"/>
    <x v="1022"/>
    <x v="0"/>
    <x v="5"/>
    <d v="2013-05-30T00:00:00"/>
    <n v="2"/>
    <x v="0"/>
    <s v="Laura Armstrong"/>
    <x v="1"/>
    <s v="United States"/>
    <s v="Detroit"/>
    <s v="Michigan"/>
    <s v="Central"/>
    <x v="1"/>
    <x v="10"/>
    <s v="Xerox 1915"/>
    <x v="1806"/>
    <n v="3"/>
    <n v="0"/>
    <n v="150.98400000000001"/>
  </r>
  <r>
    <n v="5174"/>
    <x v="936"/>
    <x v="1"/>
    <x v="10"/>
    <d v="2012-03-10T00:00:00"/>
    <n v="2"/>
    <x v="2"/>
    <s v="Fred Chung"/>
    <x v="1"/>
    <s v="United States"/>
    <s v="Pueblo"/>
    <s v="Colorado"/>
    <s v="West"/>
    <x v="1"/>
    <x v="6"/>
    <s v="Dixon Prang Watercolor Pencils, 10-Color Set with Brush"/>
    <x v="3684"/>
    <n v="1"/>
    <n v="0.2"/>
    <n v="0.89459999999999995"/>
  </r>
  <r>
    <n v="5175"/>
    <x v="15"/>
    <x v="3"/>
    <x v="2"/>
    <d v="2014-10-25T00:00:00"/>
    <n v="5"/>
    <x v="1"/>
    <s v="Christina Anderson"/>
    <x v="0"/>
    <s v="United States"/>
    <s v="Waco"/>
    <s v="Texas"/>
    <s v="Central"/>
    <x v="1"/>
    <x v="8"/>
    <s v="SlimView Poly Binder, 3/8&quot;"/>
    <x v="3685"/>
    <n v="2"/>
    <n v="0.8"/>
    <n v="-3.5224000000000002"/>
  </r>
  <r>
    <n v="5176"/>
    <x v="15"/>
    <x v="3"/>
    <x v="2"/>
    <d v="2014-10-25T00:00:00"/>
    <n v="5"/>
    <x v="1"/>
    <s v="Christina Anderson"/>
    <x v="0"/>
    <s v="United States"/>
    <s v="Waco"/>
    <s v="Texas"/>
    <s v="Central"/>
    <x v="0"/>
    <x v="0"/>
    <s v="Rush Hierlooms Collection Rich Wood Bookcases"/>
    <x v="3686"/>
    <n v="3"/>
    <n v="0.32"/>
    <n v="-91.758600000000001"/>
  </r>
  <r>
    <n v="5177"/>
    <x v="732"/>
    <x v="0"/>
    <x v="0"/>
    <d v="2013-11-09T00:00:00"/>
    <n v="3"/>
    <x v="2"/>
    <s v="Joseph Holt"/>
    <x v="0"/>
    <s v="United States"/>
    <s v="San Francisco"/>
    <s v="California"/>
    <s v="West"/>
    <x v="1"/>
    <x v="8"/>
    <s v="GBC Twin Loop Wire Binding Elements"/>
    <x v="3687"/>
    <n v="2"/>
    <n v="0.2"/>
    <n v="19.968"/>
  </r>
  <r>
    <n v="5178"/>
    <x v="482"/>
    <x v="0"/>
    <x v="4"/>
    <d v="2013-12-31T00:00:00"/>
    <n v="4"/>
    <x v="1"/>
    <s v="Anthony Johnson"/>
    <x v="1"/>
    <s v="United States"/>
    <s v="New York City"/>
    <s v="New York"/>
    <s v="East"/>
    <x v="1"/>
    <x v="8"/>
    <s v="Round Ring Binders"/>
    <x v="3688"/>
    <n v="3"/>
    <n v="0.2"/>
    <n v="1.6848000000000001"/>
  </r>
  <r>
    <n v="5179"/>
    <x v="657"/>
    <x v="1"/>
    <x v="3"/>
    <d v="2012-04-19T00:00:00"/>
    <n v="6"/>
    <x v="1"/>
    <s v="Bill Tyler"/>
    <x v="1"/>
    <s v="United States"/>
    <s v="Los Angeles"/>
    <s v="California"/>
    <s v="West"/>
    <x v="0"/>
    <x v="5"/>
    <s v="Flat Face Poster Frame"/>
    <x v="1015"/>
    <n v="2"/>
    <n v="0"/>
    <n v="15.8256"/>
  </r>
  <r>
    <n v="5180"/>
    <x v="657"/>
    <x v="1"/>
    <x v="3"/>
    <d v="2012-04-19T00:00:00"/>
    <n v="6"/>
    <x v="1"/>
    <s v="Bill Tyler"/>
    <x v="1"/>
    <s v="United States"/>
    <s v="Los Angeles"/>
    <s v="California"/>
    <s v="West"/>
    <x v="2"/>
    <x v="7"/>
    <s v="Aastra 57i VoIP phone"/>
    <x v="3689"/>
    <n v="2"/>
    <n v="0.2"/>
    <n v="19.3932"/>
  </r>
  <r>
    <n v="5181"/>
    <x v="657"/>
    <x v="1"/>
    <x v="3"/>
    <d v="2012-04-19T00:00:00"/>
    <n v="6"/>
    <x v="1"/>
    <s v="Bill Tyler"/>
    <x v="1"/>
    <s v="United States"/>
    <s v="Los Angeles"/>
    <s v="California"/>
    <s v="West"/>
    <x v="1"/>
    <x v="9"/>
    <s v="3M Replacement Filter for Office Air Cleaner for 20' x 33' Room"/>
    <x v="3690"/>
    <n v="2"/>
    <n v="0"/>
    <n v="29.5776"/>
  </r>
  <r>
    <n v="5182"/>
    <x v="510"/>
    <x v="3"/>
    <x v="8"/>
    <d v="2014-09-16T00:00:00"/>
    <n v="3"/>
    <x v="2"/>
    <s v="Don Jones"/>
    <x v="1"/>
    <s v="United States"/>
    <s v="Woonsocket"/>
    <s v="Rhode Island"/>
    <s v="East"/>
    <x v="1"/>
    <x v="10"/>
    <s v="Xerox 209"/>
    <x v="1544"/>
    <n v="7"/>
    <n v="0"/>
    <n v="21.7728"/>
  </r>
  <r>
    <n v="5183"/>
    <x v="510"/>
    <x v="3"/>
    <x v="8"/>
    <d v="2014-09-16T00:00:00"/>
    <n v="3"/>
    <x v="2"/>
    <s v="Don Jones"/>
    <x v="1"/>
    <s v="United States"/>
    <s v="Woonsocket"/>
    <s v="Rhode Island"/>
    <s v="East"/>
    <x v="1"/>
    <x v="8"/>
    <s v="Aluminum Screw Posts"/>
    <x v="3691"/>
    <n v="3"/>
    <n v="0"/>
    <n v="22.89"/>
  </r>
  <r>
    <n v="5184"/>
    <x v="241"/>
    <x v="3"/>
    <x v="8"/>
    <d v="2014-09-28T00:00:00"/>
    <n v="3"/>
    <x v="2"/>
    <s v="Anna Gayman"/>
    <x v="0"/>
    <s v="United States"/>
    <s v="Columbus"/>
    <s v="Georgia"/>
    <s v="South"/>
    <x v="1"/>
    <x v="4"/>
    <s v="Fellowes Desktop Hanging File Manager"/>
    <x v="2309"/>
    <n v="3"/>
    <n v="0"/>
    <n v="10.0725"/>
  </r>
  <r>
    <n v="5185"/>
    <x v="241"/>
    <x v="3"/>
    <x v="8"/>
    <d v="2014-09-28T00:00:00"/>
    <n v="3"/>
    <x v="2"/>
    <s v="Anna Gayman"/>
    <x v="0"/>
    <s v="United States"/>
    <s v="Columbus"/>
    <s v="Georgia"/>
    <s v="South"/>
    <x v="1"/>
    <x v="8"/>
    <s v="Avery Durable Poly Binders"/>
    <x v="3692"/>
    <n v="7"/>
    <n v="0"/>
    <n v="17.8066"/>
  </r>
  <r>
    <n v="5186"/>
    <x v="998"/>
    <x v="1"/>
    <x v="2"/>
    <d v="2012-10-15T00:00:00"/>
    <n v="5"/>
    <x v="1"/>
    <s v="John Dryer"/>
    <x v="0"/>
    <s v="United States"/>
    <s v="Jacksonville"/>
    <s v="Florida"/>
    <s v="South"/>
    <x v="1"/>
    <x v="4"/>
    <s v="Tennsco Single-Tier Lockers"/>
    <x v="2084"/>
    <n v="6"/>
    <n v="0.2"/>
    <n v="-337.80599999999998"/>
  </r>
  <r>
    <n v="5187"/>
    <x v="154"/>
    <x v="1"/>
    <x v="0"/>
    <d v="2012-12-03T00:00:00"/>
    <n v="6"/>
    <x v="1"/>
    <s v="Eugene Hildebrand"/>
    <x v="2"/>
    <s v="United States"/>
    <s v="Philadelphia"/>
    <s v="Pennsylvania"/>
    <s v="East"/>
    <x v="2"/>
    <x v="7"/>
    <s v="LG Exalt"/>
    <x v="3693"/>
    <n v="8"/>
    <n v="0.4"/>
    <n v="-162.2296"/>
  </r>
  <r>
    <n v="5188"/>
    <x v="1023"/>
    <x v="1"/>
    <x v="8"/>
    <d v="2012-09-18T00:00:00"/>
    <n v="5"/>
    <x v="1"/>
    <s v="Zuschuss Carroll"/>
    <x v="0"/>
    <s v="United States"/>
    <s v="Columbus"/>
    <s v="Indiana"/>
    <s v="Central"/>
    <x v="2"/>
    <x v="11"/>
    <s v="Case Logic 2.4GHz Wireless Keyboard"/>
    <x v="1743"/>
    <n v="4"/>
    <n v="0"/>
    <n v="15.9968"/>
  </r>
  <r>
    <n v="5189"/>
    <x v="1023"/>
    <x v="1"/>
    <x v="8"/>
    <d v="2012-09-18T00:00:00"/>
    <n v="5"/>
    <x v="1"/>
    <s v="Zuschuss Carroll"/>
    <x v="0"/>
    <s v="United States"/>
    <s v="Columbus"/>
    <s v="Indiana"/>
    <s v="Central"/>
    <x v="0"/>
    <x v="1"/>
    <s v="Hon Multipurpose Stacking Arm Chairs"/>
    <x v="3694"/>
    <n v="7"/>
    <n v="0"/>
    <n v="394.21199999999999"/>
  </r>
  <r>
    <n v="5190"/>
    <x v="237"/>
    <x v="3"/>
    <x v="0"/>
    <d v="2014-11-19T00:00:00"/>
    <n v="4"/>
    <x v="1"/>
    <s v="Xylona Preis"/>
    <x v="0"/>
    <s v="United States"/>
    <s v="Pasadena"/>
    <s v="Texas"/>
    <s v="Central"/>
    <x v="2"/>
    <x v="11"/>
    <s v="V7 USB Numeric Keypad"/>
    <x v="3695"/>
    <n v="6"/>
    <n v="0.2"/>
    <n v="-27.292200000000001"/>
  </r>
  <r>
    <n v="5191"/>
    <x v="237"/>
    <x v="3"/>
    <x v="0"/>
    <d v="2014-11-19T00:00:00"/>
    <n v="4"/>
    <x v="1"/>
    <s v="Xylona Preis"/>
    <x v="0"/>
    <s v="United States"/>
    <s v="Pasadena"/>
    <s v="Texas"/>
    <s v="Central"/>
    <x v="1"/>
    <x v="6"/>
    <s v="Boston Electric Pencil Sharpener, Model 1818, Charcoal Black"/>
    <x v="3696"/>
    <n v="2"/>
    <n v="0.2"/>
    <n v="4.5039999999999996"/>
  </r>
  <r>
    <n v="5192"/>
    <x v="1024"/>
    <x v="3"/>
    <x v="5"/>
    <d v="2014-05-10T00:00:00"/>
    <n v="4"/>
    <x v="1"/>
    <s v="Darren Koutras"/>
    <x v="0"/>
    <s v="United States"/>
    <s v="San Francisco"/>
    <s v="California"/>
    <s v="West"/>
    <x v="1"/>
    <x v="12"/>
    <s v="Peel &amp; Seel Recycled Catalog Envelopes, Brown"/>
    <x v="3697"/>
    <n v="2"/>
    <n v="0"/>
    <n v="11.58"/>
  </r>
  <r>
    <n v="5193"/>
    <x v="683"/>
    <x v="2"/>
    <x v="0"/>
    <d v="2011-12-01T00:00:00"/>
    <n v="3"/>
    <x v="0"/>
    <s v="Chris Selesnick"/>
    <x v="1"/>
    <s v="United States"/>
    <s v="Columbia"/>
    <s v="South Carolina"/>
    <s v="South"/>
    <x v="0"/>
    <x v="5"/>
    <s v="Eldon Cleatmat Plus Chair Mats for High Pile Carpets"/>
    <x v="3698"/>
    <n v="5"/>
    <n v="0"/>
    <n v="43.735999999999997"/>
  </r>
  <r>
    <n v="5194"/>
    <x v="683"/>
    <x v="2"/>
    <x v="0"/>
    <d v="2011-12-01T00:00:00"/>
    <n v="3"/>
    <x v="0"/>
    <s v="Chris Selesnick"/>
    <x v="1"/>
    <s v="United States"/>
    <s v="Columbia"/>
    <s v="South Carolina"/>
    <s v="South"/>
    <x v="1"/>
    <x v="10"/>
    <s v="Xerox 1933"/>
    <x v="2937"/>
    <n v="7"/>
    <n v="0"/>
    <n v="40.401200000000003"/>
  </r>
  <r>
    <n v="5195"/>
    <x v="683"/>
    <x v="2"/>
    <x v="0"/>
    <d v="2011-12-01T00:00:00"/>
    <n v="3"/>
    <x v="0"/>
    <s v="Chris Selesnick"/>
    <x v="1"/>
    <s v="United States"/>
    <s v="Columbia"/>
    <s v="South Carolina"/>
    <s v="South"/>
    <x v="1"/>
    <x v="6"/>
    <s v="Crayola Colored Pencils"/>
    <x v="1317"/>
    <n v="4"/>
    <n v="0"/>
    <n v="4.3296000000000001"/>
  </r>
  <r>
    <n v="5196"/>
    <x v="683"/>
    <x v="2"/>
    <x v="0"/>
    <d v="2011-12-01T00:00:00"/>
    <n v="3"/>
    <x v="0"/>
    <s v="Chris Selesnick"/>
    <x v="1"/>
    <s v="United States"/>
    <s v="Columbia"/>
    <s v="South Carolina"/>
    <s v="South"/>
    <x v="1"/>
    <x v="8"/>
    <s v="GBC Twin Loop Wire Binding Elements, 9/16&quot; Spine, Black"/>
    <x v="2070"/>
    <n v="3"/>
    <n v="0"/>
    <n v="22.3734"/>
  </r>
  <r>
    <n v="5197"/>
    <x v="1025"/>
    <x v="2"/>
    <x v="5"/>
    <d v="2011-05-15T00:00:00"/>
    <n v="5"/>
    <x v="1"/>
    <s v="Arianne Irving"/>
    <x v="0"/>
    <s v="United States"/>
    <s v="Kent"/>
    <s v="Washington"/>
    <s v="West"/>
    <x v="1"/>
    <x v="12"/>
    <s v="Strathmore #10 Envelopes, Ultimate White"/>
    <x v="3699"/>
    <n v="3"/>
    <n v="0"/>
    <n v="77.483699999999999"/>
  </r>
  <r>
    <n v="5198"/>
    <x v="1025"/>
    <x v="2"/>
    <x v="5"/>
    <d v="2011-05-15T00:00:00"/>
    <n v="5"/>
    <x v="1"/>
    <s v="Arianne Irving"/>
    <x v="0"/>
    <s v="United States"/>
    <s v="Kent"/>
    <s v="Washington"/>
    <s v="West"/>
    <x v="2"/>
    <x v="7"/>
    <s v="LF Elite 3D Dazzle Designer Hard Case Cover, Lf Stylus Pen and Wiper For Apple Iphone 5c Mini Lite"/>
    <x v="3477"/>
    <n v="5"/>
    <n v="0.2"/>
    <n v="4.3600000000000003"/>
  </r>
  <r>
    <n v="5199"/>
    <x v="840"/>
    <x v="0"/>
    <x v="10"/>
    <d v="2013-03-09T00:00:00"/>
    <n v="5"/>
    <x v="1"/>
    <s v="Alex Avila"/>
    <x v="0"/>
    <s v="United States"/>
    <s v="Round Rock"/>
    <s v="Texas"/>
    <s v="Central"/>
    <x v="1"/>
    <x v="14"/>
    <s v="High Speed Automatic Electric Letter Opener"/>
    <x v="3700"/>
    <n v="3"/>
    <n v="0.2"/>
    <n v="-786.01440000000002"/>
  </r>
  <r>
    <n v="5200"/>
    <x v="840"/>
    <x v="0"/>
    <x v="10"/>
    <d v="2013-03-09T00:00:00"/>
    <n v="5"/>
    <x v="1"/>
    <s v="Alex Avila"/>
    <x v="0"/>
    <s v="United States"/>
    <s v="Round Rock"/>
    <s v="Texas"/>
    <s v="Central"/>
    <x v="1"/>
    <x v="13"/>
    <s v="Acco Banker's Clasps, 5 3/4&quot;-Long"/>
    <x v="2060"/>
    <n v="1"/>
    <n v="0.2"/>
    <n v="0.77759999999999996"/>
  </r>
  <r>
    <n v="5201"/>
    <x v="840"/>
    <x v="0"/>
    <x v="10"/>
    <d v="2013-03-09T00:00:00"/>
    <n v="5"/>
    <x v="1"/>
    <s v="Alex Avila"/>
    <x v="0"/>
    <s v="United States"/>
    <s v="Round Rock"/>
    <s v="Texas"/>
    <s v="Central"/>
    <x v="2"/>
    <x v="7"/>
    <s v="Polycom VVX 310 VoIP phone"/>
    <x v="2087"/>
    <n v="3"/>
    <n v="0.2"/>
    <n v="32.398200000000003"/>
  </r>
  <r>
    <n v="5202"/>
    <x v="840"/>
    <x v="0"/>
    <x v="10"/>
    <d v="2013-03-09T00:00:00"/>
    <n v="5"/>
    <x v="1"/>
    <s v="Alex Avila"/>
    <x v="0"/>
    <s v="United States"/>
    <s v="Round Rock"/>
    <s v="Texas"/>
    <s v="Central"/>
    <x v="2"/>
    <x v="11"/>
    <s v="Verbatim 25 GB 6x Blu-ray Single Layer Recordable Disc, 1/Pack"/>
    <x v="1818"/>
    <n v="7"/>
    <n v="0.2"/>
    <n v="5.7365000000000004"/>
  </r>
  <r>
    <n v="5203"/>
    <x v="762"/>
    <x v="1"/>
    <x v="6"/>
    <d v="2012-08-19T00:00:00"/>
    <n v="4"/>
    <x v="1"/>
    <s v="Richard Eichhorn"/>
    <x v="0"/>
    <s v="United States"/>
    <s v="Oakland"/>
    <s v="California"/>
    <s v="West"/>
    <x v="0"/>
    <x v="5"/>
    <s v="Tensor Computer Mounted Lamp"/>
    <x v="3701"/>
    <n v="7"/>
    <n v="0"/>
    <n v="28.142099999999999"/>
  </r>
  <r>
    <n v="5204"/>
    <x v="762"/>
    <x v="1"/>
    <x v="6"/>
    <d v="2012-08-19T00:00:00"/>
    <n v="4"/>
    <x v="1"/>
    <s v="Richard Eichhorn"/>
    <x v="0"/>
    <s v="United States"/>
    <s v="Oakland"/>
    <s v="California"/>
    <s v="West"/>
    <x v="1"/>
    <x v="4"/>
    <s v="Mobile Personal File Cube"/>
    <x v="3702"/>
    <n v="3"/>
    <n v="0"/>
    <n v="18.970199999999998"/>
  </r>
  <r>
    <n v="5205"/>
    <x v="811"/>
    <x v="1"/>
    <x v="8"/>
    <d v="2012-09-18T00:00:00"/>
    <n v="6"/>
    <x v="1"/>
    <s v="Tamara Manning"/>
    <x v="0"/>
    <s v="United States"/>
    <s v="Auburn"/>
    <s v="New York"/>
    <s v="East"/>
    <x v="1"/>
    <x v="6"/>
    <s v="Binney &amp; Smith Crayola Metallic Colored Pencils, 8-Color Set"/>
    <x v="1553"/>
    <n v="2"/>
    <n v="0"/>
    <n v="3.0558000000000001"/>
  </r>
  <r>
    <n v="5206"/>
    <x v="811"/>
    <x v="1"/>
    <x v="8"/>
    <d v="2012-09-18T00:00:00"/>
    <n v="6"/>
    <x v="1"/>
    <s v="Tamara Manning"/>
    <x v="0"/>
    <s v="United States"/>
    <s v="Auburn"/>
    <s v="New York"/>
    <s v="East"/>
    <x v="1"/>
    <x v="4"/>
    <s v="Gould Plastics 9-Pocket Panel Bin, 18-3/8w x 5-1/4d x 20-1/2h, Black"/>
    <x v="2746"/>
    <n v="2"/>
    <n v="0"/>
    <n v="4.2392000000000003"/>
  </r>
  <r>
    <n v="5207"/>
    <x v="811"/>
    <x v="1"/>
    <x v="8"/>
    <d v="2012-09-18T00:00:00"/>
    <n v="6"/>
    <x v="1"/>
    <s v="Tamara Manning"/>
    <x v="0"/>
    <s v="United States"/>
    <s v="Auburn"/>
    <s v="New York"/>
    <s v="East"/>
    <x v="1"/>
    <x v="13"/>
    <s v="OIC Binder Clips, Mini, 1/4&quot; Capacity, Black"/>
    <x v="3703"/>
    <n v="1"/>
    <n v="0"/>
    <n v="0.58279999999999998"/>
  </r>
  <r>
    <n v="5208"/>
    <x v="811"/>
    <x v="1"/>
    <x v="8"/>
    <d v="2012-09-18T00:00:00"/>
    <n v="6"/>
    <x v="1"/>
    <s v="Tamara Manning"/>
    <x v="0"/>
    <s v="United States"/>
    <s v="Auburn"/>
    <s v="New York"/>
    <s v="East"/>
    <x v="1"/>
    <x v="2"/>
    <s v="Avery 489"/>
    <x v="343"/>
    <n v="2"/>
    <n v="0"/>
    <n v="9.9359999999999999"/>
  </r>
  <r>
    <n v="5209"/>
    <x v="811"/>
    <x v="1"/>
    <x v="8"/>
    <d v="2012-09-18T00:00:00"/>
    <n v="6"/>
    <x v="1"/>
    <s v="Tamara Manning"/>
    <x v="0"/>
    <s v="United States"/>
    <s v="Auburn"/>
    <s v="New York"/>
    <s v="East"/>
    <x v="1"/>
    <x v="10"/>
    <s v="HP Office Recycled Paper (20Lb. and 87 Bright)"/>
    <x v="978"/>
    <n v="5"/>
    <n v="0"/>
    <n v="14.161"/>
  </r>
  <r>
    <n v="5210"/>
    <x v="811"/>
    <x v="1"/>
    <x v="8"/>
    <d v="2012-09-18T00:00:00"/>
    <n v="6"/>
    <x v="1"/>
    <s v="Tamara Manning"/>
    <x v="0"/>
    <s v="United States"/>
    <s v="Auburn"/>
    <s v="New York"/>
    <s v="East"/>
    <x v="1"/>
    <x v="12"/>
    <s v="Tyvek  Top-Opening Peel &amp; Seel Envelopes, Plain White"/>
    <x v="3274"/>
    <n v="1"/>
    <n v="0"/>
    <n v="12.7746"/>
  </r>
  <r>
    <n v="5211"/>
    <x v="1026"/>
    <x v="1"/>
    <x v="9"/>
    <d v="2012-01-18T00:00:00"/>
    <n v="6"/>
    <x v="1"/>
    <s v="Yana Sorensen"/>
    <x v="1"/>
    <s v="United States"/>
    <s v="Newark"/>
    <s v="Delaware"/>
    <s v="East"/>
    <x v="1"/>
    <x v="4"/>
    <s v="Dual Level, Single-Width Filing Carts"/>
    <x v="2776"/>
    <n v="3"/>
    <n v="0"/>
    <n v="120.9468"/>
  </r>
  <r>
    <n v="5212"/>
    <x v="793"/>
    <x v="1"/>
    <x v="5"/>
    <d v="2012-05-16T00:00:00"/>
    <n v="4"/>
    <x v="0"/>
    <s v="Annie Zypern"/>
    <x v="0"/>
    <s v="United States"/>
    <s v="New York City"/>
    <s v="New York"/>
    <s v="East"/>
    <x v="1"/>
    <x v="4"/>
    <s v="Portable Personal File Box"/>
    <x v="898"/>
    <n v="3"/>
    <n v="0"/>
    <n v="9.8901000000000003"/>
  </r>
  <r>
    <n v="5213"/>
    <x v="182"/>
    <x v="0"/>
    <x v="8"/>
    <d v="2013-09-27T00:00:00"/>
    <n v="0"/>
    <x v="3"/>
    <s v="Chuck Magee"/>
    <x v="0"/>
    <s v="United States"/>
    <s v="Redlands"/>
    <s v="California"/>
    <s v="West"/>
    <x v="1"/>
    <x v="4"/>
    <s v="Advantus Rolling Storage Box"/>
    <x v="488"/>
    <n v="3"/>
    <n v="0"/>
    <n v="13.891500000000001"/>
  </r>
  <r>
    <n v="5214"/>
    <x v="182"/>
    <x v="0"/>
    <x v="8"/>
    <d v="2013-09-27T00:00:00"/>
    <n v="0"/>
    <x v="3"/>
    <s v="Chuck Magee"/>
    <x v="0"/>
    <s v="United States"/>
    <s v="Redlands"/>
    <s v="California"/>
    <s v="West"/>
    <x v="1"/>
    <x v="2"/>
    <s v="Avery 494"/>
    <x v="1484"/>
    <n v="3"/>
    <n v="0"/>
    <n v="3.6017999999999999"/>
  </r>
  <r>
    <n v="5215"/>
    <x v="182"/>
    <x v="0"/>
    <x v="8"/>
    <d v="2013-09-27T00:00:00"/>
    <n v="0"/>
    <x v="3"/>
    <s v="Chuck Magee"/>
    <x v="0"/>
    <s v="United States"/>
    <s v="Redlands"/>
    <s v="California"/>
    <s v="West"/>
    <x v="1"/>
    <x v="6"/>
    <s v="SANFORD Major Accent Highlighters"/>
    <x v="3704"/>
    <n v="5"/>
    <n v="0"/>
    <n v="13.452"/>
  </r>
  <r>
    <n v="5216"/>
    <x v="182"/>
    <x v="0"/>
    <x v="8"/>
    <d v="2013-09-27T00:00:00"/>
    <n v="0"/>
    <x v="3"/>
    <s v="Chuck Magee"/>
    <x v="0"/>
    <s v="United States"/>
    <s v="Redlands"/>
    <s v="California"/>
    <s v="West"/>
    <x v="1"/>
    <x v="10"/>
    <s v="Great White Multi-Use Recycled Paper (20Lb. and 84 Bright)"/>
    <x v="2680"/>
    <n v="5"/>
    <n v="0"/>
    <n v="13.455"/>
  </r>
  <r>
    <n v="5217"/>
    <x v="428"/>
    <x v="3"/>
    <x v="8"/>
    <d v="2014-09-16T00:00:00"/>
    <n v="6"/>
    <x v="1"/>
    <s v="Joy Bell-"/>
    <x v="0"/>
    <s v="United States"/>
    <s v="Roseville"/>
    <s v="Michigan"/>
    <s v="Central"/>
    <x v="1"/>
    <x v="12"/>
    <s v="#10- 4 1/8&quot; x 9 1/2&quot; Recycled Envelopes"/>
    <x v="1897"/>
    <n v="2"/>
    <n v="0"/>
    <n v="8.2156000000000002"/>
  </r>
  <r>
    <n v="5218"/>
    <x v="4"/>
    <x v="3"/>
    <x v="3"/>
    <d v="2014-04-18T00:00:00"/>
    <n v="2"/>
    <x v="0"/>
    <s v="Noel Staavos"/>
    <x v="1"/>
    <s v="United States"/>
    <s v="Los Angeles"/>
    <s v="California"/>
    <s v="West"/>
    <x v="1"/>
    <x v="10"/>
    <s v="Xerox 1883"/>
    <x v="1204"/>
    <n v="3"/>
    <n v="0"/>
    <n v="36.404400000000003"/>
  </r>
  <r>
    <n v="5219"/>
    <x v="193"/>
    <x v="3"/>
    <x v="1"/>
    <d v="2014-06-15T00:00:00"/>
    <n v="4"/>
    <x v="1"/>
    <s v="Linda Cazamias"/>
    <x v="1"/>
    <s v="United States"/>
    <s v="New York City"/>
    <s v="New York"/>
    <s v="East"/>
    <x v="1"/>
    <x v="6"/>
    <s v="Prang Dustless Chalk Sticks"/>
    <x v="3566"/>
    <n v="5"/>
    <n v="0"/>
    <n v="4.2"/>
  </r>
  <r>
    <n v="5220"/>
    <x v="853"/>
    <x v="3"/>
    <x v="8"/>
    <d v="2014-09-02T00:00:00"/>
    <n v="0"/>
    <x v="3"/>
    <s v="Cynthia Arntzen"/>
    <x v="0"/>
    <s v="United States"/>
    <s v="Detroit"/>
    <s v="Michigan"/>
    <s v="Central"/>
    <x v="0"/>
    <x v="1"/>
    <s v="Harbour Creations 67200 Series Stacking Chairs"/>
    <x v="3705"/>
    <n v="7"/>
    <n v="0"/>
    <n v="134.53020000000001"/>
  </r>
  <r>
    <n v="5221"/>
    <x v="1027"/>
    <x v="2"/>
    <x v="1"/>
    <d v="2011-06-20T00:00:00"/>
    <n v="6"/>
    <x v="1"/>
    <s v="Sharelle Roach"/>
    <x v="2"/>
    <s v="United States"/>
    <s v="Detroit"/>
    <s v="Michigan"/>
    <s v="Central"/>
    <x v="0"/>
    <x v="0"/>
    <s v="Hon Metal Bookcases, Gray"/>
    <x v="3609"/>
    <n v="3"/>
    <n v="0"/>
    <n v="57.4938"/>
  </r>
  <r>
    <n v="5222"/>
    <x v="796"/>
    <x v="3"/>
    <x v="5"/>
    <d v="2014-05-23T00:00:00"/>
    <n v="4"/>
    <x v="0"/>
    <s v="Paul Prost"/>
    <x v="2"/>
    <s v="United States"/>
    <s v="Springfield"/>
    <s v="Missouri"/>
    <s v="Central"/>
    <x v="1"/>
    <x v="9"/>
    <s v="Avanti 1.7 Cu. Ft. Refrigerator"/>
    <x v="3706"/>
    <n v="7"/>
    <n v="0"/>
    <n v="197.92080000000001"/>
  </r>
  <r>
    <n v="5223"/>
    <x v="796"/>
    <x v="3"/>
    <x v="5"/>
    <d v="2014-05-23T00:00:00"/>
    <n v="4"/>
    <x v="0"/>
    <s v="Paul Prost"/>
    <x v="2"/>
    <s v="United States"/>
    <s v="Springfield"/>
    <s v="Missouri"/>
    <s v="Central"/>
    <x v="2"/>
    <x v="7"/>
    <s v="Motorola HK250 Universal Bluetooth Headset"/>
    <x v="1152"/>
    <n v="5"/>
    <n v="0"/>
    <n v="2.2989999999999999"/>
  </r>
  <r>
    <n v="5224"/>
    <x v="796"/>
    <x v="3"/>
    <x v="5"/>
    <d v="2014-05-23T00:00:00"/>
    <n v="4"/>
    <x v="0"/>
    <s v="Paul Prost"/>
    <x v="2"/>
    <s v="United States"/>
    <s v="Springfield"/>
    <s v="Missouri"/>
    <s v="Central"/>
    <x v="1"/>
    <x v="8"/>
    <s v="Universal Recycled Hanging Pressboard Report Binders, Letter Size"/>
    <x v="3707"/>
    <n v="7"/>
    <n v="0"/>
    <n v="20.731200000000001"/>
  </r>
  <r>
    <n v="5225"/>
    <x v="510"/>
    <x v="3"/>
    <x v="8"/>
    <d v="2014-09-18T00:00:00"/>
    <n v="5"/>
    <x v="0"/>
    <s v="John Murray"/>
    <x v="0"/>
    <s v="United States"/>
    <s v="Los Angeles"/>
    <s v="California"/>
    <s v="West"/>
    <x v="1"/>
    <x v="10"/>
    <s v="Eaton Premium Continuous-Feed Paper, 25% Cotton, Letter Size, White, 1000 Shts/Box"/>
    <x v="1668"/>
    <n v="3"/>
    <n v="0"/>
    <n v="79.891199999999998"/>
  </r>
  <r>
    <n v="5226"/>
    <x v="1028"/>
    <x v="0"/>
    <x v="1"/>
    <d v="2013-06-27T00:00:00"/>
    <n v="5"/>
    <x v="1"/>
    <s v="Adam Shillingsburg"/>
    <x v="0"/>
    <s v="United States"/>
    <s v="New York City"/>
    <s v="New York"/>
    <s v="East"/>
    <x v="1"/>
    <x v="8"/>
    <s v="SpineVue Locking Slant-D Ring Binders by Cardinal"/>
    <x v="3708"/>
    <n v="5"/>
    <n v="0.2"/>
    <n v="12.795999999999999"/>
  </r>
  <r>
    <n v="5227"/>
    <x v="1028"/>
    <x v="0"/>
    <x v="1"/>
    <d v="2013-06-27T00:00:00"/>
    <n v="5"/>
    <x v="1"/>
    <s v="Adam Shillingsburg"/>
    <x v="0"/>
    <s v="United States"/>
    <s v="New York City"/>
    <s v="New York"/>
    <s v="East"/>
    <x v="1"/>
    <x v="8"/>
    <s v="Premium Transparent Presentation Covers, No Pattern/Clear, 8 1/2&quot; x 11&quot;"/>
    <x v="3709"/>
    <n v="6"/>
    <n v="0.2"/>
    <n v="60.4968"/>
  </r>
  <r>
    <n v="5228"/>
    <x v="1028"/>
    <x v="0"/>
    <x v="1"/>
    <d v="2013-06-27T00:00:00"/>
    <n v="5"/>
    <x v="1"/>
    <s v="Adam Shillingsburg"/>
    <x v="0"/>
    <s v="United States"/>
    <s v="New York City"/>
    <s v="New York"/>
    <s v="East"/>
    <x v="0"/>
    <x v="0"/>
    <s v="O'Sullivan Living Dimensions 5-Shelf Bookcases"/>
    <x v="3710"/>
    <n v="2"/>
    <n v="0.2"/>
    <n v="-44.195999999999998"/>
  </r>
  <r>
    <n v="5229"/>
    <x v="35"/>
    <x v="2"/>
    <x v="0"/>
    <d v="2011-12-01T00:00:00"/>
    <n v="5"/>
    <x v="1"/>
    <s v="Lindsay Shagiari"/>
    <x v="2"/>
    <s v="United States"/>
    <s v="San Francisco"/>
    <s v="California"/>
    <s v="West"/>
    <x v="1"/>
    <x v="10"/>
    <s v="Xerox 1893"/>
    <x v="2597"/>
    <n v="2"/>
    <n v="0"/>
    <n v="40.170200000000001"/>
  </r>
  <r>
    <n v="5230"/>
    <x v="498"/>
    <x v="3"/>
    <x v="10"/>
    <d v="2014-03-23T00:00:00"/>
    <n v="3"/>
    <x v="0"/>
    <s v="Sue Ann Reed"/>
    <x v="0"/>
    <s v="United States"/>
    <s v="Fresno"/>
    <s v="California"/>
    <s v="West"/>
    <x v="1"/>
    <x v="8"/>
    <s v="SpineVue Locking Slant-D Ring Binders by Cardinal"/>
    <x v="892"/>
    <n v="2"/>
    <n v="0.2"/>
    <n v="5.1184000000000003"/>
  </r>
  <r>
    <n v="5231"/>
    <x v="498"/>
    <x v="3"/>
    <x v="10"/>
    <d v="2014-03-23T00:00:00"/>
    <n v="3"/>
    <x v="0"/>
    <s v="Sue Ann Reed"/>
    <x v="0"/>
    <s v="United States"/>
    <s v="Fresno"/>
    <s v="California"/>
    <s v="West"/>
    <x v="0"/>
    <x v="3"/>
    <s v="Chromcraft Round Conference Tables"/>
    <x v="936"/>
    <n v="5"/>
    <n v="0.2"/>
    <n v="8.7144999999999992"/>
  </r>
  <r>
    <n v="5232"/>
    <x v="498"/>
    <x v="3"/>
    <x v="10"/>
    <d v="2014-03-23T00:00:00"/>
    <n v="3"/>
    <x v="0"/>
    <s v="Sue Ann Reed"/>
    <x v="0"/>
    <s v="United States"/>
    <s v="Fresno"/>
    <s v="California"/>
    <s v="West"/>
    <x v="0"/>
    <x v="5"/>
    <s v="Advantus Employee of the Month Certificate Frame, 11 x 13-1/2"/>
    <x v="3711"/>
    <n v="1"/>
    <n v="0"/>
    <n v="12.6813"/>
  </r>
  <r>
    <n v="5233"/>
    <x v="498"/>
    <x v="3"/>
    <x v="10"/>
    <d v="2014-03-23T00:00:00"/>
    <n v="3"/>
    <x v="0"/>
    <s v="Sue Ann Reed"/>
    <x v="0"/>
    <s v="United States"/>
    <s v="Fresno"/>
    <s v="California"/>
    <s v="West"/>
    <x v="1"/>
    <x v="8"/>
    <s v="Pressboard Covers with Storage Hooks, 9 1/2&quot; x 11&quot;, Light Blue"/>
    <x v="3712"/>
    <n v="7"/>
    <n v="0.2"/>
    <n v="9.2798999999999996"/>
  </r>
  <r>
    <n v="5234"/>
    <x v="638"/>
    <x v="2"/>
    <x v="2"/>
    <d v="2011-10-22T00:00:00"/>
    <n v="4"/>
    <x v="1"/>
    <s v="Luke Schmidt"/>
    <x v="1"/>
    <s v="United States"/>
    <s v="Texarkana"/>
    <s v="Arkansas"/>
    <s v="South"/>
    <x v="0"/>
    <x v="1"/>
    <s v="Office Star Flex Back Scooter Chair with Aluminum Finish Frame"/>
    <x v="3713"/>
    <n v="6"/>
    <n v="0"/>
    <n v="145.2816"/>
  </r>
  <r>
    <n v="5235"/>
    <x v="1029"/>
    <x v="3"/>
    <x v="6"/>
    <d v="2014-08-24T00:00:00"/>
    <n v="1"/>
    <x v="2"/>
    <s v="Tony Molinari"/>
    <x v="0"/>
    <s v="United States"/>
    <s v="San Francisco"/>
    <s v="California"/>
    <s v="West"/>
    <x v="0"/>
    <x v="3"/>
    <s v="Hon Racetrack Conference Tables"/>
    <x v="3714"/>
    <n v="1"/>
    <n v="0.2"/>
    <n v="2.6251000000000002"/>
  </r>
  <r>
    <n v="5236"/>
    <x v="258"/>
    <x v="0"/>
    <x v="0"/>
    <d v="2013-11-23T00:00:00"/>
    <n v="3"/>
    <x v="2"/>
    <s v="Tim Taslimi"/>
    <x v="1"/>
    <s v="United States"/>
    <s v="Indianapolis"/>
    <s v="Indiana"/>
    <s v="Central"/>
    <x v="1"/>
    <x v="9"/>
    <s v="Acco 6 Outlet Guardian Premium Plus Surge Suppressor"/>
    <x v="3715"/>
    <n v="3"/>
    <n v="0"/>
    <n v="15.9384"/>
  </r>
  <r>
    <n v="5237"/>
    <x v="59"/>
    <x v="2"/>
    <x v="8"/>
    <d v="2011-09-24T00:00:00"/>
    <n v="4"/>
    <x v="1"/>
    <s v="Duane Noonan"/>
    <x v="0"/>
    <s v="United States"/>
    <s v="Columbia"/>
    <s v="Maryland"/>
    <s v="East"/>
    <x v="0"/>
    <x v="5"/>
    <s v="C-Line Cubicle Keepers Polyproplyene Holder w/Velcro Back, 8-1/2x11, 25/Bx"/>
    <x v="3716"/>
    <n v="3"/>
    <n v="0"/>
    <n v="50.908200000000001"/>
  </r>
  <r>
    <n v="5238"/>
    <x v="59"/>
    <x v="2"/>
    <x v="8"/>
    <d v="2011-09-24T00:00:00"/>
    <n v="4"/>
    <x v="1"/>
    <s v="Duane Noonan"/>
    <x v="0"/>
    <s v="United States"/>
    <s v="Columbia"/>
    <s v="Maryland"/>
    <s v="East"/>
    <x v="0"/>
    <x v="0"/>
    <s v="O'Sullivan Living Dimensions 2-Shelf Bookcases"/>
    <x v="1033"/>
    <n v="3"/>
    <n v="0"/>
    <n v="36.293999999999997"/>
  </r>
  <r>
    <n v="5239"/>
    <x v="59"/>
    <x v="2"/>
    <x v="8"/>
    <d v="2011-09-24T00:00:00"/>
    <n v="4"/>
    <x v="1"/>
    <s v="Duane Noonan"/>
    <x v="0"/>
    <s v="United States"/>
    <s v="Columbia"/>
    <s v="Maryland"/>
    <s v="East"/>
    <x v="2"/>
    <x v="11"/>
    <s v="Logitech 910-002974 M325 Wireless Mouse for Web Scrolling"/>
    <x v="2759"/>
    <n v="2"/>
    <n v="0"/>
    <n v="26.391200000000001"/>
  </r>
  <r>
    <n v="5240"/>
    <x v="108"/>
    <x v="0"/>
    <x v="8"/>
    <d v="2013-09-18T00:00:00"/>
    <n v="6"/>
    <x v="1"/>
    <s v="Eugene Barchas"/>
    <x v="0"/>
    <s v="United States"/>
    <s v="San Jose"/>
    <s v="California"/>
    <s v="West"/>
    <x v="1"/>
    <x v="4"/>
    <s v="Stur-D-Stor Shelving, Vertical 5-Shelf: 72&quot;H x 36&quot;W x 18 1/2&quot;D"/>
    <x v="737"/>
    <n v="3"/>
    <n v="0"/>
    <n v="6.6588000000000003"/>
  </r>
  <r>
    <n v="5241"/>
    <x v="108"/>
    <x v="0"/>
    <x v="8"/>
    <d v="2013-09-18T00:00:00"/>
    <n v="6"/>
    <x v="1"/>
    <s v="Eugene Barchas"/>
    <x v="0"/>
    <s v="United States"/>
    <s v="San Jose"/>
    <s v="California"/>
    <s v="West"/>
    <x v="1"/>
    <x v="8"/>
    <s v="GBC Standard Therm-A-Bind Covers"/>
    <x v="3717"/>
    <n v="2"/>
    <n v="0.2"/>
    <n v="12.958399999999999"/>
  </r>
  <r>
    <n v="5242"/>
    <x v="713"/>
    <x v="0"/>
    <x v="8"/>
    <d v="2013-09-27T00:00:00"/>
    <n v="3"/>
    <x v="0"/>
    <s v="Candace McMahon"/>
    <x v="1"/>
    <s v="United States"/>
    <s v="Seattle"/>
    <s v="Washington"/>
    <s v="West"/>
    <x v="1"/>
    <x v="14"/>
    <s v="Acme Design Stainless Steel Bent Scissors"/>
    <x v="3718"/>
    <n v="2"/>
    <n v="0"/>
    <n v="3.6936"/>
  </r>
  <r>
    <n v="5243"/>
    <x v="1018"/>
    <x v="3"/>
    <x v="6"/>
    <d v="2014-08-09T00:00:00"/>
    <n v="4"/>
    <x v="1"/>
    <s v="Harry Marie"/>
    <x v="1"/>
    <s v="United States"/>
    <s v="Carrollton"/>
    <s v="Texas"/>
    <s v="Central"/>
    <x v="1"/>
    <x v="8"/>
    <s v="Avery Durable Poly Binders"/>
    <x v="618"/>
    <n v="3"/>
    <n v="0.8"/>
    <n v="-5.6406000000000001"/>
  </r>
  <r>
    <n v="5244"/>
    <x v="197"/>
    <x v="0"/>
    <x v="7"/>
    <d v="2013-07-27T00:00:00"/>
    <n v="1"/>
    <x v="2"/>
    <s v="Katherine Murray"/>
    <x v="2"/>
    <s v="United States"/>
    <s v="Arlington"/>
    <s v="Virginia"/>
    <s v="South"/>
    <x v="1"/>
    <x v="8"/>
    <s v="Avery 3 1/2&quot; Diskette Storage Pages, 10/Pack"/>
    <x v="822"/>
    <n v="1"/>
    <n v="0"/>
    <n v="4.8023999999999996"/>
  </r>
  <r>
    <n v="5245"/>
    <x v="1030"/>
    <x v="0"/>
    <x v="6"/>
    <d v="2013-08-05T00:00:00"/>
    <n v="2"/>
    <x v="0"/>
    <s v="Barry Französisch"/>
    <x v="1"/>
    <s v="United States"/>
    <s v="Los Angeles"/>
    <s v="California"/>
    <s v="West"/>
    <x v="0"/>
    <x v="3"/>
    <s v="Barricks Non-Folding Utility Table with Steel Legs, Laminate Tops"/>
    <x v="3719"/>
    <n v="2"/>
    <n v="0.2"/>
    <n v="15.3522"/>
  </r>
  <r>
    <n v="5246"/>
    <x v="1030"/>
    <x v="0"/>
    <x v="6"/>
    <d v="2013-08-05T00:00:00"/>
    <n v="2"/>
    <x v="0"/>
    <s v="Barry Französisch"/>
    <x v="1"/>
    <s v="United States"/>
    <s v="Los Angeles"/>
    <s v="California"/>
    <s v="West"/>
    <x v="2"/>
    <x v="7"/>
    <s v="Nortel Business Series Terminal T7208 Digital phone"/>
    <x v="3720"/>
    <n v="3"/>
    <n v="0.2"/>
    <n v="33.357599999999998"/>
  </r>
  <r>
    <n v="5247"/>
    <x v="1030"/>
    <x v="0"/>
    <x v="6"/>
    <d v="2013-08-05T00:00:00"/>
    <n v="2"/>
    <x v="0"/>
    <s v="Barry Französisch"/>
    <x v="1"/>
    <s v="United States"/>
    <s v="Los Angeles"/>
    <s v="California"/>
    <s v="West"/>
    <x v="1"/>
    <x v="8"/>
    <s v="XtraLife ClearVue Slant-D Ring Binders by Cardinal"/>
    <x v="2002"/>
    <n v="2"/>
    <n v="0.2"/>
    <n v="4.7039999999999997"/>
  </r>
  <r>
    <n v="5248"/>
    <x v="1031"/>
    <x v="1"/>
    <x v="5"/>
    <d v="2012-05-27T00:00:00"/>
    <n v="6"/>
    <x v="1"/>
    <s v="Joel Eaton"/>
    <x v="0"/>
    <s v="United States"/>
    <s v="Frankfort"/>
    <s v="Illinois"/>
    <s v="Central"/>
    <x v="1"/>
    <x v="9"/>
    <s v="Fellowes Basic Home/Office Series Surge Protectors"/>
    <x v="3721"/>
    <n v="8"/>
    <n v="0.8"/>
    <n v="-52.958399999999997"/>
  </r>
  <r>
    <n v="5249"/>
    <x v="132"/>
    <x v="3"/>
    <x v="0"/>
    <d v="2014-11-06T00:00:00"/>
    <n v="2"/>
    <x v="0"/>
    <s v="Eva Jacobs"/>
    <x v="0"/>
    <s v="United States"/>
    <s v="Seattle"/>
    <s v="Washington"/>
    <s v="West"/>
    <x v="2"/>
    <x v="11"/>
    <s v="HP Standard 104 key PS/2 Keyboard"/>
    <x v="3722"/>
    <n v="3"/>
    <n v="0"/>
    <n v="10.875"/>
  </r>
  <r>
    <n v="5250"/>
    <x v="392"/>
    <x v="1"/>
    <x v="3"/>
    <d v="2012-04-21T00:00:00"/>
    <n v="5"/>
    <x v="1"/>
    <s v="Brad Norvell"/>
    <x v="1"/>
    <s v="United States"/>
    <s v="Philadelphia"/>
    <s v="Pennsylvania"/>
    <s v="East"/>
    <x v="1"/>
    <x v="13"/>
    <s v="Staples"/>
    <x v="3723"/>
    <n v="4"/>
    <n v="0.2"/>
    <n v="4.0872000000000002"/>
  </r>
  <r>
    <n v="5251"/>
    <x v="939"/>
    <x v="0"/>
    <x v="4"/>
    <d v="2013-12-19T00:00:00"/>
    <n v="6"/>
    <x v="1"/>
    <s v="Erin Creighton"/>
    <x v="0"/>
    <s v="United States"/>
    <s v="Columbus"/>
    <s v="Georgia"/>
    <s v="South"/>
    <x v="2"/>
    <x v="11"/>
    <s v="Case Logic 2.4GHz Wireless Keyboard"/>
    <x v="2857"/>
    <n v="5"/>
    <n v="0"/>
    <n v="19.995999999999999"/>
  </r>
  <r>
    <n v="5252"/>
    <x v="939"/>
    <x v="0"/>
    <x v="4"/>
    <d v="2013-12-19T00:00:00"/>
    <n v="6"/>
    <x v="1"/>
    <s v="Erin Creighton"/>
    <x v="0"/>
    <s v="United States"/>
    <s v="Columbus"/>
    <s v="Georgia"/>
    <s v="South"/>
    <x v="1"/>
    <x v="10"/>
    <s v="Xerox 1907"/>
    <x v="335"/>
    <n v="4"/>
    <n v="0"/>
    <n v="23.086400000000001"/>
  </r>
  <r>
    <n v="5253"/>
    <x v="628"/>
    <x v="1"/>
    <x v="2"/>
    <d v="2012-11-02T00:00:00"/>
    <n v="3"/>
    <x v="2"/>
    <s v="Thomas Thornton"/>
    <x v="0"/>
    <s v="United States"/>
    <s v="Virginia Beach"/>
    <s v="Virginia"/>
    <s v="South"/>
    <x v="1"/>
    <x v="9"/>
    <s v="Tripp Lite Isotel 6 Outlet Surge Protector with Fax/Modem Protection"/>
    <x v="3724"/>
    <n v="3"/>
    <n v="0"/>
    <n v="53.043900000000001"/>
  </r>
  <r>
    <n v="5254"/>
    <x v="1009"/>
    <x v="2"/>
    <x v="10"/>
    <d v="2011-03-11T00:00:00"/>
    <n v="4"/>
    <x v="0"/>
    <s v="Nora Pelletier"/>
    <x v="2"/>
    <s v="United States"/>
    <s v="Des Moines"/>
    <s v="Washington"/>
    <s v="West"/>
    <x v="1"/>
    <x v="8"/>
    <s v="Catalog Binders with Expanding Posts"/>
    <x v="3725"/>
    <n v="2"/>
    <n v="0.2"/>
    <n v="33.64"/>
  </r>
  <r>
    <n v="5255"/>
    <x v="616"/>
    <x v="1"/>
    <x v="10"/>
    <d v="2012-03-07T00:00:00"/>
    <n v="2"/>
    <x v="0"/>
    <s v="Alan Haines"/>
    <x v="1"/>
    <s v="United States"/>
    <s v="Bethlehem"/>
    <s v="Pennsylvania"/>
    <s v="East"/>
    <x v="0"/>
    <x v="1"/>
    <s v="Situations Contoured Folding Chairs, 4/Set"/>
    <x v="2742"/>
    <n v="2"/>
    <n v="0.3"/>
    <n v="-7.0979999999999999"/>
  </r>
  <r>
    <n v="5256"/>
    <x v="616"/>
    <x v="1"/>
    <x v="10"/>
    <d v="2012-03-07T00:00:00"/>
    <n v="2"/>
    <x v="0"/>
    <s v="Alan Haines"/>
    <x v="1"/>
    <s v="United States"/>
    <s v="Bethlehem"/>
    <s v="Pennsylvania"/>
    <s v="East"/>
    <x v="0"/>
    <x v="5"/>
    <s v="36X48 HARDFLOOR CHAIRMAT"/>
    <x v="2939"/>
    <n v="2"/>
    <n v="0.2"/>
    <n v="-5.4547999999999996"/>
  </r>
  <r>
    <n v="5257"/>
    <x v="590"/>
    <x v="0"/>
    <x v="6"/>
    <d v="2013-08-15T00:00:00"/>
    <n v="6"/>
    <x v="1"/>
    <s v="Charles Crestani"/>
    <x v="0"/>
    <s v="United States"/>
    <s v="Oklahoma City"/>
    <s v="Oklahoma"/>
    <s v="Central"/>
    <x v="1"/>
    <x v="10"/>
    <s v="Xerox 1954"/>
    <x v="232"/>
    <n v="2"/>
    <n v="0"/>
    <n v="4.7519999999999998"/>
  </r>
  <r>
    <n v="5258"/>
    <x v="1032"/>
    <x v="3"/>
    <x v="9"/>
    <d v="2014-01-09T00:00:00"/>
    <n v="5"/>
    <x v="1"/>
    <s v="Delfina Latchford"/>
    <x v="0"/>
    <s v="United States"/>
    <s v="Rancho Cucamonga"/>
    <s v="California"/>
    <s v="West"/>
    <x v="1"/>
    <x v="10"/>
    <s v="Xerox 1905"/>
    <x v="783"/>
    <n v="6"/>
    <n v="0"/>
    <n v="18.662400000000002"/>
  </r>
  <r>
    <n v="5259"/>
    <x v="449"/>
    <x v="3"/>
    <x v="2"/>
    <d v="2014-10-12T00:00:00"/>
    <n v="2"/>
    <x v="2"/>
    <s v="Xylona Preis"/>
    <x v="0"/>
    <s v="United States"/>
    <s v="Los Angeles"/>
    <s v="California"/>
    <s v="West"/>
    <x v="1"/>
    <x v="10"/>
    <s v="Wirebound Message Books, 2 7/8&quot; x 5&quot;, 3 Forms per Page"/>
    <x v="3726"/>
    <n v="5"/>
    <n v="0"/>
    <n v="16.544"/>
  </r>
  <r>
    <n v="5260"/>
    <x v="179"/>
    <x v="3"/>
    <x v="2"/>
    <d v="2014-10-27T00:00:00"/>
    <n v="6"/>
    <x v="1"/>
    <s v="Matt Abelman"/>
    <x v="2"/>
    <s v="United States"/>
    <s v="Philadelphia"/>
    <s v="Pennsylvania"/>
    <s v="East"/>
    <x v="1"/>
    <x v="10"/>
    <s v="Xerox 1887"/>
    <x v="2748"/>
    <n v="3"/>
    <n v="0.2"/>
    <n v="15.934799999999999"/>
  </r>
  <r>
    <n v="5261"/>
    <x v="557"/>
    <x v="2"/>
    <x v="8"/>
    <d v="2011-09-10T00:00:00"/>
    <n v="3"/>
    <x v="2"/>
    <s v="Sam Zeldin"/>
    <x v="2"/>
    <s v="United States"/>
    <s v="Houston"/>
    <s v="Texas"/>
    <s v="Central"/>
    <x v="2"/>
    <x v="7"/>
    <s v="Panasonic KX TS3282B Corded phone"/>
    <x v="2066"/>
    <n v="3"/>
    <n v="0.2"/>
    <n v="14.7582"/>
  </r>
  <r>
    <n v="5262"/>
    <x v="557"/>
    <x v="2"/>
    <x v="8"/>
    <d v="2011-09-10T00:00:00"/>
    <n v="3"/>
    <x v="2"/>
    <s v="Sam Zeldin"/>
    <x v="2"/>
    <s v="United States"/>
    <s v="Houston"/>
    <s v="Texas"/>
    <s v="Central"/>
    <x v="1"/>
    <x v="8"/>
    <s v="Angle-D Binders with Locking Rings, Label Holders"/>
    <x v="2775"/>
    <n v="2"/>
    <n v="0.8"/>
    <n v="-4.8179999999999996"/>
  </r>
  <r>
    <n v="5263"/>
    <x v="557"/>
    <x v="2"/>
    <x v="8"/>
    <d v="2011-09-10T00:00:00"/>
    <n v="3"/>
    <x v="2"/>
    <s v="Sam Zeldin"/>
    <x v="2"/>
    <s v="United States"/>
    <s v="Houston"/>
    <s v="Texas"/>
    <s v="Central"/>
    <x v="0"/>
    <x v="3"/>
    <s v="Riverside Furniture Oval Coffee Table, Oval End Table, End Table with Drawer"/>
    <x v="3727"/>
    <n v="1"/>
    <n v="0.3"/>
    <n v="-22.948"/>
  </r>
  <r>
    <n v="5264"/>
    <x v="557"/>
    <x v="2"/>
    <x v="8"/>
    <d v="2011-09-10T00:00:00"/>
    <n v="3"/>
    <x v="2"/>
    <s v="Sam Zeldin"/>
    <x v="2"/>
    <s v="United States"/>
    <s v="Houston"/>
    <s v="Texas"/>
    <s v="Central"/>
    <x v="2"/>
    <x v="11"/>
    <s v="Belkin Standard 104 key USB Keyboard"/>
    <x v="3728"/>
    <n v="4"/>
    <n v="0.2"/>
    <n v="-2.9180000000000001"/>
  </r>
  <r>
    <n v="5265"/>
    <x v="557"/>
    <x v="2"/>
    <x v="8"/>
    <d v="2011-09-10T00:00:00"/>
    <n v="3"/>
    <x v="2"/>
    <s v="Sam Zeldin"/>
    <x v="2"/>
    <s v="United States"/>
    <s v="Houston"/>
    <s v="Texas"/>
    <s v="Central"/>
    <x v="1"/>
    <x v="6"/>
    <s v="Dixon Ticonderoga Core-Lock Colored Pencils"/>
    <x v="3729"/>
    <n v="3"/>
    <n v="0.2"/>
    <n v="3.5529000000000002"/>
  </r>
  <r>
    <n v="5266"/>
    <x v="1033"/>
    <x v="3"/>
    <x v="2"/>
    <d v="2014-10-04T00:00:00"/>
    <n v="3"/>
    <x v="2"/>
    <s v="Cari Sayre"/>
    <x v="1"/>
    <s v="United States"/>
    <s v="Seattle"/>
    <s v="Washington"/>
    <s v="West"/>
    <x v="1"/>
    <x v="10"/>
    <s v="Adams Telephone Message Book W/Dividers/Space For Phone Numbers, 5 1/4&quot;X8 1/2&quot;, 300/Messages"/>
    <x v="2660"/>
    <n v="2"/>
    <n v="0"/>
    <n v="5.7624000000000004"/>
  </r>
  <r>
    <n v="5267"/>
    <x v="1033"/>
    <x v="3"/>
    <x v="2"/>
    <d v="2014-10-04T00:00:00"/>
    <n v="3"/>
    <x v="2"/>
    <s v="Cari Sayre"/>
    <x v="1"/>
    <s v="United States"/>
    <s v="Seattle"/>
    <s v="Washington"/>
    <s v="West"/>
    <x v="1"/>
    <x v="10"/>
    <s v="Xerox 1882"/>
    <x v="3730"/>
    <n v="3"/>
    <n v="0"/>
    <n v="82.290599999999998"/>
  </r>
  <r>
    <n v="5268"/>
    <x v="1033"/>
    <x v="3"/>
    <x v="2"/>
    <d v="2014-10-04T00:00:00"/>
    <n v="3"/>
    <x v="2"/>
    <s v="Cari Sayre"/>
    <x v="1"/>
    <s v="United States"/>
    <s v="Seattle"/>
    <s v="Washington"/>
    <s v="West"/>
    <x v="1"/>
    <x v="9"/>
    <s v="Commercial WindTunnel Clean Air Upright Vacuum, Replacement Belts, Filtration Bags"/>
    <x v="3731"/>
    <n v="1"/>
    <n v="0"/>
    <n v="1.0114000000000001"/>
  </r>
  <r>
    <n v="5269"/>
    <x v="673"/>
    <x v="3"/>
    <x v="0"/>
    <d v="2014-11-22T00:00:00"/>
    <n v="5"/>
    <x v="1"/>
    <s v="Mick Hernandez"/>
    <x v="2"/>
    <s v="United States"/>
    <s v="Yonkers"/>
    <s v="New York"/>
    <s v="East"/>
    <x v="2"/>
    <x v="15"/>
    <s v="Hewlett-Packard 300S Scientific Calculator"/>
    <x v="3732"/>
    <n v="4"/>
    <n v="0"/>
    <n v="24.122399999999999"/>
  </r>
  <r>
    <n v="5270"/>
    <x v="220"/>
    <x v="3"/>
    <x v="8"/>
    <d v="2014-09-12T00:00:00"/>
    <n v="0"/>
    <x v="3"/>
    <s v="Cassandra Brandow"/>
    <x v="0"/>
    <s v="United States"/>
    <s v="San Francisco"/>
    <s v="California"/>
    <s v="West"/>
    <x v="0"/>
    <x v="5"/>
    <s v="6&quot; Cubicle Wall Clock, Black"/>
    <x v="3733"/>
    <n v="4"/>
    <n v="0"/>
    <n v="11.6496"/>
  </r>
  <r>
    <n v="5271"/>
    <x v="220"/>
    <x v="3"/>
    <x v="8"/>
    <d v="2014-09-12T00:00:00"/>
    <n v="0"/>
    <x v="3"/>
    <s v="Cassandra Brandow"/>
    <x v="0"/>
    <s v="United States"/>
    <s v="San Francisco"/>
    <s v="California"/>
    <s v="West"/>
    <x v="1"/>
    <x v="9"/>
    <s v="Kensington 4 Outlet MasterPiece Compact Power Control Center"/>
    <x v="840"/>
    <n v="5"/>
    <n v="0"/>
    <n v="113.848"/>
  </r>
  <r>
    <n v="5272"/>
    <x v="1034"/>
    <x v="3"/>
    <x v="9"/>
    <d v="2014-01-17T00:00:00"/>
    <n v="0"/>
    <x v="3"/>
    <s v="Jack O'Briant"/>
    <x v="1"/>
    <s v="United States"/>
    <s v="Los Angeles"/>
    <s v="California"/>
    <s v="West"/>
    <x v="0"/>
    <x v="5"/>
    <s v="Eldon Expressions Wood and Plastic Desk Accessories, Cherry Wood"/>
    <x v="3289"/>
    <n v="4"/>
    <n v="0"/>
    <n v="8.0968"/>
  </r>
  <r>
    <n v="5273"/>
    <x v="1034"/>
    <x v="3"/>
    <x v="9"/>
    <d v="2014-01-17T00:00:00"/>
    <n v="0"/>
    <x v="3"/>
    <s v="Jack O'Briant"/>
    <x v="1"/>
    <s v="United States"/>
    <s v="Los Angeles"/>
    <s v="California"/>
    <s v="West"/>
    <x v="0"/>
    <x v="3"/>
    <s v="Lesro Sheffield Collection Coffee Table, End Table, Center Table, Corner Table"/>
    <x v="3734"/>
    <n v="7"/>
    <n v="0.2"/>
    <n v="-14.9877"/>
  </r>
  <r>
    <n v="5274"/>
    <x v="491"/>
    <x v="0"/>
    <x v="0"/>
    <d v="2013-11-30T00:00:00"/>
    <n v="3"/>
    <x v="2"/>
    <s v="Pete Armstrong"/>
    <x v="2"/>
    <s v="United States"/>
    <s v="Miami"/>
    <s v="Florida"/>
    <s v="South"/>
    <x v="1"/>
    <x v="8"/>
    <s v="Zipper Ring Binder Pockets"/>
    <x v="3735"/>
    <n v="4"/>
    <n v="0.7"/>
    <n v="-2.6208"/>
  </r>
  <r>
    <n v="5275"/>
    <x v="209"/>
    <x v="1"/>
    <x v="0"/>
    <d v="2012-11-09T00:00:00"/>
    <n v="2"/>
    <x v="0"/>
    <s v="Stewart Visinsky"/>
    <x v="0"/>
    <s v="United States"/>
    <s v="Burlington"/>
    <s v="Vermont"/>
    <s v="East"/>
    <x v="0"/>
    <x v="1"/>
    <s v="Safco Contoured Stacking Chairs"/>
    <x v="3736"/>
    <n v="3"/>
    <n v="0"/>
    <n v="178.8"/>
  </r>
  <r>
    <n v="5276"/>
    <x v="817"/>
    <x v="3"/>
    <x v="4"/>
    <d v="2014-12-21T00:00:00"/>
    <n v="6"/>
    <x v="1"/>
    <s v="Kelly Lampkin"/>
    <x v="1"/>
    <s v="United States"/>
    <s v="Fayetteville"/>
    <s v="Arkansas"/>
    <s v="South"/>
    <x v="2"/>
    <x v="11"/>
    <s v="Microsoft Sculpt Comfort Mouse"/>
    <x v="3737"/>
    <n v="4"/>
    <n v="0"/>
    <n v="70.311999999999998"/>
  </r>
  <r>
    <n v="5277"/>
    <x v="817"/>
    <x v="3"/>
    <x v="4"/>
    <d v="2014-12-21T00:00:00"/>
    <n v="6"/>
    <x v="1"/>
    <s v="Kelly Lampkin"/>
    <x v="1"/>
    <s v="United States"/>
    <s v="Fayetteville"/>
    <s v="Arkansas"/>
    <s v="South"/>
    <x v="2"/>
    <x v="11"/>
    <s v="Kingston Digital DataTraveler 16GB USB 2.0"/>
    <x v="908"/>
    <n v="5"/>
    <n v="0"/>
    <n v="8.5024999999999995"/>
  </r>
  <r>
    <n v="5278"/>
    <x v="103"/>
    <x v="2"/>
    <x v="8"/>
    <d v="2011-09-17T00:00:00"/>
    <n v="4"/>
    <x v="1"/>
    <s v="Becky Castell"/>
    <x v="2"/>
    <s v="United States"/>
    <s v="Odessa"/>
    <s v="Texas"/>
    <s v="Central"/>
    <x v="0"/>
    <x v="1"/>
    <s v="Padded Folding Chairs, Black, 4/Carton"/>
    <x v="3738"/>
    <n v="6"/>
    <n v="0.3"/>
    <n v="-9.7175999999999991"/>
  </r>
  <r>
    <n v="5279"/>
    <x v="1035"/>
    <x v="2"/>
    <x v="4"/>
    <d v="2011-12-13T00:00:00"/>
    <n v="6"/>
    <x v="1"/>
    <s v="Patrick O'Brill"/>
    <x v="0"/>
    <s v="United States"/>
    <s v="Virginia Beach"/>
    <s v="Virginia"/>
    <s v="South"/>
    <x v="1"/>
    <x v="10"/>
    <s v="Xerox 1909"/>
    <x v="151"/>
    <n v="4"/>
    <n v="0"/>
    <n v="48.539200000000001"/>
  </r>
  <r>
    <n v="5280"/>
    <x v="210"/>
    <x v="3"/>
    <x v="8"/>
    <d v="2014-09-12T00:00:00"/>
    <n v="4"/>
    <x v="1"/>
    <s v="Anna Gayman"/>
    <x v="0"/>
    <s v="United States"/>
    <s v="Milwaukee"/>
    <s v="Wisconsin"/>
    <s v="Central"/>
    <x v="2"/>
    <x v="11"/>
    <s v="Rosewill 107 Normal Keys USB Wired Standard Keyboard"/>
    <x v="808"/>
    <n v="1"/>
    <n v="0"/>
    <n v="1.8872"/>
  </r>
  <r>
    <n v="5281"/>
    <x v="566"/>
    <x v="3"/>
    <x v="2"/>
    <d v="2014-10-13T00:00:00"/>
    <n v="5"/>
    <x v="1"/>
    <s v="Dean Braden"/>
    <x v="0"/>
    <s v="United States"/>
    <s v="Detroit"/>
    <s v="Michigan"/>
    <s v="Central"/>
    <x v="1"/>
    <x v="4"/>
    <s v="SAFCO Mobile Desk Side File, Wire Frame"/>
    <x v="2049"/>
    <n v="2"/>
    <n v="0"/>
    <n v="22.235199999999999"/>
  </r>
  <r>
    <n v="5282"/>
    <x v="577"/>
    <x v="1"/>
    <x v="8"/>
    <d v="2012-09-10T00:00:00"/>
    <n v="5"/>
    <x v="1"/>
    <s v="Sung Pak"/>
    <x v="1"/>
    <s v="United States"/>
    <s v="Rochester"/>
    <s v="Minnesota"/>
    <s v="Central"/>
    <x v="0"/>
    <x v="5"/>
    <s v="Longer-Life Soft White Bulbs"/>
    <x v="51"/>
    <n v="2"/>
    <n v="0"/>
    <n v="2.9567999999999999"/>
  </r>
  <r>
    <n v="5283"/>
    <x v="577"/>
    <x v="1"/>
    <x v="8"/>
    <d v="2012-09-10T00:00:00"/>
    <n v="5"/>
    <x v="1"/>
    <s v="Sung Pak"/>
    <x v="1"/>
    <s v="United States"/>
    <s v="Rochester"/>
    <s v="Minnesota"/>
    <s v="Central"/>
    <x v="1"/>
    <x v="10"/>
    <s v="Xerox 1881"/>
    <x v="651"/>
    <n v="3"/>
    <n v="0"/>
    <n v="17.314800000000002"/>
  </r>
  <r>
    <n v="5284"/>
    <x v="809"/>
    <x v="2"/>
    <x v="10"/>
    <d v="2011-04-04T00:00:00"/>
    <n v="5"/>
    <x v="1"/>
    <s v="Dorris liebe"/>
    <x v="1"/>
    <s v="United States"/>
    <s v="Seattle"/>
    <s v="Washington"/>
    <s v="West"/>
    <x v="1"/>
    <x v="4"/>
    <s v="Sterilite Show Offs Storage Containers"/>
    <x v="3329"/>
    <n v="3"/>
    <n v="0"/>
    <n v="0"/>
  </r>
  <r>
    <n v="5285"/>
    <x v="809"/>
    <x v="2"/>
    <x v="10"/>
    <d v="2011-04-04T00:00:00"/>
    <n v="5"/>
    <x v="1"/>
    <s v="Dorris liebe"/>
    <x v="1"/>
    <s v="United States"/>
    <s v="Seattle"/>
    <s v="Washington"/>
    <s v="West"/>
    <x v="1"/>
    <x v="2"/>
    <s v="Avery 490"/>
    <x v="1821"/>
    <n v="3"/>
    <n v="0"/>
    <n v="22.2"/>
  </r>
  <r>
    <n v="5286"/>
    <x v="1024"/>
    <x v="3"/>
    <x v="5"/>
    <d v="2014-05-07T00:00:00"/>
    <n v="1"/>
    <x v="2"/>
    <s v="Lisa Hazard"/>
    <x v="0"/>
    <s v="United States"/>
    <s v="Louisville"/>
    <s v="Colorado"/>
    <s v="West"/>
    <x v="1"/>
    <x v="12"/>
    <s v="Redi-Strip #10 Envelopes, 4 1/8 x 9 1/2"/>
    <x v="3259"/>
    <n v="9"/>
    <n v="0.2"/>
    <n v="7.4340000000000002"/>
  </r>
  <r>
    <n v="5287"/>
    <x v="1024"/>
    <x v="3"/>
    <x v="5"/>
    <d v="2014-05-07T00:00:00"/>
    <n v="1"/>
    <x v="2"/>
    <s v="Lisa Hazard"/>
    <x v="0"/>
    <s v="United States"/>
    <s v="Louisville"/>
    <s v="Colorado"/>
    <s v="West"/>
    <x v="1"/>
    <x v="8"/>
    <s v="Avery Durable Slant Ring Binders, No Labels"/>
    <x v="1235"/>
    <n v="8"/>
    <n v="0.7"/>
    <n v="-7.3231999999999999"/>
  </r>
  <r>
    <n v="5288"/>
    <x v="1024"/>
    <x v="3"/>
    <x v="5"/>
    <d v="2014-05-07T00:00:00"/>
    <n v="1"/>
    <x v="2"/>
    <s v="Lisa Hazard"/>
    <x v="0"/>
    <s v="United States"/>
    <s v="Louisville"/>
    <s v="Colorado"/>
    <s v="West"/>
    <x v="0"/>
    <x v="0"/>
    <s v="Bestar Classic Bookcase"/>
    <x v="3739"/>
    <n v="3"/>
    <n v="0.7"/>
    <n v="-152.9847"/>
  </r>
  <r>
    <n v="5289"/>
    <x v="504"/>
    <x v="3"/>
    <x v="5"/>
    <d v="2014-05-06T00:00:00"/>
    <n v="5"/>
    <x v="1"/>
    <s v="Alan Dominguez"/>
    <x v="2"/>
    <s v="United States"/>
    <s v="San Francisco"/>
    <s v="California"/>
    <s v="West"/>
    <x v="1"/>
    <x v="10"/>
    <s v="Xerox 1919"/>
    <x v="2844"/>
    <n v="4"/>
    <n v="0"/>
    <n v="80.340400000000002"/>
  </r>
  <r>
    <n v="5290"/>
    <x v="78"/>
    <x v="2"/>
    <x v="8"/>
    <d v="2011-09-15T00:00:00"/>
    <n v="7"/>
    <x v="1"/>
    <s v="Kean Takahito"/>
    <x v="0"/>
    <s v="United States"/>
    <s v="Houston"/>
    <s v="Texas"/>
    <s v="Central"/>
    <x v="1"/>
    <x v="10"/>
    <s v="Geographics Note Cards, Blank, White, 8 1/2&quot; x 11&quot;"/>
    <x v="3740"/>
    <n v="2"/>
    <n v="0.2"/>
    <n v="6.2664"/>
  </r>
  <r>
    <n v="5291"/>
    <x v="78"/>
    <x v="2"/>
    <x v="8"/>
    <d v="2011-09-15T00:00:00"/>
    <n v="7"/>
    <x v="1"/>
    <s v="Kean Takahito"/>
    <x v="0"/>
    <s v="United States"/>
    <s v="Houston"/>
    <s v="Texas"/>
    <s v="Central"/>
    <x v="0"/>
    <x v="1"/>
    <s v="SAFCO Arco Folding Chair"/>
    <x v="3741"/>
    <n v="5"/>
    <n v="0.3"/>
    <n v="-13.81"/>
  </r>
  <r>
    <n v="5292"/>
    <x v="78"/>
    <x v="2"/>
    <x v="8"/>
    <d v="2011-09-15T00:00:00"/>
    <n v="7"/>
    <x v="1"/>
    <s v="Kean Takahito"/>
    <x v="0"/>
    <s v="United States"/>
    <s v="Houston"/>
    <s v="Texas"/>
    <s v="Central"/>
    <x v="1"/>
    <x v="10"/>
    <s v="Snap-A-Way Black Print Carbonless Ruled Speed Letter, Triplicate"/>
    <x v="3742"/>
    <n v="6"/>
    <n v="0.2"/>
    <n v="61.462800000000001"/>
  </r>
  <r>
    <n v="5293"/>
    <x v="308"/>
    <x v="3"/>
    <x v="1"/>
    <d v="2014-06-24T00:00:00"/>
    <n v="3"/>
    <x v="2"/>
    <s v="Pauline Johnson"/>
    <x v="0"/>
    <s v="United States"/>
    <s v="Miami"/>
    <s v="Florida"/>
    <s v="South"/>
    <x v="1"/>
    <x v="4"/>
    <s v="Plastic Stacking Crates &amp; Casters"/>
    <x v="3743"/>
    <n v="1"/>
    <n v="0.2"/>
    <n v="0.33479999999999999"/>
  </r>
  <r>
    <n v="5294"/>
    <x v="207"/>
    <x v="1"/>
    <x v="4"/>
    <d v="2012-12-30T00:00:00"/>
    <n v="4"/>
    <x v="1"/>
    <s v="Mick Crebagga"/>
    <x v="0"/>
    <s v="United States"/>
    <s v="Medina"/>
    <s v="Ohio"/>
    <s v="East"/>
    <x v="0"/>
    <x v="3"/>
    <s v="KI Adjustable-Height Table"/>
    <x v="3744"/>
    <n v="1"/>
    <n v="0.4"/>
    <n v="-15.4764"/>
  </r>
  <r>
    <n v="5295"/>
    <x v="733"/>
    <x v="3"/>
    <x v="6"/>
    <d v="2014-08-20T00:00:00"/>
    <n v="4"/>
    <x v="1"/>
    <s v="Bill Overfelt"/>
    <x v="1"/>
    <s v="United States"/>
    <s v="Roseville"/>
    <s v="Minnesota"/>
    <s v="Central"/>
    <x v="1"/>
    <x v="2"/>
    <s v="Avery 495"/>
    <x v="3745"/>
    <n v="8"/>
    <n v="0"/>
    <n v="23.184000000000001"/>
  </r>
  <r>
    <n v="5296"/>
    <x v="168"/>
    <x v="3"/>
    <x v="10"/>
    <d v="2014-03-10T00:00:00"/>
    <n v="5"/>
    <x v="1"/>
    <s v="Darren Powers"/>
    <x v="0"/>
    <s v="United States"/>
    <s v="Houston"/>
    <s v="Texas"/>
    <s v="Central"/>
    <x v="1"/>
    <x v="10"/>
    <s v="Xerox 1934"/>
    <x v="2806"/>
    <n v="2"/>
    <n v="0.2"/>
    <n v="32.468400000000003"/>
  </r>
  <r>
    <n v="5297"/>
    <x v="944"/>
    <x v="3"/>
    <x v="7"/>
    <d v="2014-08-01T00:00:00"/>
    <n v="4"/>
    <x v="1"/>
    <s v="Tony Molinari"/>
    <x v="0"/>
    <s v="United States"/>
    <s v="Yonkers"/>
    <s v="New York"/>
    <s v="East"/>
    <x v="0"/>
    <x v="5"/>
    <s v="Tensor Computer Mounted Lamp"/>
    <x v="3746"/>
    <n v="1"/>
    <n v="0"/>
    <n v="4.0202999999999998"/>
  </r>
  <r>
    <n v="5298"/>
    <x v="944"/>
    <x v="3"/>
    <x v="7"/>
    <d v="2014-08-01T00:00:00"/>
    <n v="4"/>
    <x v="1"/>
    <s v="Tony Molinari"/>
    <x v="0"/>
    <s v="United States"/>
    <s v="Yonkers"/>
    <s v="New York"/>
    <s v="East"/>
    <x v="2"/>
    <x v="7"/>
    <s v="Nortel Networks T7316 E Nt8 B27"/>
    <x v="815"/>
    <n v="8"/>
    <n v="0"/>
    <n v="135.97999999999999"/>
  </r>
  <r>
    <n v="5299"/>
    <x v="713"/>
    <x v="0"/>
    <x v="8"/>
    <d v="2013-09-27T00:00:00"/>
    <n v="3"/>
    <x v="2"/>
    <s v="Darrin Van Huff"/>
    <x v="1"/>
    <s v="United States"/>
    <s v="San Diego"/>
    <s v="California"/>
    <s v="West"/>
    <x v="1"/>
    <x v="12"/>
    <s v="Poly String Tie Envelopes"/>
    <x v="3747"/>
    <n v="2"/>
    <n v="0"/>
    <n v="1.9176"/>
  </r>
  <r>
    <n v="5300"/>
    <x v="713"/>
    <x v="0"/>
    <x v="8"/>
    <d v="2013-09-27T00:00:00"/>
    <n v="3"/>
    <x v="2"/>
    <s v="Darrin Van Huff"/>
    <x v="1"/>
    <s v="United States"/>
    <s v="San Diego"/>
    <s v="California"/>
    <s v="West"/>
    <x v="1"/>
    <x v="2"/>
    <s v="Avery 51"/>
    <x v="1365"/>
    <n v="3"/>
    <n v="0"/>
    <n v="8.6940000000000008"/>
  </r>
  <r>
    <n v="5301"/>
    <x v="198"/>
    <x v="0"/>
    <x v="5"/>
    <d v="2013-06-04T00:00:00"/>
    <n v="4"/>
    <x v="1"/>
    <s v="Anna Häberlin"/>
    <x v="1"/>
    <s v="United States"/>
    <s v="Springfield"/>
    <s v="Virginia"/>
    <s v="South"/>
    <x v="0"/>
    <x v="3"/>
    <s v="Hon Rectangular Conference Tables"/>
    <x v="3748"/>
    <n v="10"/>
    <n v="0"/>
    <n v="386.83499999999998"/>
  </r>
  <r>
    <n v="5302"/>
    <x v="198"/>
    <x v="0"/>
    <x v="5"/>
    <d v="2013-06-04T00:00:00"/>
    <n v="4"/>
    <x v="1"/>
    <s v="Anna Häberlin"/>
    <x v="1"/>
    <s v="United States"/>
    <s v="Springfield"/>
    <s v="Virginia"/>
    <s v="South"/>
    <x v="2"/>
    <x v="11"/>
    <s v="Plantronics CS510 - Over-the-Head monaural Wireless Headset System"/>
    <x v="3749"/>
    <n v="6"/>
    <n v="0"/>
    <n v="653.30100000000004"/>
  </r>
  <r>
    <n v="5303"/>
    <x v="198"/>
    <x v="0"/>
    <x v="5"/>
    <d v="2013-06-04T00:00:00"/>
    <n v="4"/>
    <x v="1"/>
    <s v="Anna Häberlin"/>
    <x v="1"/>
    <s v="United States"/>
    <s v="Springfield"/>
    <s v="Virginia"/>
    <s v="South"/>
    <x v="1"/>
    <x v="2"/>
    <s v="Avery 473"/>
    <x v="3750"/>
    <n v="6"/>
    <n v="0"/>
    <n v="29.808"/>
  </r>
  <r>
    <n v="5304"/>
    <x v="912"/>
    <x v="2"/>
    <x v="0"/>
    <d v="2011-11-20T00:00:00"/>
    <n v="4"/>
    <x v="1"/>
    <s v="Alan Barnes"/>
    <x v="0"/>
    <s v="United States"/>
    <s v="Decatur"/>
    <s v="Illinois"/>
    <s v="Central"/>
    <x v="0"/>
    <x v="1"/>
    <s v="SAFCO Optional Arm Kit for Workspace Cribbage Stacking Chair"/>
    <x v="3751"/>
    <n v="2"/>
    <n v="0.3"/>
    <n v="-1.0656000000000001"/>
  </r>
  <r>
    <n v="5305"/>
    <x v="158"/>
    <x v="2"/>
    <x v="8"/>
    <d v="2011-09-23T00:00:00"/>
    <n v="2"/>
    <x v="2"/>
    <s v="Joni Sundaresam"/>
    <x v="2"/>
    <s v="United States"/>
    <s v="Garland"/>
    <s v="Texas"/>
    <s v="Central"/>
    <x v="0"/>
    <x v="5"/>
    <s v="Dana Swing-Arm Lamps"/>
    <x v="1076"/>
    <n v="2"/>
    <n v="0.6"/>
    <n v="-7.476"/>
  </r>
  <r>
    <n v="5306"/>
    <x v="823"/>
    <x v="0"/>
    <x v="11"/>
    <d v="2013-02-26T00:00:00"/>
    <n v="5"/>
    <x v="1"/>
    <s v="Benjamin Venier"/>
    <x v="1"/>
    <s v="United States"/>
    <s v="Oceanside"/>
    <s v="New York"/>
    <s v="East"/>
    <x v="0"/>
    <x v="5"/>
    <s v="9-3/4 Diameter Round Wall Clock"/>
    <x v="3752"/>
    <n v="5"/>
    <n v="0"/>
    <n v="28.959"/>
  </r>
  <r>
    <n v="5307"/>
    <x v="823"/>
    <x v="0"/>
    <x v="11"/>
    <d v="2013-02-26T00:00:00"/>
    <n v="5"/>
    <x v="1"/>
    <s v="Benjamin Venier"/>
    <x v="1"/>
    <s v="United States"/>
    <s v="Oceanside"/>
    <s v="New York"/>
    <s v="East"/>
    <x v="1"/>
    <x v="4"/>
    <s v="Recycled Data-Pak for Archival Bound Computer Printouts, 12-1/2 x 12-1/2 x 16"/>
    <x v="676"/>
    <n v="3"/>
    <n v="0"/>
    <n v="80.019900000000007"/>
  </r>
  <r>
    <n v="5308"/>
    <x v="823"/>
    <x v="0"/>
    <x v="11"/>
    <d v="2013-02-26T00:00:00"/>
    <n v="5"/>
    <x v="1"/>
    <s v="Benjamin Venier"/>
    <x v="1"/>
    <s v="United States"/>
    <s v="Oceanside"/>
    <s v="New York"/>
    <s v="East"/>
    <x v="2"/>
    <x v="7"/>
    <s v="iOttie HLCRIO102 Car Mount"/>
    <x v="369"/>
    <n v="2"/>
    <n v="0"/>
    <n v="1.9990000000000001"/>
  </r>
  <r>
    <n v="5309"/>
    <x v="123"/>
    <x v="3"/>
    <x v="0"/>
    <d v="2014-11-22T00:00:00"/>
    <n v="2"/>
    <x v="2"/>
    <s v="Nathan Cano"/>
    <x v="0"/>
    <s v="United States"/>
    <s v="Houston"/>
    <s v="Texas"/>
    <s v="Central"/>
    <x v="0"/>
    <x v="1"/>
    <s v="Global Wood Trimmed Manager's Task Chair, Khaki"/>
    <x v="3753"/>
    <n v="3"/>
    <n v="0.3"/>
    <n v="-46.399799999999999"/>
  </r>
  <r>
    <n v="5310"/>
    <x v="123"/>
    <x v="3"/>
    <x v="0"/>
    <d v="2014-11-22T00:00:00"/>
    <n v="2"/>
    <x v="2"/>
    <s v="Nathan Cano"/>
    <x v="0"/>
    <s v="United States"/>
    <s v="Houston"/>
    <s v="Texas"/>
    <s v="Central"/>
    <x v="1"/>
    <x v="6"/>
    <s v="Avery Hi-Liter GlideStik Fluorescent Highlighter, Yellow Ink"/>
    <x v="3754"/>
    <n v="5"/>
    <n v="0.2"/>
    <n v="3.9119999999999999"/>
  </r>
  <r>
    <n v="5311"/>
    <x v="123"/>
    <x v="3"/>
    <x v="0"/>
    <d v="2014-11-22T00:00:00"/>
    <n v="2"/>
    <x v="2"/>
    <s v="Nathan Cano"/>
    <x v="0"/>
    <s v="United States"/>
    <s v="Houston"/>
    <s v="Texas"/>
    <s v="Central"/>
    <x v="1"/>
    <x v="8"/>
    <s v="Fellowes PB500 Electric Punch Plastic Comb Binding Machine with Manual Bind"/>
    <x v="3755"/>
    <n v="6"/>
    <n v="0.8"/>
    <n v="-2287.7820000000002"/>
  </r>
  <r>
    <n v="5312"/>
    <x v="1036"/>
    <x v="0"/>
    <x v="6"/>
    <d v="2013-08-28T00:00:00"/>
    <n v="6"/>
    <x v="1"/>
    <s v="Stephanie Ulpright"/>
    <x v="2"/>
    <s v="United States"/>
    <s v="Greenville"/>
    <s v="North Carolina"/>
    <s v="South"/>
    <x v="1"/>
    <x v="2"/>
    <s v="Avery 49"/>
    <x v="2106"/>
    <n v="4"/>
    <n v="0.2"/>
    <n v="3.3408000000000002"/>
  </r>
  <r>
    <n v="5313"/>
    <x v="1036"/>
    <x v="0"/>
    <x v="6"/>
    <d v="2013-08-28T00:00:00"/>
    <n v="6"/>
    <x v="1"/>
    <s v="Stephanie Ulpright"/>
    <x v="2"/>
    <s v="United States"/>
    <s v="Greenville"/>
    <s v="North Carolina"/>
    <s v="South"/>
    <x v="1"/>
    <x v="14"/>
    <s v="Acme 10&quot; Easy Grip Assistive Scissors"/>
    <x v="3756"/>
    <n v="2"/>
    <n v="0.2"/>
    <n v="3.5059999999999998"/>
  </r>
  <r>
    <n v="5314"/>
    <x v="504"/>
    <x v="3"/>
    <x v="5"/>
    <d v="2014-05-06T00:00:00"/>
    <n v="5"/>
    <x v="1"/>
    <s v="Don Jones"/>
    <x v="1"/>
    <s v="United States"/>
    <s v="San Francisco"/>
    <s v="California"/>
    <s v="West"/>
    <x v="0"/>
    <x v="5"/>
    <s v="Seth Thomas 16&quot; Steel Case Clock"/>
    <x v="643"/>
    <n v="2"/>
    <n v="0"/>
    <n v="21.436800000000002"/>
  </r>
  <r>
    <n v="5315"/>
    <x v="504"/>
    <x v="3"/>
    <x v="5"/>
    <d v="2014-05-06T00:00:00"/>
    <n v="5"/>
    <x v="1"/>
    <s v="Don Jones"/>
    <x v="1"/>
    <s v="United States"/>
    <s v="San Francisco"/>
    <s v="California"/>
    <s v="West"/>
    <x v="1"/>
    <x v="12"/>
    <s v="#10- 4 1/8&quot; x 9 1/2&quot; Security-Tint Envelopes"/>
    <x v="2433"/>
    <n v="4"/>
    <n v="0"/>
    <n v="14.974399999999999"/>
  </r>
  <r>
    <n v="5316"/>
    <x v="440"/>
    <x v="0"/>
    <x v="5"/>
    <d v="2013-05-09T00:00:00"/>
    <n v="6"/>
    <x v="1"/>
    <s v="Dan Lawera"/>
    <x v="0"/>
    <s v="United States"/>
    <s v="Greensboro"/>
    <s v="North Carolina"/>
    <s v="South"/>
    <x v="0"/>
    <x v="1"/>
    <s v="Global Stack Chair without Arms, Black"/>
    <x v="3757"/>
    <n v="9"/>
    <n v="0.2"/>
    <n v="11.691000000000001"/>
  </r>
  <r>
    <n v="5317"/>
    <x v="280"/>
    <x v="3"/>
    <x v="2"/>
    <d v="2014-10-06T00:00:00"/>
    <n v="3"/>
    <x v="2"/>
    <s v="Dean percer"/>
    <x v="2"/>
    <s v="United States"/>
    <s v="Knoxville"/>
    <s v="Tennessee"/>
    <s v="South"/>
    <x v="0"/>
    <x v="5"/>
    <s v="Eldon Expressions Wood Desk Accessories, Oak"/>
    <x v="921"/>
    <n v="2"/>
    <n v="0.2"/>
    <n v="1.3284"/>
  </r>
  <r>
    <n v="5318"/>
    <x v="280"/>
    <x v="3"/>
    <x v="2"/>
    <d v="2014-10-06T00:00:00"/>
    <n v="3"/>
    <x v="2"/>
    <s v="Dean percer"/>
    <x v="2"/>
    <s v="United States"/>
    <s v="Knoxville"/>
    <s v="Tennessee"/>
    <s v="South"/>
    <x v="0"/>
    <x v="5"/>
    <s v="Eldon 500 Class Desk Accessories"/>
    <x v="3758"/>
    <n v="1"/>
    <n v="0.2"/>
    <n v="1.5690999999999999"/>
  </r>
  <r>
    <n v="5319"/>
    <x v="280"/>
    <x v="3"/>
    <x v="2"/>
    <d v="2014-10-06T00:00:00"/>
    <n v="3"/>
    <x v="2"/>
    <s v="Dean percer"/>
    <x v="2"/>
    <s v="United States"/>
    <s v="Knoxville"/>
    <s v="Tennessee"/>
    <s v="South"/>
    <x v="1"/>
    <x v="10"/>
    <s v="Xerox 1996"/>
    <x v="557"/>
    <n v="4"/>
    <n v="0.2"/>
    <n v="7.2576000000000001"/>
  </r>
  <r>
    <n v="5320"/>
    <x v="280"/>
    <x v="3"/>
    <x v="2"/>
    <d v="2014-10-06T00:00:00"/>
    <n v="3"/>
    <x v="2"/>
    <s v="Dean percer"/>
    <x v="2"/>
    <s v="United States"/>
    <s v="Knoxville"/>
    <s v="Tennessee"/>
    <s v="South"/>
    <x v="1"/>
    <x v="8"/>
    <s v="Ibico Plastic Spiral Binding Combs"/>
    <x v="3251"/>
    <n v="3"/>
    <n v="0.7"/>
    <n v="-21.888000000000002"/>
  </r>
  <r>
    <n v="5321"/>
    <x v="280"/>
    <x v="3"/>
    <x v="2"/>
    <d v="2014-10-06T00:00:00"/>
    <n v="3"/>
    <x v="2"/>
    <s v="Dean percer"/>
    <x v="2"/>
    <s v="United States"/>
    <s v="Knoxville"/>
    <s v="Tennessee"/>
    <s v="South"/>
    <x v="0"/>
    <x v="3"/>
    <s v="Chromcraft Bull-Nose Wood Oval Conference Tables &amp; Bases"/>
    <x v="3759"/>
    <n v="7"/>
    <n v="0.4"/>
    <n v="-1002.7836"/>
  </r>
  <r>
    <n v="5322"/>
    <x v="280"/>
    <x v="3"/>
    <x v="2"/>
    <d v="2014-10-06T00:00:00"/>
    <n v="3"/>
    <x v="2"/>
    <s v="Dean percer"/>
    <x v="2"/>
    <s v="United States"/>
    <s v="Knoxville"/>
    <s v="Tennessee"/>
    <s v="South"/>
    <x v="1"/>
    <x v="8"/>
    <s v="Lock-Up Easel 'Spel-Binder'"/>
    <x v="3760"/>
    <n v="4"/>
    <n v="0.7"/>
    <n v="-26.247599999999998"/>
  </r>
  <r>
    <n v="5323"/>
    <x v="280"/>
    <x v="3"/>
    <x v="2"/>
    <d v="2014-10-06T00:00:00"/>
    <n v="3"/>
    <x v="2"/>
    <s v="Dean percer"/>
    <x v="2"/>
    <s v="United States"/>
    <s v="Knoxville"/>
    <s v="Tennessee"/>
    <s v="South"/>
    <x v="0"/>
    <x v="5"/>
    <s v="Eldon Image Series Desk Accessories, Ebony"/>
    <x v="2354"/>
    <n v="2"/>
    <n v="0.2"/>
    <n v="5.9279999999999999"/>
  </r>
  <r>
    <n v="5324"/>
    <x v="65"/>
    <x v="3"/>
    <x v="8"/>
    <d v="2014-09-24T00:00:00"/>
    <n v="5"/>
    <x v="0"/>
    <s v="Tamara Manning"/>
    <x v="0"/>
    <s v="United States"/>
    <s v="Grand Island"/>
    <s v="Nebraska"/>
    <s v="Central"/>
    <x v="1"/>
    <x v="10"/>
    <s v="Adams Telephone Message Book w/Frequently-Called Numbers Space, 400 Messages per Book"/>
    <x v="3761"/>
    <n v="2"/>
    <n v="0"/>
    <n v="7.98"/>
  </r>
  <r>
    <n v="5325"/>
    <x v="784"/>
    <x v="1"/>
    <x v="4"/>
    <d v="2012-12-09T00:00:00"/>
    <n v="5"/>
    <x v="1"/>
    <s v="Tracy Zic"/>
    <x v="0"/>
    <s v="United States"/>
    <s v="Lakewood"/>
    <s v="California"/>
    <s v="West"/>
    <x v="1"/>
    <x v="6"/>
    <s v="Avery Hi-Liter Fluorescent Desk Style Markers"/>
    <x v="2877"/>
    <n v="5"/>
    <n v="0"/>
    <n v="6.2530000000000001"/>
  </r>
  <r>
    <n v="5326"/>
    <x v="784"/>
    <x v="1"/>
    <x v="4"/>
    <d v="2012-12-09T00:00:00"/>
    <n v="5"/>
    <x v="1"/>
    <s v="Tracy Zic"/>
    <x v="0"/>
    <s v="United States"/>
    <s v="Lakewood"/>
    <s v="California"/>
    <s v="West"/>
    <x v="0"/>
    <x v="5"/>
    <s v="Eldon Image Series Desk Accessories, Burgundy"/>
    <x v="3762"/>
    <n v="6"/>
    <n v="0"/>
    <n v="9.0288000000000004"/>
  </r>
  <r>
    <n v="5327"/>
    <x v="184"/>
    <x v="1"/>
    <x v="9"/>
    <d v="2012-01-22T00:00:00"/>
    <n v="5"/>
    <x v="1"/>
    <s v="Scott Cohen"/>
    <x v="1"/>
    <s v="United States"/>
    <s v="Lawrence"/>
    <s v="Massachusetts"/>
    <s v="East"/>
    <x v="1"/>
    <x v="6"/>
    <s v="Avery Fluorescent Highlighter Four-Color Set"/>
    <x v="3763"/>
    <n v="2"/>
    <n v="0"/>
    <n v="2.004"/>
  </r>
  <r>
    <n v="5328"/>
    <x v="1037"/>
    <x v="2"/>
    <x v="9"/>
    <d v="2011-01-09T00:00:00"/>
    <n v="2"/>
    <x v="0"/>
    <s v="Lycoris Saunders"/>
    <x v="0"/>
    <s v="United States"/>
    <s v="Los Angeles"/>
    <s v="California"/>
    <s v="West"/>
    <x v="1"/>
    <x v="10"/>
    <s v="Xerox 225"/>
    <x v="537"/>
    <n v="3"/>
    <n v="0"/>
    <n v="9.3312000000000008"/>
  </r>
  <r>
    <n v="5329"/>
    <x v="616"/>
    <x v="1"/>
    <x v="10"/>
    <d v="2012-03-09T00:00:00"/>
    <n v="4"/>
    <x v="1"/>
    <s v="Mike Vittorini"/>
    <x v="0"/>
    <s v="United States"/>
    <s v="Houston"/>
    <s v="Texas"/>
    <s v="Central"/>
    <x v="2"/>
    <x v="7"/>
    <s v="Cisco SPA525G2 IP Phone - Wireless"/>
    <x v="1043"/>
    <n v="2"/>
    <n v="0.2"/>
    <n v="2.3940000000000001"/>
  </r>
  <r>
    <n v="5330"/>
    <x v="591"/>
    <x v="0"/>
    <x v="4"/>
    <d v="2013-12-29T00:00:00"/>
    <n v="3"/>
    <x v="0"/>
    <s v="Brian DeCherney"/>
    <x v="0"/>
    <s v="United States"/>
    <s v="New York City"/>
    <s v="New York"/>
    <s v="East"/>
    <x v="1"/>
    <x v="8"/>
    <s v="GBC Premium Transparent Covers with Diagonal Lined Pattern"/>
    <x v="2939"/>
    <n v="2"/>
    <n v="0.2"/>
    <n v="11.748799999999999"/>
  </r>
  <r>
    <n v="5331"/>
    <x v="913"/>
    <x v="0"/>
    <x v="8"/>
    <d v="2013-09-09T00:00:00"/>
    <n v="4"/>
    <x v="1"/>
    <s v="Christina VanderZanden"/>
    <x v="0"/>
    <s v="United States"/>
    <s v="New York City"/>
    <s v="New York"/>
    <s v="East"/>
    <x v="0"/>
    <x v="5"/>
    <s v="Howard Miller 16&quot; Diameter Gallery Wall Clock"/>
    <x v="3764"/>
    <n v="1"/>
    <n v="0"/>
    <n v="24.936599999999999"/>
  </r>
  <r>
    <n v="5332"/>
    <x v="913"/>
    <x v="0"/>
    <x v="8"/>
    <d v="2013-09-09T00:00:00"/>
    <n v="4"/>
    <x v="1"/>
    <s v="Christina VanderZanden"/>
    <x v="0"/>
    <s v="United States"/>
    <s v="New York City"/>
    <s v="New York"/>
    <s v="East"/>
    <x v="1"/>
    <x v="8"/>
    <s v="Plastic Binding Combs"/>
    <x v="3765"/>
    <n v="5"/>
    <n v="0.2"/>
    <n v="20.452500000000001"/>
  </r>
  <r>
    <n v="5333"/>
    <x v="913"/>
    <x v="0"/>
    <x v="8"/>
    <d v="2013-09-09T00:00:00"/>
    <n v="4"/>
    <x v="1"/>
    <s v="Christina VanderZanden"/>
    <x v="0"/>
    <s v="United States"/>
    <s v="New York City"/>
    <s v="New York"/>
    <s v="East"/>
    <x v="1"/>
    <x v="14"/>
    <s v="Acme Preferred Stainless Steel Scissors"/>
    <x v="20"/>
    <n v="4"/>
    <n v="0"/>
    <n v="6.5888"/>
  </r>
  <r>
    <n v="5334"/>
    <x v="86"/>
    <x v="2"/>
    <x v="6"/>
    <d v="2011-09-01T00:00:00"/>
    <n v="6"/>
    <x v="1"/>
    <s v="Karl Braun"/>
    <x v="0"/>
    <s v="United States"/>
    <s v="Newark"/>
    <s v="Delaware"/>
    <s v="East"/>
    <x v="0"/>
    <x v="5"/>
    <s v="Acrylic Self-Standing Desk Frames"/>
    <x v="3766"/>
    <n v="4"/>
    <n v="0"/>
    <n v="4.0583999999999998"/>
  </r>
  <r>
    <n v="5335"/>
    <x v="86"/>
    <x v="2"/>
    <x v="6"/>
    <d v="2011-09-01T00:00:00"/>
    <n v="6"/>
    <x v="1"/>
    <s v="Karl Braun"/>
    <x v="0"/>
    <s v="United States"/>
    <s v="Newark"/>
    <s v="Delaware"/>
    <s v="East"/>
    <x v="1"/>
    <x v="10"/>
    <s v="Xerox 1978"/>
    <x v="1686"/>
    <n v="3"/>
    <n v="0"/>
    <n v="8.4966000000000008"/>
  </r>
  <r>
    <n v="5336"/>
    <x v="86"/>
    <x v="2"/>
    <x v="6"/>
    <d v="2011-09-01T00:00:00"/>
    <n v="6"/>
    <x v="1"/>
    <s v="Karl Braun"/>
    <x v="0"/>
    <s v="United States"/>
    <s v="Newark"/>
    <s v="Delaware"/>
    <s v="East"/>
    <x v="1"/>
    <x v="10"/>
    <s v="Avoid Verbal Orders Carbonless Minifold Book"/>
    <x v="1607"/>
    <n v="1"/>
    <n v="0"/>
    <n v="1.5548"/>
  </r>
  <r>
    <n v="5337"/>
    <x v="1031"/>
    <x v="1"/>
    <x v="5"/>
    <d v="2012-05-25T00:00:00"/>
    <n v="4"/>
    <x v="1"/>
    <s v="Michelle Ellison"/>
    <x v="1"/>
    <s v="United States"/>
    <s v="Seattle"/>
    <s v="Washington"/>
    <s v="West"/>
    <x v="1"/>
    <x v="8"/>
    <s v="Ibico Plastic and Wire Spiral Binding Combs"/>
    <x v="777"/>
    <n v="4"/>
    <n v="0.2"/>
    <n v="8.7672000000000008"/>
  </r>
  <r>
    <n v="5338"/>
    <x v="524"/>
    <x v="3"/>
    <x v="2"/>
    <d v="2014-10-22T00:00:00"/>
    <n v="5"/>
    <x v="1"/>
    <s v="Anthony Jacobs"/>
    <x v="1"/>
    <s v="United States"/>
    <s v="Scottsdale"/>
    <s v="Arizona"/>
    <s v="West"/>
    <x v="1"/>
    <x v="10"/>
    <s v="Green Bar Computer Printout Paper"/>
    <x v="3767"/>
    <n v="7"/>
    <n v="0.2"/>
    <n v="111.5688"/>
  </r>
  <r>
    <n v="5339"/>
    <x v="529"/>
    <x v="1"/>
    <x v="0"/>
    <d v="2012-11-14T00:00:00"/>
    <n v="5"/>
    <x v="0"/>
    <s v="Dianna Vittorini"/>
    <x v="0"/>
    <s v="United States"/>
    <s v="Oceanside"/>
    <s v="New York"/>
    <s v="East"/>
    <x v="1"/>
    <x v="4"/>
    <s v="Tennsco Industrial Shelving"/>
    <x v="1644"/>
    <n v="5"/>
    <n v="0"/>
    <n v="4.891"/>
  </r>
  <r>
    <n v="5340"/>
    <x v="529"/>
    <x v="1"/>
    <x v="0"/>
    <d v="2012-11-14T00:00:00"/>
    <n v="5"/>
    <x v="0"/>
    <s v="Dianna Vittorini"/>
    <x v="0"/>
    <s v="United States"/>
    <s v="Oceanside"/>
    <s v="New York"/>
    <s v="East"/>
    <x v="1"/>
    <x v="12"/>
    <s v="Poly String Tie Envelopes"/>
    <x v="3768"/>
    <n v="6"/>
    <n v="0"/>
    <n v="5.7527999999999997"/>
  </r>
  <r>
    <n v="5341"/>
    <x v="529"/>
    <x v="1"/>
    <x v="0"/>
    <d v="2012-11-14T00:00:00"/>
    <n v="5"/>
    <x v="0"/>
    <s v="Dianna Vittorini"/>
    <x v="0"/>
    <s v="United States"/>
    <s v="Oceanside"/>
    <s v="New York"/>
    <s v="East"/>
    <x v="2"/>
    <x v="11"/>
    <s v="AmazonBasics 3-Button USB Wired Mouse"/>
    <x v="62"/>
    <n v="2"/>
    <n v="0"/>
    <n v="6.0114000000000001"/>
  </r>
  <r>
    <n v="5342"/>
    <x v="529"/>
    <x v="1"/>
    <x v="0"/>
    <d v="2012-11-14T00:00:00"/>
    <n v="5"/>
    <x v="0"/>
    <s v="Dianna Vittorini"/>
    <x v="0"/>
    <s v="United States"/>
    <s v="Oceanside"/>
    <s v="New York"/>
    <s v="East"/>
    <x v="2"/>
    <x v="11"/>
    <s v="Logitech VX Revolution Cordless Laser Mouse for Notebooks (Black)"/>
    <x v="3769"/>
    <n v="5"/>
    <n v="0"/>
    <n v="53.997"/>
  </r>
  <r>
    <n v="5343"/>
    <x v="871"/>
    <x v="2"/>
    <x v="0"/>
    <d v="2011-11-27T00:00:00"/>
    <n v="6"/>
    <x v="1"/>
    <s v="Jason Klamczynski"/>
    <x v="1"/>
    <s v="United States"/>
    <s v="Dallas"/>
    <s v="Texas"/>
    <s v="Central"/>
    <x v="1"/>
    <x v="12"/>
    <s v="Poly String Tie Envelopes"/>
    <x v="3770"/>
    <n v="1"/>
    <n v="0.2"/>
    <n v="0.55079999999999996"/>
  </r>
  <r>
    <n v="5344"/>
    <x v="871"/>
    <x v="2"/>
    <x v="0"/>
    <d v="2011-11-27T00:00:00"/>
    <n v="6"/>
    <x v="1"/>
    <s v="Jason Klamczynski"/>
    <x v="1"/>
    <s v="United States"/>
    <s v="Dallas"/>
    <s v="Texas"/>
    <s v="Central"/>
    <x v="2"/>
    <x v="7"/>
    <s v="RCA Visys Integrated PBX 8-Line Router"/>
    <x v="3771"/>
    <n v="5"/>
    <n v="0.2"/>
    <n v="16.747499999999999"/>
  </r>
  <r>
    <n v="5345"/>
    <x v="2"/>
    <x v="1"/>
    <x v="2"/>
    <d v="2012-10-13T00:00:00"/>
    <n v="2"/>
    <x v="0"/>
    <s v="Shahid Hopkins"/>
    <x v="0"/>
    <s v="United States"/>
    <s v="Rochester"/>
    <s v="New York"/>
    <s v="East"/>
    <x v="2"/>
    <x v="11"/>
    <s v="Memorex 25GB 6X Branded Blu-Ray Recordable Disc, 30/Pack"/>
    <x v="3772"/>
    <n v="1"/>
    <n v="0"/>
    <n v="2.2364999999999999"/>
  </r>
  <r>
    <n v="5346"/>
    <x v="708"/>
    <x v="3"/>
    <x v="10"/>
    <d v="2014-03-24T00:00:00"/>
    <n v="2"/>
    <x v="0"/>
    <s v="Steven Cartwright"/>
    <x v="0"/>
    <s v="United States"/>
    <s v="Los Angeles"/>
    <s v="California"/>
    <s v="West"/>
    <x v="1"/>
    <x v="4"/>
    <s v="Adjustable Depth Letter/Legal Cart"/>
    <x v="264"/>
    <n v="4"/>
    <n v="0"/>
    <n v="210.49359999999999"/>
  </r>
  <r>
    <n v="5347"/>
    <x v="708"/>
    <x v="3"/>
    <x v="10"/>
    <d v="2014-03-24T00:00:00"/>
    <n v="2"/>
    <x v="0"/>
    <s v="Steven Cartwright"/>
    <x v="0"/>
    <s v="United States"/>
    <s v="Los Angeles"/>
    <s v="California"/>
    <s v="West"/>
    <x v="1"/>
    <x v="8"/>
    <s v="Avery Durable Plastic 1&quot; Binders"/>
    <x v="2944"/>
    <n v="3"/>
    <n v="0.2"/>
    <n v="3.9498000000000002"/>
  </r>
  <r>
    <n v="5348"/>
    <x v="708"/>
    <x v="3"/>
    <x v="10"/>
    <d v="2014-03-24T00:00:00"/>
    <n v="2"/>
    <x v="0"/>
    <s v="Steven Cartwright"/>
    <x v="0"/>
    <s v="United States"/>
    <s v="Los Angeles"/>
    <s v="California"/>
    <s v="West"/>
    <x v="1"/>
    <x v="8"/>
    <s v="Pressboard Data Binders by Wilson Jones"/>
    <x v="1076"/>
    <n v="2"/>
    <n v="0.2"/>
    <n v="2.8835999999999999"/>
  </r>
  <r>
    <n v="5349"/>
    <x v="1038"/>
    <x v="1"/>
    <x v="9"/>
    <d v="2012-01-10T00:00:00"/>
    <n v="6"/>
    <x v="1"/>
    <s v="Chris Selesnick"/>
    <x v="1"/>
    <s v="United States"/>
    <s v="Woodbury"/>
    <s v="Minnesota"/>
    <s v="Central"/>
    <x v="1"/>
    <x v="8"/>
    <s v="GBC Standard Recycled Report Covers, Clear Plastic Sheets"/>
    <x v="3773"/>
    <n v="3"/>
    <n v="0"/>
    <n v="15.523199999999999"/>
  </r>
  <r>
    <n v="5350"/>
    <x v="1038"/>
    <x v="1"/>
    <x v="9"/>
    <d v="2012-01-10T00:00:00"/>
    <n v="6"/>
    <x v="1"/>
    <s v="Chris Selesnick"/>
    <x v="1"/>
    <s v="United States"/>
    <s v="Woodbury"/>
    <s v="Minnesota"/>
    <s v="Central"/>
    <x v="1"/>
    <x v="10"/>
    <s v="Adams Telephone Message Book w/Frequently-Called Numbers Space, 400 Messages per Book"/>
    <x v="1749"/>
    <n v="5"/>
    <n v="0"/>
    <n v="19.95"/>
  </r>
  <r>
    <n v="5351"/>
    <x v="34"/>
    <x v="3"/>
    <x v="4"/>
    <d v="2014-12-17T00:00:00"/>
    <n v="7"/>
    <x v="1"/>
    <s v="Lena Hernandez"/>
    <x v="0"/>
    <s v="United States"/>
    <s v="Park Ridge"/>
    <s v="Illinois"/>
    <s v="Central"/>
    <x v="1"/>
    <x v="10"/>
    <s v="Xerox 1884"/>
    <x v="3774"/>
    <n v="9"/>
    <n v="0.2"/>
    <n v="48.551400000000001"/>
  </r>
  <r>
    <n v="5352"/>
    <x v="47"/>
    <x v="0"/>
    <x v="8"/>
    <d v="2013-09-13T00:00:00"/>
    <n v="6"/>
    <x v="1"/>
    <s v="Yoseph Carroll"/>
    <x v="1"/>
    <s v="United States"/>
    <s v="Dallas"/>
    <s v="Texas"/>
    <s v="Central"/>
    <x v="1"/>
    <x v="10"/>
    <s v="Advantus Motivational Note Cards"/>
    <x v="1433"/>
    <n v="4"/>
    <n v="0.2"/>
    <n v="15.196"/>
  </r>
  <r>
    <n v="5353"/>
    <x v="47"/>
    <x v="0"/>
    <x v="8"/>
    <d v="2013-09-13T00:00:00"/>
    <n v="6"/>
    <x v="1"/>
    <s v="Yoseph Carroll"/>
    <x v="1"/>
    <s v="United States"/>
    <s v="Dallas"/>
    <s v="Texas"/>
    <s v="Central"/>
    <x v="2"/>
    <x v="7"/>
    <s v="AT&amp;T CL83451 4-Handset Telephone"/>
    <x v="3775"/>
    <n v="2"/>
    <n v="0.2"/>
    <n v="37.078200000000002"/>
  </r>
  <r>
    <n v="5354"/>
    <x v="323"/>
    <x v="0"/>
    <x v="8"/>
    <d v="2013-09-07T00:00:00"/>
    <n v="3"/>
    <x v="2"/>
    <s v="Craig Yedwab"/>
    <x v="1"/>
    <s v="United States"/>
    <s v="Monroe"/>
    <s v="Louisiana"/>
    <s v="South"/>
    <x v="1"/>
    <x v="8"/>
    <s v="Heavy-Duty E-Z-D Binders"/>
    <x v="3776"/>
    <n v="8"/>
    <n v="0"/>
    <n v="41.021599999999999"/>
  </r>
  <r>
    <n v="5355"/>
    <x v="8"/>
    <x v="2"/>
    <x v="5"/>
    <d v="2011-05-19T00:00:00"/>
    <n v="6"/>
    <x v="1"/>
    <s v="Aaron Hawkins"/>
    <x v="1"/>
    <s v="United States"/>
    <s v="Los Angeles"/>
    <s v="California"/>
    <s v="West"/>
    <x v="0"/>
    <x v="1"/>
    <s v="Iceberg Nesting Folding Chair, 19w x 6d x 43h"/>
    <x v="3777"/>
    <n v="6"/>
    <n v="0.2"/>
    <n v="20.959199999999999"/>
  </r>
  <r>
    <n v="5356"/>
    <x v="8"/>
    <x v="2"/>
    <x v="5"/>
    <d v="2011-05-19T00:00:00"/>
    <n v="6"/>
    <x v="1"/>
    <s v="Aaron Hawkins"/>
    <x v="1"/>
    <s v="United States"/>
    <s v="Los Angeles"/>
    <s v="California"/>
    <s v="West"/>
    <x v="1"/>
    <x v="10"/>
    <s v="EcoTones Memo Sheets"/>
    <x v="3778"/>
    <n v="2"/>
    <n v="0"/>
    <n v="3.84"/>
  </r>
  <r>
    <n v="5357"/>
    <x v="321"/>
    <x v="0"/>
    <x v="8"/>
    <d v="2013-10-04T00:00:00"/>
    <n v="4"/>
    <x v="1"/>
    <s v="Andy Reiter"/>
    <x v="0"/>
    <s v="United States"/>
    <s v="San Francisco"/>
    <s v="California"/>
    <s v="West"/>
    <x v="1"/>
    <x v="8"/>
    <s v="Avery Self-Adhesive Photo Pockets for Polaroid Photos"/>
    <x v="77"/>
    <n v="5"/>
    <n v="0.2"/>
    <n v="9.5340000000000007"/>
  </r>
  <r>
    <n v="5358"/>
    <x v="79"/>
    <x v="2"/>
    <x v="6"/>
    <d v="2011-08-11T00:00:00"/>
    <n v="6"/>
    <x v="1"/>
    <s v="Sonia Sunley"/>
    <x v="0"/>
    <s v="United States"/>
    <s v="San Francisco"/>
    <s v="California"/>
    <s v="West"/>
    <x v="2"/>
    <x v="11"/>
    <s v="Logitech Desktop MK120 Mouse and keyboard Combo"/>
    <x v="3779"/>
    <n v="1"/>
    <n v="0"/>
    <n v="1.6359999999999999"/>
  </r>
  <r>
    <n v="5359"/>
    <x v="79"/>
    <x v="2"/>
    <x v="6"/>
    <d v="2011-08-11T00:00:00"/>
    <n v="6"/>
    <x v="1"/>
    <s v="Sonia Sunley"/>
    <x v="0"/>
    <s v="United States"/>
    <s v="San Francisco"/>
    <s v="California"/>
    <s v="West"/>
    <x v="1"/>
    <x v="4"/>
    <s v="Akro Stacking Bins"/>
    <x v="3780"/>
    <n v="2"/>
    <n v="0"/>
    <n v="0.63119999999999998"/>
  </r>
  <r>
    <n v="5360"/>
    <x v="79"/>
    <x v="2"/>
    <x v="6"/>
    <d v="2011-08-11T00:00:00"/>
    <n v="6"/>
    <x v="1"/>
    <s v="Sonia Sunley"/>
    <x v="0"/>
    <s v="United States"/>
    <s v="San Francisco"/>
    <s v="California"/>
    <s v="West"/>
    <x v="1"/>
    <x v="6"/>
    <s v="Boston KS Multi-Size Manual Pencil Sharpener"/>
    <x v="44"/>
    <n v="2"/>
    <n v="0"/>
    <n v="12.8744"/>
  </r>
  <r>
    <n v="5361"/>
    <x v="349"/>
    <x v="3"/>
    <x v="3"/>
    <d v="2014-04-19T00:00:00"/>
    <n v="4"/>
    <x v="1"/>
    <s v="Dorothy Wardle"/>
    <x v="1"/>
    <s v="United States"/>
    <s v="Fayetteville"/>
    <s v="North Carolina"/>
    <s v="South"/>
    <x v="0"/>
    <x v="0"/>
    <s v="Sauder Cornerstone Collection Library"/>
    <x v="654"/>
    <n v="8"/>
    <n v="0.2"/>
    <n v="-32.219200000000001"/>
  </r>
  <r>
    <n v="5362"/>
    <x v="255"/>
    <x v="3"/>
    <x v="1"/>
    <d v="2014-06-11T00:00:00"/>
    <n v="1"/>
    <x v="2"/>
    <s v="Noah Childs"/>
    <x v="1"/>
    <s v="United States"/>
    <s v="Dallas"/>
    <s v="Texas"/>
    <s v="Central"/>
    <x v="1"/>
    <x v="4"/>
    <s v="Standard Rollaway File with Lock"/>
    <x v="3619"/>
    <n v="5"/>
    <n v="0.2"/>
    <n v="54.057000000000002"/>
  </r>
  <r>
    <n v="5363"/>
    <x v="723"/>
    <x v="0"/>
    <x v="4"/>
    <d v="2014-01-03T00:00:00"/>
    <n v="4"/>
    <x v="1"/>
    <s v="Carlos Daly"/>
    <x v="0"/>
    <s v="United States"/>
    <s v="Wichita"/>
    <s v="Kansas"/>
    <s v="Central"/>
    <x v="0"/>
    <x v="5"/>
    <s v="Executive Impressions 10&quot; Spectator Wall Clock"/>
    <x v="2623"/>
    <n v="6"/>
    <n v="0"/>
    <n v="23.990400000000001"/>
  </r>
  <r>
    <n v="5364"/>
    <x v="723"/>
    <x v="0"/>
    <x v="4"/>
    <d v="2014-01-03T00:00:00"/>
    <n v="4"/>
    <x v="1"/>
    <s v="Carlos Daly"/>
    <x v="0"/>
    <s v="United States"/>
    <s v="Wichita"/>
    <s v="Kansas"/>
    <s v="Central"/>
    <x v="1"/>
    <x v="9"/>
    <s v="Belkin 8 Outlet Surge Protector"/>
    <x v="3314"/>
    <n v="2"/>
    <n v="0"/>
    <n v="22.948799999999999"/>
  </r>
  <r>
    <n v="5365"/>
    <x v="1039"/>
    <x v="2"/>
    <x v="9"/>
    <d v="2011-01-22T00:00:00"/>
    <n v="3"/>
    <x v="0"/>
    <s v="David Wiener"/>
    <x v="1"/>
    <s v="United States"/>
    <s v="Springfield"/>
    <s v="Oregon"/>
    <s v="West"/>
    <x v="1"/>
    <x v="9"/>
    <s v="Fellowes Mighty 8 Compact Surge Protector"/>
    <x v="2038"/>
    <n v="4"/>
    <n v="0.2"/>
    <n v="6.4863999999999997"/>
  </r>
  <r>
    <n v="5366"/>
    <x v="73"/>
    <x v="0"/>
    <x v="0"/>
    <d v="2013-11-25T00:00:00"/>
    <n v="4"/>
    <x v="1"/>
    <s v="Erica Hackney"/>
    <x v="0"/>
    <s v="United States"/>
    <s v="Houston"/>
    <s v="Texas"/>
    <s v="Central"/>
    <x v="2"/>
    <x v="7"/>
    <s v="Wireless Extenders zBoost YX545 SOHO Signal Booster"/>
    <x v="3781"/>
    <n v="1"/>
    <n v="0.2"/>
    <n v="13.2293"/>
  </r>
  <r>
    <n v="5367"/>
    <x v="193"/>
    <x v="3"/>
    <x v="1"/>
    <d v="2014-06-16T00:00:00"/>
    <n v="5"/>
    <x v="1"/>
    <s v="Bill Donatelli"/>
    <x v="0"/>
    <s v="United States"/>
    <s v="Seattle"/>
    <s v="Washington"/>
    <s v="West"/>
    <x v="2"/>
    <x v="7"/>
    <s v="Logitech B530 USB Headset - headset - Full size, Binaural"/>
    <x v="2495"/>
    <n v="3"/>
    <n v="0.2"/>
    <n v="7.7679"/>
  </r>
  <r>
    <n v="5368"/>
    <x v="193"/>
    <x v="3"/>
    <x v="1"/>
    <d v="2014-06-16T00:00:00"/>
    <n v="5"/>
    <x v="1"/>
    <s v="Bill Donatelli"/>
    <x v="0"/>
    <s v="United States"/>
    <s v="Seattle"/>
    <s v="Washington"/>
    <s v="West"/>
    <x v="1"/>
    <x v="2"/>
    <s v="Avery 512"/>
    <x v="1049"/>
    <n v="4"/>
    <n v="0"/>
    <n v="5.4332000000000003"/>
  </r>
  <r>
    <n v="5369"/>
    <x v="193"/>
    <x v="3"/>
    <x v="1"/>
    <d v="2014-06-16T00:00:00"/>
    <n v="5"/>
    <x v="1"/>
    <s v="Bill Donatelli"/>
    <x v="0"/>
    <s v="United States"/>
    <s v="Seattle"/>
    <s v="Washington"/>
    <s v="West"/>
    <x v="1"/>
    <x v="4"/>
    <s v="Personal File Boxes with Fold-Down Carry Handle"/>
    <x v="3782"/>
    <n v="1"/>
    <n v="0"/>
    <n v="3.895"/>
  </r>
  <r>
    <n v="5370"/>
    <x v="18"/>
    <x v="3"/>
    <x v="8"/>
    <d v="2014-09-14T00:00:00"/>
    <n v="3"/>
    <x v="2"/>
    <s v="Ken Heidel"/>
    <x v="1"/>
    <s v="United States"/>
    <s v="Akron"/>
    <s v="Ohio"/>
    <s v="East"/>
    <x v="1"/>
    <x v="10"/>
    <s v="Xerox 1906"/>
    <x v="629"/>
    <n v="3"/>
    <n v="0.2"/>
    <n v="28.706399999999999"/>
  </r>
  <r>
    <n v="5371"/>
    <x v="798"/>
    <x v="3"/>
    <x v="3"/>
    <d v="2014-04-13T00:00:00"/>
    <n v="4"/>
    <x v="1"/>
    <s v="Nicole Hansen"/>
    <x v="1"/>
    <s v="United States"/>
    <s v="Oak Park"/>
    <s v="Michigan"/>
    <s v="Central"/>
    <x v="0"/>
    <x v="5"/>
    <s v="3M Polarizing Task Lamp with Clamp Arm, Light Gray"/>
    <x v="2887"/>
    <n v="2"/>
    <n v="0"/>
    <n v="71.229600000000005"/>
  </r>
  <r>
    <n v="5372"/>
    <x v="798"/>
    <x v="3"/>
    <x v="3"/>
    <d v="2014-04-13T00:00:00"/>
    <n v="4"/>
    <x v="1"/>
    <s v="Nicole Hansen"/>
    <x v="1"/>
    <s v="United States"/>
    <s v="Oak Park"/>
    <s v="Michigan"/>
    <s v="Central"/>
    <x v="0"/>
    <x v="5"/>
    <s v="Luxo Professional Combination Clamp-On Lamps"/>
    <x v="3783"/>
    <n v="3"/>
    <n v="0"/>
    <n v="79.793999999999997"/>
  </r>
  <r>
    <n v="5373"/>
    <x v="1040"/>
    <x v="1"/>
    <x v="2"/>
    <d v="2012-10-30T00:00:00"/>
    <n v="6"/>
    <x v="1"/>
    <s v="Andrew Gjertsen"/>
    <x v="1"/>
    <s v="United States"/>
    <s v="Houston"/>
    <s v="Texas"/>
    <s v="Central"/>
    <x v="1"/>
    <x v="10"/>
    <s v="Xerox 1999"/>
    <x v="12"/>
    <n v="3"/>
    <n v="0.2"/>
    <n v="5.4432"/>
  </r>
  <r>
    <n v="5374"/>
    <x v="1040"/>
    <x v="1"/>
    <x v="2"/>
    <d v="2012-10-30T00:00:00"/>
    <n v="6"/>
    <x v="1"/>
    <s v="Andrew Gjertsen"/>
    <x v="1"/>
    <s v="United States"/>
    <s v="Houston"/>
    <s v="Texas"/>
    <s v="Central"/>
    <x v="0"/>
    <x v="3"/>
    <s v="KI Conference Tables"/>
    <x v="3784"/>
    <n v="7"/>
    <n v="0.3"/>
    <n v="-69.472200000000001"/>
  </r>
  <r>
    <n v="5375"/>
    <x v="1040"/>
    <x v="1"/>
    <x v="2"/>
    <d v="2012-10-30T00:00:00"/>
    <n v="6"/>
    <x v="1"/>
    <s v="Andrew Gjertsen"/>
    <x v="1"/>
    <s v="United States"/>
    <s v="Houston"/>
    <s v="Texas"/>
    <s v="Central"/>
    <x v="1"/>
    <x v="10"/>
    <s v="Xerox 2"/>
    <x v="559"/>
    <n v="2"/>
    <n v="0.2"/>
    <n v="3.6288"/>
  </r>
  <r>
    <n v="5376"/>
    <x v="837"/>
    <x v="3"/>
    <x v="5"/>
    <d v="2014-06-01T00:00:00"/>
    <n v="4"/>
    <x v="1"/>
    <s v="Roy Phan"/>
    <x v="1"/>
    <s v="United States"/>
    <s v="Seattle"/>
    <s v="Washington"/>
    <s v="West"/>
    <x v="2"/>
    <x v="11"/>
    <s v="Logitech Desktop MK120 Mouse and keyboard Combo"/>
    <x v="1524"/>
    <n v="6"/>
    <n v="0"/>
    <n v="9.8160000000000007"/>
  </r>
  <r>
    <n v="5377"/>
    <x v="837"/>
    <x v="3"/>
    <x v="5"/>
    <d v="2014-06-01T00:00:00"/>
    <n v="4"/>
    <x v="1"/>
    <s v="Roy Phan"/>
    <x v="1"/>
    <s v="United States"/>
    <s v="Seattle"/>
    <s v="Washington"/>
    <s v="West"/>
    <x v="1"/>
    <x v="6"/>
    <s v="Staples"/>
    <x v="966"/>
    <n v="3"/>
    <n v="0"/>
    <n v="7.86"/>
  </r>
  <r>
    <n v="5378"/>
    <x v="29"/>
    <x v="2"/>
    <x v="4"/>
    <d v="2011-12-07T00:00:00"/>
    <n v="2"/>
    <x v="2"/>
    <s v="Nona Balk"/>
    <x v="1"/>
    <s v="United States"/>
    <s v="Philadelphia"/>
    <s v="Pennsylvania"/>
    <s v="East"/>
    <x v="1"/>
    <x v="12"/>
    <s v="Cameo Buff Policy Envelopes"/>
    <x v="3785"/>
    <n v="7"/>
    <n v="0.2"/>
    <n v="117.6147"/>
  </r>
  <r>
    <n v="5379"/>
    <x v="29"/>
    <x v="2"/>
    <x v="4"/>
    <d v="2011-12-07T00:00:00"/>
    <n v="2"/>
    <x v="2"/>
    <s v="Nona Balk"/>
    <x v="1"/>
    <s v="United States"/>
    <s v="Philadelphia"/>
    <s v="Pennsylvania"/>
    <s v="East"/>
    <x v="1"/>
    <x v="4"/>
    <s v="Fellowes Bankers Box Recycled Super Stor/Drawer"/>
    <x v="3786"/>
    <n v="4"/>
    <n v="0.2"/>
    <n v="-30.2288"/>
  </r>
  <r>
    <n v="5380"/>
    <x v="1041"/>
    <x v="0"/>
    <x v="6"/>
    <d v="2013-08-19T00:00:00"/>
    <n v="4"/>
    <x v="1"/>
    <s v="Jill Matthias"/>
    <x v="0"/>
    <s v="United States"/>
    <s v="Los Angeles"/>
    <s v="California"/>
    <s v="West"/>
    <x v="1"/>
    <x v="10"/>
    <s v="Array Memo Cubes"/>
    <x v="3787"/>
    <n v="3"/>
    <n v="0"/>
    <n v="7.6146000000000003"/>
  </r>
  <r>
    <n v="5381"/>
    <x v="1041"/>
    <x v="0"/>
    <x v="6"/>
    <d v="2013-08-19T00:00:00"/>
    <n v="4"/>
    <x v="1"/>
    <s v="Jill Matthias"/>
    <x v="0"/>
    <s v="United States"/>
    <s v="Los Angeles"/>
    <s v="California"/>
    <s v="West"/>
    <x v="2"/>
    <x v="15"/>
    <s v="Texas Instruments TI-34 Scientific Calculator"/>
    <x v="3788"/>
    <n v="6"/>
    <n v="0.2"/>
    <n v="35.623800000000003"/>
  </r>
  <r>
    <n v="5382"/>
    <x v="64"/>
    <x v="0"/>
    <x v="8"/>
    <d v="2013-09-08T00:00:00"/>
    <n v="2"/>
    <x v="0"/>
    <s v="Don Miller"/>
    <x v="1"/>
    <s v="United States"/>
    <s v="Houston"/>
    <s v="Texas"/>
    <s v="Central"/>
    <x v="1"/>
    <x v="10"/>
    <s v="Xerox 202"/>
    <x v="233"/>
    <n v="5"/>
    <n v="0.2"/>
    <n v="9.0719999999999992"/>
  </r>
  <r>
    <n v="5383"/>
    <x v="64"/>
    <x v="0"/>
    <x v="8"/>
    <d v="2013-09-08T00:00:00"/>
    <n v="2"/>
    <x v="0"/>
    <s v="Don Miller"/>
    <x v="1"/>
    <s v="United States"/>
    <s v="Houston"/>
    <s v="Texas"/>
    <s v="Central"/>
    <x v="1"/>
    <x v="13"/>
    <s v="Staples"/>
    <x v="3789"/>
    <n v="8"/>
    <n v="0.2"/>
    <n v="5.3352000000000004"/>
  </r>
  <r>
    <n v="5384"/>
    <x v="64"/>
    <x v="0"/>
    <x v="8"/>
    <d v="2013-09-08T00:00:00"/>
    <n v="2"/>
    <x v="0"/>
    <s v="Don Miller"/>
    <x v="1"/>
    <s v="United States"/>
    <s v="Houston"/>
    <s v="Texas"/>
    <s v="Central"/>
    <x v="1"/>
    <x v="10"/>
    <s v="Xerox 1930"/>
    <x v="559"/>
    <n v="2"/>
    <n v="0.2"/>
    <n v="3.7584"/>
  </r>
  <r>
    <n v="5385"/>
    <x v="335"/>
    <x v="3"/>
    <x v="1"/>
    <d v="2014-07-04T00:00:00"/>
    <n v="7"/>
    <x v="1"/>
    <s v="Chris Cortes"/>
    <x v="0"/>
    <s v="United States"/>
    <s v="Philadelphia"/>
    <s v="Pennsylvania"/>
    <s v="East"/>
    <x v="2"/>
    <x v="7"/>
    <s v="Bose SoundLink Bluetooth Speaker"/>
    <x v="3790"/>
    <n v="3"/>
    <n v="0.4"/>
    <n v="41.79"/>
  </r>
  <r>
    <n v="5386"/>
    <x v="335"/>
    <x v="3"/>
    <x v="1"/>
    <d v="2014-07-04T00:00:00"/>
    <n v="7"/>
    <x v="1"/>
    <s v="Chris Cortes"/>
    <x v="0"/>
    <s v="United States"/>
    <s v="Philadelphia"/>
    <s v="Pennsylvania"/>
    <s v="East"/>
    <x v="2"/>
    <x v="7"/>
    <s v="Plantronics Voyager Pro HD - Bluetooth Headset"/>
    <x v="3791"/>
    <n v="14"/>
    <n v="0.4"/>
    <n v="72.788799999999995"/>
  </r>
  <r>
    <n v="5387"/>
    <x v="846"/>
    <x v="3"/>
    <x v="10"/>
    <d v="2014-03-18T00:00:00"/>
    <n v="5"/>
    <x v="1"/>
    <s v="Guy Armstrong"/>
    <x v="0"/>
    <s v="United States"/>
    <s v="Rogers"/>
    <s v="Arkansas"/>
    <s v="South"/>
    <x v="1"/>
    <x v="8"/>
    <s v="Avery Non-Stick Binders"/>
    <x v="3792"/>
    <n v="9"/>
    <n v="0"/>
    <n v="18.5886"/>
  </r>
  <r>
    <n v="5388"/>
    <x v="1042"/>
    <x v="3"/>
    <x v="11"/>
    <d v="2014-02-22T00:00:00"/>
    <n v="3"/>
    <x v="0"/>
    <s v="Cynthia Voltz"/>
    <x v="1"/>
    <s v="United States"/>
    <s v="Los Angeles"/>
    <s v="California"/>
    <s v="West"/>
    <x v="2"/>
    <x v="7"/>
    <s v="iHome FM Clock Radio with Lightning Dock"/>
    <x v="3793"/>
    <n v="3"/>
    <n v="0.2"/>
    <n v="10.4985"/>
  </r>
  <r>
    <n v="5389"/>
    <x v="1042"/>
    <x v="3"/>
    <x v="11"/>
    <d v="2014-02-22T00:00:00"/>
    <n v="3"/>
    <x v="0"/>
    <s v="Cynthia Voltz"/>
    <x v="1"/>
    <s v="United States"/>
    <s v="Los Angeles"/>
    <s v="California"/>
    <s v="West"/>
    <x v="2"/>
    <x v="11"/>
    <s v="Memorex Micro Travel Drive 32 GB"/>
    <x v="3794"/>
    <n v="3"/>
    <n v="0"/>
    <n v="47.097900000000003"/>
  </r>
  <r>
    <n v="5390"/>
    <x v="1042"/>
    <x v="3"/>
    <x v="11"/>
    <d v="2014-02-22T00:00:00"/>
    <n v="3"/>
    <x v="0"/>
    <s v="Cynthia Voltz"/>
    <x v="1"/>
    <s v="United States"/>
    <s v="Los Angeles"/>
    <s v="California"/>
    <s v="West"/>
    <x v="1"/>
    <x v="2"/>
    <s v="Avery 493"/>
    <x v="759"/>
    <n v="2"/>
    <n v="0"/>
    <n v="4.8117999999999999"/>
  </r>
  <r>
    <n v="5391"/>
    <x v="468"/>
    <x v="3"/>
    <x v="0"/>
    <d v="2014-11-13T00:00:00"/>
    <n v="2"/>
    <x v="0"/>
    <s v="Nick Crebassa"/>
    <x v="1"/>
    <s v="United States"/>
    <s v="Seattle"/>
    <s v="Washington"/>
    <s v="West"/>
    <x v="1"/>
    <x v="8"/>
    <s v="GBC Imprintable Covers"/>
    <x v="3532"/>
    <n v="3"/>
    <n v="0.2"/>
    <n v="9.5526"/>
  </r>
  <r>
    <n v="5392"/>
    <x v="84"/>
    <x v="2"/>
    <x v="0"/>
    <d v="2011-11-25T00:00:00"/>
    <n v="6"/>
    <x v="1"/>
    <s v="Georgia Rosenberg"/>
    <x v="1"/>
    <s v="United States"/>
    <s v="Wilmington"/>
    <s v="Delaware"/>
    <s v="East"/>
    <x v="1"/>
    <x v="2"/>
    <s v="Avery 480"/>
    <x v="3795"/>
    <n v="6"/>
    <n v="0"/>
    <n v="10.8"/>
  </r>
  <r>
    <n v="5393"/>
    <x v="84"/>
    <x v="2"/>
    <x v="0"/>
    <d v="2011-11-25T00:00:00"/>
    <n v="6"/>
    <x v="1"/>
    <s v="Georgia Rosenberg"/>
    <x v="1"/>
    <s v="United States"/>
    <s v="Wilmington"/>
    <s v="Delaware"/>
    <s v="East"/>
    <x v="1"/>
    <x v="2"/>
    <s v="Avery 499"/>
    <x v="739"/>
    <n v="2"/>
    <n v="0"/>
    <n v="4.5815999999999999"/>
  </r>
  <r>
    <n v="5394"/>
    <x v="84"/>
    <x v="2"/>
    <x v="0"/>
    <d v="2011-11-25T00:00:00"/>
    <n v="6"/>
    <x v="1"/>
    <s v="Georgia Rosenberg"/>
    <x v="1"/>
    <s v="United States"/>
    <s v="Wilmington"/>
    <s v="Delaware"/>
    <s v="East"/>
    <x v="1"/>
    <x v="8"/>
    <s v="Premier Elliptical Ring Binder, Black"/>
    <x v="3796"/>
    <n v="7"/>
    <n v="0"/>
    <n v="102.2784"/>
  </r>
  <r>
    <n v="5395"/>
    <x v="84"/>
    <x v="2"/>
    <x v="0"/>
    <d v="2011-11-25T00:00:00"/>
    <n v="6"/>
    <x v="1"/>
    <s v="Georgia Rosenberg"/>
    <x v="1"/>
    <s v="United States"/>
    <s v="Wilmington"/>
    <s v="Delaware"/>
    <s v="East"/>
    <x v="0"/>
    <x v="0"/>
    <s v="Sauder Inglewood Library Bookcases"/>
    <x v="3797"/>
    <n v="6"/>
    <n v="0"/>
    <n v="235.95240000000001"/>
  </r>
  <r>
    <n v="5396"/>
    <x v="728"/>
    <x v="2"/>
    <x v="0"/>
    <d v="2011-11-21T00:00:00"/>
    <n v="3"/>
    <x v="0"/>
    <s v="John Grady"/>
    <x v="1"/>
    <s v="United States"/>
    <s v="Provo"/>
    <s v="Utah"/>
    <s v="West"/>
    <x v="1"/>
    <x v="10"/>
    <s v="Adams &quot;While You Were Out&quot; Message Pads"/>
    <x v="223"/>
    <n v="7"/>
    <n v="0"/>
    <n v="9.891"/>
  </r>
  <r>
    <n v="5397"/>
    <x v="446"/>
    <x v="0"/>
    <x v="8"/>
    <d v="2013-09-25T00:00:00"/>
    <n v="0"/>
    <x v="3"/>
    <s v="Edward Becker"/>
    <x v="1"/>
    <s v="United States"/>
    <s v="San Francisco"/>
    <s v="California"/>
    <s v="West"/>
    <x v="0"/>
    <x v="5"/>
    <s v="Nu-Dell Executive Frame"/>
    <x v="1933"/>
    <n v="5"/>
    <n v="0"/>
    <n v="23.384"/>
  </r>
  <r>
    <n v="5398"/>
    <x v="73"/>
    <x v="0"/>
    <x v="0"/>
    <d v="2013-11-28T00:00:00"/>
    <n v="7"/>
    <x v="1"/>
    <s v="Matt Connell"/>
    <x v="1"/>
    <s v="United States"/>
    <s v="Los Angeles"/>
    <s v="California"/>
    <s v="West"/>
    <x v="1"/>
    <x v="9"/>
    <s v="Bravo II Megaboss 12-Amp Hard Body Upright, Replacement Belts, 2 Belts per Pack"/>
    <x v="3798"/>
    <n v="12"/>
    <n v="0"/>
    <n v="11.31"/>
  </r>
  <r>
    <n v="5399"/>
    <x v="720"/>
    <x v="0"/>
    <x v="8"/>
    <d v="2013-10-03T00:00:00"/>
    <n v="5"/>
    <x v="1"/>
    <s v="Brian Moss"/>
    <x v="1"/>
    <s v="United States"/>
    <s v="Lancaster"/>
    <s v="Ohio"/>
    <s v="East"/>
    <x v="1"/>
    <x v="8"/>
    <s v="Recycled Pressboard Report Cover with Reinforced Top Hinge"/>
    <x v="3799"/>
    <n v="3"/>
    <n v="0.7"/>
    <n v="-2.0348999999999999"/>
  </r>
  <r>
    <n v="5400"/>
    <x v="526"/>
    <x v="0"/>
    <x v="3"/>
    <d v="2013-04-15T00:00:00"/>
    <n v="5"/>
    <x v="1"/>
    <s v="Herbert Flentye"/>
    <x v="0"/>
    <s v="United States"/>
    <s v="Los Angeles"/>
    <s v="California"/>
    <s v="West"/>
    <x v="0"/>
    <x v="0"/>
    <s v="Bush Somerset Collection Bookcase"/>
    <x v="3043"/>
    <n v="5"/>
    <n v="0.15"/>
    <n v="6.5490000000000004"/>
  </r>
  <r>
    <n v="5401"/>
    <x v="296"/>
    <x v="3"/>
    <x v="8"/>
    <d v="2014-09-24T00:00:00"/>
    <n v="2"/>
    <x v="2"/>
    <s v="Muhammed Lee"/>
    <x v="0"/>
    <s v="United States"/>
    <s v="Seattle"/>
    <s v="Washington"/>
    <s v="West"/>
    <x v="2"/>
    <x v="11"/>
    <s v="Sony 64GB Class 10 Micro SDHC R40 Memory Card"/>
    <x v="2215"/>
    <n v="2"/>
    <n v="0"/>
    <n v="15.1158"/>
  </r>
  <r>
    <n v="5402"/>
    <x v="296"/>
    <x v="3"/>
    <x v="8"/>
    <d v="2014-09-24T00:00:00"/>
    <n v="2"/>
    <x v="2"/>
    <s v="Muhammed Lee"/>
    <x v="0"/>
    <s v="United States"/>
    <s v="Seattle"/>
    <s v="Washington"/>
    <s v="West"/>
    <x v="2"/>
    <x v="11"/>
    <s v="Logitech M510 Wireless Mouse"/>
    <x v="3800"/>
    <n v="2"/>
    <n v="0"/>
    <n v="26.3934"/>
  </r>
  <r>
    <n v="5403"/>
    <x v="1043"/>
    <x v="3"/>
    <x v="6"/>
    <d v="2014-08-30T00:00:00"/>
    <n v="5"/>
    <x v="1"/>
    <s v="Alan Haines"/>
    <x v="1"/>
    <s v="United States"/>
    <s v="New York City"/>
    <s v="New York"/>
    <s v="East"/>
    <x v="1"/>
    <x v="8"/>
    <s v="DXL Angle-View Binders with Locking Rings by Samsill"/>
    <x v="1063"/>
    <n v="4"/>
    <n v="0.2"/>
    <n v="7.71"/>
  </r>
  <r>
    <n v="5404"/>
    <x v="1043"/>
    <x v="3"/>
    <x v="6"/>
    <d v="2014-08-30T00:00:00"/>
    <n v="5"/>
    <x v="1"/>
    <s v="Alan Haines"/>
    <x v="1"/>
    <s v="United States"/>
    <s v="New York City"/>
    <s v="New York"/>
    <s v="East"/>
    <x v="1"/>
    <x v="8"/>
    <s v="Acco Translucent Poly Ring Binders"/>
    <x v="3735"/>
    <n v="1"/>
    <n v="0.2"/>
    <n v="1.3104"/>
  </r>
  <r>
    <n v="5405"/>
    <x v="712"/>
    <x v="0"/>
    <x v="11"/>
    <d v="2013-02-26T00:00:00"/>
    <n v="4"/>
    <x v="1"/>
    <s v="Tracy Zic"/>
    <x v="0"/>
    <s v="United States"/>
    <s v="Los Angeles"/>
    <s v="California"/>
    <s v="West"/>
    <x v="2"/>
    <x v="7"/>
    <s v="AT&amp;T 1070 Corded Phone"/>
    <x v="563"/>
    <n v="5"/>
    <n v="0.2"/>
    <n v="55.744999999999997"/>
  </r>
  <r>
    <n v="5406"/>
    <x v="712"/>
    <x v="0"/>
    <x v="11"/>
    <d v="2013-02-26T00:00:00"/>
    <n v="4"/>
    <x v="1"/>
    <s v="Tracy Zic"/>
    <x v="0"/>
    <s v="United States"/>
    <s v="Los Angeles"/>
    <s v="California"/>
    <s v="West"/>
    <x v="2"/>
    <x v="11"/>
    <s v="Memorex Mini Travel Drive 64 GB USB 2.0 Flash Drive"/>
    <x v="341"/>
    <n v="1"/>
    <n v="0"/>
    <n v="15.220800000000001"/>
  </r>
  <r>
    <n v="5407"/>
    <x v="712"/>
    <x v="0"/>
    <x v="11"/>
    <d v="2013-02-26T00:00:00"/>
    <n v="4"/>
    <x v="1"/>
    <s v="Tracy Zic"/>
    <x v="0"/>
    <s v="United States"/>
    <s v="Los Angeles"/>
    <s v="California"/>
    <s v="West"/>
    <x v="1"/>
    <x v="13"/>
    <s v="Acco Clips to Go Binder Clips, 24 Clips in Two Sizes"/>
    <x v="1381"/>
    <n v="3"/>
    <n v="0"/>
    <n v="5.0054999999999996"/>
  </r>
  <r>
    <n v="5408"/>
    <x v="166"/>
    <x v="3"/>
    <x v="4"/>
    <d v="2014-12-15T00:00:00"/>
    <n v="6"/>
    <x v="1"/>
    <s v="Denise Monton"/>
    <x v="1"/>
    <s v="United States"/>
    <s v="San Francisco"/>
    <s v="California"/>
    <s v="West"/>
    <x v="1"/>
    <x v="10"/>
    <s v="Standard Line “While You Were Out” Hardbound Telephone Message Book"/>
    <x v="1177"/>
    <n v="4"/>
    <n v="0"/>
    <n v="40.443199999999997"/>
  </r>
  <r>
    <n v="5409"/>
    <x v="166"/>
    <x v="3"/>
    <x v="4"/>
    <d v="2014-12-15T00:00:00"/>
    <n v="6"/>
    <x v="1"/>
    <s v="Denise Monton"/>
    <x v="1"/>
    <s v="United States"/>
    <s v="San Francisco"/>
    <s v="California"/>
    <s v="West"/>
    <x v="1"/>
    <x v="8"/>
    <s v="Performers Binder/Pad Holder, Black"/>
    <x v="3801"/>
    <n v="1"/>
    <n v="0.2"/>
    <n v="8.4090000000000007"/>
  </r>
  <r>
    <n v="5410"/>
    <x v="166"/>
    <x v="3"/>
    <x v="4"/>
    <d v="2014-12-15T00:00:00"/>
    <n v="6"/>
    <x v="1"/>
    <s v="Denise Monton"/>
    <x v="1"/>
    <s v="United States"/>
    <s v="San Francisco"/>
    <s v="California"/>
    <s v="West"/>
    <x v="1"/>
    <x v="8"/>
    <s v="Vinyl Sectional Post Binders"/>
    <x v="3377"/>
    <n v="3"/>
    <n v="0.2"/>
    <n v="33.93"/>
  </r>
  <r>
    <n v="5411"/>
    <x v="166"/>
    <x v="3"/>
    <x v="4"/>
    <d v="2014-12-15T00:00:00"/>
    <n v="6"/>
    <x v="1"/>
    <s v="Denise Monton"/>
    <x v="1"/>
    <s v="United States"/>
    <s v="San Francisco"/>
    <s v="California"/>
    <s v="West"/>
    <x v="1"/>
    <x v="4"/>
    <s v="SAFCO Mobile Desk Side File, Wire Frame"/>
    <x v="3802"/>
    <n v="1"/>
    <n v="0"/>
    <n v="11.117599999999999"/>
  </r>
  <r>
    <n v="5412"/>
    <x v="65"/>
    <x v="3"/>
    <x v="8"/>
    <d v="2014-09-23T00:00:00"/>
    <n v="4"/>
    <x v="1"/>
    <s v="Tony Sayre"/>
    <x v="0"/>
    <s v="United States"/>
    <s v="Clovis"/>
    <s v="New Mexico"/>
    <s v="West"/>
    <x v="1"/>
    <x v="8"/>
    <s v="Wilson Jones Easy Flow II Sheet Lifters"/>
    <x v="1942"/>
    <n v="7"/>
    <n v="0.2"/>
    <n v="3.528"/>
  </r>
  <r>
    <n v="5413"/>
    <x v="65"/>
    <x v="3"/>
    <x v="8"/>
    <d v="2014-09-23T00:00:00"/>
    <n v="4"/>
    <x v="1"/>
    <s v="Tony Sayre"/>
    <x v="0"/>
    <s v="United States"/>
    <s v="Clovis"/>
    <s v="New Mexico"/>
    <s v="West"/>
    <x v="2"/>
    <x v="11"/>
    <s v="Kingston Digital DataTraveler 64GB USB 2.0"/>
    <x v="3803"/>
    <n v="3"/>
    <n v="0"/>
    <n v="8.1072000000000006"/>
  </r>
  <r>
    <n v="5414"/>
    <x v="108"/>
    <x v="0"/>
    <x v="8"/>
    <d v="2013-09-15T00:00:00"/>
    <n v="3"/>
    <x v="2"/>
    <s v="Trudy Brown"/>
    <x v="0"/>
    <s v="United States"/>
    <s v="Wichita"/>
    <s v="Kansas"/>
    <s v="Central"/>
    <x v="2"/>
    <x v="7"/>
    <s v="Plantronics Encore H101 Dual Earpieces Headset"/>
    <x v="3804"/>
    <n v="5"/>
    <n v="0"/>
    <n v="62.93"/>
  </r>
  <r>
    <n v="5415"/>
    <x v="397"/>
    <x v="3"/>
    <x v="8"/>
    <d v="2014-09-29T00:00:00"/>
    <n v="5"/>
    <x v="1"/>
    <s v="Lena Cacioppo"/>
    <x v="0"/>
    <s v="United States"/>
    <s v="Chicago"/>
    <s v="Illinois"/>
    <s v="Central"/>
    <x v="1"/>
    <x v="9"/>
    <s v="Euro Pro Shark Stick Mini Vacuum"/>
    <x v="3805"/>
    <n v="6"/>
    <n v="0.8"/>
    <n v="-197.5752"/>
  </r>
  <r>
    <n v="5416"/>
    <x v="397"/>
    <x v="3"/>
    <x v="8"/>
    <d v="2014-09-29T00:00:00"/>
    <n v="5"/>
    <x v="1"/>
    <s v="Lena Cacioppo"/>
    <x v="0"/>
    <s v="United States"/>
    <s v="Chicago"/>
    <s v="Illinois"/>
    <s v="Central"/>
    <x v="1"/>
    <x v="10"/>
    <s v="Xerox 217"/>
    <x v="557"/>
    <n v="4"/>
    <n v="0.2"/>
    <n v="7.2576000000000001"/>
  </r>
  <r>
    <n v="5417"/>
    <x v="397"/>
    <x v="3"/>
    <x v="8"/>
    <d v="2014-09-29T00:00:00"/>
    <n v="5"/>
    <x v="1"/>
    <s v="Lena Cacioppo"/>
    <x v="0"/>
    <s v="United States"/>
    <s v="Chicago"/>
    <s v="Illinois"/>
    <s v="Central"/>
    <x v="2"/>
    <x v="7"/>
    <s v="OtterBox Commuter Series Case - Samsung Galaxy S4"/>
    <x v="3806"/>
    <n v="2"/>
    <n v="0.2"/>
    <n v="-8.9963999999999995"/>
  </r>
  <r>
    <n v="5418"/>
    <x v="191"/>
    <x v="2"/>
    <x v="2"/>
    <d v="2011-10-08T00:00:00"/>
    <n v="2"/>
    <x v="0"/>
    <s v="Alice McCarthy"/>
    <x v="1"/>
    <s v="United States"/>
    <s v="Omaha"/>
    <s v="Nebraska"/>
    <s v="Central"/>
    <x v="1"/>
    <x v="8"/>
    <s v="GBC VeloBinder Strips"/>
    <x v="2544"/>
    <n v="2"/>
    <n v="0"/>
    <n v="7.68"/>
  </r>
  <r>
    <n v="5419"/>
    <x v="924"/>
    <x v="1"/>
    <x v="2"/>
    <d v="2012-10-26T00:00:00"/>
    <n v="3"/>
    <x v="2"/>
    <s v="Joe Elijah"/>
    <x v="0"/>
    <s v="United States"/>
    <s v="Houston"/>
    <s v="Texas"/>
    <s v="Central"/>
    <x v="1"/>
    <x v="10"/>
    <s v="Xerox 212"/>
    <x v="1566"/>
    <n v="7"/>
    <n v="0.2"/>
    <n v="12.700799999999999"/>
  </r>
  <r>
    <n v="5420"/>
    <x v="924"/>
    <x v="1"/>
    <x v="2"/>
    <d v="2012-10-26T00:00:00"/>
    <n v="3"/>
    <x v="2"/>
    <s v="Joe Elijah"/>
    <x v="0"/>
    <s v="United States"/>
    <s v="Houston"/>
    <s v="Texas"/>
    <s v="Central"/>
    <x v="2"/>
    <x v="7"/>
    <s v="Jabra SPEAK 410"/>
    <x v="3807"/>
    <n v="2"/>
    <n v="0.2"/>
    <n v="15.038399999999999"/>
  </r>
  <r>
    <n v="5421"/>
    <x v="1044"/>
    <x v="0"/>
    <x v="3"/>
    <d v="2013-04-03T00:00:00"/>
    <n v="2"/>
    <x v="0"/>
    <s v="Carlos Soltero"/>
    <x v="0"/>
    <s v="United States"/>
    <s v="Philadelphia"/>
    <s v="Pennsylvania"/>
    <s v="East"/>
    <x v="2"/>
    <x v="7"/>
    <s v="LG Exalt"/>
    <x v="798"/>
    <n v="3"/>
    <n v="0.4"/>
    <n v="-60.836100000000002"/>
  </r>
  <r>
    <n v="5422"/>
    <x v="1044"/>
    <x v="0"/>
    <x v="3"/>
    <d v="2013-04-03T00:00:00"/>
    <n v="2"/>
    <x v="0"/>
    <s v="Carlos Soltero"/>
    <x v="0"/>
    <s v="United States"/>
    <s v="Philadelphia"/>
    <s v="Pennsylvania"/>
    <s v="East"/>
    <x v="2"/>
    <x v="11"/>
    <s v="Anker Ultra-Slim Mini Bluetooth 3.0 Wireless Keyboard"/>
    <x v="236"/>
    <n v="2"/>
    <n v="0.2"/>
    <n v="1.1994"/>
  </r>
  <r>
    <n v="5423"/>
    <x v="723"/>
    <x v="0"/>
    <x v="4"/>
    <d v="2014-01-03T00:00:00"/>
    <n v="4"/>
    <x v="1"/>
    <s v="Phillip Flathmann"/>
    <x v="0"/>
    <s v="United States"/>
    <s v="Los Angeles"/>
    <s v="California"/>
    <s v="West"/>
    <x v="1"/>
    <x v="8"/>
    <s v="Acco Translucent Poly Ring Binders"/>
    <x v="1494"/>
    <n v="3"/>
    <n v="0.2"/>
    <n v="3.9312"/>
  </r>
  <r>
    <n v="5424"/>
    <x v="132"/>
    <x v="3"/>
    <x v="0"/>
    <d v="2014-11-06T00:00:00"/>
    <n v="2"/>
    <x v="0"/>
    <s v="Patrick Jones"/>
    <x v="1"/>
    <s v="United States"/>
    <s v="Richmond"/>
    <s v="Kentucky"/>
    <s v="South"/>
    <x v="1"/>
    <x v="10"/>
    <s v="Xerox 1963"/>
    <x v="1579"/>
    <n v="5"/>
    <n v="0"/>
    <n v="11.88"/>
  </r>
  <r>
    <n v="5425"/>
    <x v="176"/>
    <x v="3"/>
    <x v="9"/>
    <d v="2014-01-27T00:00:00"/>
    <n v="6"/>
    <x v="1"/>
    <s v="Jeremy Farry"/>
    <x v="0"/>
    <s v="United States"/>
    <s v="Waterbury"/>
    <s v="Connecticut"/>
    <s v="East"/>
    <x v="1"/>
    <x v="6"/>
    <s v="Newell 326"/>
    <x v="2799"/>
    <n v="2"/>
    <n v="0"/>
    <n v="1.0207999999999999"/>
  </r>
  <r>
    <n v="5426"/>
    <x v="275"/>
    <x v="0"/>
    <x v="4"/>
    <d v="2013-12-07T00:00:00"/>
    <n v="3"/>
    <x v="2"/>
    <s v="Neoma Murray"/>
    <x v="0"/>
    <s v="United States"/>
    <s v="Los Angeles"/>
    <s v="California"/>
    <s v="West"/>
    <x v="2"/>
    <x v="11"/>
    <s v="Logitech Z-906 Speaker sys - home theater - 5.1-CH"/>
    <x v="3808"/>
    <n v="5"/>
    <n v="0"/>
    <n v="659.98"/>
  </r>
  <r>
    <n v="5427"/>
    <x v="275"/>
    <x v="0"/>
    <x v="4"/>
    <d v="2013-12-07T00:00:00"/>
    <n v="3"/>
    <x v="2"/>
    <s v="Neoma Murray"/>
    <x v="0"/>
    <s v="United States"/>
    <s v="Los Angeles"/>
    <s v="California"/>
    <s v="West"/>
    <x v="0"/>
    <x v="5"/>
    <s v="3M Polarizing Light Filter Sleeves"/>
    <x v="3809"/>
    <n v="6"/>
    <n v="0"/>
    <n v="51.473999999999997"/>
  </r>
  <r>
    <n v="5428"/>
    <x v="403"/>
    <x v="0"/>
    <x v="1"/>
    <d v="2013-06-15T00:00:00"/>
    <n v="0"/>
    <x v="3"/>
    <s v="Marc Harrigan"/>
    <x v="2"/>
    <s v="United States"/>
    <s v="Los Angeles"/>
    <s v="California"/>
    <s v="West"/>
    <x v="0"/>
    <x v="0"/>
    <s v="Bush Heritage Pine Collection 5-Shelf Bookcase, Albany Pine Finish, *Special Order"/>
    <x v="3810"/>
    <n v="5"/>
    <n v="0.15"/>
    <n v="35.244999999999997"/>
  </r>
  <r>
    <n v="5429"/>
    <x v="476"/>
    <x v="0"/>
    <x v="8"/>
    <d v="2013-09-05T00:00:00"/>
    <n v="2"/>
    <x v="2"/>
    <s v="Sam Zeldin"/>
    <x v="2"/>
    <s v="United States"/>
    <s v="San Francisco"/>
    <s v="California"/>
    <s v="West"/>
    <x v="1"/>
    <x v="4"/>
    <s v="Tenex File Box, Personal Filing Tote with Lid, Black"/>
    <x v="2028"/>
    <n v="3"/>
    <n v="0"/>
    <n v="12.097799999999999"/>
  </r>
  <r>
    <n v="5430"/>
    <x v="742"/>
    <x v="2"/>
    <x v="8"/>
    <d v="2011-09-07T00:00:00"/>
    <n v="2"/>
    <x v="2"/>
    <s v="Patrick Ryan"/>
    <x v="0"/>
    <s v="United States"/>
    <s v="Saint Petersburg"/>
    <s v="Florida"/>
    <s v="South"/>
    <x v="0"/>
    <x v="5"/>
    <s v="Telescoping Adjustable Floor Lamp"/>
    <x v="236"/>
    <n v="2"/>
    <n v="0.2"/>
    <n v="1.9990000000000001"/>
  </r>
  <r>
    <n v="5431"/>
    <x v="208"/>
    <x v="3"/>
    <x v="2"/>
    <d v="2014-10-26T00:00:00"/>
    <n v="4"/>
    <x v="1"/>
    <s v="Frank Carlisle"/>
    <x v="2"/>
    <s v="United States"/>
    <s v="Lakewood"/>
    <s v="Ohio"/>
    <s v="East"/>
    <x v="1"/>
    <x v="9"/>
    <s v="Avanti 1.7 Cu. Ft. Refrigerator"/>
    <x v="224"/>
    <n v="2"/>
    <n v="0.2"/>
    <n v="16.1568"/>
  </r>
  <r>
    <n v="5432"/>
    <x v="208"/>
    <x v="3"/>
    <x v="2"/>
    <d v="2014-10-26T00:00:00"/>
    <n v="4"/>
    <x v="1"/>
    <s v="Frank Carlisle"/>
    <x v="2"/>
    <s v="United States"/>
    <s v="Lakewood"/>
    <s v="Ohio"/>
    <s v="East"/>
    <x v="1"/>
    <x v="10"/>
    <s v="RSVP Cards &amp; Envelopes, Blank White, 8-1/2&quot; X 11&quot;, 24 Cards/25 Envelopes/Set"/>
    <x v="3811"/>
    <n v="1"/>
    <n v="0.2"/>
    <n v="1.3715999999999999"/>
  </r>
  <r>
    <n v="5433"/>
    <x v="208"/>
    <x v="3"/>
    <x v="2"/>
    <d v="2014-10-26T00:00:00"/>
    <n v="4"/>
    <x v="1"/>
    <s v="Frank Carlisle"/>
    <x v="2"/>
    <s v="United States"/>
    <s v="Lakewood"/>
    <s v="Ohio"/>
    <s v="East"/>
    <x v="1"/>
    <x v="8"/>
    <s v="SlimView Poly Binder, 3/8&quot;"/>
    <x v="3812"/>
    <n v="4"/>
    <n v="0.7"/>
    <n v="-4.9728000000000003"/>
  </r>
  <r>
    <n v="5434"/>
    <x v="1016"/>
    <x v="3"/>
    <x v="3"/>
    <d v="2014-04-30T00:00:00"/>
    <n v="4"/>
    <x v="1"/>
    <s v="Larry Hughes"/>
    <x v="0"/>
    <s v="United States"/>
    <s v="Chandler"/>
    <s v="Arizona"/>
    <s v="West"/>
    <x v="1"/>
    <x v="6"/>
    <s v="Newell 318"/>
    <x v="3813"/>
    <n v="4"/>
    <n v="0.2"/>
    <n v="0.66720000000000002"/>
  </r>
  <r>
    <n v="5435"/>
    <x v="324"/>
    <x v="1"/>
    <x v="2"/>
    <d v="2012-10-24T00:00:00"/>
    <n v="5"/>
    <x v="1"/>
    <s v="Robert Marley"/>
    <x v="2"/>
    <s v="United States"/>
    <s v="Los Angeles"/>
    <s v="California"/>
    <s v="West"/>
    <x v="1"/>
    <x v="9"/>
    <s v="Sanyo Counter Height Refrigerator with Crisper, 3.6 Cubic Foot, Stainless Steel/Black"/>
    <x v="3814"/>
    <n v="5"/>
    <n v="0"/>
    <n v="459.39600000000002"/>
  </r>
  <r>
    <n v="5436"/>
    <x v="324"/>
    <x v="1"/>
    <x v="2"/>
    <d v="2012-10-24T00:00:00"/>
    <n v="5"/>
    <x v="1"/>
    <s v="Robert Marley"/>
    <x v="2"/>
    <s v="United States"/>
    <s v="Los Angeles"/>
    <s v="California"/>
    <s v="West"/>
    <x v="2"/>
    <x v="11"/>
    <s v="NETGEAR N750 Dual Band Wi-Fi Gigabit Router"/>
    <x v="3815"/>
    <n v="3"/>
    <n v="0"/>
    <n v="97.2"/>
  </r>
  <r>
    <n v="5437"/>
    <x v="260"/>
    <x v="2"/>
    <x v="7"/>
    <d v="2011-07-08T00:00:00"/>
    <n v="3"/>
    <x v="2"/>
    <s v="Don Miller"/>
    <x v="1"/>
    <s v="United States"/>
    <s v="Palm Coast"/>
    <s v="Florida"/>
    <s v="South"/>
    <x v="0"/>
    <x v="5"/>
    <s v="Advantus Panel Wall Certificate Holder - 8.5x11"/>
    <x v="3816"/>
    <n v="2"/>
    <n v="0.2"/>
    <n v="5.3680000000000003"/>
  </r>
  <r>
    <n v="5438"/>
    <x v="260"/>
    <x v="2"/>
    <x v="7"/>
    <d v="2011-07-08T00:00:00"/>
    <n v="3"/>
    <x v="2"/>
    <s v="Don Miller"/>
    <x v="1"/>
    <s v="United States"/>
    <s v="Palm Coast"/>
    <s v="Florida"/>
    <s v="South"/>
    <x v="1"/>
    <x v="8"/>
    <s v="Wilson Jones Four-Pocket Poly Binders"/>
    <x v="3817"/>
    <n v="5"/>
    <n v="0.7"/>
    <n v="-6.867"/>
  </r>
  <r>
    <n v="5439"/>
    <x v="260"/>
    <x v="2"/>
    <x v="7"/>
    <d v="2011-07-08T00:00:00"/>
    <n v="3"/>
    <x v="2"/>
    <s v="Don Miller"/>
    <x v="1"/>
    <s v="United States"/>
    <s v="Palm Coast"/>
    <s v="Florida"/>
    <s v="South"/>
    <x v="0"/>
    <x v="5"/>
    <s v="Luxo Adjustable Task Clamp Lamp"/>
    <x v="3818"/>
    <n v="3"/>
    <n v="0.2"/>
    <n v="15.991199999999999"/>
  </r>
  <r>
    <n v="5440"/>
    <x v="958"/>
    <x v="0"/>
    <x v="3"/>
    <d v="2013-04-10T00:00:00"/>
    <n v="5"/>
    <x v="1"/>
    <s v="Evan Henry"/>
    <x v="0"/>
    <s v="United States"/>
    <s v="New York City"/>
    <s v="New York"/>
    <s v="East"/>
    <x v="1"/>
    <x v="8"/>
    <s v="Ibico Ibimaster 300 Manual Binding System"/>
    <x v="3819"/>
    <n v="2"/>
    <n v="0.2"/>
    <n v="183.995"/>
  </r>
  <r>
    <n v="5441"/>
    <x v="38"/>
    <x v="3"/>
    <x v="0"/>
    <d v="2014-11-19T00:00:00"/>
    <n v="5"/>
    <x v="0"/>
    <s v="Toby Carlisle"/>
    <x v="0"/>
    <s v="United States"/>
    <s v="Jupiter"/>
    <s v="Florida"/>
    <s v="South"/>
    <x v="1"/>
    <x v="6"/>
    <s v="DIXON Oriole Pencils"/>
    <x v="3820"/>
    <n v="1"/>
    <n v="0.2"/>
    <n v="0.15479999999999999"/>
  </r>
  <r>
    <n v="5442"/>
    <x v="428"/>
    <x v="3"/>
    <x v="8"/>
    <d v="2014-09-14T00:00:00"/>
    <n v="4"/>
    <x v="1"/>
    <s v="Arianne Irving"/>
    <x v="0"/>
    <s v="United States"/>
    <s v="Glendale"/>
    <s v="Arizona"/>
    <s v="West"/>
    <x v="1"/>
    <x v="10"/>
    <s v="Unpadded Memo Slips"/>
    <x v="2850"/>
    <n v="2"/>
    <n v="0.2"/>
    <n v="2.3879999999999999"/>
  </r>
  <r>
    <n v="5443"/>
    <x v="786"/>
    <x v="1"/>
    <x v="3"/>
    <d v="2012-04-23T00:00:00"/>
    <n v="6"/>
    <x v="1"/>
    <s v="Jessica Myrick"/>
    <x v="0"/>
    <s v="United States"/>
    <s v="New York City"/>
    <s v="New York"/>
    <s v="East"/>
    <x v="2"/>
    <x v="11"/>
    <s v="Enermax Acrylux Wireless Keyboard"/>
    <x v="914"/>
    <n v="1"/>
    <n v="0"/>
    <n v="36.851999999999997"/>
  </r>
  <r>
    <n v="5444"/>
    <x v="786"/>
    <x v="1"/>
    <x v="3"/>
    <d v="2012-04-23T00:00:00"/>
    <n v="6"/>
    <x v="1"/>
    <s v="Jessica Myrick"/>
    <x v="0"/>
    <s v="United States"/>
    <s v="New York City"/>
    <s v="New York"/>
    <s v="East"/>
    <x v="1"/>
    <x v="8"/>
    <s v="DXL Angle-View Binders with Locking Rings, Black"/>
    <x v="3821"/>
    <n v="13"/>
    <n v="0.2"/>
    <n v="21.024899999999999"/>
  </r>
  <r>
    <n v="5445"/>
    <x v="786"/>
    <x v="1"/>
    <x v="3"/>
    <d v="2012-04-23T00:00:00"/>
    <n v="6"/>
    <x v="1"/>
    <s v="Jessica Myrick"/>
    <x v="0"/>
    <s v="United States"/>
    <s v="New York City"/>
    <s v="New York"/>
    <s v="East"/>
    <x v="1"/>
    <x v="6"/>
    <s v="Barrel Sharpener"/>
    <x v="3822"/>
    <n v="3"/>
    <n v="0"/>
    <n v="2.7846000000000002"/>
  </r>
  <r>
    <n v="5446"/>
    <x v="197"/>
    <x v="0"/>
    <x v="7"/>
    <d v="2013-07-30T00:00:00"/>
    <n v="4"/>
    <x v="1"/>
    <s v="Bill Eplett"/>
    <x v="2"/>
    <s v="United States"/>
    <s v="Houston"/>
    <s v="Texas"/>
    <s v="Central"/>
    <x v="1"/>
    <x v="12"/>
    <s v="Quality Park Security Envelopes"/>
    <x v="3823"/>
    <n v="1"/>
    <n v="0.2"/>
    <n v="7.0659000000000001"/>
  </r>
  <r>
    <n v="5447"/>
    <x v="370"/>
    <x v="0"/>
    <x v="6"/>
    <d v="2013-09-01T00:00:00"/>
    <n v="5"/>
    <x v="1"/>
    <s v="Dan Reichenbach"/>
    <x v="1"/>
    <s v="United States"/>
    <s v="New York City"/>
    <s v="New York"/>
    <s v="East"/>
    <x v="2"/>
    <x v="7"/>
    <s v="Samsung Replacement EH64AVFWE Premium Headset"/>
    <x v="3824"/>
    <n v="6"/>
    <n v="0"/>
    <n v="8.25"/>
  </r>
  <r>
    <n v="5448"/>
    <x v="370"/>
    <x v="0"/>
    <x v="6"/>
    <d v="2013-09-01T00:00:00"/>
    <n v="5"/>
    <x v="1"/>
    <s v="Dan Reichenbach"/>
    <x v="1"/>
    <s v="United States"/>
    <s v="New York City"/>
    <s v="New York"/>
    <s v="East"/>
    <x v="2"/>
    <x v="11"/>
    <s v="Plantronics Audio 478 Stereo USB Headset"/>
    <x v="2857"/>
    <n v="5"/>
    <n v="0"/>
    <n v="87.482500000000002"/>
  </r>
  <r>
    <n v="5449"/>
    <x v="171"/>
    <x v="2"/>
    <x v="8"/>
    <d v="2011-09-19T00:00:00"/>
    <n v="7"/>
    <x v="1"/>
    <s v="Tom Ashbrook"/>
    <x v="2"/>
    <s v="United States"/>
    <s v="Olathe"/>
    <s v="Kansas"/>
    <s v="Central"/>
    <x v="1"/>
    <x v="14"/>
    <s v="Compact Automatic Electric Letter Opener"/>
    <x v="3825"/>
    <n v="3"/>
    <n v="0"/>
    <n v="7.1585999999999999"/>
  </r>
  <r>
    <n v="5450"/>
    <x v="171"/>
    <x v="2"/>
    <x v="8"/>
    <d v="2011-09-19T00:00:00"/>
    <n v="7"/>
    <x v="1"/>
    <s v="Tom Ashbrook"/>
    <x v="2"/>
    <s v="United States"/>
    <s v="Olathe"/>
    <s v="Kansas"/>
    <s v="Central"/>
    <x v="2"/>
    <x v="11"/>
    <s v="SanDisk Cruzer 16 GB USB Flash Drive"/>
    <x v="3826"/>
    <n v="5"/>
    <n v="0"/>
    <n v="10.906000000000001"/>
  </r>
  <r>
    <n v="5451"/>
    <x v="171"/>
    <x v="2"/>
    <x v="8"/>
    <d v="2011-09-19T00:00:00"/>
    <n v="7"/>
    <x v="1"/>
    <s v="Tom Ashbrook"/>
    <x v="2"/>
    <s v="United States"/>
    <s v="Olathe"/>
    <s v="Kansas"/>
    <s v="Central"/>
    <x v="1"/>
    <x v="8"/>
    <s v="GBC DocuBind P100 Manual Binding Machine"/>
    <x v="3827"/>
    <n v="2"/>
    <n v="0"/>
    <n v="149.38200000000001"/>
  </r>
  <r>
    <n v="5452"/>
    <x v="171"/>
    <x v="2"/>
    <x v="8"/>
    <d v="2011-09-19T00:00:00"/>
    <n v="7"/>
    <x v="1"/>
    <s v="Tom Ashbrook"/>
    <x v="2"/>
    <s v="United States"/>
    <s v="Olathe"/>
    <s v="Kansas"/>
    <s v="Central"/>
    <x v="0"/>
    <x v="5"/>
    <s v="Seth Thomas 8 1/2&quot; Cubicle Clock"/>
    <x v="1090"/>
    <n v="2"/>
    <n v="0"/>
    <n v="12.979200000000001"/>
  </r>
  <r>
    <n v="5453"/>
    <x v="405"/>
    <x v="0"/>
    <x v="7"/>
    <d v="2013-07-30T00:00:00"/>
    <n v="7"/>
    <x v="1"/>
    <s v="Kristina Nunn"/>
    <x v="2"/>
    <s v="United States"/>
    <s v="Sparks"/>
    <s v="Nevada"/>
    <s v="West"/>
    <x v="1"/>
    <x v="14"/>
    <s v="Fiskars 8&quot; Scissors, 2/Pack"/>
    <x v="3828"/>
    <n v="5"/>
    <n v="0"/>
    <n v="24.998000000000001"/>
  </r>
  <r>
    <n v="5454"/>
    <x v="240"/>
    <x v="3"/>
    <x v="5"/>
    <d v="2014-05-24T00:00:00"/>
    <n v="4"/>
    <x v="1"/>
    <s v="Patrick Jones"/>
    <x v="1"/>
    <s v="United States"/>
    <s v="Rockford"/>
    <s v="Illinois"/>
    <s v="Central"/>
    <x v="1"/>
    <x v="10"/>
    <s v="Things To Do Today Spiral Book"/>
    <x v="3829"/>
    <n v="6"/>
    <n v="0.2"/>
    <n v="13.780799999999999"/>
  </r>
  <r>
    <n v="5455"/>
    <x v="1045"/>
    <x v="3"/>
    <x v="3"/>
    <d v="2014-05-03T00:00:00"/>
    <n v="4"/>
    <x v="1"/>
    <s v="Matt Connell"/>
    <x v="1"/>
    <s v="United States"/>
    <s v="Philadelphia"/>
    <s v="Pennsylvania"/>
    <s v="East"/>
    <x v="1"/>
    <x v="4"/>
    <s v="Sterilite Officeware Hinged File Box"/>
    <x v="3830"/>
    <n v="1"/>
    <n v="0.2"/>
    <n v="0.73360000000000003"/>
  </r>
  <r>
    <n v="5456"/>
    <x v="1045"/>
    <x v="3"/>
    <x v="3"/>
    <d v="2014-05-03T00:00:00"/>
    <n v="4"/>
    <x v="1"/>
    <s v="Matt Connell"/>
    <x v="1"/>
    <s v="United States"/>
    <s v="Philadelphia"/>
    <s v="Pennsylvania"/>
    <s v="East"/>
    <x v="1"/>
    <x v="6"/>
    <s v="Newell 341"/>
    <x v="1297"/>
    <n v="2"/>
    <n v="0.2"/>
    <n v="0.77039999999999997"/>
  </r>
  <r>
    <n v="5457"/>
    <x v="614"/>
    <x v="3"/>
    <x v="4"/>
    <d v="2015-01-03T00:00:00"/>
    <n v="4"/>
    <x v="1"/>
    <s v="Bruce Stewart"/>
    <x v="0"/>
    <s v="United States"/>
    <s v="Edmonds"/>
    <s v="Washington"/>
    <s v="West"/>
    <x v="1"/>
    <x v="13"/>
    <s v="Acco Glide Clips"/>
    <x v="3831"/>
    <n v="5"/>
    <n v="0"/>
    <n v="9.6039999999999992"/>
  </r>
  <r>
    <n v="5458"/>
    <x v="614"/>
    <x v="3"/>
    <x v="4"/>
    <d v="2015-01-03T00:00:00"/>
    <n v="4"/>
    <x v="1"/>
    <s v="Bruce Stewart"/>
    <x v="0"/>
    <s v="United States"/>
    <s v="Edmonds"/>
    <s v="Washington"/>
    <s v="West"/>
    <x v="0"/>
    <x v="5"/>
    <s v="Hand-Finished Solid Wood Document Frame"/>
    <x v="3658"/>
    <n v="2"/>
    <n v="0"/>
    <n v="20.538"/>
  </r>
  <r>
    <n v="5459"/>
    <x v="507"/>
    <x v="3"/>
    <x v="8"/>
    <d v="2014-09-07T00:00:00"/>
    <n v="2"/>
    <x v="0"/>
    <s v="Pete Kriz"/>
    <x v="0"/>
    <s v="United States"/>
    <s v="San Francisco"/>
    <s v="California"/>
    <s v="West"/>
    <x v="1"/>
    <x v="8"/>
    <s v="Acco Suede Grain Vinyl Round Ring Binder"/>
    <x v="3832"/>
    <n v="6"/>
    <n v="0.2"/>
    <n v="4.3368000000000002"/>
  </r>
  <r>
    <n v="5460"/>
    <x v="507"/>
    <x v="3"/>
    <x v="8"/>
    <d v="2014-09-07T00:00:00"/>
    <n v="2"/>
    <x v="0"/>
    <s v="Pete Kriz"/>
    <x v="0"/>
    <s v="United States"/>
    <s v="San Francisco"/>
    <s v="California"/>
    <s v="West"/>
    <x v="0"/>
    <x v="3"/>
    <s v="Bush Cubix Conference Tables, Fully Assembled"/>
    <x v="3833"/>
    <n v="8"/>
    <n v="0.2"/>
    <n v="92.391999999999996"/>
  </r>
  <r>
    <n v="5461"/>
    <x v="90"/>
    <x v="2"/>
    <x v="10"/>
    <d v="2011-03-25T00:00:00"/>
    <n v="4"/>
    <x v="1"/>
    <s v="Thomas Seio"/>
    <x v="1"/>
    <s v="United States"/>
    <s v="Asheville"/>
    <s v="North Carolina"/>
    <s v="South"/>
    <x v="1"/>
    <x v="4"/>
    <s v="Tennsco Commercial Shelving"/>
    <x v="3834"/>
    <n v="1"/>
    <n v="0.2"/>
    <n v="-3.8645999999999998"/>
  </r>
  <r>
    <n v="5462"/>
    <x v="394"/>
    <x v="3"/>
    <x v="8"/>
    <d v="2014-10-05T00:00:00"/>
    <n v="6"/>
    <x v="1"/>
    <s v="Bruce Degenhardt"/>
    <x v="0"/>
    <s v="United States"/>
    <s v="Los Angeles"/>
    <s v="California"/>
    <s v="West"/>
    <x v="0"/>
    <x v="5"/>
    <s v="Longer-Life Soft White Bulbs"/>
    <x v="354"/>
    <n v="3"/>
    <n v="0"/>
    <n v="4.4352"/>
  </r>
  <r>
    <n v="5463"/>
    <x v="1046"/>
    <x v="2"/>
    <x v="9"/>
    <d v="2011-01-21T00:00:00"/>
    <n v="1"/>
    <x v="2"/>
    <s v="Toby Swindell"/>
    <x v="0"/>
    <s v="United States"/>
    <s v="Scottsdale"/>
    <s v="Arizona"/>
    <s v="West"/>
    <x v="1"/>
    <x v="8"/>
    <s v="GBC Standard Recycled Report Covers, Clear Plastic Sheets"/>
    <x v="3773"/>
    <n v="10"/>
    <n v="0.7"/>
    <n v="-23.716000000000001"/>
  </r>
  <r>
    <n v="5464"/>
    <x v="1046"/>
    <x v="2"/>
    <x v="9"/>
    <d v="2011-01-21T00:00:00"/>
    <n v="1"/>
    <x v="2"/>
    <s v="Toby Swindell"/>
    <x v="0"/>
    <s v="United States"/>
    <s v="Scottsdale"/>
    <s v="Arizona"/>
    <s v="West"/>
    <x v="1"/>
    <x v="10"/>
    <s v="TOPS Carbonless Receipt Book, Four 2-3/4 x 7-1/4 Money Receipts per Page"/>
    <x v="3835"/>
    <n v="4"/>
    <n v="0.2"/>
    <n v="19.622399999999999"/>
  </r>
  <r>
    <n v="5465"/>
    <x v="1046"/>
    <x v="2"/>
    <x v="9"/>
    <d v="2011-01-21T00:00:00"/>
    <n v="1"/>
    <x v="2"/>
    <s v="Toby Swindell"/>
    <x v="0"/>
    <s v="United States"/>
    <s v="Scottsdale"/>
    <s v="Arizona"/>
    <s v="West"/>
    <x v="1"/>
    <x v="12"/>
    <s v="Tyvek  Top-Opening Peel &amp; Seel Envelopes, Plain White"/>
    <x v="3836"/>
    <n v="5"/>
    <n v="0.2"/>
    <n v="36.692999999999998"/>
  </r>
  <r>
    <n v="5466"/>
    <x v="1046"/>
    <x v="2"/>
    <x v="9"/>
    <d v="2011-01-21T00:00:00"/>
    <n v="1"/>
    <x v="2"/>
    <s v="Toby Swindell"/>
    <x v="0"/>
    <s v="United States"/>
    <s v="Scottsdale"/>
    <s v="Arizona"/>
    <s v="West"/>
    <x v="0"/>
    <x v="0"/>
    <s v="O'Sullivan 4-Shelf Bookcase in Odessa Pine"/>
    <x v="3837"/>
    <n v="5"/>
    <n v="0.7"/>
    <n v="-320.59699999999998"/>
  </r>
  <r>
    <n v="5467"/>
    <x v="1047"/>
    <x v="2"/>
    <x v="11"/>
    <d v="2011-02-20T00:00:00"/>
    <n v="5"/>
    <x v="0"/>
    <s v="Shui Tom"/>
    <x v="0"/>
    <s v="United States"/>
    <s v="Houston"/>
    <s v="Texas"/>
    <s v="Central"/>
    <x v="1"/>
    <x v="10"/>
    <s v="Memo Book, 100 Message Capacity, 5 3/8” x 11”"/>
    <x v="3838"/>
    <n v="3"/>
    <n v="0.2"/>
    <n v="6.0659999999999998"/>
  </r>
  <r>
    <n v="5468"/>
    <x v="632"/>
    <x v="0"/>
    <x v="1"/>
    <d v="2013-06-15T00:00:00"/>
    <n v="5"/>
    <x v="1"/>
    <s v="Dean Braden"/>
    <x v="0"/>
    <s v="United States"/>
    <s v="San Francisco"/>
    <s v="California"/>
    <s v="West"/>
    <x v="0"/>
    <x v="1"/>
    <s v="Global Deluxe Stacking Chair, Gray"/>
    <x v="1888"/>
    <n v="3"/>
    <n v="0.2"/>
    <n v="13.7646"/>
  </r>
  <r>
    <n v="5469"/>
    <x v="467"/>
    <x v="2"/>
    <x v="8"/>
    <d v="2011-09-27T00:00:00"/>
    <n v="1"/>
    <x v="2"/>
    <s v="Karen Ferguson"/>
    <x v="2"/>
    <s v="United States"/>
    <s v="San Diego"/>
    <s v="California"/>
    <s v="West"/>
    <x v="0"/>
    <x v="1"/>
    <s v="Hon Deluxe Fabric Upholstered Stacking Chairs, Rounded Back"/>
    <x v="2239"/>
    <n v="3"/>
    <n v="0.2"/>
    <n v="73.194000000000003"/>
  </r>
  <r>
    <n v="5470"/>
    <x v="467"/>
    <x v="2"/>
    <x v="8"/>
    <d v="2011-09-27T00:00:00"/>
    <n v="1"/>
    <x v="2"/>
    <s v="Karen Ferguson"/>
    <x v="2"/>
    <s v="United States"/>
    <s v="San Diego"/>
    <s v="California"/>
    <s v="West"/>
    <x v="1"/>
    <x v="10"/>
    <s v="Xerox 217"/>
    <x v="537"/>
    <n v="3"/>
    <n v="0"/>
    <n v="9.3312000000000008"/>
  </r>
  <r>
    <n v="5471"/>
    <x v="198"/>
    <x v="0"/>
    <x v="5"/>
    <d v="2013-06-05T00:00:00"/>
    <n v="5"/>
    <x v="1"/>
    <s v="Justin MacKendrick"/>
    <x v="0"/>
    <s v="United States"/>
    <s v="Hamilton"/>
    <s v="Ohio"/>
    <s v="East"/>
    <x v="1"/>
    <x v="9"/>
    <s v="Euro-Pro Shark Turbo Vacuum"/>
    <x v="1832"/>
    <n v="5"/>
    <n v="0.2"/>
    <n v="9.2940000000000005"/>
  </r>
  <r>
    <n v="5472"/>
    <x v="484"/>
    <x v="3"/>
    <x v="4"/>
    <d v="2014-12-24T00:00:00"/>
    <n v="4"/>
    <x v="1"/>
    <s v="Tony Sayre"/>
    <x v="0"/>
    <s v="United States"/>
    <s v="Parker"/>
    <s v="Colorado"/>
    <s v="West"/>
    <x v="0"/>
    <x v="5"/>
    <s v="OIC Stacking Trays"/>
    <x v="518"/>
    <n v="5"/>
    <n v="0.2"/>
    <n v="4.008"/>
  </r>
  <r>
    <n v="5473"/>
    <x v="484"/>
    <x v="3"/>
    <x v="4"/>
    <d v="2014-12-24T00:00:00"/>
    <n v="4"/>
    <x v="1"/>
    <s v="Tony Sayre"/>
    <x v="0"/>
    <s v="United States"/>
    <s v="Parker"/>
    <s v="Colorado"/>
    <s v="West"/>
    <x v="1"/>
    <x v="4"/>
    <s v="Tennsco Industrial Shelving"/>
    <x v="1592"/>
    <n v="2"/>
    <n v="0.2"/>
    <n v="-17.607600000000001"/>
  </r>
  <r>
    <n v="5474"/>
    <x v="484"/>
    <x v="3"/>
    <x v="4"/>
    <d v="2014-12-24T00:00:00"/>
    <n v="4"/>
    <x v="1"/>
    <s v="Tony Sayre"/>
    <x v="0"/>
    <s v="United States"/>
    <s v="Parker"/>
    <s v="Colorado"/>
    <s v="West"/>
    <x v="0"/>
    <x v="0"/>
    <s v="O'Sullivan 2-Shelf Heavy-Duty Bookcases"/>
    <x v="3839"/>
    <n v="7"/>
    <n v="0.7"/>
    <n v="-183.63239999999999"/>
  </r>
  <r>
    <n v="5475"/>
    <x v="377"/>
    <x v="3"/>
    <x v="4"/>
    <d v="2014-12-27T00:00:00"/>
    <n v="0"/>
    <x v="3"/>
    <s v="Yoseph Carroll"/>
    <x v="1"/>
    <s v="United States"/>
    <s v="Fremont"/>
    <s v="Nebraska"/>
    <s v="Central"/>
    <x v="1"/>
    <x v="4"/>
    <s v="Tennsco Single-Tier Lockers"/>
    <x v="3840"/>
    <n v="2"/>
    <n v="0"/>
    <n v="37.533999999999999"/>
  </r>
  <r>
    <n v="5476"/>
    <x v="140"/>
    <x v="3"/>
    <x v="1"/>
    <d v="2014-06-19T00:00:00"/>
    <n v="3"/>
    <x v="2"/>
    <s v="Dean percer"/>
    <x v="2"/>
    <s v="United States"/>
    <s v="Maple Grove"/>
    <s v="Minnesota"/>
    <s v="Central"/>
    <x v="1"/>
    <x v="2"/>
    <s v="Avery 490"/>
    <x v="1821"/>
    <n v="3"/>
    <n v="0"/>
    <n v="22.2"/>
  </r>
  <r>
    <n v="5477"/>
    <x v="140"/>
    <x v="3"/>
    <x v="1"/>
    <d v="2014-06-19T00:00:00"/>
    <n v="3"/>
    <x v="2"/>
    <s v="Dean percer"/>
    <x v="2"/>
    <s v="United States"/>
    <s v="Maple Grove"/>
    <s v="Minnesota"/>
    <s v="Central"/>
    <x v="1"/>
    <x v="4"/>
    <s v="Tenex Personal Self-Stacking Standard File Box, Black/Gray"/>
    <x v="3841"/>
    <n v="5"/>
    <n v="0"/>
    <n v="22.828499999999998"/>
  </r>
  <r>
    <n v="5478"/>
    <x v="140"/>
    <x v="3"/>
    <x v="1"/>
    <d v="2014-06-19T00:00:00"/>
    <n v="3"/>
    <x v="2"/>
    <s v="Dean percer"/>
    <x v="2"/>
    <s v="United States"/>
    <s v="Maple Grove"/>
    <s v="Minnesota"/>
    <s v="Central"/>
    <x v="1"/>
    <x v="10"/>
    <s v="Xerox 1992"/>
    <x v="1444"/>
    <n v="3"/>
    <n v="0"/>
    <n v="8.7905999999999995"/>
  </r>
  <r>
    <n v="5479"/>
    <x v="73"/>
    <x v="0"/>
    <x v="0"/>
    <d v="2013-11-25T00:00:00"/>
    <n v="4"/>
    <x v="1"/>
    <s v="Shirley Jackson"/>
    <x v="0"/>
    <s v="United States"/>
    <s v="Newark"/>
    <s v="Delaware"/>
    <s v="East"/>
    <x v="1"/>
    <x v="8"/>
    <s v="Wilson Jones Elliptical Ring 3 1/2&quot; Capacity Binders, 800 sheets"/>
    <x v="3146"/>
    <n v="3"/>
    <n v="0"/>
    <n v="62.915999999999997"/>
  </r>
  <r>
    <n v="5480"/>
    <x v="691"/>
    <x v="2"/>
    <x v="10"/>
    <d v="2011-04-04T00:00:00"/>
    <n v="4"/>
    <x v="1"/>
    <s v="Karen Bern"/>
    <x v="1"/>
    <s v="United States"/>
    <s v="Miami"/>
    <s v="Florida"/>
    <s v="South"/>
    <x v="1"/>
    <x v="8"/>
    <s v="Avery Hole Reinforcements"/>
    <x v="3842"/>
    <n v="1"/>
    <n v="0.7"/>
    <n v="-1.3083"/>
  </r>
  <r>
    <n v="5481"/>
    <x v="1048"/>
    <x v="3"/>
    <x v="2"/>
    <d v="2014-10-15T00:00:00"/>
    <n v="6"/>
    <x v="1"/>
    <s v="Chris Selesnick"/>
    <x v="1"/>
    <s v="United States"/>
    <s v="San Diego"/>
    <s v="California"/>
    <s v="West"/>
    <x v="2"/>
    <x v="7"/>
    <s v="Digium D40 VoIP phone"/>
    <x v="3843"/>
    <n v="1"/>
    <n v="0.2"/>
    <n v="11.6091"/>
  </r>
  <r>
    <n v="5482"/>
    <x v="1048"/>
    <x v="3"/>
    <x v="2"/>
    <d v="2014-10-15T00:00:00"/>
    <n v="6"/>
    <x v="1"/>
    <s v="Chris Selesnick"/>
    <x v="1"/>
    <s v="United States"/>
    <s v="San Diego"/>
    <s v="California"/>
    <s v="West"/>
    <x v="2"/>
    <x v="11"/>
    <s v="KeyTronic E03601U1 - Keyboard - Beige"/>
    <x v="3844"/>
    <n v="2"/>
    <n v="0"/>
    <n v="6.48"/>
  </r>
  <r>
    <n v="5483"/>
    <x v="1048"/>
    <x v="3"/>
    <x v="2"/>
    <d v="2014-10-15T00:00:00"/>
    <n v="6"/>
    <x v="1"/>
    <s v="Chris Selesnick"/>
    <x v="1"/>
    <s v="United States"/>
    <s v="San Diego"/>
    <s v="California"/>
    <s v="West"/>
    <x v="2"/>
    <x v="11"/>
    <s v="Logitech Illuminated - Keyboard"/>
    <x v="3612"/>
    <n v="4"/>
    <n v="0"/>
    <n v="115.1808"/>
  </r>
  <r>
    <n v="5484"/>
    <x v="1048"/>
    <x v="3"/>
    <x v="2"/>
    <d v="2014-10-15T00:00:00"/>
    <n v="6"/>
    <x v="1"/>
    <s v="Chris Selesnick"/>
    <x v="1"/>
    <s v="United States"/>
    <s v="San Diego"/>
    <s v="California"/>
    <s v="West"/>
    <x v="1"/>
    <x v="4"/>
    <s v="Tennsco Commercial Shelving"/>
    <x v="1374"/>
    <n v="2"/>
    <n v="0"/>
    <n v="0.40679999999999999"/>
  </r>
  <r>
    <n v="5485"/>
    <x v="289"/>
    <x v="3"/>
    <x v="9"/>
    <d v="2014-02-05T00:00:00"/>
    <n v="5"/>
    <x v="1"/>
    <s v="Emily Burns"/>
    <x v="0"/>
    <s v="United States"/>
    <s v="Miami"/>
    <s v="Florida"/>
    <s v="South"/>
    <x v="0"/>
    <x v="1"/>
    <s v="Office Star - Contemporary Task Swivel chair with 2-way adjustable arms, Plum"/>
    <x v="3344"/>
    <n v="4"/>
    <n v="0.2"/>
    <n v="-68.1096"/>
  </r>
  <r>
    <n v="5486"/>
    <x v="432"/>
    <x v="2"/>
    <x v="4"/>
    <d v="2011-12-17T00:00:00"/>
    <n v="5"/>
    <x v="1"/>
    <s v="Philip Brown"/>
    <x v="0"/>
    <s v="United States"/>
    <s v="Miami"/>
    <s v="Florida"/>
    <s v="South"/>
    <x v="1"/>
    <x v="12"/>
    <s v="Staples"/>
    <x v="2953"/>
    <n v="3"/>
    <n v="0.2"/>
    <n v="7.6284000000000001"/>
  </r>
  <r>
    <n v="5487"/>
    <x v="1040"/>
    <x v="1"/>
    <x v="2"/>
    <d v="2012-10-29T00:00:00"/>
    <n v="5"/>
    <x v="1"/>
    <s v="Michelle Tran"/>
    <x v="2"/>
    <s v="United States"/>
    <s v="San Antonio"/>
    <s v="Texas"/>
    <s v="Central"/>
    <x v="1"/>
    <x v="8"/>
    <s v="Avery Non-Stick Binders"/>
    <x v="3183"/>
    <n v="4"/>
    <n v="0.8"/>
    <n v="-6.2859999999999996"/>
  </r>
  <r>
    <n v="5488"/>
    <x v="719"/>
    <x v="3"/>
    <x v="3"/>
    <d v="2014-04-05T00:00:00"/>
    <n v="3"/>
    <x v="0"/>
    <s v="Barry Französisch"/>
    <x v="1"/>
    <s v="United States"/>
    <s v="Jacksonville"/>
    <s v="Florida"/>
    <s v="South"/>
    <x v="2"/>
    <x v="7"/>
    <s v="Mediabridge Sport Armband iPhone 5s"/>
    <x v="112"/>
    <n v="3"/>
    <n v="0.2"/>
    <n v="-5.6943000000000001"/>
  </r>
  <r>
    <n v="5489"/>
    <x v="719"/>
    <x v="3"/>
    <x v="3"/>
    <d v="2014-04-05T00:00:00"/>
    <n v="3"/>
    <x v="0"/>
    <s v="Barry Französisch"/>
    <x v="1"/>
    <s v="United States"/>
    <s v="Jacksonville"/>
    <s v="Florida"/>
    <s v="South"/>
    <x v="1"/>
    <x v="2"/>
    <s v="Avery 494"/>
    <x v="301"/>
    <n v="3"/>
    <n v="0.2"/>
    <n v="2.0358000000000001"/>
  </r>
  <r>
    <n v="5490"/>
    <x v="719"/>
    <x v="3"/>
    <x v="3"/>
    <d v="2014-04-05T00:00:00"/>
    <n v="3"/>
    <x v="0"/>
    <s v="Barry Französisch"/>
    <x v="1"/>
    <s v="United States"/>
    <s v="Jacksonville"/>
    <s v="Florida"/>
    <s v="South"/>
    <x v="1"/>
    <x v="9"/>
    <s v="Staples"/>
    <x v="3160"/>
    <n v="3"/>
    <n v="0.2"/>
    <n v="1.8207"/>
  </r>
  <r>
    <n v="5491"/>
    <x v="719"/>
    <x v="3"/>
    <x v="3"/>
    <d v="2014-04-05T00:00:00"/>
    <n v="3"/>
    <x v="0"/>
    <s v="Barry Französisch"/>
    <x v="1"/>
    <s v="United States"/>
    <s v="Jacksonville"/>
    <s v="Florida"/>
    <s v="South"/>
    <x v="0"/>
    <x v="1"/>
    <s v="Global Wood Trimmed Manager's Task Chair, Khaki"/>
    <x v="286"/>
    <n v="3"/>
    <n v="0.2"/>
    <n v="-19.105799999999999"/>
  </r>
  <r>
    <n v="5492"/>
    <x v="795"/>
    <x v="3"/>
    <x v="9"/>
    <d v="2014-01-28T00:00:00"/>
    <n v="1"/>
    <x v="2"/>
    <s v="Claire Gute"/>
    <x v="0"/>
    <s v="United States"/>
    <s v="Houston"/>
    <s v="Texas"/>
    <s v="Central"/>
    <x v="1"/>
    <x v="4"/>
    <s v="SimpliFile Personal File, Black Granite, 15w x 6-15/16d x 11-1/4h"/>
    <x v="1318"/>
    <n v="2"/>
    <n v="0.2"/>
    <n v="1.8160000000000001"/>
  </r>
  <r>
    <n v="5493"/>
    <x v="683"/>
    <x v="2"/>
    <x v="0"/>
    <d v="2011-11-28T00:00:00"/>
    <n v="0"/>
    <x v="3"/>
    <s v="Duane Huffman"/>
    <x v="2"/>
    <s v="United States"/>
    <s v="San Francisco"/>
    <s v="California"/>
    <s v="West"/>
    <x v="1"/>
    <x v="14"/>
    <s v="Staples"/>
    <x v="348"/>
    <n v="2"/>
    <n v="0"/>
    <n v="0.1472"/>
  </r>
  <r>
    <n v="5494"/>
    <x v="683"/>
    <x v="2"/>
    <x v="0"/>
    <d v="2011-11-28T00:00:00"/>
    <n v="0"/>
    <x v="3"/>
    <s v="Duane Huffman"/>
    <x v="2"/>
    <s v="United States"/>
    <s v="San Francisco"/>
    <s v="California"/>
    <s v="West"/>
    <x v="1"/>
    <x v="2"/>
    <s v="Avery 489"/>
    <x v="1399"/>
    <n v="4"/>
    <n v="0"/>
    <n v="19.872"/>
  </r>
  <r>
    <n v="5495"/>
    <x v="683"/>
    <x v="2"/>
    <x v="0"/>
    <d v="2011-11-28T00:00:00"/>
    <n v="0"/>
    <x v="3"/>
    <s v="Duane Huffman"/>
    <x v="2"/>
    <s v="United States"/>
    <s v="San Francisco"/>
    <s v="California"/>
    <s v="West"/>
    <x v="0"/>
    <x v="0"/>
    <s v="Sauder Camden County Barrister Bookcase, Planked Cherry Finish"/>
    <x v="1504"/>
    <n v="4"/>
    <n v="0.15"/>
    <n v="-4.8391999999999999"/>
  </r>
  <r>
    <n v="5496"/>
    <x v="406"/>
    <x v="1"/>
    <x v="8"/>
    <d v="2012-09-08T00:00:00"/>
    <n v="4"/>
    <x v="1"/>
    <s v="Shaun Chance"/>
    <x v="1"/>
    <s v="United States"/>
    <s v="Philadelphia"/>
    <s v="Pennsylvania"/>
    <s v="East"/>
    <x v="1"/>
    <x v="8"/>
    <s v="Avery Heavy-Duty EZD View Binder with Locking Rings"/>
    <x v="2976"/>
    <n v="4"/>
    <n v="0.7"/>
    <n v="-6.1247999999999996"/>
  </r>
  <r>
    <n v="5497"/>
    <x v="492"/>
    <x v="3"/>
    <x v="1"/>
    <d v="2014-06-17T00:00:00"/>
    <n v="4"/>
    <x v="1"/>
    <s v="Hunter Glantz"/>
    <x v="0"/>
    <s v="United States"/>
    <s v="Marion"/>
    <s v="Ohio"/>
    <s v="East"/>
    <x v="2"/>
    <x v="11"/>
    <s v="Microsoft Sculpt Comfort Mouse"/>
    <x v="3201"/>
    <n v="2"/>
    <n v="0.2"/>
    <n v="19.175999999999998"/>
  </r>
  <r>
    <n v="5498"/>
    <x v="663"/>
    <x v="3"/>
    <x v="7"/>
    <d v="2014-07-19T00:00:00"/>
    <n v="3"/>
    <x v="0"/>
    <s v="Michelle Moray"/>
    <x v="0"/>
    <s v="United States"/>
    <s v="New York City"/>
    <s v="New York"/>
    <s v="East"/>
    <x v="1"/>
    <x v="6"/>
    <s v="Newell 349"/>
    <x v="2578"/>
    <n v="2"/>
    <n v="0"/>
    <n v="1.9024000000000001"/>
  </r>
  <r>
    <n v="5499"/>
    <x v="663"/>
    <x v="3"/>
    <x v="7"/>
    <d v="2014-07-19T00:00:00"/>
    <n v="3"/>
    <x v="0"/>
    <s v="Michelle Moray"/>
    <x v="0"/>
    <s v="United States"/>
    <s v="New York City"/>
    <s v="New York"/>
    <s v="East"/>
    <x v="1"/>
    <x v="2"/>
    <s v="Avery 509"/>
    <x v="1484"/>
    <n v="3"/>
    <n v="0"/>
    <n v="3.6017999999999999"/>
  </r>
  <r>
    <n v="5500"/>
    <x v="663"/>
    <x v="3"/>
    <x v="7"/>
    <d v="2014-07-19T00:00:00"/>
    <n v="3"/>
    <x v="0"/>
    <s v="Michelle Moray"/>
    <x v="0"/>
    <s v="United States"/>
    <s v="New York City"/>
    <s v="New York"/>
    <s v="East"/>
    <x v="2"/>
    <x v="11"/>
    <s v="Sony 32GB Class 10 Micro SDHC R40 Memory Card"/>
    <x v="362"/>
    <n v="2"/>
    <n v="0"/>
    <n v="8.7989999999999995"/>
  </r>
  <r>
    <n v="5501"/>
    <x v="663"/>
    <x v="3"/>
    <x v="7"/>
    <d v="2014-07-19T00:00:00"/>
    <n v="3"/>
    <x v="0"/>
    <s v="Michelle Moray"/>
    <x v="0"/>
    <s v="United States"/>
    <s v="New York City"/>
    <s v="New York"/>
    <s v="East"/>
    <x v="0"/>
    <x v="1"/>
    <s v="Hon Mobius Operator's Chair"/>
    <x v="3845"/>
    <n v="6"/>
    <n v="0.1"/>
    <n v="88.552800000000005"/>
  </r>
  <r>
    <n v="5502"/>
    <x v="663"/>
    <x v="3"/>
    <x v="7"/>
    <d v="2014-07-19T00:00:00"/>
    <n v="3"/>
    <x v="0"/>
    <s v="Michelle Moray"/>
    <x v="0"/>
    <s v="United States"/>
    <s v="New York City"/>
    <s v="New York"/>
    <s v="East"/>
    <x v="1"/>
    <x v="10"/>
    <s v="Spiral Phone Message Books with Labels by Adams"/>
    <x v="2431"/>
    <n v="2"/>
    <n v="0"/>
    <n v="4.3903999999999996"/>
  </r>
  <r>
    <n v="5503"/>
    <x v="808"/>
    <x v="3"/>
    <x v="0"/>
    <d v="2014-11-07T00:00:00"/>
    <n v="4"/>
    <x v="1"/>
    <s v="Thea Hudgings"/>
    <x v="1"/>
    <s v="United States"/>
    <s v="Philadelphia"/>
    <s v="Pennsylvania"/>
    <s v="East"/>
    <x v="0"/>
    <x v="5"/>
    <s v="Eldon Image Series Black Desk Accessories"/>
    <x v="3846"/>
    <n v="1"/>
    <n v="0.2"/>
    <n v="0.66239999999999999"/>
  </r>
  <r>
    <n v="5504"/>
    <x v="808"/>
    <x v="3"/>
    <x v="0"/>
    <d v="2014-11-07T00:00:00"/>
    <n v="4"/>
    <x v="1"/>
    <s v="Thea Hudgings"/>
    <x v="1"/>
    <s v="United States"/>
    <s v="Philadelphia"/>
    <s v="Pennsylvania"/>
    <s v="East"/>
    <x v="1"/>
    <x v="9"/>
    <s v="Black &amp; Decker Filter for Double Action Dustbuster Cordless Vac BLDV7210"/>
    <x v="3847"/>
    <n v="3"/>
    <n v="0.2"/>
    <n v="1.2585"/>
  </r>
  <r>
    <n v="5505"/>
    <x v="808"/>
    <x v="3"/>
    <x v="0"/>
    <d v="2014-11-07T00:00:00"/>
    <n v="4"/>
    <x v="1"/>
    <s v="Thea Hudgings"/>
    <x v="1"/>
    <s v="United States"/>
    <s v="Philadelphia"/>
    <s v="Pennsylvania"/>
    <s v="East"/>
    <x v="1"/>
    <x v="12"/>
    <s v="Colored Envelopes"/>
    <x v="3096"/>
    <n v="3"/>
    <n v="0.2"/>
    <n v="2.8782000000000001"/>
  </r>
  <r>
    <n v="5506"/>
    <x v="808"/>
    <x v="3"/>
    <x v="0"/>
    <d v="2014-11-07T00:00:00"/>
    <n v="4"/>
    <x v="1"/>
    <s v="Thea Hudgings"/>
    <x v="1"/>
    <s v="United States"/>
    <s v="Philadelphia"/>
    <s v="Pennsylvania"/>
    <s v="East"/>
    <x v="2"/>
    <x v="7"/>
    <s v="Wilson Electronics DB Pro Signal Booster"/>
    <x v="3848"/>
    <n v="4"/>
    <n v="0.4"/>
    <n v="-186.16"/>
  </r>
  <r>
    <n v="5507"/>
    <x v="750"/>
    <x v="0"/>
    <x v="2"/>
    <d v="2013-10-09T00:00:00"/>
    <n v="0"/>
    <x v="3"/>
    <s v="Joel Eaton"/>
    <x v="0"/>
    <s v="United States"/>
    <s v="Los Angeles"/>
    <s v="California"/>
    <s v="West"/>
    <x v="1"/>
    <x v="10"/>
    <s v="Xerox 1925"/>
    <x v="1156"/>
    <n v="2"/>
    <n v="0"/>
    <n v="27.882000000000001"/>
  </r>
  <r>
    <n v="5508"/>
    <x v="143"/>
    <x v="0"/>
    <x v="3"/>
    <d v="2013-04-15T00:00:00"/>
    <n v="6"/>
    <x v="1"/>
    <s v="Patrick Gardner"/>
    <x v="0"/>
    <s v="United States"/>
    <s v="Smyrna"/>
    <s v="Georgia"/>
    <s v="South"/>
    <x v="1"/>
    <x v="12"/>
    <s v="Ampad #10 Peel &amp; Seel Holiday Envelopes"/>
    <x v="1411"/>
    <n v="4"/>
    <n v="0"/>
    <n v="8.6015999999999995"/>
  </r>
  <r>
    <n v="5509"/>
    <x v="1049"/>
    <x v="1"/>
    <x v="2"/>
    <d v="2012-10-12T00:00:00"/>
    <n v="4"/>
    <x v="1"/>
    <s v="Maria Bertelson"/>
    <x v="0"/>
    <s v="United States"/>
    <s v="San Francisco"/>
    <s v="California"/>
    <s v="West"/>
    <x v="0"/>
    <x v="5"/>
    <s v="Deflect-o SuperTray Unbreakable Stackable Tray, Letter, Black"/>
    <x v="1213"/>
    <n v="5"/>
    <n v="0"/>
    <n v="62.737000000000002"/>
  </r>
  <r>
    <n v="5510"/>
    <x v="356"/>
    <x v="3"/>
    <x v="5"/>
    <d v="2014-05-21T00:00:00"/>
    <n v="5"/>
    <x v="1"/>
    <s v="Joy Daniels"/>
    <x v="0"/>
    <s v="United States"/>
    <s v="Chicago"/>
    <s v="Illinois"/>
    <s v="Central"/>
    <x v="1"/>
    <x v="10"/>
    <s v="Xerox 1880"/>
    <x v="3849"/>
    <n v="2"/>
    <n v="0.2"/>
    <n v="19.137599999999999"/>
  </r>
  <r>
    <n v="5511"/>
    <x v="356"/>
    <x v="3"/>
    <x v="5"/>
    <d v="2014-05-21T00:00:00"/>
    <n v="5"/>
    <x v="1"/>
    <s v="Joy Daniels"/>
    <x v="0"/>
    <s v="United States"/>
    <s v="Chicago"/>
    <s v="Illinois"/>
    <s v="Central"/>
    <x v="2"/>
    <x v="7"/>
    <s v="QVS USB Car Charger 2-Port 2.1Amp for iPod/iPhone/iPad/iPad 2/iPad 3"/>
    <x v="1731"/>
    <n v="2"/>
    <n v="0.2"/>
    <n v="3.4750000000000001"/>
  </r>
  <r>
    <n v="5512"/>
    <x v="1050"/>
    <x v="2"/>
    <x v="11"/>
    <d v="2011-03-02T00:00:00"/>
    <n v="5"/>
    <x v="1"/>
    <s v="Jennifer Halladay"/>
    <x v="0"/>
    <s v="United States"/>
    <s v="Medford"/>
    <s v="Oregon"/>
    <s v="West"/>
    <x v="1"/>
    <x v="10"/>
    <s v="Message Book, Wirebound, Four 5 1/2&quot; X 4&quot; Forms/Pg., 200 Dupl. Sets/Book"/>
    <x v="2668"/>
    <n v="4"/>
    <n v="0.2"/>
    <n v="11.102399999999999"/>
  </r>
  <r>
    <n v="5513"/>
    <x v="1050"/>
    <x v="2"/>
    <x v="11"/>
    <d v="2011-03-02T00:00:00"/>
    <n v="5"/>
    <x v="1"/>
    <s v="Jennifer Halladay"/>
    <x v="0"/>
    <s v="United States"/>
    <s v="Medford"/>
    <s v="Oregon"/>
    <s v="West"/>
    <x v="1"/>
    <x v="10"/>
    <s v="TOPS 4 x 6 Fluorescent Color Memo Sheets, 500 Sheets per Pack"/>
    <x v="3850"/>
    <n v="3"/>
    <n v="0.2"/>
    <n v="7.6868999999999996"/>
  </r>
  <r>
    <n v="5514"/>
    <x v="1051"/>
    <x v="1"/>
    <x v="5"/>
    <d v="2012-06-01T00:00:00"/>
    <n v="2"/>
    <x v="2"/>
    <s v="Edward Nazzal"/>
    <x v="0"/>
    <s v="United States"/>
    <s v="New York City"/>
    <s v="New York"/>
    <s v="East"/>
    <x v="2"/>
    <x v="7"/>
    <s v="RCA H5401RE1 DECT 6.0 4-Line Cordless Handset With Caller ID/Call Waiting"/>
    <x v="758"/>
    <n v="3"/>
    <n v="0"/>
    <n v="2.3997000000000002"/>
  </r>
  <r>
    <n v="5515"/>
    <x v="1051"/>
    <x v="1"/>
    <x v="5"/>
    <d v="2012-06-01T00:00:00"/>
    <n v="2"/>
    <x v="2"/>
    <s v="Edward Nazzal"/>
    <x v="0"/>
    <s v="United States"/>
    <s v="New York City"/>
    <s v="New York"/>
    <s v="East"/>
    <x v="1"/>
    <x v="9"/>
    <s v="Eureka The Boss Lite 10-Amp Upright Vacuum, Blue"/>
    <x v="1953"/>
    <n v="2"/>
    <n v="0"/>
    <n v="44.889600000000002"/>
  </r>
  <r>
    <n v="5516"/>
    <x v="1051"/>
    <x v="1"/>
    <x v="5"/>
    <d v="2012-06-01T00:00:00"/>
    <n v="2"/>
    <x v="2"/>
    <s v="Edward Nazzal"/>
    <x v="0"/>
    <s v="United States"/>
    <s v="New York City"/>
    <s v="New York"/>
    <s v="East"/>
    <x v="2"/>
    <x v="7"/>
    <s v="Plantronics MX500i Earset"/>
    <x v="3565"/>
    <n v="3"/>
    <n v="0"/>
    <n v="3.8654999999999999"/>
  </r>
  <r>
    <n v="5517"/>
    <x v="741"/>
    <x v="0"/>
    <x v="0"/>
    <d v="2013-11-22T00:00:00"/>
    <n v="3"/>
    <x v="0"/>
    <s v="Karen Carlisle"/>
    <x v="1"/>
    <s v="United States"/>
    <s v="Huntsville"/>
    <s v="Alabama"/>
    <s v="South"/>
    <x v="2"/>
    <x v="11"/>
    <s v="Logitech Z-906 Speaker sys - home theater - 5.1-CH"/>
    <x v="3851"/>
    <n v="4"/>
    <n v="0"/>
    <n v="527.98400000000004"/>
  </r>
  <r>
    <n v="5518"/>
    <x v="769"/>
    <x v="3"/>
    <x v="4"/>
    <d v="2014-12-10T00:00:00"/>
    <n v="5"/>
    <x v="1"/>
    <s v="Michael Stewart"/>
    <x v="1"/>
    <s v="United States"/>
    <s v="Philadelphia"/>
    <s v="Pennsylvania"/>
    <s v="East"/>
    <x v="0"/>
    <x v="1"/>
    <s v="Global Chrome Stack Chair"/>
    <x v="3612"/>
    <n v="10"/>
    <n v="0.3"/>
    <n v="-10.284000000000001"/>
  </r>
  <r>
    <n v="5519"/>
    <x v="769"/>
    <x v="3"/>
    <x v="4"/>
    <d v="2014-12-10T00:00:00"/>
    <n v="5"/>
    <x v="1"/>
    <s v="Michael Stewart"/>
    <x v="1"/>
    <s v="United States"/>
    <s v="Philadelphia"/>
    <s v="Pennsylvania"/>
    <s v="East"/>
    <x v="0"/>
    <x v="5"/>
    <s v="Hand-Finished Solid Wood Document Frame"/>
    <x v="3852"/>
    <n v="2"/>
    <n v="0.2"/>
    <n v="6.8460000000000001"/>
  </r>
  <r>
    <n v="5520"/>
    <x v="769"/>
    <x v="3"/>
    <x v="4"/>
    <d v="2014-12-10T00:00:00"/>
    <n v="5"/>
    <x v="1"/>
    <s v="Michael Stewart"/>
    <x v="1"/>
    <s v="United States"/>
    <s v="Philadelphia"/>
    <s v="Pennsylvania"/>
    <s v="East"/>
    <x v="1"/>
    <x v="6"/>
    <s v="DIXON Ticonderoga Erasable Checking Pencils"/>
    <x v="2513"/>
    <n v="3"/>
    <n v="0.2"/>
    <n v="3.1806000000000001"/>
  </r>
  <r>
    <n v="5521"/>
    <x v="769"/>
    <x v="3"/>
    <x v="4"/>
    <d v="2014-12-10T00:00:00"/>
    <n v="5"/>
    <x v="1"/>
    <s v="Michael Stewart"/>
    <x v="1"/>
    <s v="United States"/>
    <s v="Philadelphia"/>
    <s v="Pennsylvania"/>
    <s v="East"/>
    <x v="1"/>
    <x v="10"/>
    <s v="Xerox 1956"/>
    <x v="100"/>
    <n v="5"/>
    <n v="0.2"/>
    <n v="8.6709999999999994"/>
  </r>
  <r>
    <n v="5522"/>
    <x v="769"/>
    <x v="3"/>
    <x v="4"/>
    <d v="2014-12-10T00:00:00"/>
    <n v="5"/>
    <x v="1"/>
    <s v="Michael Stewart"/>
    <x v="1"/>
    <s v="United States"/>
    <s v="Philadelphia"/>
    <s v="Pennsylvania"/>
    <s v="East"/>
    <x v="2"/>
    <x v="11"/>
    <s v="Logitech G13 Programmable Gameboard with LCD Display"/>
    <x v="1294"/>
    <n v="4"/>
    <n v="0.2"/>
    <n v="-28.796399999999998"/>
  </r>
  <r>
    <n v="5523"/>
    <x v="410"/>
    <x v="0"/>
    <x v="1"/>
    <d v="2013-06-08T00:00:00"/>
    <n v="2"/>
    <x v="2"/>
    <s v="Chloris Kastensmidt"/>
    <x v="0"/>
    <s v="United States"/>
    <s v="Santa Clara"/>
    <s v="California"/>
    <s v="West"/>
    <x v="1"/>
    <x v="8"/>
    <s v="Avery Non-Stick Binders"/>
    <x v="3853"/>
    <n v="6"/>
    <n v="0.2"/>
    <n v="7.0044000000000004"/>
  </r>
  <r>
    <n v="5524"/>
    <x v="410"/>
    <x v="0"/>
    <x v="1"/>
    <d v="2013-06-08T00:00:00"/>
    <n v="2"/>
    <x v="2"/>
    <s v="Chloris Kastensmidt"/>
    <x v="0"/>
    <s v="United States"/>
    <s v="Santa Clara"/>
    <s v="California"/>
    <s v="West"/>
    <x v="1"/>
    <x v="9"/>
    <s v="Acco 6 Outlet Guardian Premium Surge Suppressor"/>
    <x v="2218"/>
    <n v="4"/>
    <n v="0"/>
    <n v="15.7248"/>
  </r>
  <r>
    <n v="5525"/>
    <x v="107"/>
    <x v="0"/>
    <x v="4"/>
    <d v="2013-12-13T00:00:00"/>
    <n v="2"/>
    <x v="2"/>
    <s v="Sanjit Jacobs"/>
    <x v="2"/>
    <s v="United States"/>
    <s v="Long Beach"/>
    <s v="California"/>
    <s v="West"/>
    <x v="1"/>
    <x v="10"/>
    <s v="Wirebound Message Books, Four 2 3/4 x 5 White Forms per Page"/>
    <x v="3854"/>
    <n v="12"/>
    <n v="0"/>
    <n v="36.928800000000003"/>
  </r>
  <r>
    <n v="5526"/>
    <x v="504"/>
    <x v="3"/>
    <x v="5"/>
    <d v="2014-05-06T00:00:00"/>
    <n v="5"/>
    <x v="1"/>
    <s v="Erin Ashbrook"/>
    <x v="1"/>
    <s v="United States"/>
    <s v="Los Angeles"/>
    <s v="California"/>
    <s v="West"/>
    <x v="1"/>
    <x v="6"/>
    <s v="Faber Castell Col-Erase Pencils"/>
    <x v="3855"/>
    <n v="2"/>
    <n v="0"/>
    <n v="4.0098000000000003"/>
  </r>
  <r>
    <n v="5527"/>
    <x v="558"/>
    <x v="3"/>
    <x v="3"/>
    <d v="2014-04-29T00:00:00"/>
    <n v="4"/>
    <x v="1"/>
    <s v="Michael Granlund"/>
    <x v="2"/>
    <s v="United States"/>
    <s v="Santa Barbara"/>
    <s v="California"/>
    <s v="West"/>
    <x v="1"/>
    <x v="13"/>
    <s v="Colored Push Pins"/>
    <x v="2663"/>
    <n v="1"/>
    <n v="0"/>
    <n v="0.65159999999999996"/>
  </r>
  <r>
    <n v="5528"/>
    <x v="412"/>
    <x v="1"/>
    <x v="5"/>
    <d v="2012-05-10T00:00:00"/>
    <n v="2"/>
    <x v="2"/>
    <s v="Alejandro Ballentine"/>
    <x v="2"/>
    <s v="United States"/>
    <s v="New York City"/>
    <s v="New York"/>
    <s v="East"/>
    <x v="1"/>
    <x v="10"/>
    <s v="Xerox 1912"/>
    <x v="2428"/>
    <n v="2"/>
    <n v="0"/>
    <n v="18.211200000000002"/>
  </r>
  <r>
    <n v="5529"/>
    <x v="1052"/>
    <x v="1"/>
    <x v="10"/>
    <d v="2012-04-04T00:00:00"/>
    <n v="4"/>
    <x v="1"/>
    <s v="Scott Cohen"/>
    <x v="1"/>
    <s v="United States"/>
    <s v="Jacksonville"/>
    <s v="Florida"/>
    <s v="South"/>
    <x v="2"/>
    <x v="7"/>
    <s v="PureGear Roll-On Screen Protector"/>
    <x v="1095"/>
    <n v="5"/>
    <n v="0.2"/>
    <n v="27.986000000000001"/>
  </r>
  <r>
    <n v="5530"/>
    <x v="634"/>
    <x v="3"/>
    <x v="6"/>
    <d v="2014-08-12T00:00:00"/>
    <n v="5"/>
    <x v="1"/>
    <s v="Todd Boyes"/>
    <x v="1"/>
    <s v="United States"/>
    <s v="Cedar Hill"/>
    <s v="Texas"/>
    <s v="Central"/>
    <x v="1"/>
    <x v="10"/>
    <s v="14-7/8 x 11 Blue Bar Computer Printout Paper"/>
    <x v="905"/>
    <n v="3"/>
    <n v="0.2"/>
    <n v="40.3536"/>
  </r>
  <r>
    <n v="5531"/>
    <x v="574"/>
    <x v="3"/>
    <x v="4"/>
    <d v="2014-12-07T00:00:00"/>
    <n v="4"/>
    <x v="1"/>
    <s v="Juliana Krohn"/>
    <x v="0"/>
    <s v="United States"/>
    <s v="Omaha"/>
    <s v="Nebraska"/>
    <s v="Central"/>
    <x v="2"/>
    <x v="7"/>
    <s v="ClearOne CHATAttach 160 - speaker phone"/>
    <x v="3856"/>
    <n v="4"/>
    <n v="0"/>
    <n v="743.98800000000006"/>
  </r>
  <r>
    <n v="5532"/>
    <x v="112"/>
    <x v="0"/>
    <x v="1"/>
    <d v="2013-06-08T00:00:00"/>
    <n v="1"/>
    <x v="2"/>
    <s v="Clytie Kelty"/>
    <x v="0"/>
    <s v="United States"/>
    <s v="Little Rock"/>
    <s v="Arkansas"/>
    <s v="South"/>
    <x v="2"/>
    <x v="11"/>
    <s v="Logitech Trackman Marble Mouse"/>
    <x v="3857"/>
    <n v="6"/>
    <n v="0"/>
    <n v="75.574799999999996"/>
  </r>
  <r>
    <n v="5533"/>
    <x v="112"/>
    <x v="0"/>
    <x v="1"/>
    <d v="2013-06-08T00:00:00"/>
    <n v="1"/>
    <x v="2"/>
    <s v="Clytie Kelty"/>
    <x v="0"/>
    <s v="United States"/>
    <s v="Little Rock"/>
    <s v="Arkansas"/>
    <s v="South"/>
    <x v="2"/>
    <x v="11"/>
    <s v="Kingston Digital DataTraveler 16GB USB 2.0"/>
    <x v="3858"/>
    <n v="3"/>
    <n v="0"/>
    <n v="5.1014999999999997"/>
  </r>
  <r>
    <n v="5534"/>
    <x v="112"/>
    <x v="0"/>
    <x v="1"/>
    <d v="2013-06-08T00:00:00"/>
    <n v="1"/>
    <x v="2"/>
    <s v="Clytie Kelty"/>
    <x v="0"/>
    <s v="United States"/>
    <s v="Little Rock"/>
    <s v="Arkansas"/>
    <s v="South"/>
    <x v="2"/>
    <x v="11"/>
    <s v="Plantronics S12 Corded Telephone Headset System"/>
    <x v="2242"/>
    <n v="3"/>
    <n v="0"/>
    <n v="129.34800000000001"/>
  </r>
  <r>
    <n v="5535"/>
    <x v="112"/>
    <x v="0"/>
    <x v="1"/>
    <d v="2013-06-08T00:00:00"/>
    <n v="1"/>
    <x v="2"/>
    <s v="Clytie Kelty"/>
    <x v="0"/>
    <s v="United States"/>
    <s v="Little Rock"/>
    <s v="Arkansas"/>
    <s v="South"/>
    <x v="1"/>
    <x v="10"/>
    <s v="Xerox 191"/>
    <x v="725"/>
    <n v="3"/>
    <n v="0"/>
    <n v="28.171800000000001"/>
  </r>
  <r>
    <n v="5536"/>
    <x v="112"/>
    <x v="0"/>
    <x v="1"/>
    <d v="2013-06-08T00:00:00"/>
    <n v="1"/>
    <x v="2"/>
    <s v="Clytie Kelty"/>
    <x v="0"/>
    <s v="United States"/>
    <s v="Little Rock"/>
    <s v="Arkansas"/>
    <s v="South"/>
    <x v="1"/>
    <x v="8"/>
    <s v="Trimflex Flexible Post Binders"/>
    <x v="2161"/>
    <n v="3"/>
    <n v="0"/>
    <n v="30.787199999999999"/>
  </r>
  <r>
    <n v="5537"/>
    <x v="112"/>
    <x v="0"/>
    <x v="1"/>
    <d v="2013-06-08T00:00:00"/>
    <n v="1"/>
    <x v="2"/>
    <s v="Clytie Kelty"/>
    <x v="0"/>
    <s v="United States"/>
    <s v="Little Rock"/>
    <s v="Arkansas"/>
    <s v="South"/>
    <x v="1"/>
    <x v="8"/>
    <s v="Avery Binder Labels"/>
    <x v="1345"/>
    <n v="3"/>
    <n v="0"/>
    <n v="5.6016000000000004"/>
  </r>
  <r>
    <n v="5538"/>
    <x v="112"/>
    <x v="0"/>
    <x v="1"/>
    <d v="2013-06-08T00:00:00"/>
    <n v="1"/>
    <x v="2"/>
    <s v="Clytie Kelty"/>
    <x v="0"/>
    <s v="United States"/>
    <s v="Little Rock"/>
    <s v="Arkansas"/>
    <s v="South"/>
    <x v="1"/>
    <x v="10"/>
    <s v="Xerox 230"/>
    <x v="91"/>
    <n v="2"/>
    <n v="0"/>
    <n v="6.2207999999999997"/>
  </r>
  <r>
    <n v="5539"/>
    <x v="657"/>
    <x v="1"/>
    <x v="3"/>
    <d v="2012-04-20T00:00:00"/>
    <n v="7"/>
    <x v="1"/>
    <s v="Sonia Sunley"/>
    <x v="0"/>
    <s v="United States"/>
    <s v="Norfolk"/>
    <s v="Nebraska"/>
    <s v="Central"/>
    <x v="1"/>
    <x v="8"/>
    <s v="Fellowes Black Plastic Comb Bindings"/>
    <x v="1139"/>
    <n v="3"/>
    <n v="0"/>
    <n v="8.0177999999999994"/>
  </r>
  <r>
    <n v="5540"/>
    <x v="1053"/>
    <x v="3"/>
    <x v="5"/>
    <d v="2014-05-27T00:00:00"/>
    <n v="4"/>
    <x v="1"/>
    <s v="Laurel Elliston"/>
    <x v="0"/>
    <s v="United States"/>
    <s v="Chicago"/>
    <s v="Illinois"/>
    <s v="Central"/>
    <x v="0"/>
    <x v="1"/>
    <s v="High-Back Leather Manager's Chair"/>
    <x v="2086"/>
    <n v="2"/>
    <n v="0.3"/>
    <n v="-54.595799999999997"/>
  </r>
  <r>
    <n v="5541"/>
    <x v="1053"/>
    <x v="3"/>
    <x v="5"/>
    <d v="2014-05-27T00:00:00"/>
    <n v="4"/>
    <x v="1"/>
    <s v="Laurel Elliston"/>
    <x v="0"/>
    <s v="United States"/>
    <s v="Chicago"/>
    <s v="Illinois"/>
    <s v="Central"/>
    <x v="1"/>
    <x v="8"/>
    <s v="Avery Durable Slant Ring Binders, No Labels"/>
    <x v="3859"/>
    <n v="2"/>
    <n v="0.8"/>
    <n v="-2.6267999999999998"/>
  </r>
  <r>
    <n v="5542"/>
    <x v="1053"/>
    <x v="3"/>
    <x v="5"/>
    <d v="2014-05-27T00:00:00"/>
    <n v="4"/>
    <x v="1"/>
    <s v="Laurel Elliston"/>
    <x v="0"/>
    <s v="United States"/>
    <s v="Chicago"/>
    <s v="Illinois"/>
    <s v="Central"/>
    <x v="1"/>
    <x v="14"/>
    <s v="Acme Forged Steel Scissors with Black Enamel Handles"/>
    <x v="3860"/>
    <n v="3"/>
    <n v="0.2"/>
    <n v="2.5137"/>
  </r>
  <r>
    <n v="5543"/>
    <x v="1054"/>
    <x v="0"/>
    <x v="4"/>
    <d v="2013-12-26T00:00:00"/>
    <n v="6"/>
    <x v="1"/>
    <s v="Erin Smith"/>
    <x v="1"/>
    <s v="United States"/>
    <s v="Tucson"/>
    <s v="Arizona"/>
    <s v="West"/>
    <x v="0"/>
    <x v="3"/>
    <s v="SAFCO PlanMaster Boards, 60w x 37-1/2d, White Melamine"/>
    <x v="3861"/>
    <n v="6"/>
    <n v="0.5"/>
    <n v="-218.8656"/>
  </r>
  <r>
    <n v="5544"/>
    <x v="1054"/>
    <x v="0"/>
    <x v="4"/>
    <d v="2013-12-26T00:00:00"/>
    <n v="6"/>
    <x v="1"/>
    <s v="Erin Smith"/>
    <x v="1"/>
    <s v="United States"/>
    <s v="Tucson"/>
    <s v="Arizona"/>
    <s v="West"/>
    <x v="1"/>
    <x v="8"/>
    <s v="Wilson Jones Clip &amp; Carry Folder Binder Tool for Ring Binders, Clear"/>
    <x v="822"/>
    <n v="6"/>
    <n v="0.7"/>
    <n v="-7.6559999999999997"/>
  </r>
  <r>
    <n v="5545"/>
    <x v="1054"/>
    <x v="0"/>
    <x v="4"/>
    <d v="2013-12-26T00:00:00"/>
    <n v="6"/>
    <x v="1"/>
    <s v="Erin Smith"/>
    <x v="1"/>
    <s v="United States"/>
    <s v="Tucson"/>
    <s v="Arizona"/>
    <s v="West"/>
    <x v="1"/>
    <x v="8"/>
    <s v="Cardinal Slant-D Ring Binder, Heavy Gauge Vinyl"/>
    <x v="3862"/>
    <n v="2"/>
    <n v="0.7"/>
    <n v="-4.1711999999999998"/>
  </r>
  <r>
    <n v="5546"/>
    <x v="585"/>
    <x v="3"/>
    <x v="8"/>
    <d v="2014-09-27T00:00:00"/>
    <n v="4"/>
    <x v="1"/>
    <s v="Michael Granlund"/>
    <x v="2"/>
    <s v="United States"/>
    <s v="Concord"/>
    <s v="New Hampshire"/>
    <s v="East"/>
    <x v="1"/>
    <x v="4"/>
    <s v="Tenex Personal Project File with Scoop Front Design, Black"/>
    <x v="3863"/>
    <n v="5"/>
    <n v="0"/>
    <n v="17.524000000000001"/>
  </r>
  <r>
    <n v="5547"/>
    <x v="210"/>
    <x v="3"/>
    <x v="8"/>
    <d v="2014-09-09T00:00:00"/>
    <n v="1"/>
    <x v="2"/>
    <s v="Justin MacKendrick"/>
    <x v="0"/>
    <s v="United States"/>
    <s v="Draper"/>
    <s v="Utah"/>
    <s v="West"/>
    <x v="0"/>
    <x v="5"/>
    <s v="DAX Copper Panel Document Frame, 5 x 7 Size"/>
    <x v="2783"/>
    <n v="2"/>
    <n v="0"/>
    <n v="10.5672"/>
  </r>
  <r>
    <n v="5548"/>
    <x v="210"/>
    <x v="3"/>
    <x v="8"/>
    <d v="2014-09-09T00:00:00"/>
    <n v="1"/>
    <x v="2"/>
    <s v="Justin MacKendrick"/>
    <x v="0"/>
    <s v="United States"/>
    <s v="Draper"/>
    <s v="Utah"/>
    <s v="West"/>
    <x v="2"/>
    <x v="7"/>
    <s v="Motorla HX550 Universal Bluetooth Headset"/>
    <x v="3864"/>
    <n v="4"/>
    <n v="0.2"/>
    <n v="47.46"/>
  </r>
  <r>
    <n v="5549"/>
    <x v="683"/>
    <x v="2"/>
    <x v="0"/>
    <d v="2011-12-01T00:00:00"/>
    <n v="3"/>
    <x v="2"/>
    <s v="Sheri Gordon"/>
    <x v="0"/>
    <s v="United States"/>
    <s v="San Francisco"/>
    <s v="California"/>
    <s v="West"/>
    <x v="1"/>
    <x v="9"/>
    <s v="Acco 6 Outlet Guardian Premium Surge Suppressor"/>
    <x v="2834"/>
    <n v="3"/>
    <n v="0"/>
    <n v="11.7936"/>
  </r>
  <r>
    <n v="5550"/>
    <x v="683"/>
    <x v="2"/>
    <x v="0"/>
    <d v="2011-12-01T00:00:00"/>
    <n v="3"/>
    <x v="2"/>
    <s v="Sheri Gordon"/>
    <x v="0"/>
    <s v="United States"/>
    <s v="San Francisco"/>
    <s v="California"/>
    <s v="West"/>
    <x v="2"/>
    <x v="11"/>
    <s v="Micropad Numeric Keypads"/>
    <x v="3865"/>
    <n v="7"/>
    <n v="0"/>
    <n v="34.982500000000002"/>
  </r>
  <r>
    <n v="5551"/>
    <x v="607"/>
    <x v="2"/>
    <x v="0"/>
    <d v="2011-11-16T00:00:00"/>
    <n v="4"/>
    <x v="1"/>
    <s v="Darren Budd"/>
    <x v="1"/>
    <s v="United States"/>
    <s v="Houston"/>
    <s v="Texas"/>
    <s v="Central"/>
    <x v="1"/>
    <x v="6"/>
    <s v="Avery Fluorescent Highlighter Four-Color Set"/>
    <x v="2743"/>
    <n v="1"/>
    <n v="0.2"/>
    <n v="0.33400000000000002"/>
  </r>
  <r>
    <n v="5552"/>
    <x v="607"/>
    <x v="2"/>
    <x v="0"/>
    <d v="2011-11-16T00:00:00"/>
    <n v="4"/>
    <x v="1"/>
    <s v="Darren Budd"/>
    <x v="1"/>
    <s v="United States"/>
    <s v="Houston"/>
    <s v="Texas"/>
    <s v="Central"/>
    <x v="1"/>
    <x v="14"/>
    <s v="Acco Side-Punched Conventional Columnar Pads"/>
    <x v="3866"/>
    <n v="6"/>
    <n v="0.2"/>
    <n v="-3.1230000000000002"/>
  </r>
  <r>
    <n v="5553"/>
    <x v="607"/>
    <x v="2"/>
    <x v="0"/>
    <d v="2011-11-16T00:00:00"/>
    <n v="4"/>
    <x v="1"/>
    <s v="Darren Budd"/>
    <x v="1"/>
    <s v="United States"/>
    <s v="Houston"/>
    <s v="Texas"/>
    <s v="Central"/>
    <x v="2"/>
    <x v="11"/>
    <s v="Imation 16GB Mini TravelDrive USB 2.0 Flash Drive"/>
    <x v="2179"/>
    <n v="3"/>
    <n v="0.2"/>
    <n v="20.8719"/>
  </r>
  <r>
    <n v="5554"/>
    <x v="607"/>
    <x v="2"/>
    <x v="0"/>
    <d v="2011-11-16T00:00:00"/>
    <n v="4"/>
    <x v="1"/>
    <s v="Darren Budd"/>
    <x v="1"/>
    <s v="United States"/>
    <s v="Houston"/>
    <s v="Texas"/>
    <s v="Central"/>
    <x v="1"/>
    <x v="10"/>
    <s v="Xerox 216"/>
    <x v="1566"/>
    <n v="7"/>
    <n v="0.2"/>
    <n v="12.700799999999999"/>
  </r>
  <r>
    <n v="5555"/>
    <x v="607"/>
    <x v="2"/>
    <x v="0"/>
    <d v="2011-11-16T00:00:00"/>
    <n v="4"/>
    <x v="1"/>
    <s v="Darren Budd"/>
    <x v="1"/>
    <s v="United States"/>
    <s v="Houston"/>
    <s v="Texas"/>
    <s v="Central"/>
    <x v="0"/>
    <x v="0"/>
    <s v="Bestar Classic Bookcase"/>
    <x v="3867"/>
    <n v="1"/>
    <n v="0.32"/>
    <n v="-12.998699999999999"/>
  </r>
  <r>
    <n v="5556"/>
    <x v="280"/>
    <x v="3"/>
    <x v="2"/>
    <d v="2014-10-07T00:00:00"/>
    <n v="4"/>
    <x v="0"/>
    <s v="Jane Waco"/>
    <x v="1"/>
    <s v="United States"/>
    <s v="Montgomery"/>
    <s v="Alabama"/>
    <s v="South"/>
    <x v="0"/>
    <x v="5"/>
    <s v="Master Caster Door Stop, Gray"/>
    <x v="1007"/>
    <n v="2"/>
    <n v="0"/>
    <n v="3.4544000000000001"/>
  </r>
  <r>
    <n v="5557"/>
    <x v="639"/>
    <x v="1"/>
    <x v="4"/>
    <d v="2012-12-18T00:00:00"/>
    <n v="4"/>
    <x v="1"/>
    <s v="Keith Dawkins"/>
    <x v="1"/>
    <s v="United States"/>
    <s v="Jackson"/>
    <s v="Mississippi"/>
    <s v="South"/>
    <x v="0"/>
    <x v="5"/>
    <s v="Stackable Trays"/>
    <x v="51"/>
    <n v="2"/>
    <n v="0"/>
    <n v="1.9712000000000001"/>
  </r>
  <r>
    <n v="5558"/>
    <x v="639"/>
    <x v="1"/>
    <x v="4"/>
    <d v="2012-12-18T00:00:00"/>
    <n v="4"/>
    <x v="1"/>
    <s v="Keith Dawkins"/>
    <x v="1"/>
    <s v="United States"/>
    <s v="Jackson"/>
    <s v="Mississippi"/>
    <s v="South"/>
    <x v="1"/>
    <x v="6"/>
    <s v="Boston Electric Pencil Sharpener, Model 1818, Charcoal Black"/>
    <x v="2420"/>
    <n v="2"/>
    <n v="0"/>
    <n v="15.763999999999999"/>
  </r>
  <r>
    <n v="5559"/>
    <x v="401"/>
    <x v="1"/>
    <x v="4"/>
    <d v="2012-12-10T00:00:00"/>
    <n v="4"/>
    <x v="1"/>
    <s v="Ivan Liston"/>
    <x v="0"/>
    <s v="United States"/>
    <s v="North Las Vegas"/>
    <s v="Nevada"/>
    <s v="West"/>
    <x v="1"/>
    <x v="10"/>
    <s v="Xerox 20"/>
    <x v="90"/>
    <n v="1"/>
    <n v="0"/>
    <n v="3.1103999999999998"/>
  </r>
  <r>
    <n v="5560"/>
    <x v="401"/>
    <x v="1"/>
    <x v="4"/>
    <d v="2012-12-10T00:00:00"/>
    <n v="4"/>
    <x v="1"/>
    <s v="Ivan Liston"/>
    <x v="0"/>
    <s v="United States"/>
    <s v="North Las Vegas"/>
    <s v="Nevada"/>
    <s v="West"/>
    <x v="1"/>
    <x v="4"/>
    <s v="Tennsco 6- and 18-Compartment Lockers"/>
    <x v="2184"/>
    <n v="5"/>
    <n v="0"/>
    <n v="238.65299999999999"/>
  </r>
  <r>
    <n v="5561"/>
    <x v="401"/>
    <x v="1"/>
    <x v="4"/>
    <d v="2012-12-10T00:00:00"/>
    <n v="4"/>
    <x v="1"/>
    <s v="Ivan Liston"/>
    <x v="0"/>
    <s v="United States"/>
    <s v="North Las Vegas"/>
    <s v="Nevada"/>
    <s v="West"/>
    <x v="1"/>
    <x v="2"/>
    <s v="Avery 483"/>
    <x v="1801"/>
    <n v="3"/>
    <n v="0"/>
    <n v="6.8723999999999998"/>
  </r>
  <r>
    <n v="5562"/>
    <x v="185"/>
    <x v="3"/>
    <x v="3"/>
    <d v="2014-04-03T00:00:00"/>
    <n v="2"/>
    <x v="0"/>
    <s v="Jim Epp"/>
    <x v="1"/>
    <s v="United States"/>
    <s v="Atlanta"/>
    <s v="Georgia"/>
    <s v="South"/>
    <x v="1"/>
    <x v="8"/>
    <s v="Ibico Recycled Grain-Textured Covers"/>
    <x v="3868"/>
    <n v="1"/>
    <n v="0"/>
    <n v="17.27"/>
  </r>
  <r>
    <n v="5563"/>
    <x v="185"/>
    <x v="3"/>
    <x v="3"/>
    <d v="2014-04-03T00:00:00"/>
    <n v="2"/>
    <x v="0"/>
    <s v="Jim Epp"/>
    <x v="1"/>
    <s v="United States"/>
    <s v="Atlanta"/>
    <s v="Georgia"/>
    <s v="South"/>
    <x v="2"/>
    <x v="16"/>
    <s v="Hewlett Packard LaserJet 3310 Copier"/>
    <x v="487"/>
    <n v="5"/>
    <n v="0"/>
    <n v="1439.9760000000001"/>
  </r>
  <r>
    <n v="5564"/>
    <x v="185"/>
    <x v="3"/>
    <x v="3"/>
    <d v="2014-04-03T00:00:00"/>
    <n v="2"/>
    <x v="0"/>
    <s v="Jim Epp"/>
    <x v="1"/>
    <s v="United States"/>
    <s v="Atlanta"/>
    <s v="Georgia"/>
    <s v="South"/>
    <x v="1"/>
    <x v="8"/>
    <s v="Avery Recycled Flexi-View Covers for Binding Systems"/>
    <x v="3869"/>
    <n v="4"/>
    <n v="0"/>
    <n v="30.7776"/>
  </r>
  <r>
    <n v="5565"/>
    <x v="677"/>
    <x v="3"/>
    <x v="10"/>
    <d v="2014-03-14T00:00:00"/>
    <n v="0"/>
    <x v="3"/>
    <s v="Stephanie Ulpright"/>
    <x v="2"/>
    <s v="United States"/>
    <s v="Chicago"/>
    <s v="Illinois"/>
    <s v="Central"/>
    <x v="1"/>
    <x v="6"/>
    <s v="Col-Erase Pencils with Erasers"/>
    <x v="526"/>
    <n v="4"/>
    <n v="0.2"/>
    <n v="2.1888000000000001"/>
  </r>
  <r>
    <n v="5566"/>
    <x v="677"/>
    <x v="3"/>
    <x v="10"/>
    <d v="2014-03-14T00:00:00"/>
    <n v="0"/>
    <x v="3"/>
    <s v="Stephanie Ulpright"/>
    <x v="2"/>
    <s v="United States"/>
    <s v="Chicago"/>
    <s v="Illinois"/>
    <s v="Central"/>
    <x v="2"/>
    <x v="15"/>
    <s v="HP Officejet Pro 8600 e-All-In-One Printer, Copier, Scanner, Fax"/>
    <x v="3870"/>
    <n v="2"/>
    <n v="0.3"/>
    <n v="8.9993999999999996"/>
  </r>
  <r>
    <n v="5567"/>
    <x v="677"/>
    <x v="3"/>
    <x v="10"/>
    <d v="2014-03-14T00:00:00"/>
    <n v="0"/>
    <x v="3"/>
    <s v="Stephanie Ulpright"/>
    <x v="2"/>
    <s v="United States"/>
    <s v="Chicago"/>
    <s v="Illinois"/>
    <s v="Central"/>
    <x v="1"/>
    <x v="6"/>
    <s v="Eberhard Faber 3 1/2&quot; Golf Pencils"/>
    <x v="3871"/>
    <n v="5"/>
    <n v="0.2"/>
    <n v="1.86"/>
  </r>
  <r>
    <n v="5568"/>
    <x v="677"/>
    <x v="3"/>
    <x v="10"/>
    <d v="2014-03-14T00:00:00"/>
    <n v="0"/>
    <x v="3"/>
    <s v="Stephanie Ulpright"/>
    <x v="2"/>
    <s v="United States"/>
    <s v="Chicago"/>
    <s v="Illinois"/>
    <s v="Central"/>
    <x v="0"/>
    <x v="1"/>
    <s v="SAFCO Folding Chair Trolley"/>
    <x v="3872"/>
    <n v="1"/>
    <n v="0.3"/>
    <n v="-2.5648"/>
  </r>
  <r>
    <n v="5569"/>
    <x v="677"/>
    <x v="3"/>
    <x v="10"/>
    <d v="2014-03-14T00:00:00"/>
    <n v="0"/>
    <x v="3"/>
    <s v="Stephanie Ulpright"/>
    <x v="2"/>
    <s v="United States"/>
    <s v="Chicago"/>
    <s v="Illinois"/>
    <s v="Central"/>
    <x v="2"/>
    <x v="16"/>
    <s v="Hewlett Packard LaserJet 3310 Copier"/>
    <x v="321"/>
    <n v="2"/>
    <n v="0.2"/>
    <n v="335.99439999999998"/>
  </r>
  <r>
    <n v="5570"/>
    <x v="677"/>
    <x v="3"/>
    <x v="10"/>
    <d v="2014-03-14T00:00:00"/>
    <n v="0"/>
    <x v="3"/>
    <s v="Stephanie Ulpright"/>
    <x v="2"/>
    <s v="United States"/>
    <s v="Chicago"/>
    <s v="Illinois"/>
    <s v="Central"/>
    <x v="1"/>
    <x v="10"/>
    <s v="Xerox 1993"/>
    <x v="12"/>
    <n v="3"/>
    <n v="0.2"/>
    <n v="5.6375999999999999"/>
  </r>
  <r>
    <n v="5571"/>
    <x v="677"/>
    <x v="3"/>
    <x v="10"/>
    <d v="2014-03-14T00:00:00"/>
    <n v="0"/>
    <x v="3"/>
    <s v="Stephanie Ulpright"/>
    <x v="2"/>
    <s v="United States"/>
    <s v="Chicago"/>
    <s v="Illinois"/>
    <s v="Central"/>
    <x v="2"/>
    <x v="7"/>
    <s v="Plantronics MX500i Earset"/>
    <x v="3873"/>
    <n v="1"/>
    <n v="0.2"/>
    <n v="-7.3014999999999999"/>
  </r>
  <r>
    <n v="5572"/>
    <x v="29"/>
    <x v="2"/>
    <x v="4"/>
    <d v="2011-12-09T00:00:00"/>
    <n v="4"/>
    <x v="1"/>
    <s v="Erin Ashbrook"/>
    <x v="1"/>
    <s v="United States"/>
    <s v="Columbus"/>
    <s v="Ohio"/>
    <s v="East"/>
    <x v="1"/>
    <x v="10"/>
    <s v="Xerox 1893"/>
    <x v="3874"/>
    <n v="3"/>
    <n v="0.2"/>
    <n v="35.661299999999997"/>
  </r>
  <r>
    <n v="5573"/>
    <x v="29"/>
    <x v="2"/>
    <x v="4"/>
    <d v="2011-12-09T00:00:00"/>
    <n v="4"/>
    <x v="1"/>
    <s v="Erin Ashbrook"/>
    <x v="1"/>
    <s v="United States"/>
    <s v="Columbus"/>
    <s v="Ohio"/>
    <s v="East"/>
    <x v="1"/>
    <x v="8"/>
    <s v="Large Capacity Hanging Post Binders"/>
    <x v="3875"/>
    <n v="4"/>
    <n v="0.7"/>
    <n v="-23.952000000000002"/>
  </r>
  <r>
    <n v="5574"/>
    <x v="29"/>
    <x v="2"/>
    <x v="4"/>
    <d v="2011-12-09T00:00:00"/>
    <n v="4"/>
    <x v="1"/>
    <s v="Erin Ashbrook"/>
    <x v="1"/>
    <s v="United States"/>
    <s v="Columbus"/>
    <s v="Ohio"/>
    <s v="East"/>
    <x v="1"/>
    <x v="10"/>
    <s v="Black Print Carbonless 8 1/2&quot; x 8 1/4&quot; Rapid Memo Book"/>
    <x v="1121"/>
    <n v="3"/>
    <n v="0.2"/>
    <n v="5.6783999999999999"/>
  </r>
  <r>
    <n v="5575"/>
    <x v="29"/>
    <x v="2"/>
    <x v="4"/>
    <d v="2011-12-09T00:00:00"/>
    <n v="4"/>
    <x v="1"/>
    <s v="Erin Ashbrook"/>
    <x v="1"/>
    <s v="United States"/>
    <s v="Columbus"/>
    <s v="Ohio"/>
    <s v="East"/>
    <x v="2"/>
    <x v="7"/>
    <s v="Lunatik TT5L-002 Taktik Strike Impact Protection System for iPhone 5"/>
    <x v="3876"/>
    <n v="1"/>
    <n v="0.4"/>
    <n v="-9.1844999999999999"/>
  </r>
  <r>
    <n v="5576"/>
    <x v="29"/>
    <x v="2"/>
    <x v="4"/>
    <d v="2011-12-09T00:00:00"/>
    <n v="4"/>
    <x v="1"/>
    <s v="Erin Ashbrook"/>
    <x v="1"/>
    <s v="United States"/>
    <s v="Columbus"/>
    <s v="Ohio"/>
    <s v="East"/>
    <x v="2"/>
    <x v="7"/>
    <s v="Panasonic KX T7736-B Digital phone"/>
    <x v="3857"/>
    <n v="2"/>
    <n v="0.4"/>
    <n v="-44.984999999999999"/>
  </r>
  <r>
    <n v="5577"/>
    <x v="939"/>
    <x v="0"/>
    <x v="4"/>
    <d v="2013-12-17T00:00:00"/>
    <n v="4"/>
    <x v="1"/>
    <s v="Roy Französisch"/>
    <x v="0"/>
    <s v="United States"/>
    <s v="Pasadena"/>
    <s v="California"/>
    <s v="West"/>
    <x v="0"/>
    <x v="5"/>
    <s v="Howard Miller 14-1/2&quot; Diameter Chrome Round Wall Clock"/>
    <x v="3877"/>
    <n v="6"/>
    <n v="0"/>
    <n v="122.76479999999999"/>
  </r>
  <r>
    <n v="5578"/>
    <x v="939"/>
    <x v="0"/>
    <x v="4"/>
    <d v="2013-12-17T00:00:00"/>
    <n v="4"/>
    <x v="1"/>
    <s v="Roy Französisch"/>
    <x v="0"/>
    <s v="United States"/>
    <s v="Pasadena"/>
    <s v="California"/>
    <s v="West"/>
    <x v="1"/>
    <x v="9"/>
    <s v="Belkin F9H710-06 7 Outlet SurgeMaster Surge Protector"/>
    <x v="3012"/>
    <n v="3"/>
    <n v="0"/>
    <n v="15.8256"/>
  </r>
  <r>
    <n v="5579"/>
    <x v="428"/>
    <x v="3"/>
    <x v="8"/>
    <d v="2014-09-15T00:00:00"/>
    <n v="5"/>
    <x v="0"/>
    <s v="Liz Carlisle"/>
    <x v="0"/>
    <s v="United States"/>
    <s v="Los Angeles"/>
    <s v="California"/>
    <s v="West"/>
    <x v="1"/>
    <x v="6"/>
    <s v="Newell 35"/>
    <x v="2578"/>
    <n v="2"/>
    <n v="0"/>
    <n v="1.9024000000000001"/>
  </r>
  <r>
    <n v="5580"/>
    <x v="428"/>
    <x v="3"/>
    <x v="8"/>
    <d v="2014-09-15T00:00:00"/>
    <n v="5"/>
    <x v="0"/>
    <s v="Liz Carlisle"/>
    <x v="0"/>
    <s v="United States"/>
    <s v="Los Angeles"/>
    <s v="California"/>
    <s v="West"/>
    <x v="0"/>
    <x v="1"/>
    <s v="Novimex Fabric Task Chair"/>
    <x v="3501"/>
    <n v="5"/>
    <n v="0.2"/>
    <n v="-15.244999999999999"/>
  </r>
  <r>
    <n v="5581"/>
    <x v="428"/>
    <x v="3"/>
    <x v="8"/>
    <d v="2014-09-15T00:00:00"/>
    <n v="5"/>
    <x v="0"/>
    <s v="Liz Carlisle"/>
    <x v="0"/>
    <s v="United States"/>
    <s v="Los Angeles"/>
    <s v="California"/>
    <s v="West"/>
    <x v="1"/>
    <x v="10"/>
    <s v="Astroparche Fine Business Paper"/>
    <x v="3878"/>
    <n v="9"/>
    <n v="0"/>
    <n v="22.8096"/>
  </r>
  <r>
    <n v="5582"/>
    <x v="1055"/>
    <x v="3"/>
    <x v="2"/>
    <d v="2014-10-09T00:00:00"/>
    <n v="4"/>
    <x v="1"/>
    <s v="Paul Stevenson"/>
    <x v="2"/>
    <s v="United States"/>
    <s v="Clinton"/>
    <s v="Maryland"/>
    <s v="East"/>
    <x v="0"/>
    <x v="5"/>
    <s v="24-Hour Round Wall Clock"/>
    <x v="1016"/>
    <n v="1"/>
    <n v="0"/>
    <n v="8.5914000000000001"/>
  </r>
  <r>
    <n v="5583"/>
    <x v="195"/>
    <x v="0"/>
    <x v="5"/>
    <d v="2013-05-14T00:00:00"/>
    <n v="4"/>
    <x v="1"/>
    <s v="Paul Stevenson"/>
    <x v="2"/>
    <s v="United States"/>
    <s v="New York City"/>
    <s v="New York"/>
    <s v="East"/>
    <x v="1"/>
    <x v="6"/>
    <s v="Sanford Pocket Accent Highlighters"/>
    <x v="3778"/>
    <n v="5"/>
    <n v="0"/>
    <n v="3.44"/>
  </r>
  <r>
    <n v="5584"/>
    <x v="534"/>
    <x v="2"/>
    <x v="4"/>
    <d v="2011-12-19T00:00:00"/>
    <n v="4"/>
    <x v="0"/>
    <s v="Jas O'Carroll"/>
    <x v="0"/>
    <s v="United States"/>
    <s v="San Diego"/>
    <s v="California"/>
    <s v="West"/>
    <x v="0"/>
    <x v="5"/>
    <s v="Stackable Trays"/>
    <x v="51"/>
    <n v="2"/>
    <n v="0"/>
    <n v="1.9712000000000001"/>
  </r>
  <r>
    <n v="5585"/>
    <x v="329"/>
    <x v="3"/>
    <x v="4"/>
    <d v="2014-12-05T00:00:00"/>
    <n v="4"/>
    <x v="1"/>
    <s v="Victor Preis"/>
    <x v="2"/>
    <s v="United States"/>
    <s v="New York City"/>
    <s v="New York"/>
    <s v="East"/>
    <x v="1"/>
    <x v="4"/>
    <s v="Iris 3-Drawer Stacking Bin, Black"/>
    <x v="3879"/>
    <n v="4"/>
    <n v="0"/>
    <n v="1.6712"/>
  </r>
  <r>
    <n v="5586"/>
    <x v="329"/>
    <x v="3"/>
    <x v="4"/>
    <d v="2014-12-05T00:00:00"/>
    <n v="4"/>
    <x v="1"/>
    <s v="Victor Preis"/>
    <x v="2"/>
    <s v="United States"/>
    <s v="New York City"/>
    <s v="New York"/>
    <s v="East"/>
    <x v="2"/>
    <x v="7"/>
    <s v="Panasonic Business Telephones KX-T7736"/>
    <x v="3880"/>
    <n v="3"/>
    <n v="0"/>
    <n v="163.81800000000001"/>
  </r>
  <r>
    <n v="5587"/>
    <x v="329"/>
    <x v="3"/>
    <x v="4"/>
    <d v="2014-12-05T00:00:00"/>
    <n v="4"/>
    <x v="1"/>
    <s v="Victor Preis"/>
    <x v="2"/>
    <s v="United States"/>
    <s v="New York City"/>
    <s v="New York"/>
    <s v="East"/>
    <x v="1"/>
    <x v="4"/>
    <s v="Fellowes Officeware Wire Shelving"/>
    <x v="2020"/>
    <n v="3"/>
    <n v="0"/>
    <n v="5.3898000000000001"/>
  </r>
  <r>
    <n v="5588"/>
    <x v="531"/>
    <x v="1"/>
    <x v="10"/>
    <d v="2012-03-20T00:00:00"/>
    <n v="1"/>
    <x v="2"/>
    <s v="Guy Armstrong"/>
    <x v="0"/>
    <s v="United States"/>
    <s v="Lancaster"/>
    <s v="California"/>
    <s v="West"/>
    <x v="1"/>
    <x v="13"/>
    <s v="Stockwell Push Pins"/>
    <x v="2868"/>
    <n v="5"/>
    <n v="0"/>
    <n v="3.597"/>
  </r>
  <r>
    <n v="5589"/>
    <x v="866"/>
    <x v="2"/>
    <x v="7"/>
    <d v="2011-07-24T00:00:00"/>
    <n v="5"/>
    <x v="1"/>
    <s v="Eugene Moren"/>
    <x v="2"/>
    <s v="United States"/>
    <s v="Great Falls"/>
    <s v="Montana"/>
    <s v="West"/>
    <x v="1"/>
    <x v="8"/>
    <s v="Acco Pressboard Covers with Storage Hooks, 14 7/8&quot; x 11&quot;, Dark Blue"/>
    <x v="855"/>
    <n v="2"/>
    <n v="0.2"/>
    <n v="2.2098"/>
  </r>
  <r>
    <n v="5590"/>
    <x v="16"/>
    <x v="0"/>
    <x v="4"/>
    <d v="2013-12-12T00:00:00"/>
    <n v="3"/>
    <x v="0"/>
    <s v="Doug Bickford"/>
    <x v="0"/>
    <s v="United States"/>
    <s v="San Francisco"/>
    <s v="California"/>
    <s v="West"/>
    <x v="1"/>
    <x v="4"/>
    <s v="SimpliFile Personal File, Black Granite, 15w x 6-15/16d x 11-1/4h"/>
    <x v="3881"/>
    <n v="3"/>
    <n v="0"/>
    <n v="9.5340000000000007"/>
  </r>
  <r>
    <n v="5591"/>
    <x v="16"/>
    <x v="0"/>
    <x v="4"/>
    <d v="2013-12-12T00:00:00"/>
    <n v="3"/>
    <x v="0"/>
    <s v="Doug Bickford"/>
    <x v="0"/>
    <s v="United States"/>
    <s v="San Francisco"/>
    <s v="California"/>
    <s v="West"/>
    <x v="1"/>
    <x v="4"/>
    <s v="Fellowes High-Stak Drawer Files"/>
    <x v="830"/>
    <n v="2"/>
    <n v="0"/>
    <n v="81.047399999999996"/>
  </r>
  <r>
    <n v="5592"/>
    <x v="303"/>
    <x v="2"/>
    <x v="2"/>
    <d v="2011-10-18T00:00:00"/>
    <n v="5"/>
    <x v="0"/>
    <s v="Marina Lichtenstein"/>
    <x v="1"/>
    <s v="United States"/>
    <s v="Lakewood"/>
    <s v="New Jersey"/>
    <s v="East"/>
    <x v="0"/>
    <x v="1"/>
    <s v="Global High-Back Leather Tilter, Burgundy"/>
    <x v="3882"/>
    <n v="2"/>
    <n v="0"/>
    <n v="27.0578"/>
  </r>
  <r>
    <n v="5593"/>
    <x v="303"/>
    <x v="2"/>
    <x v="2"/>
    <d v="2011-10-18T00:00:00"/>
    <n v="5"/>
    <x v="0"/>
    <s v="Marina Lichtenstein"/>
    <x v="1"/>
    <s v="United States"/>
    <s v="Lakewood"/>
    <s v="New Jersey"/>
    <s v="East"/>
    <x v="1"/>
    <x v="8"/>
    <s v="Flexible Leather- Look Classic Collection Ring Binder"/>
    <x v="3883"/>
    <n v="1"/>
    <n v="0"/>
    <n v="9.4700000000000006"/>
  </r>
  <r>
    <n v="5594"/>
    <x v="123"/>
    <x v="3"/>
    <x v="0"/>
    <d v="2014-11-26T00:00:00"/>
    <n v="6"/>
    <x v="1"/>
    <s v="Jennifer Halladay"/>
    <x v="0"/>
    <s v="United States"/>
    <s v="Cleveland"/>
    <s v="Ohio"/>
    <s v="East"/>
    <x v="1"/>
    <x v="8"/>
    <s v="Lock-Up Easel 'Spel-Binder'"/>
    <x v="3884"/>
    <n v="7"/>
    <n v="0.7"/>
    <n v="-45.933300000000003"/>
  </r>
  <r>
    <n v="5595"/>
    <x v="241"/>
    <x v="3"/>
    <x v="8"/>
    <d v="2014-09-25T00:00:00"/>
    <n v="0"/>
    <x v="3"/>
    <s v="Bart Pistole"/>
    <x v="1"/>
    <s v="United States"/>
    <s v="Lawrence"/>
    <s v="Massachusetts"/>
    <s v="East"/>
    <x v="2"/>
    <x v="7"/>
    <s v="Panasonic KX-TG9471B"/>
    <x v="3627"/>
    <n v="2"/>
    <n v="0"/>
    <n v="109.7544"/>
  </r>
  <r>
    <n v="5596"/>
    <x v="241"/>
    <x v="3"/>
    <x v="8"/>
    <d v="2014-09-25T00:00:00"/>
    <n v="0"/>
    <x v="3"/>
    <s v="Bart Pistole"/>
    <x v="1"/>
    <s v="United States"/>
    <s v="Lawrence"/>
    <s v="Massachusetts"/>
    <s v="East"/>
    <x v="2"/>
    <x v="7"/>
    <s v="Wi-Ex zBoost YX540 Cellular Phone Signal Booster"/>
    <x v="1876"/>
    <n v="3"/>
    <n v="0"/>
    <n v="131.35499999999999"/>
  </r>
  <r>
    <n v="5597"/>
    <x v="12"/>
    <x v="1"/>
    <x v="8"/>
    <d v="2012-09-29T00:00:00"/>
    <n v="4"/>
    <x v="1"/>
    <s v="Sarah Brown"/>
    <x v="0"/>
    <s v="United States"/>
    <s v="Concord"/>
    <s v="New Hampshire"/>
    <s v="East"/>
    <x v="1"/>
    <x v="8"/>
    <s v="GBC Prestige Therm-A-Bind Covers"/>
    <x v="3885"/>
    <n v="2"/>
    <n v="0"/>
    <n v="32.251399999999997"/>
  </r>
  <r>
    <n v="5598"/>
    <x v="778"/>
    <x v="3"/>
    <x v="11"/>
    <d v="2014-02-21T00:00:00"/>
    <n v="7"/>
    <x v="1"/>
    <s v="Stewart Visinsky"/>
    <x v="0"/>
    <s v="United States"/>
    <s v="Baltimore"/>
    <s v="Maryland"/>
    <s v="East"/>
    <x v="1"/>
    <x v="14"/>
    <s v="Acme Elite Stainless Steel Scissors"/>
    <x v="3357"/>
    <n v="3"/>
    <n v="0"/>
    <n v="6.5052000000000003"/>
  </r>
  <r>
    <n v="5599"/>
    <x v="778"/>
    <x v="3"/>
    <x v="11"/>
    <d v="2014-02-21T00:00:00"/>
    <n v="7"/>
    <x v="1"/>
    <s v="Stewart Visinsky"/>
    <x v="0"/>
    <s v="United States"/>
    <s v="Baltimore"/>
    <s v="Maryland"/>
    <s v="East"/>
    <x v="1"/>
    <x v="6"/>
    <s v="Barrel Sharpener"/>
    <x v="3822"/>
    <n v="3"/>
    <n v="0"/>
    <n v="2.7846000000000002"/>
  </r>
  <r>
    <n v="5600"/>
    <x v="462"/>
    <x v="2"/>
    <x v="2"/>
    <d v="2011-10-03T00:00:00"/>
    <n v="0"/>
    <x v="3"/>
    <s v="Denny Ordway"/>
    <x v="0"/>
    <s v="United States"/>
    <s v="Columbus"/>
    <s v="Ohio"/>
    <s v="East"/>
    <x v="1"/>
    <x v="6"/>
    <s v="Hunt Boston Vacuum Mount KS Pencil Sharpener"/>
    <x v="3886"/>
    <n v="2"/>
    <n v="0.2"/>
    <n v="4.1988000000000003"/>
  </r>
  <r>
    <n v="5601"/>
    <x v="462"/>
    <x v="2"/>
    <x v="2"/>
    <d v="2011-10-03T00:00:00"/>
    <n v="0"/>
    <x v="3"/>
    <s v="Denny Ordway"/>
    <x v="0"/>
    <s v="United States"/>
    <s v="Columbus"/>
    <s v="Ohio"/>
    <s v="East"/>
    <x v="1"/>
    <x v="12"/>
    <s v="Convenience Packs of Business Envelopes"/>
    <x v="3108"/>
    <n v="5"/>
    <n v="0.2"/>
    <n v="4.8869999999999996"/>
  </r>
  <r>
    <n v="5602"/>
    <x v="462"/>
    <x v="2"/>
    <x v="2"/>
    <d v="2011-10-03T00:00:00"/>
    <n v="0"/>
    <x v="3"/>
    <s v="Denny Ordway"/>
    <x v="0"/>
    <s v="United States"/>
    <s v="Columbus"/>
    <s v="Ohio"/>
    <s v="East"/>
    <x v="2"/>
    <x v="11"/>
    <s v="Logitech G105 Gaming Keyboard"/>
    <x v="3887"/>
    <n v="3"/>
    <n v="0.2"/>
    <n v="-3.5621999999999998"/>
  </r>
  <r>
    <n v="5603"/>
    <x v="278"/>
    <x v="0"/>
    <x v="6"/>
    <d v="2013-08-30T00:00:00"/>
    <n v="2"/>
    <x v="0"/>
    <s v="Todd Boyes"/>
    <x v="1"/>
    <s v="United States"/>
    <s v="Houston"/>
    <s v="Texas"/>
    <s v="Central"/>
    <x v="1"/>
    <x v="4"/>
    <s v="Portfile Personal File Boxes"/>
    <x v="1802"/>
    <n v="1"/>
    <n v="0.2"/>
    <n v="1.0620000000000001"/>
  </r>
  <r>
    <n v="5604"/>
    <x v="278"/>
    <x v="0"/>
    <x v="6"/>
    <d v="2013-08-30T00:00:00"/>
    <n v="2"/>
    <x v="0"/>
    <s v="Todd Boyes"/>
    <x v="1"/>
    <s v="United States"/>
    <s v="Houston"/>
    <s v="Texas"/>
    <s v="Central"/>
    <x v="1"/>
    <x v="10"/>
    <s v="Southworth 25% Cotton Premium Laser Paper and Envelopes"/>
    <x v="705"/>
    <n v="5"/>
    <n v="0.2"/>
    <n v="27.972000000000001"/>
  </r>
  <r>
    <n v="5605"/>
    <x v="155"/>
    <x v="1"/>
    <x v="4"/>
    <d v="2012-12-07T00:00:00"/>
    <n v="4"/>
    <x v="1"/>
    <s v="Bill Stewart"/>
    <x v="1"/>
    <s v="United States"/>
    <s v="New York City"/>
    <s v="New York"/>
    <s v="East"/>
    <x v="1"/>
    <x v="8"/>
    <s v="GBC Therma-A-Bind 250T Electric Binding System"/>
    <x v="3356"/>
    <n v="6"/>
    <n v="0.2"/>
    <n v="206.6232"/>
  </r>
  <r>
    <n v="5606"/>
    <x v="873"/>
    <x v="0"/>
    <x v="8"/>
    <d v="2013-09-26T00:00:00"/>
    <n v="5"/>
    <x v="1"/>
    <s v="Filia McAdams"/>
    <x v="1"/>
    <s v="United States"/>
    <s v="Greensboro"/>
    <s v="North Carolina"/>
    <s v="South"/>
    <x v="0"/>
    <x v="5"/>
    <s v="Dana Swing-Arm Lamps"/>
    <x v="1217"/>
    <n v="2"/>
    <n v="0.2"/>
    <n v="1.0680000000000001"/>
  </r>
  <r>
    <n v="5607"/>
    <x v="873"/>
    <x v="0"/>
    <x v="8"/>
    <d v="2013-09-26T00:00:00"/>
    <n v="5"/>
    <x v="1"/>
    <s v="Filia McAdams"/>
    <x v="1"/>
    <s v="United States"/>
    <s v="Greensboro"/>
    <s v="North Carolina"/>
    <s v="South"/>
    <x v="0"/>
    <x v="1"/>
    <s v="Global High-Back Leather Tilter, Burgundy"/>
    <x v="3888"/>
    <n v="1"/>
    <n v="0.2"/>
    <n v="-11.069100000000001"/>
  </r>
  <r>
    <n v="5608"/>
    <x v="613"/>
    <x v="3"/>
    <x v="10"/>
    <d v="2014-04-01T00:00:00"/>
    <n v="6"/>
    <x v="1"/>
    <s v="John Lee"/>
    <x v="0"/>
    <s v="United States"/>
    <s v="New York City"/>
    <s v="New York"/>
    <s v="East"/>
    <x v="1"/>
    <x v="6"/>
    <s v="Newell 311"/>
    <x v="3889"/>
    <n v="5"/>
    <n v="0"/>
    <n v="2.9834999999999998"/>
  </r>
  <r>
    <n v="5609"/>
    <x v="401"/>
    <x v="1"/>
    <x v="4"/>
    <d v="2012-12-11T00:00:00"/>
    <n v="5"/>
    <x v="1"/>
    <s v="Art Ferguson"/>
    <x v="0"/>
    <s v="United States"/>
    <s v="San Francisco"/>
    <s v="California"/>
    <s v="West"/>
    <x v="1"/>
    <x v="9"/>
    <s v="Commercial WindTunnel Clean Air Upright Vacuum, Replacement Belts, Filtration Bags"/>
    <x v="3890"/>
    <n v="2"/>
    <n v="0"/>
    <n v="2.0228000000000002"/>
  </r>
  <r>
    <n v="5610"/>
    <x v="515"/>
    <x v="3"/>
    <x v="8"/>
    <d v="2014-09-06T00:00:00"/>
    <n v="5"/>
    <x v="1"/>
    <s v="Barry Gonzalez"/>
    <x v="0"/>
    <s v="United States"/>
    <s v="Monroe"/>
    <s v="Louisiana"/>
    <s v="South"/>
    <x v="2"/>
    <x v="11"/>
    <s v="Plantronics CS510 - Over-the-Head monaural Wireless Headset System"/>
    <x v="2963"/>
    <n v="2"/>
    <n v="0"/>
    <n v="217.767"/>
  </r>
  <r>
    <n v="5611"/>
    <x v="348"/>
    <x v="1"/>
    <x v="2"/>
    <d v="2012-10-07T00:00:00"/>
    <n v="2"/>
    <x v="2"/>
    <s v="Maria Bertelson"/>
    <x v="0"/>
    <s v="United States"/>
    <s v="Cincinnati"/>
    <s v="Ohio"/>
    <s v="East"/>
    <x v="2"/>
    <x v="11"/>
    <s v="SanDisk Ultra 32 GB MicroSDHC Class 10 Memory Card"/>
    <x v="3891"/>
    <n v="3"/>
    <n v="0.2"/>
    <n v="-4.641"/>
  </r>
  <r>
    <n v="5612"/>
    <x v="238"/>
    <x v="3"/>
    <x v="6"/>
    <d v="2014-08-23T00:00:00"/>
    <n v="4"/>
    <x v="1"/>
    <s v="Helen Wasserman"/>
    <x v="1"/>
    <s v="United States"/>
    <s v="Seattle"/>
    <s v="Washington"/>
    <s v="West"/>
    <x v="2"/>
    <x v="11"/>
    <s v="Plantronics Savi W720 Multi-Device Wireless Headset System"/>
    <x v="3892"/>
    <n v="2"/>
    <n v="0"/>
    <n v="371.31599999999997"/>
  </r>
  <r>
    <n v="5613"/>
    <x v="238"/>
    <x v="3"/>
    <x v="6"/>
    <d v="2014-08-23T00:00:00"/>
    <n v="4"/>
    <x v="1"/>
    <s v="Helen Wasserman"/>
    <x v="1"/>
    <s v="United States"/>
    <s v="Seattle"/>
    <s v="Washington"/>
    <s v="West"/>
    <x v="2"/>
    <x v="11"/>
    <s v="Imation Bio 8GB USB Flash Drive Imation Corp"/>
    <x v="3893"/>
    <n v="9"/>
    <n v="0"/>
    <n v="224.42400000000001"/>
  </r>
  <r>
    <n v="5614"/>
    <x v="1056"/>
    <x v="0"/>
    <x v="11"/>
    <d v="2013-02-07T00:00:00"/>
    <n v="5"/>
    <x v="1"/>
    <s v="Adrian Barton"/>
    <x v="0"/>
    <s v="United States"/>
    <s v="New York City"/>
    <s v="New York"/>
    <s v="East"/>
    <x v="1"/>
    <x v="4"/>
    <s v="Belkin 19&quot; Center-Weighted Shelf, Gray"/>
    <x v="3894"/>
    <n v="2"/>
    <n v="0"/>
    <n v="5.8979999999999997"/>
  </r>
  <r>
    <n v="5615"/>
    <x v="828"/>
    <x v="0"/>
    <x v="6"/>
    <d v="2013-08-28T00:00:00"/>
    <n v="4"/>
    <x v="1"/>
    <s v="Jennifer Patt"/>
    <x v="1"/>
    <s v="United States"/>
    <s v="New York City"/>
    <s v="New York"/>
    <s v="East"/>
    <x v="1"/>
    <x v="6"/>
    <s v="Dixon Prang Watercolor Pencils, 10-Color Set with Brush"/>
    <x v="3895"/>
    <n v="5"/>
    <n v="0"/>
    <n v="8.7330000000000005"/>
  </r>
  <r>
    <n v="5616"/>
    <x v="828"/>
    <x v="0"/>
    <x v="6"/>
    <d v="2013-08-28T00:00:00"/>
    <n v="4"/>
    <x v="1"/>
    <s v="Jennifer Patt"/>
    <x v="1"/>
    <s v="United States"/>
    <s v="New York City"/>
    <s v="New York"/>
    <s v="East"/>
    <x v="1"/>
    <x v="9"/>
    <s v="1.7 Cubic Foot Compact &quot;Cube&quot; Office Refrigerators"/>
    <x v="3896"/>
    <n v="5"/>
    <n v="0"/>
    <n v="281.01600000000002"/>
  </r>
  <r>
    <n v="5617"/>
    <x v="828"/>
    <x v="0"/>
    <x v="6"/>
    <d v="2013-08-28T00:00:00"/>
    <n v="4"/>
    <x v="1"/>
    <s v="Jennifer Patt"/>
    <x v="1"/>
    <s v="United States"/>
    <s v="New York City"/>
    <s v="New York"/>
    <s v="East"/>
    <x v="1"/>
    <x v="6"/>
    <s v="Newell 331"/>
    <x v="1599"/>
    <n v="6"/>
    <n v="0"/>
    <n v="7.9218000000000002"/>
  </r>
  <r>
    <n v="5618"/>
    <x v="160"/>
    <x v="3"/>
    <x v="7"/>
    <d v="2014-07-05T00:00:00"/>
    <n v="4"/>
    <x v="1"/>
    <s v="Darrin Van Huff"/>
    <x v="1"/>
    <s v="United States"/>
    <s v="Memphis"/>
    <s v="Tennessee"/>
    <s v="South"/>
    <x v="0"/>
    <x v="5"/>
    <s v="Advantus Panel Wall Certificate Holder - 8.5x11"/>
    <x v="3816"/>
    <n v="2"/>
    <n v="0.2"/>
    <n v="5.3680000000000003"/>
  </r>
  <r>
    <n v="5619"/>
    <x v="227"/>
    <x v="1"/>
    <x v="8"/>
    <d v="2012-09-21T00:00:00"/>
    <n v="3"/>
    <x v="2"/>
    <s v="Charlotte Melton"/>
    <x v="0"/>
    <s v="United States"/>
    <s v="San Diego"/>
    <s v="California"/>
    <s v="West"/>
    <x v="1"/>
    <x v="4"/>
    <s v="Stur-D-Stor Shelving, Vertical 5-Shelf: 72&quot;H x 36&quot;W x 18 1/2&quot;D"/>
    <x v="2293"/>
    <n v="4"/>
    <n v="0"/>
    <n v="8.8783999999999992"/>
  </r>
  <r>
    <n v="5620"/>
    <x v="477"/>
    <x v="0"/>
    <x v="8"/>
    <d v="2013-10-01T00:00:00"/>
    <n v="5"/>
    <x v="1"/>
    <s v="Steve Chapman"/>
    <x v="1"/>
    <s v="United States"/>
    <s v="La Crosse"/>
    <s v="Wisconsin"/>
    <s v="Central"/>
    <x v="2"/>
    <x v="11"/>
    <s v="Logitech Wireless Headset h800"/>
    <x v="3897"/>
    <n v="5"/>
    <n v="0"/>
    <n v="174.98249999999999"/>
  </r>
  <r>
    <n v="5621"/>
    <x v="477"/>
    <x v="0"/>
    <x v="8"/>
    <d v="2013-10-01T00:00:00"/>
    <n v="5"/>
    <x v="1"/>
    <s v="Steve Chapman"/>
    <x v="1"/>
    <s v="United States"/>
    <s v="La Crosse"/>
    <s v="Wisconsin"/>
    <s v="Central"/>
    <x v="1"/>
    <x v="6"/>
    <s v="Manco Dry-Lighter Erasable Highlighter"/>
    <x v="3898"/>
    <n v="1"/>
    <n v="0"/>
    <n v="1.0336000000000001"/>
  </r>
  <r>
    <n v="5622"/>
    <x v="477"/>
    <x v="0"/>
    <x v="8"/>
    <d v="2013-10-01T00:00:00"/>
    <n v="5"/>
    <x v="1"/>
    <s v="Steve Chapman"/>
    <x v="1"/>
    <s v="United States"/>
    <s v="La Crosse"/>
    <s v="Wisconsin"/>
    <s v="Central"/>
    <x v="0"/>
    <x v="1"/>
    <s v="Global Fabric Manager's Chair, Dark Gray"/>
    <x v="3899"/>
    <n v="2"/>
    <n v="0"/>
    <n v="50.49"/>
  </r>
  <r>
    <n v="5623"/>
    <x v="477"/>
    <x v="0"/>
    <x v="8"/>
    <d v="2013-10-01T00:00:00"/>
    <n v="5"/>
    <x v="1"/>
    <s v="Steve Chapman"/>
    <x v="1"/>
    <s v="United States"/>
    <s v="La Crosse"/>
    <s v="Wisconsin"/>
    <s v="Central"/>
    <x v="0"/>
    <x v="5"/>
    <s v="Eldon Expressions Mahogany Wood Desk Collection"/>
    <x v="3900"/>
    <n v="11"/>
    <n v="0"/>
    <n v="17.16"/>
  </r>
  <r>
    <n v="5624"/>
    <x v="1057"/>
    <x v="0"/>
    <x v="2"/>
    <d v="2013-10-29T00:00:00"/>
    <n v="4"/>
    <x v="0"/>
    <s v="Victoria Wilson"/>
    <x v="1"/>
    <s v="United States"/>
    <s v="Los Angeles"/>
    <s v="California"/>
    <s v="West"/>
    <x v="2"/>
    <x v="11"/>
    <s v="Micro Innovations USB RF Wireless Keyboard with Mouse"/>
    <x v="1483"/>
    <n v="4"/>
    <n v="0"/>
    <n v="21"/>
  </r>
  <r>
    <n v="5625"/>
    <x v="1057"/>
    <x v="0"/>
    <x v="2"/>
    <d v="2013-10-29T00:00:00"/>
    <n v="4"/>
    <x v="0"/>
    <s v="Victoria Wilson"/>
    <x v="1"/>
    <s v="United States"/>
    <s v="Los Angeles"/>
    <s v="California"/>
    <s v="West"/>
    <x v="2"/>
    <x v="11"/>
    <s v="Logitech VX Revolution Cordless Laser Mouse for Notebooks (Black)"/>
    <x v="2622"/>
    <n v="2"/>
    <n v="0"/>
    <n v="21.598800000000001"/>
  </r>
  <r>
    <n v="5626"/>
    <x v="411"/>
    <x v="2"/>
    <x v="8"/>
    <d v="2011-10-01T00:00:00"/>
    <n v="2"/>
    <x v="0"/>
    <s v="Paul Prost"/>
    <x v="2"/>
    <s v="United States"/>
    <s v="Seattle"/>
    <s v="Washington"/>
    <s v="West"/>
    <x v="0"/>
    <x v="5"/>
    <s v="Longer-Life Soft White Bulbs"/>
    <x v="51"/>
    <n v="2"/>
    <n v="0"/>
    <n v="2.9567999999999999"/>
  </r>
  <r>
    <n v="5627"/>
    <x v="411"/>
    <x v="2"/>
    <x v="8"/>
    <d v="2011-10-01T00:00:00"/>
    <n v="2"/>
    <x v="0"/>
    <s v="Paul Prost"/>
    <x v="2"/>
    <s v="United States"/>
    <s v="Seattle"/>
    <s v="Washington"/>
    <s v="West"/>
    <x v="0"/>
    <x v="3"/>
    <s v="Bevis Oval Conference Table, Walnut"/>
    <x v="3901"/>
    <n v="9"/>
    <n v="0"/>
    <n v="399.29939999999999"/>
  </r>
  <r>
    <n v="5628"/>
    <x v="335"/>
    <x v="3"/>
    <x v="1"/>
    <d v="2014-07-02T00:00:00"/>
    <n v="5"/>
    <x v="1"/>
    <s v="Dan Reichenbach"/>
    <x v="1"/>
    <s v="United States"/>
    <s v="Miami"/>
    <s v="Florida"/>
    <s v="South"/>
    <x v="1"/>
    <x v="2"/>
    <s v="Avery 512"/>
    <x v="847"/>
    <n v="6"/>
    <n v="0.2"/>
    <n v="4.6818"/>
  </r>
  <r>
    <n v="5629"/>
    <x v="335"/>
    <x v="3"/>
    <x v="1"/>
    <d v="2014-07-02T00:00:00"/>
    <n v="5"/>
    <x v="1"/>
    <s v="Dan Reichenbach"/>
    <x v="1"/>
    <s v="United States"/>
    <s v="Miami"/>
    <s v="Florida"/>
    <s v="South"/>
    <x v="0"/>
    <x v="1"/>
    <s v="Hon Comfortask Task/Swivel Chairs"/>
    <x v="3902"/>
    <n v="3"/>
    <n v="0.2"/>
    <n v="-13.6776"/>
  </r>
  <r>
    <n v="5630"/>
    <x v="1036"/>
    <x v="0"/>
    <x v="6"/>
    <d v="2013-08-24T00:00:00"/>
    <n v="2"/>
    <x v="0"/>
    <s v="Rick Bensley"/>
    <x v="2"/>
    <s v="United States"/>
    <s v="Philadelphia"/>
    <s v="Pennsylvania"/>
    <s v="East"/>
    <x v="0"/>
    <x v="3"/>
    <s v="Iceberg OfficeWorks 42&quot; Round Tables"/>
    <x v="3903"/>
    <n v="9"/>
    <n v="0.4"/>
    <n v="-339.70499999999998"/>
  </r>
  <r>
    <n v="5631"/>
    <x v="1058"/>
    <x v="2"/>
    <x v="11"/>
    <d v="2011-02-16T00:00:00"/>
    <n v="4"/>
    <x v="1"/>
    <s v="Natalie Fritzler"/>
    <x v="0"/>
    <s v="United States"/>
    <s v="Chesapeake"/>
    <s v="Virginia"/>
    <s v="South"/>
    <x v="2"/>
    <x v="11"/>
    <s v="Enermax Aurora Lite Keyboard"/>
    <x v="3904"/>
    <n v="3"/>
    <n v="0"/>
    <n v="103.158"/>
  </r>
  <r>
    <n v="5632"/>
    <x v="1058"/>
    <x v="2"/>
    <x v="11"/>
    <d v="2011-02-16T00:00:00"/>
    <n v="4"/>
    <x v="1"/>
    <s v="Natalie Fritzler"/>
    <x v="0"/>
    <s v="United States"/>
    <s v="Chesapeake"/>
    <s v="Virginia"/>
    <s v="South"/>
    <x v="0"/>
    <x v="3"/>
    <s v="Hon 2111 Invitation Series Corner Table"/>
    <x v="3905"/>
    <n v="6"/>
    <n v="0"/>
    <n v="75.373199999999997"/>
  </r>
  <r>
    <n v="5633"/>
    <x v="1058"/>
    <x v="2"/>
    <x v="11"/>
    <d v="2011-02-16T00:00:00"/>
    <n v="4"/>
    <x v="1"/>
    <s v="Natalie Fritzler"/>
    <x v="0"/>
    <s v="United States"/>
    <s v="Chesapeake"/>
    <s v="Virginia"/>
    <s v="South"/>
    <x v="1"/>
    <x v="8"/>
    <s v="Wilson Jones Leather-Like Binders with DublLock Round Rings"/>
    <x v="45"/>
    <n v="2"/>
    <n v="0"/>
    <n v="8.2062000000000008"/>
  </r>
  <r>
    <n v="5634"/>
    <x v="713"/>
    <x v="0"/>
    <x v="8"/>
    <d v="2013-09-29T00:00:00"/>
    <n v="5"/>
    <x v="0"/>
    <s v="Clay Rozendal"/>
    <x v="2"/>
    <s v="United States"/>
    <s v="New York City"/>
    <s v="New York"/>
    <s v="East"/>
    <x v="1"/>
    <x v="8"/>
    <s v="Staples"/>
    <x v="3235"/>
    <n v="7"/>
    <n v="0.2"/>
    <n v="3.6848000000000001"/>
  </r>
  <r>
    <n v="5635"/>
    <x v="901"/>
    <x v="1"/>
    <x v="4"/>
    <d v="2012-12-06T00:00:00"/>
    <n v="1"/>
    <x v="2"/>
    <s v="Stephanie Ulpright"/>
    <x v="2"/>
    <s v="United States"/>
    <s v="Ann Arbor"/>
    <s v="Michigan"/>
    <s v="Central"/>
    <x v="1"/>
    <x v="8"/>
    <s v="Surelock Post Binders"/>
    <x v="3906"/>
    <n v="5"/>
    <n v="0"/>
    <n v="76.400000000000006"/>
  </r>
  <r>
    <n v="5636"/>
    <x v="213"/>
    <x v="3"/>
    <x v="8"/>
    <d v="2014-09-09T00:00:00"/>
    <n v="5"/>
    <x v="1"/>
    <s v="Sample Company A"/>
    <x v="2"/>
    <s v="United States"/>
    <s v="La Mesa"/>
    <s v="California"/>
    <s v="West"/>
    <x v="1"/>
    <x v="8"/>
    <s v="Square Ring Data Binders, Rigid 75 Pt. Covers, 11&quot; x 14-7/8&quot;"/>
    <x v="3907"/>
    <n v="5"/>
    <n v="0.2"/>
    <n v="28.896000000000001"/>
  </r>
  <r>
    <n v="5637"/>
    <x v="213"/>
    <x v="3"/>
    <x v="8"/>
    <d v="2014-09-09T00:00:00"/>
    <n v="5"/>
    <x v="1"/>
    <s v="Sample Company A"/>
    <x v="2"/>
    <s v="United States"/>
    <s v="La Mesa"/>
    <s v="California"/>
    <s v="West"/>
    <x v="2"/>
    <x v="11"/>
    <s v="Kensington Expert Mouse Optical USB Trackball for PC or Mac"/>
    <x v="3908"/>
    <n v="3"/>
    <n v="0"/>
    <n v="85.491"/>
  </r>
  <r>
    <n v="5638"/>
    <x v="606"/>
    <x v="3"/>
    <x v="10"/>
    <d v="2014-04-03T00:00:00"/>
    <n v="7"/>
    <x v="1"/>
    <s v="Michelle Lonsdale"/>
    <x v="1"/>
    <s v="United States"/>
    <s v="Dearborn"/>
    <s v="Michigan"/>
    <s v="Central"/>
    <x v="0"/>
    <x v="5"/>
    <s v="Career Cubicle Clock, 8 1/4&quot;, Black"/>
    <x v="3909"/>
    <n v="3"/>
    <n v="0"/>
    <n v="23.119199999999999"/>
  </r>
  <r>
    <n v="5639"/>
    <x v="1059"/>
    <x v="2"/>
    <x v="4"/>
    <d v="2011-12-27T00:00:00"/>
    <n v="6"/>
    <x v="1"/>
    <s v="Gary McGarr"/>
    <x v="0"/>
    <s v="United States"/>
    <s v="San Diego"/>
    <s v="California"/>
    <s v="West"/>
    <x v="0"/>
    <x v="1"/>
    <s v="SAFCO Arco Folding Chair"/>
    <x v="3579"/>
    <n v="6"/>
    <n v="0.2"/>
    <n v="149.148"/>
  </r>
  <r>
    <n v="5640"/>
    <x v="1059"/>
    <x v="2"/>
    <x v="4"/>
    <d v="2011-12-27T00:00:00"/>
    <n v="6"/>
    <x v="1"/>
    <s v="Gary McGarr"/>
    <x v="0"/>
    <s v="United States"/>
    <s v="San Diego"/>
    <s v="California"/>
    <s v="West"/>
    <x v="0"/>
    <x v="1"/>
    <s v="Safco Contoured Stacking Chairs"/>
    <x v="3064"/>
    <n v="3"/>
    <n v="0.2"/>
    <n v="35.76"/>
  </r>
  <r>
    <n v="5641"/>
    <x v="865"/>
    <x v="2"/>
    <x v="8"/>
    <d v="2011-09-28T00:00:00"/>
    <n v="5"/>
    <x v="1"/>
    <s v="Jim Kriz"/>
    <x v="2"/>
    <s v="United States"/>
    <s v="Lakewood"/>
    <s v="Ohio"/>
    <s v="East"/>
    <x v="1"/>
    <x v="10"/>
    <s v="EcoTones Memo Sheets"/>
    <x v="3910"/>
    <n v="9"/>
    <n v="0.2"/>
    <n v="10.08"/>
  </r>
  <r>
    <n v="5642"/>
    <x v="459"/>
    <x v="3"/>
    <x v="3"/>
    <d v="2014-04-06T00:00:00"/>
    <n v="3"/>
    <x v="2"/>
    <s v="Alyssa Tate"/>
    <x v="2"/>
    <s v="United States"/>
    <s v="Meriden"/>
    <s v="Connecticut"/>
    <s v="East"/>
    <x v="1"/>
    <x v="6"/>
    <s v="Newell 318"/>
    <x v="1731"/>
    <n v="4"/>
    <n v="0"/>
    <n v="2.8912"/>
  </r>
  <r>
    <n v="5643"/>
    <x v="178"/>
    <x v="0"/>
    <x v="3"/>
    <d v="2013-04-06T00:00:00"/>
    <n v="4"/>
    <x v="0"/>
    <s v="Daniel Byrd"/>
    <x v="2"/>
    <s v="United States"/>
    <s v="Columbus"/>
    <s v="Georgia"/>
    <s v="South"/>
    <x v="0"/>
    <x v="5"/>
    <s v="Regeneration Desk Collection"/>
    <x v="983"/>
    <n v="4"/>
    <n v="0"/>
    <n v="3.0975999999999999"/>
  </r>
  <r>
    <n v="5644"/>
    <x v="1060"/>
    <x v="1"/>
    <x v="5"/>
    <d v="2012-05-20T00:00:00"/>
    <n v="5"/>
    <x v="0"/>
    <s v="Anna Häberlin"/>
    <x v="1"/>
    <s v="United States"/>
    <s v="Roswell"/>
    <s v="Georgia"/>
    <s v="South"/>
    <x v="1"/>
    <x v="12"/>
    <s v="Wausau Papers Astrobrights Colored Envelopes"/>
    <x v="1444"/>
    <n v="3"/>
    <n v="0"/>
    <n v="8.7905999999999995"/>
  </r>
  <r>
    <n v="5645"/>
    <x v="721"/>
    <x v="3"/>
    <x v="10"/>
    <d v="2014-03-27T00:00:00"/>
    <n v="3"/>
    <x v="2"/>
    <s v="Sanjit Jacobs"/>
    <x v="2"/>
    <s v="United States"/>
    <s v="Seattle"/>
    <s v="Washington"/>
    <s v="West"/>
    <x v="1"/>
    <x v="8"/>
    <s v="Cardinal Slant-D Ring Binder, Heavy Gauge Vinyl"/>
    <x v="1577"/>
    <n v="5"/>
    <n v="0.2"/>
    <n v="11.297000000000001"/>
  </r>
  <r>
    <n v="5646"/>
    <x v="349"/>
    <x v="3"/>
    <x v="3"/>
    <d v="2014-04-20T00:00:00"/>
    <n v="5"/>
    <x v="1"/>
    <s v="Harry Marie"/>
    <x v="1"/>
    <s v="United States"/>
    <s v="Morristown"/>
    <s v="New Jersey"/>
    <s v="East"/>
    <x v="0"/>
    <x v="5"/>
    <s v="Tensor Computer Mounted Lamp"/>
    <x v="3911"/>
    <n v="5"/>
    <n v="0"/>
    <n v="20.101500000000001"/>
  </r>
  <r>
    <n v="5647"/>
    <x v="1038"/>
    <x v="1"/>
    <x v="9"/>
    <d v="2012-01-09T00:00:00"/>
    <n v="5"/>
    <x v="1"/>
    <s v="Andrew Gjertsen"/>
    <x v="1"/>
    <s v="United States"/>
    <s v="Alexandria"/>
    <s v="Virginia"/>
    <s v="South"/>
    <x v="0"/>
    <x v="5"/>
    <s v="DAX Wood Document Frame"/>
    <x v="3912"/>
    <n v="14"/>
    <n v="0"/>
    <n v="69.199200000000005"/>
  </r>
  <r>
    <n v="5648"/>
    <x v="808"/>
    <x v="3"/>
    <x v="0"/>
    <d v="2014-11-08T00:00:00"/>
    <n v="5"/>
    <x v="1"/>
    <s v="Joy Bell-"/>
    <x v="0"/>
    <s v="United States"/>
    <s v="Salt Lake City"/>
    <s v="Utah"/>
    <s v="West"/>
    <x v="1"/>
    <x v="10"/>
    <s v="Xerox 220"/>
    <x v="537"/>
    <n v="3"/>
    <n v="0"/>
    <n v="9.3312000000000008"/>
  </r>
  <r>
    <n v="5649"/>
    <x v="729"/>
    <x v="3"/>
    <x v="7"/>
    <d v="2014-07-20T00:00:00"/>
    <n v="2"/>
    <x v="0"/>
    <s v="Anthony Johnson"/>
    <x v="1"/>
    <s v="United States"/>
    <s v="Apple Valley"/>
    <s v="California"/>
    <s v="West"/>
    <x v="1"/>
    <x v="10"/>
    <s v="Xerox 221"/>
    <x v="56"/>
    <n v="5"/>
    <n v="0"/>
    <n v="15.552"/>
  </r>
  <r>
    <n v="5650"/>
    <x v="729"/>
    <x v="3"/>
    <x v="7"/>
    <d v="2014-07-20T00:00:00"/>
    <n v="2"/>
    <x v="0"/>
    <s v="Anthony Johnson"/>
    <x v="1"/>
    <s v="United States"/>
    <s v="Apple Valley"/>
    <s v="California"/>
    <s v="West"/>
    <x v="1"/>
    <x v="12"/>
    <s v="Peel &amp; Seel Recycled Catalog Envelopes, Brown"/>
    <x v="3913"/>
    <n v="5"/>
    <n v="0"/>
    <n v="28.95"/>
  </r>
  <r>
    <n v="5651"/>
    <x v="729"/>
    <x v="3"/>
    <x v="7"/>
    <d v="2014-07-20T00:00:00"/>
    <n v="2"/>
    <x v="0"/>
    <s v="Anthony Johnson"/>
    <x v="1"/>
    <s v="United States"/>
    <s v="Apple Valley"/>
    <s v="California"/>
    <s v="West"/>
    <x v="1"/>
    <x v="4"/>
    <s v="Sterilite Show Offs Storage Containers"/>
    <x v="232"/>
    <n v="2"/>
    <n v="0"/>
    <n v="0"/>
  </r>
  <r>
    <n v="5652"/>
    <x v="729"/>
    <x v="3"/>
    <x v="7"/>
    <d v="2014-07-20T00:00:00"/>
    <n v="2"/>
    <x v="0"/>
    <s v="Anthony Johnson"/>
    <x v="1"/>
    <s v="United States"/>
    <s v="Apple Valley"/>
    <s v="California"/>
    <s v="West"/>
    <x v="0"/>
    <x v="0"/>
    <s v="Atlantic Metals Mobile 4-Shelf Bookcases, Custom Colors"/>
    <x v="3914"/>
    <n v="5"/>
    <n v="0.15"/>
    <n v="210.73500000000001"/>
  </r>
  <r>
    <n v="5653"/>
    <x v="833"/>
    <x v="3"/>
    <x v="2"/>
    <d v="2014-10-12T00:00:00"/>
    <n v="5"/>
    <x v="1"/>
    <s v="Muhammed MacIntyre"/>
    <x v="1"/>
    <s v="United States"/>
    <s v="New York City"/>
    <s v="New York"/>
    <s v="East"/>
    <x v="1"/>
    <x v="10"/>
    <s v="Xerox 1893"/>
    <x v="1010"/>
    <n v="1"/>
    <n v="0"/>
    <n v="20.085100000000001"/>
  </r>
  <r>
    <n v="5654"/>
    <x v="130"/>
    <x v="2"/>
    <x v="0"/>
    <d v="2011-11-11T00:00:00"/>
    <n v="7"/>
    <x v="1"/>
    <s v="Tiffany House"/>
    <x v="1"/>
    <s v="United States"/>
    <s v="Long Beach"/>
    <s v="California"/>
    <s v="West"/>
    <x v="1"/>
    <x v="6"/>
    <s v="Newell 343"/>
    <x v="3915"/>
    <n v="1"/>
    <n v="0"/>
    <n v="0.79379999999999995"/>
  </r>
  <r>
    <n v="5655"/>
    <x v="122"/>
    <x v="0"/>
    <x v="4"/>
    <d v="2013-12-22T00:00:00"/>
    <n v="3"/>
    <x v="2"/>
    <s v="Adrian Hane"/>
    <x v="2"/>
    <s v="United States"/>
    <s v="Salem"/>
    <s v="Oregon"/>
    <s v="West"/>
    <x v="1"/>
    <x v="8"/>
    <s v="Vinyl Sectional Post Binders"/>
    <x v="3916"/>
    <n v="4"/>
    <n v="0.7"/>
    <n v="-30.16"/>
  </r>
  <r>
    <n v="5656"/>
    <x v="122"/>
    <x v="0"/>
    <x v="4"/>
    <d v="2013-12-22T00:00:00"/>
    <n v="3"/>
    <x v="2"/>
    <s v="Adrian Hane"/>
    <x v="2"/>
    <s v="United States"/>
    <s v="Salem"/>
    <s v="Oregon"/>
    <s v="West"/>
    <x v="1"/>
    <x v="6"/>
    <s v="Newell 312"/>
    <x v="3917"/>
    <n v="4"/>
    <n v="0.2"/>
    <n v="2.3359999999999999"/>
  </r>
  <r>
    <n v="5657"/>
    <x v="122"/>
    <x v="0"/>
    <x v="4"/>
    <d v="2013-12-22T00:00:00"/>
    <n v="3"/>
    <x v="2"/>
    <s v="Adrian Hane"/>
    <x v="2"/>
    <s v="United States"/>
    <s v="Salem"/>
    <s v="Oregon"/>
    <s v="West"/>
    <x v="1"/>
    <x v="10"/>
    <s v="Black Print Carbonless 8 1/2&quot; x 8 1/4&quot; Rapid Memo Book"/>
    <x v="25"/>
    <n v="2"/>
    <n v="0.2"/>
    <n v="3.7856000000000001"/>
  </r>
  <r>
    <n v="5658"/>
    <x v="122"/>
    <x v="0"/>
    <x v="4"/>
    <d v="2013-12-22T00:00:00"/>
    <n v="3"/>
    <x v="2"/>
    <s v="Adrian Hane"/>
    <x v="2"/>
    <s v="United States"/>
    <s v="Salem"/>
    <s v="Oregon"/>
    <s v="West"/>
    <x v="2"/>
    <x v="11"/>
    <s v="Sony Micro Vault Click 8 GB USB 2.0 Flash Drive"/>
    <x v="3918"/>
    <n v="3"/>
    <n v="0.2"/>
    <n v="-8.4581999999999997"/>
  </r>
  <r>
    <n v="5659"/>
    <x v="122"/>
    <x v="0"/>
    <x v="4"/>
    <d v="2013-12-22T00:00:00"/>
    <n v="3"/>
    <x v="2"/>
    <s v="Adrian Hane"/>
    <x v="2"/>
    <s v="United States"/>
    <s v="Salem"/>
    <s v="Oregon"/>
    <s v="West"/>
    <x v="0"/>
    <x v="3"/>
    <s v="Iceberg OfficeWorks 42&quot; Round Tables"/>
    <x v="3919"/>
    <n v="5"/>
    <n v="0.5"/>
    <n v="-264.21499999999997"/>
  </r>
  <r>
    <n v="5660"/>
    <x v="122"/>
    <x v="0"/>
    <x v="4"/>
    <d v="2013-12-22T00:00:00"/>
    <n v="3"/>
    <x v="2"/>
    <s v="Adrian Hane"/>
    <x v="2"/>
    <s v="United States"/>
    <s v="Salem"/>
    <s v="Oregon"/>
    <s v="West"/>
    <x v="1"/>
    <x v="2"/>
    <s v="Avery White Multi-Purpose Labels"/>
    <x v="795"/>
    <n v="4"/>
    <n v="0.2"/>
    <n v="5.1791999999999998"/>
  </r>
  <r>
    <n v="5661"/>
    <x v="122"/>
    <x v="0"/>
    <x v="4"/>
    <d v="2013-12-22T00:00:00"/>
    <n v="3"/>
    <x v="2"/>
    <s v="Adrian Hane"/>
    <x v="2"/>
    <s v="United States"/>
    <s v="Salem"/>
    <s v="Oregon"/>
    <s v="West"/>
    <x v="2"/>
    <x v="7"/>
    <s v="Macally Suction Cup Mount"/>
    <x v="3920"/>
    <n v="3"/>
    <n v="0.2"/>
    <n v="-7.17"/>
  </r>
  <r>
    <n v="5662"/>
    <x v="446"/>
    <x v="0"/>
    <x v="8"/>
    <d v="2013-10-02T00:00:00"/>
    <n v="7"/>
    <x v="1"/>
    <s v="Craig Leslie"/>
    <x v="2"/>
    <s v="United States"/>
    <s v="Aurora"/>
    <s v="Colorado"/>
    <s v="West"/>
    <x v="0"/>
    <x v="5"/>
    <s v="Electrix 20W Halogen Replacement Bulb for Zoom-In Desk Lamp"/>
    <x v="3921"/>
    <n v="2"/>
    <n v="0.2"/>
    <n v="7.5039999999999996"/>
  </r>
  <r>
    <n v="5663"/>
    <x v="446"/>
    <x v="0"/>
    <x v="8"/>
    <d v="2013-10-02T00:00:00"/>
    <n v="7"/>
    <x v="1"/>
    <s v="Craig Leslie"/>
    <x v="2"/>
    <s v="United States"/>
    <s v="Aurora"/>
    <s v="Colorado"/>
    <s v="West"/>
    <x v="1"/>
    <x v="4"/>
    <s v="Sensible Storage WireTech Storage Systems"/>
    <x v="3922"/>
    <n v="9"/>
    <n v="0.2"/>
    <n v="-95.822999999999993"/>
  </r>
  <r>
    <n v="5664"/>
    <x v="658"/>
    <x v="0"/>
    <x v="7"/>
    <d v="2013-07-22T00:00:00"/>
    <n v="0"/>
    <x v="3"/>
    <s v="Jason Gross"/>
    <x v="1"/>
    <s v="United States"/>
    <s v="Newark"/>
    <s v="Ohio"/>
    <s v="East"/>
    <x v="1"/>
    <x v="6"/>
    <s v="Boston 16765 Mini Stand Up Battery Pencil Sharpener"/>
    <x v="3923"/>
    <n v="2"/>
    <n v="0.2"/>
    <n v="1.3992"/>
  </r>
  <r>
    <n v="5665"/>
    <x v="658"/>
    <x v="0"/>
    <x v="7"/>
    <d v="2013-07-22T00:00:00"/>
    <n v="0"/>
    <x v="3"/>
    <s v="Jason Gross"/>
    <x v="1"/>
    <s v="United States"/>
    <s v="Newark"/>
    <s v="Ohio"/>
    <s v="East"/>
    <x v="1"/>
    <x v="8"/>
    <s v="Wilson Jones 1&quot; Hanging DublLock Ring Binders"/>
    <x v="2186"/>
    <n v="7"/>
    <n v="0.7"/>
    <n v="-8.1311999999999998"/>
  </r>
  <r>
    <n v="5666"/>
    <x v="658"/>
    <x v="0"/>
    <x v="7"/>
    <d v="2013-07-22T00:00:00"/>
    <n v="0"/>
    <x v="3"/>
    <s v="Jason Gross"/>
    <x v="1"/>
    <s v="United States"/>
    <s v="Newark"/>
    <s v="Ohio"/>
    <s v="East"/>
    <x v="1"/>
    <x v="4"/>
    <s v="Safco Steel Mobile File Cart"/>
    <x v="3924"/>
    <n v="1"/>
    <n v="0.2"/>
    <n v="4.1680000000000001"/>
  </r>
  <r>
    <n v="5667"/>
    <x v="658"/>
    <x v="0"/>
    <x v="7"/>
    <d v="2013-07-22T00:00:00"/>
    <n v="0"/>
    <x v="3"/>
    <s v="Jason Gross"/>
    <x v="1"/>
    <s v="United States"/>
    <s v="Newark"/>
    <s v="Ohio"/>
    <s v="East"/>
    <x v="1"/>
    <x v="4"/>
    <s v="Fellowes Mobile File Cart, Black"/>
    <x v="3925"/>
    <n v="2"/>
    <n v="0.2"/>
    <n v="8.7051999999999996"/>
  </r>
  <r>
    <n v="5668"/>
    <x v="725"/>
    <x v="0"/>
    <x v="1"/>
    <d v="2013-06-16T00:00:00"/>
    <n v="4"/>
    <x v="1"/>
    <s v="Sanjit Engle"/>
    <x v="0"/>
    <s v="United States"/>
    <s v="Seattle"/>
    <s v="Washington"/>
    <s v="West"/>
    <x v="1"/>
    <x v="2"/>
    <s v="Avery 486"/>
    <x v="2"/>
    <n v="2"/>
    <n v="0"/>
    <n v="6.8714000000000004"/>
  </r>
  <r>
    <n v="5669"/>
    <x v="725"/>
    <x v="0"/>
    <x v="1"/>
    <d v="2013-06-16T00:00:00"/>
    <n v="4"/>
    <x v="1"/>
    <s v="Sanjit Engle"/>
    <x v="0"/>
    <s v="United States"/>
    <s v="Seattle"/>
    <s v="Washington"/>
    <s v="West"/>
    <x v="1"/>
    <x v="8"/>
    <s v="Wilson Jones Turn Tabs Binder Tool for Ring Binders"/>
    <x v="3926"/>
    <n v="14"/>
    <n v="0.2"/>
    <n v="17.544799999999999"/>
  </r>
  <r>
    <n v="5670"/>
    <x v="725"/>
    <x v="0"/>
    <x v="1"/>
    <d v="2013-06-16T00:00:00"/>
    <n v="4"/>
    <x v="1"/>
    <s v="Sanjit Engle"/>
    <x v="0"/>
    <s v="United States"/>
    <s v="Seattle"/>
    <s v="Washington"/>
    <s v="West"/>
    <x v="2"/>
    <x v="11"/>
    <s v="Logitech G35 7.1-Channel Surround Sound Headset"/>
    <x v="1917"/>
    <n v="3"/>
    <n v="0"/>
    <n v="132.5898"/>
  </r>
  <r>
    <n v="5671"/>
    <x v="988"/>
    <x v="1"/>
    <x v="1"/>
    <d v="2012-06-11T00:00:00"/>
    <n v="2"/>
    <x v="0"/>
    <s v="Trudy Glocke"/>
    <x v="0"/>
    <s v="United States"/>
    <s v="Pocatello"/>
    <s v="Idaho"/>
    <s v="West"/>
    <x v="0"/>
    <x v="5"/>
    <s v="Luxo Adjustable Task Clamp Lamp"/>
    <x v="3927"/>
    <n v="4"/>
    <n v="0"/>
    <n v="92.393600000000006"/>
  </r>
  <r>
    <n v="5672"/>
    <x v="988"/>
    <x v="1"/>
    <x v="1"/>
    <d v="2012-06-11T00:00:00"/>
    <n v="2"/>
    <x v="0"/>
    <s v="Trudy Glocke"/>
    <x v="0"/>
    <s v="United States"/>
    <s v="Pocatello"/>
    <s v="Idaho"/>
    <s v="West"/>
    <x v="2"/>
    <x v="7"/>
    <s v="Dexim XPower Skin Super-Thin Power Case for iPhone 5 - Black"/>
    <x v="3928"/>
    <n v="3"/>
    <n v="0.2"/>
    <n v="8.7735000000000003"/>
  </r>
  <r>
    <n v="5673"/>
    <x v="855"/>
    <x v="3"/>
    <x v="2"/>
    <d v="2014-11-04T00:00:00"/>
    <n v="7"/>
    <x v="1"/>
    <s v="Sally Hughsby"/>
    <x v="1"/>
    <s v="United States"/>
    <s v="Dallas"/>
    <s v="Texas"/>
    <s v="Central"/>
    <x v="1"/>
    <x v="12"/>
    <s v="#6 3/4 Gummed Flap White Envelopes"/>
    <x v="3329"/>
    <n v="2"/>
    <n v="0.2"/>
    <n v="5.5439999999999996"/>
  </r>
  <r>
    <n v="5674"/>
    <x v="855"/>
    <x v="3"/>
    <x v="2"/>
    <d v="2014-11-04T00:00:00"/>
    <n v="7"/>
    <x v="1"/>
    <s v="Sally Hughsby"/>
    <x v="1"/>
    <s v="United States"/>
    <s v="Dallas"/>
    <s v="Texas"/>
    <s v="Central"/>
    <x v="1"/>
    <x v="10"/>
    <s v="Xerox 1972"/>
    <x v="578"/>
    <n v="2"/>
    <n v="0.2"/>
    <n v="2.64"/>
  </r>
  <r>
    <n v="5675"/>
    <x v="115"/>
    <x v="0"/>
    <x v="9"/>
    <d v="2013-01-27T00:00:00"/>
    <n v="5"/>
    <x v="1"/>
    <s v="Marc Crier"/>
    <x v="0"/>
    <s v="United States"/>
    <s v="Seattle"/>
    <s v="Washington"/>
    <s v="West"/>
    <x v="1"/>
    <x v="10"/>
    <s v="Xerox 218"/>
    <x v="91"/>
    <n v="2"/>
    <n v="0"/>
    <n v="6.2207999999999997"/>
  </r>
  <r>
    <n v="5676"/>
    <x v="1061"/>
    <x v="2"/>
    <x v="5"/>
    <d v="2011-06-02T00:00:00"/>
    <n v="5"/>
    <x v="1"/>
    <s v="Patrick Jones"/>
    <x v="1"/>
    <s v="United States"/>
    <s v="Seattle"/>
    <s v="Washington"/>
    <s v="West"/>
    <x v="2"/>
    <x v="7"/>
    <s v="I Need's 3d Hello Kitty Hybrid Silicone Case Cover for HTC One X 4g with 3d Hello Kitty Stylus Pen Green/pink"/>
    <x v="3929"/>
    <n v="6"/>
    <n v="0.2"/>
    <n v="5.7408000000000001"/>
  </r>
  <r>
    <n v="5677"/>
    <x v="1061"/>
    <x v="2"/>
    <x v="5"/>
    <d v="2011-06-02T00:00:00"/>
    <n v="5"/>
    <x v="1"/>
    <s v="Patrick Jones"/>
    <x v="1"/>
    <s v="United States"/>
    <s v="Seattle"/>
    <s v="Washington"/>
    <s v="West"/>
    <x v="2"/>
    <x v="11"/>
    <s v="Imation 30456 USB Flash Drive 8GB"/>
    <x v="3930"/>
    <n v="4"/>
    <n v="0"/>
    <n v="2.2080000000000002"/>
  </r>
  <r>
    <n v="5678"/>
    <x v="282"/>
    <x v="2"/>
    <x v="4"/>
    <d v="2012-01-05T00:00:00"/>
    <n v="7"/>
    <x v="1"/>
    <s v="Zuschuss Carroll"/>
    <x v="0"/>
    <s v="United States"/>
    <s v="Chicago"/>
    <s v="Illinois"/>
    <s v="Central"/>
    <x v="0"/>
    <x v="5"/>
    <s v="Tenex Chairmats For Use with Hard Floors"/>
    <x v="2316"/>
    <n v="3"/>
    <n v="0.6"/>
    <n v="-50.668799999999997"/>
  </r>
  <r>
    <n v="5679"/>
    <x v="1062"/>
    <x v="0"/>
    <x v="7"/>
    <d v="2013-08-04T00:00:00"/>
    <n v="6"/>
    <x v="1"/>
    <s v="Steve Carroll"/>
    <x v="2"/>
    <s v="United States"/>
    <s v="Holland"/>
    <s v="Michigan"/>
    <s v="Central"/>
    <x v="1"/>
    <x v="13"/>
    <s v="Staples"/>
    <x v="3931"/>
    <n v="7"/>
    <n v="0"/>
    <n v="9.1980000000000004"/>
  </r>
  <r>
    <n v="5680"/>
    <x v="1062"/>
    <x v="0"/>
    <x v="7"/>
    <d v="2013-08-04T00:00:00"/>
    <n v="6"/>
    <x v="1"/>
    <s v="Steve Carroll"/>
    <x v="2"/>
    <s v="United States"/>
    <s v="Holland"/>
    <s v="Michigan"/>
    <s v="Central"/>
    <x v="1"/>
    <x v="10"/>
    <s v="Xerox 1889"/>
    <x v="1427"/>
    <n v="2"/>
    <n v="0"/>
    <n v="53.860799999999998"/>
  </r>
  <r>
    <n v="5681"/>
    <x v="446"/>
    <x v="0"/>
    <x v="8"/>
    <d v="2013-10-01T00:00:00"/>
    <n v="6"/>
    <x v="1"/>
    <s v="Benjamin Patterson"/>
    <x v="0"/>
    <s v="United States"/>
    <s v="Broken Arrow"/>
    <s v="Oklahoma"/>
    <s v="Central"/>
    <x v="1"/>
    <x v="8"/>
    <s v="Avery Heavy-Duty EZD View Binder with Locking Rings"/>
    <x v="3932"/>
    <n v="1"/>
    <n v="0"/>
    <n v="2.9348000000000001"/>
  </r>
  <r>
    <n v="5682"/>
    <x v="446"/>
    <x v="0"/>
    <x v="8"/>
    <d v="2013-10-01T00:00:00"/>
    <n v="6"/>
    <x v="1"/>
    <s v="Benjamin Patterson"/>
    <x v="0"/>
    <s v="United States"/>
    <s v="Broken Arrow"/>
    <s v="Oklahoma"/>
    <s v="Central"/>
    <x v="1"/>
    <x v="10"/>
    <s v="Xerox 232"/>
    <x v="90"/>
    <n v="1"/>
    <n v="0"/>
    <n v="3.1103999999999998"/>
  </r>
  <r>
    <n v="5683"/>
    <x v="1063"/>
    <x v="2"/>
    <x v="3"/>
    <d v="2011-04-08T00:00:00"/>
    <n v="6"/>
    <x v="1"/>
    <s v="Rob Dowd"/>
    <x v="0"/>
    <s v="United States"/>
    <s v="Athens"/>
    <s v="Georgia"/>
    <s v="South"/>
    <x v="1"/>
    <x v="10"/>
    <s v="Xerox 1990"/>
    <x v="3329"/>
    <n v="3"/>
    <n v="0"/>
    <n v="7.1280000000000001"/>
  </r>
  <r>
    <n v="5684"/>
    <x v="1063"/>
    <x v="2"/>
    <x v="3"/>
    <d v="2011-04-08T00:00:00"/>
    <n v="6"/>
    <x v="1"/>
    <s v="Rob Dowd"/>
    <x v="0"/>
    <s v="United States"/>
    <s v="Athens"/>
    <s v="Georgia"/>
    <s v="South"/>
    <x v="2"/>
    <x v="7"/>
    <s v="Motorola Droid Maxx"/>
    <x v="3933"/>
    <n v="7"/>
    <n v="0"/>
    <n v="293.98039999999997"/>
  </r>
  <r>
    <n v="5685"/>
    <x v="1063"/>
    <x v="2"/>
    <x v="3"/>
    <d v="2011-04-08T00:00:00"/>
    <n v="6"/>
    <x v="1"/>
    <s v="Rob Dowd"/>
    <x v="0"/>
    <s v="United States"/>
    <s v="Athens"/>
    <s v="Georgia"/>
    <s v="South"/>
    <x v="1"/>
    <x v="9"/>
    <s v="Euro-Pro Shark Turbo Vacuum"/>
    <x v="894"/>
    <n v="5"/>
    <n v="0"/>
    <n v="40.274000000000001"/>
  </r>
  <r>
    <n v="5686"/>
    <x v="599"/>
    <x v="1"/>
    <x v="0"/>
    <d v="2012-11-05T00:00:00"/>
    <n v="0"/>
    <x v="3"/>
    <s v="Ken Lonsdale"/>
    <x v="0"/>
    <s v="United States"/>
    <s v="Seattle"/>
    <s v="Washington"/>
    <s v="West"/>
    <x v="1"/>
    <x v="8"/>
    <s v="Avery Trapezoid Ring Binder, 3&quot; Capacity, Black, 1040 sheets"/>
    <x v="2031"/>
    <n v="3"/>
    <n v="0.2"/>
    <n v="35.6526"/>
  </r>
  <r>
    <n v="5687"/>
    <x v="1064"/>
    <x v="2"/>
    <x v="7"/>
    <d v="2011-07-28T00:00:00"/>
    <n v="0"/>
    <x v="3"/>
    <s v="Chloris Kastensmidt"/>
    <x v="0"/>
    <s v="United States"/>
    <s v="Apopka"/>
    <s v="Florida"/>
    <s v="South"/>
    <x v="1"/>
    <x v="13"/>
    <s v="OIC Colored Binder Clips, Assorted Sizes"/>
    <x v="3934"/>
    <n v="5"/>
    <n v="0.2"/>
    <n v="5.1909999999999998"/>
  </r>
  <r>
    <n v="5688"/>
    <x v="1064"/>
    <x v="2"/>
    <x v="7"/>
    <d v="2011-07-28T00:00:00"/>
    <n v="0"/>
    <x v="3"/>
    <s v="Chloris Kastensmidt"/>
    <x v="0"/>
    <s v="United States"/>
    <s v="Apopka"/>
    <s v="Florida"/>
    <s v="South"/>
    <x v="0"/>
    <x v="5"/>
    <s v="DataProducts Ampli Magnifier Task Lamp, Black,"/>
    <x v="3935"/>
    <n v="6"/>
    <n v="0.2"/>
    <n v="12.988799999999999"/>
  </r>
  <r>
    <n v="5689"/>
    <x v="1064"/>
    <x v="2"/>
    <x v="7"/>
    <d v="2011-07-28T00:00:00"/>
    <n v="0"/>
    <x v="3"/>
    <s v="Chloris Kastensmidt"/>
    <x v="0"/>
    <s v="United States"/>
    <s v="Apopka"/>
    <s v="Florida"/>
    <s v="South"/>
    <x v="1"/>
    <x v="12"/>
    <s v="#10- 4 1/8&quot; x 9 1/2&quot; Recycled Envelopes"/>
    <x v="3936"/>
    <n v="7"/>
    <n v="0.2"/>
    <n v="16.518599999999999"/>
  </r>
  <r>
    <n v="5690"/>
    <x v="207"/>
    <x v="1"/>
    <x v="4"/>
    <d v="2012-12-31T00:00:00"/>
    <n v="5"/>
    <x v="1"/>
    <s v="Roger Barcio"/>
    <x v="2"/>
    <s v="United States"/>
    <s v="Houston"/>
    <s v="Texas"/>
    <s v="Central"/>
    <x v="0"/>
    <x v="1"/>
    <s v="Office Star - Contemporary Task Swivel chair with 2-way adjustable arms, Plum"/>
    <x v="3937"/>
    <n v="3"/>
    <n v="0.3"/>
    <n v="-90.376199999999997"/>
  </r>
  <r>
    <n v="5691"/>
    <x v="895"/>
    <x v="1"/>
    <x v="4"/>
    <d v="2012-12-16T00:00:00"/>
    <n v="6"/>
    <x v="1"/>
    <s v="Kalyca Meade"/>
    <x v="1"/>
    <s v="United States"/>
    <s v="Baltimore"/>
    <s v="Maryland"/>
    <s v="East"/>
    <x v="1"/>
    <x v="6"/>
    <s v="Manco Dry-Lighter Erasable Highlighter"/>
    <x v="3251"/>
    <n v="9"/>
    <n v="0"/>
    <n v="9.3024000000000004"/>
  </r>
  <r>
    <n v="5692"/>
    <x v="895"/>
    <x v="1"/>
    <x v="4"/>
    <d v="2012-12-16T00:00:00"/>
    <n v="6"/>
    <x v="1"/>
    <s v="Kalyca Meade"/>
    <x v="1"/>
    <s v="United States"/>
    <s v="Baltimore"/>
    <s v="Maryland"/>
    <s v="East"/>
    <x v="1"/>
    <x v="10"/>
    <s v="Recycled Desk Saver Line &quot;While You Were Out&quot; Book, 5 1/2&quot; X 4&quot;"/>
    <x v="908"/>
    <n v="5"/>
    <n v="0"/>
    <n v="20.585000000000001"/>
  </r>
  <r>
    <n v="5693"/>
    <x v="895"/>
    <x v="1"/>
    <x v="4"/>
    <d v="2012-12-16T00:00:00"/>
    <n v="6"/>
    <x v="1"/>
    <s v="Kalyca Meade"/>
    <x v="1"/>
    <s v="United States"/>
    <s v="Baltimore"/>
    <s v="Maryland"/>
    <s v="East"/>
    <x v="2"/>
    <x v="7"/>
    <s v="Cisco 8x8 Inc. 6753i IP Business Phone System"/>
    <x v="3938"/>
    <n v="1"/>
    <n v="0"/>
    <n v="36.447299999999998"/>
  </r>
  <r>
    <n v="5694"/>
    <x v="895"/>
    <x v="1"/>
    <x v="4"/>
    <d v="2012-12-16T00:00:00"/>
    <n v="6"/>
    <x v="1"/>
    <s v="Kalyca Meade"/>
    <x v="1"/>
    <s v="United States"/>
    <s v="Baltimore"/>
    <s v="Maryland"/>
    <s v="East"/>
    <x v="1"/>
    <x v="10"/>
    <s v="Astroparche Fine Business Paper"/>
    <x v="1579"/>
    <n v="5"/>
    <n v="0"/>
    <n v="12.672000000000001"/>
  </r>
  <r>
    <n v="5695"/>
    <x v="895"/>
    <x v="1"/>
    <x v="4"/>
    <d v="2012-12-16T00:00:00"/>
    <n v="6"/>
    <x v="1"/>
    <s v="Kalyca Meade"/>
    <x v="1"/>
    <s v="United States"/>
    <s v="Baltimore"/>
    <s v="Maryland"/>
    <s v="East"/>
    <x v="0"/>
    <x v="1"/>
    <s v="Global Ergonomic Managers Chair"/>
    <x v="3036"/>
    <n v="3"/>
    <n v="0"/>
    <n v="141.1644"/>
  </r>
  <r>
    <n v="5696"/>
    <x v="465"/>
    <x v="0"/>
    <x v="5"/>
    <d v="2013-05-08T00:00:00"/>
    <n v="2"/>
    <x v="0"/>
    <s v="Amy Hunt"/>
    <x v="0"/>
    <s v="United States"/>
    <s v="San Francisco"/>
    <s v="California"/>
    <s v="West"/>
    <x v="0"/>
    <x v="3"/>
    <s v="Hon 61000 Series Interactive Training Tables"/>
    <x v="3939"/>
    <n v="2"/>
    <n v="0.2"/>
    <n v="-1.7771999999999999"/>
  </r>
  <r>
    <n v="5697"/>
    <x v="336"/>
    <x v="3"/>
    <x v="2"/>
    <d v="2014-10-19T00:00:00"/>
    <n v="4"/>
    <x v="1"/>
    <s v="Anthony Garverick"/>
    <x v="2"/>
    <s v="United States"/>
    <s v="Chicago"/>
    <s v="Illinois"/>
    <s v="Central"/>
    <x v="1"/>
    <x v="8"/>
    <s v="GBC Twin Loop Wire Binding Elements, 9/16&quot; Spine, Black"/>
    <x v="3940"/>
    <n v="9"/>
    <n v="0.8"/>
    <n v="-42.463799999999999"/>
  </r>
  <r>
    <n v="5698"/>
    <x v="336"/>
    <x v="3"/>
    <x v="2"/>
    <d v="2014-10-19T00:00:00"/>
    <n v="4"/>
    <x v="1"/>
    <s v="Anthony Garverick"/>
    <x v="2"/>
    <s v="United States"/>
    <s v="Chicago"/>
    <s v="Illinois"/>
    <s v="Central"/>
    <x v="1"/>
    <x v="8"/>
    <s v="Catalog Binders with Expanding Posts"/>
    <x v="3941"/>
    <n v="1"/>
    <n v="0.8"/>
    <n v="-23.547999999999998"/>
  </r>
  <r>
    <n v="5699"/>
    <x v="732"/>
    <x v="0"/>
    <x v="0"/>
    <d v="2013-11-06T00:00:00"/>
    <n v="0"/>
    <x v="3"/>
    <s v="Evan Bailliet"/>
    <x v="0"/>
    <s v="United States"/>
    <s v="Laredo"/>
    <s v="Texas"/>
    <s v="Central"/>
    <x v="1"/>
    <x v="2"/>
    <s v="Avery 490"/>
    <x v="1559"/>
    <n v="1"/>
    <n v="0.2"/>
    <n v="4.4400000000000004"/>
  </r>
  <r>
    <n v="5700"/>
    <x v="132"/>
    <x v="3"/>
    <x v="0"/>
    <d v="2014-11-09T00:00:00"/>
    <n v="5"/>
    <x v="1"/>
    <s v="Paul Gonzalez"/>
    <x v="0"/>
    <s v="United States"/>
    <s v="San Francisco"/>
    <s v="California"/>
    <s v="West"/>
    <x v="1"/>
    <x v="10"/>
    <s v="Xerox 1992"/>
    <x v="1197"/>
    <n v="6"/>
    <n v="0"/>
    <n v="17.581199999999999"/>
  </r>
  <r>
    <n v="5701"/>
    <x v="390"/>
    <x v="0"/>
    <x v="0"/>
    <d v="2013-11-27T00:00:00"/>
    <n v="2"/>
    <x v="2"/>
    <s v="Cathy Armstrong"/>
    <x v="2"/>
    <s v="United States"/>
    <s v="Cleveland"/>
    <s v="Ohio"/>
    <s v="East"/>
    <x v="1"/>
    <x v="12"/>
    <s v="Brown Kraft Recycled Envelopes"/>
    <x v="3942"/>
    <n v="3"/>
    <n v="0.2"/>
    <n v="15.282"/>
  </r>
  <r>
    <n v="5702"/>
    <x v="390"/>
    <x v="0"/>
    <x v="0"/>
    <d v="2013-11-27T00:00:00"/>
    <n v="2"/>
    <x v="2"/>
    <s v="Cathy Armstrong"/>
    <x v="2"/>
    <s v="United States"/>
    <s v="Cleveland"/>
    <s v="Ohio"/>
    <s v="East"/>
    <x v="2"/>
    <x v="11"/>
    <s v="V7 USB Numeric Keypad"/>
    <x v="3943"/>
    <n v="5"/>
    <n v="0.2"/>
    <n v="-22.743500000000001"/>
  </r>
  <r>
    <n v="5703"/>
    <x v="637"/>
    <x v="2"/>
    <x v="4"/>
    <d v="2011-12-21T00:00:00"/>
    <n v="7"/>
    <x v="1"/>
    <s v="Sung Shariari"/>
    <x v="0"/>
    <s v="United States"/>
    <s v="Marion"/>
    <s v="Ohio"/>
    <s v="East"/>
    <x v="1"/>
    <x v="6"/>
    <s v="Newell 35"/>
    <x v="367"/>
    <n v="1"/>
    <n v="0.2"/>
    <n v="0.29520000000000002"/>
  </r>
  <r>
    <n v="5704"/>
    <x v="637"/>
    <x v="2"/>
    <x v="4"/>
    <d v="2011-12-21T00:00:00"/>
    <n v="7"/>
    <x v="1"/>
    <s v="Sung Shariari"/>
    <x v="0"/>
    <s v="United States"/>
    <s v="Marion"/>
    <s v="Ohio"/>
    <s v="East"/>
    <x v="0"/>
    <x v="3"/>
    <s v="Hon Rectangular Conference Tables"/>
    <x v="3944"/>
    <n v="1"/>
    <n v="0.4"/>
    <n v="-52.336500000000001"/>
  </r>
  <r>
    <n v="5705"/>
    <x v="637"/>
    <x v="2"/>
    <x v="4"/>
    <d v="2011-12-21T00:00:00"/>
    <n v="7"/>
    <x v="1"/>
    <s v="Sung Shariari"/>
    <x v="0"/>
    <s v="United States"/>
    <s v="Marion"/>
    <s v="Ohio"/>
    <s v="East"/>
    <x v="2"/>
    <x v="11"/>
    <s v="Plantronics CS510 - Over-the-Head monaural Wireless Headset System"/>
    <x v="1259"/>
    <n v="1"/>
    <n v="0.2"/>
    <n v="42.893500000000003"/>
  </r>
  <r>
    <n v="5706"/>
    <x v="935"/>
    <x v="2"/>
    <x v="0"/>
    <d v="2011-11-08T00:00:00"/>
    <n v="5"/>
    <x v="1"/>
    <s v="Resi Pölking"/>
    <x v="0"/>
    <s v="United States"/>
    <s v="Fairfield"/>
    <s v="Connecticut"/>
    <s v="East"/>
    <x v="1"/>
    <x v="14"/>
    <s v="Acme Kleen Earth Office Shears"/>
    <x v="3945"/>
    <n v="3"/>
    <n v="0"/>
    <n v="3.3755999999999999"/>
  </r>
  <r>
    <n v="5707"/>
    <x v="585"/>
    <x v="3"/>
    <x v="8"/>
    <d v="2014-09-26T00:00:00"/>
    <n v="3"/>
    <x v="0"/>
    <s v="Shaun Chance"/>
    <x v="1"/>
    <s v="United States"/>
    <s v="New York City"/>
    <s v="New York"/>
    <s v="East"/>
    <x v="1"/>
    <x v="8"/>
    <s v="GBC Poly Designer Binding Covers"/>
    <x v="2943"/>
    <n v="3"/>
    <n v="0.2"/>
    <n v="14.563800000000001"/>
  </r>
  <r>
    <n v="5708"/>
    <x v="412"/>
    <x v="1"/>
    <x v="5"/>
    <d v="2012-05-15T00:00:00"/>
    <n v="7"/>
    <x v="1"/>
    <s v="Natalie Webber"/>
    <x v="0"/>
    <s v="United States"/>
    <s v="New York City"/>
    <s v="New York"/>
    <s v="East"/>
    <x v="0"/>
    <x v="5"/>
    <s v="DAX Black Cherry Wood-Tone Poster Frame"/>
    <x v="3946"/>
    <n v="3"/>
    <n v="0"/>
    <n v="30.187200000000001"/>
  </r>
  <r>
    <n v="5709"/>
    <x v="412"/>
    <x v="1"/>
    <x v="5"/>
    <d v="2012-05-15T00:00:00"/>
    <n v="7"/>
    <x v="1"/>
    <s v="Natalie Webber"/>
    <x v="0"/>
    <s v="United States"/>
    <s v="New York City"/>
    <s v="New York"/>
    <s v="East"/>
    <x v="1"/>
    <x v="14"/>
    <s v="Compact Automatic Electric Letter Opener"/>
    <x v="3825"/>
    <n v="3"/>
    <n v="0"/>
    <n v="7.1585999999999999"/>
  </r>
  <r>
    <n v="5710"/>
    <x v="412"/>
    <x v="1"/>
    <x v="5"/>
    <d v="2012-05-15T00:00:00"/>
    <n v="7"/>
    <x v="1"/>
    <s v="Natalie Webber"/>
    <x v="0"/>
    <s v="United States"/>
    <s v="New York City"/>
    <s v="New York"/>
    <s v="East"/>
    <x v="0"/>
    <x v="1"/>
    <s v="Situations Contoured Folding Chairs, 4/Set"/>
    <x v="3947"/>
    <n v="2"/>
    <n v="0.1"/>
    <n v="21.294"/>
  </r>
  <r>
    <n v="5711"/>
    <x v="412"/>
    <x v="1"/>
    <x v="5"/>
    <d v="2012-05-15T00:00:00"/>
    <n v="7"/>
    <x v="1"/>
    <s v="Natalie Webber"/>
    <x v="0"/>
    <s v="United States"/>
    <s v="New York City"/>
    <s v="New York"/>
    <s v="East"/>
    <x v="2"/>
    <x v="16"/>
    <s v="Sharp AL-1530CS Digital Copier"/>
    <x v="3948"/>
    <n v="7"/>
    <n v="0.2"/>
    <n v="1014.9797"/>
  </r>
  <r>
    <n v="5712"/>
    <x v="412"/>
    <x v="1"/>
    <x v="5"/>
    <d v="2012-05-15T00:00:00"/>
    <n v="7"/>
    <x v="1"/>
    <s v="Natalie Webber"/>
    <x v="0"/>
    <s v="United States"/>
    <s v="New York City"/>
    <s v="New York"/>
    <s v="East"/>
    <x v="1"/>
    <x v="10"/>
    <s v="Xerox 204"/>
    <x v="537"/>
    <n v="3"/>
    <n v="0"/>
    <n v="9.3312000000000008"/>
  </r>
  <r>
    <n v="5713"/>
    <x v="689"/>
    <x v="3"/>
    <x v="6"/>
    <d v="2014-08-01T00:00:00"/>
    <n v="0"/>
    <x v="3"/>
    <s v="Katrina Willman"/>
    <x v="0"/>
    <s v="United States"/>
    <s v="Chicago"/>
    <s v="Illinois"/>
    <s v="Central"/>
    <x v="2"/>
    <x v="7"/>
    <s v="Motorola L804"/>
    <x v="2163"/>
    <n v="1"/>
    <n v="0.2"/>
    <n v="4.1391"/>
  </r>
  <r>
    <n v="5714"/>
    <x v="72"/>
    <x v="2"/>
    <x v="10"/>
    <d v="2011-03-05T00:00:00"/>
    <n v="4"/>
    <x v="1"/>
    <s v="Hallie Redmond"/>
    <x v="2"/>
    <s v="United States"/>
    <s v="New York City"/>
    <s v="New York"/>
    <s v="East"/>
    <x v="2"/>
    <x v="7"/>
    <s v="Sannysis Cute Owl Design Soft Skin Case Cover for Samsung Galaxy S4"/>
    <x v="3949"/>
    <n v="3"/>
    <n v="0"/>
    <n v="1.6037999999999999"/>
  </r>
  <r>
    <n v="5715"/>
    <x v="145"/>
    <x v="3"/>
    <x v="8"/>
    <d v="2014-09-30T00:00:00"/>
    <n v="4"/>
    <x v="1"/>
    <s v="Arthur Gainer"/>
    <x v="0"/>
    <s v="United States"/>
    <s v="Richmond"/>
    <s v="Virginia"/>
    <s v="South"/>
    <x v="1"/>
    <x v="4"/>
    <s v="Steel Personal Filing/Posting Tote"/>
    <x v="3950"/>
    <n v="5"/>
    <n v="0"/>
    <n v="47.938499999999998"/>
  </r>
  <r>
    <n v="5716"/>
    <x v="330"/>
    <x v="1"/>
    <x v="2"/>
    <d v="2012-10-12T00:00:00"/>
    <n v="3"/>
    <x v="0"/>
    <s v="Brian Moss"/>
    <x v="1"/>
    <s v="United States"/>
    <s v="Ann Arbor"/>
    <s v="Michigan"/>
    <s v="Central"/>
    <x v="2"/>
    <x v="11"/>
    <s v="Logitech G19 Programmable Gaming Keyboard"/>
    <x v="1000"/>
    <n v="5"/>
    <n v="0"/>
    <n v="111.59099999999999"/>
  </r>
  <r>
    <n v="5717"/>
    <x v="330"/>
    <x v="1"/>
    <x v="2"/>
    <d v="2012-10-12T00:00:00"/>
    <n v="3"/>
    <x v="0"/>
    <s v="Brian Moss"/>
    <x v="1"/>
    <s v="United States"/>
    <s v="Ann Arbor"/>
    <s v="Michigan"/>
    <s v="Central"/>
    <x v="2"/>
    <x v="7"/>
    <s v="KLD Oscar II Style Snap-on Ultra Thin Side Flip Synthetic Leather Cover Case for HTC One HTC M7"/>
    <x v="2421"/>
    <n v="3"/>
    <n v="0"/>
    <n v="8.4564000000000004"/>
  </r>
  <r>
    <n v="5718"/>
    <x v="330"/>
    <x v="1"/>
    <x v="2"/>
    <d v="2012-10-12T00:00:00"/>
    <n v="3"/>
    <x v="0"/>
    <s v="Brian Moss"/>
    <x v="1"/>
    <s v="United States"/>
    <s v="Ann Arbor"/>
    <s v="Michigan"/>
    <s v="Central"/>
    <x v="1"/>
    <x v="12"/>
    <s v="Staples"/>
    <x v="3951"/>
    <n v="7"/>
    <n v="0"/>
    <n v="27.241199999999999"/>
  </r>
  <r>
    <n v="5719"/>
    <x v="330"/>
    <x v="1"/>
    <x v="2"/>
    <d v="2012-10-12T00:00:00"/>
    <n v="3"/>
    <x v="0"/>
    <s v="Brian Moss"/>
    <x v="1"/>
    <s v="United States"/>
    <s v="Ann Arbor"/>
    <s v="Michigan"/>
    <s v="Central"/>
    <x v="1"/>
    <x v="9"/>
    <s v="Belkin 6 Outlet Metallic Surge Strip"/>
    <x v="3952"/>
    <n v="3"/>
    <n v="0.1"/>
    <n v="5.2271999999999998"/>
  </r>
  <r>
    <n v="5720"/>
    <x v="1065"/>
    <x v="3"/>
    <x v="10"/>
    <d v="2014-04-03T00:00:00"/>
    <n v="4"/>
    <x v="0"/>
    <s v="Roger Demir"/>
    <x v="0"/>
    <s v="United States"/>
    <s v="Lafayette"/>
    <s v="Indiana"/>
    <s v="Central"/>
    <x v="1"/>
    <x v="4"/>
    <s v="Adjustable Personal File Tote"/>
    <x v="3953"/>
    <n v="5"/>
    <n v="0"/>
    <n v="21.164000000000001"/>
  </r>
  <r>
    <n v="5721"/>
    <x v="717"/>
    <x v="1"/>
    <x v="0"/>
    <d v="2012-11-17T00:00:00"/>
    <n v="3"/>
    <x v="2"/>
    <s v="Ken Black"/>
    <x v="1"/>
    <s v="United States"/>
    <s v="Springfield"/>
    <s v="Oregon"/>
    <s v="West"/>
    <x v="1"/>
    <x v="13"/>
    <s v="Advantus Push Pins"/>
    <x v="521"/>
    <n v="5"/>
    <n v="0.2"/>
    <n v="2.2890000000000001"/>
  </r>
  <r>
    <n v="5722"/>
    <x v="717"/>
    <x v="1"/>
    <x v="0"/>
    <d v="2012-11-17T00:00:00"/>
    <n v="3"/>
    <x v="2"/>
    <s v="Ken Black"/>
    <x v="1"/>
    <s v="United States"/>
    <s v="Springfield"/>
    <s v="Oregon"/>
    <s v="West"/>
    <x v="2"/>
    <x v="11"/>
    <s v="Imation Secure Drive + Hardware Encrypted USB flash drive - 16 GB"/>
    <x v="3954"/>
    <n v="3"/>
    <n v="0.2"/>
    <n v="4.5587999999999997"/>
  </r>
  <r>
    <n v="5723"/>
    <x v="717"/>
    <x v="1"/>
    <x v="0"/>
    <d v="2012-11-17T00:00:00"/>
    <n v="3"/>
    <x v="2"/>
    <s v="Ken Black"/>
    <x v="1"/>
    <s v="United States"/>
    <s v="Springfield"/>
    <s v="Oregon"/>
    <s v="West"/>
    <x v="2"/>
    <x v="11"/>
    <s v="Plantronics Audio 478 Stereo USB Headset"/>
    <x v="3955"/>
    <n v="4"/>
    <n v="0.2"/>
    <n v="29.994"/>
  </r>
  <r>
    <n v="5724"/>
    <x v="182"/>
    <x v="0"/>
    <x v="8"/>
    <d v="2013-10-01T00:00:00"/>
    <n v="4"/>
    <x v="1"/>
    <s v="Dorothy Wardle"/>
    <x v="1"/>
    <s v="United States"/>
    <s v="San Francisco"/>
    <s v="California"/>
    <s v="West"/>
    <x v="1"/>
    <x v="10"/>
    <s v="Xerox 1905"/>
    <x v="91"/>
    <n v="2"/>
    <n v="0"/>
    <n v="6.2207999999999997"/>
  </r>
  <r>
    <n v="5725"/>
    <x v="358"/>
    <x v="2"/>
    <x v="8"/>
    <d v="2011-09-27T00:00:00"/>
    <n v="5"/>
    <x v="1"/>
    <s v="Vivek Grady"/>
    <x v="1"/>
    <s v="United States"/>
    <s v="Chicago"/>
    <s v="Illinois"/>
    <s v="Central"/>
    <x v="1"/>
    <x v="4"/>
    <s v="SAFCO Commercial Wire Shelving, Black"/>
    <x v="3956"/>
    <n v="3"/>
    <n v="0.2"/>
    <n v="-82.884"/>
  </r>
  <r>
    <n v="5726"/>
    <x v="12"/>
    <x v="1"/>
    <x v="8"/>
    <d v="2012-09-27T00:00:00"/>
    <n v="2"/>
    <x v="2"/>
    <s v="Dan Reichenbach"/>
    <x v="1"/>
    <s v="United States"/>
    <s v="New York City"/>
    <s v="New York"/>
    <s v="East"/>
    <x v="2"/>
    <x v="11"/>
    <s v="Razer Kraken 7.1 Surround Sound Over Ear USB Gaming Headset"/>
    <x v="435"/>
    <n v="9"/>
    <n v="0"/>
    <n v="395.96039999999999"/>
  </r>
  <r>
    <n v="5727"/>
    <x v="124"/>
    <x v="1"/>
    <x v="5"/>
    <d v="2012-05-08T00:00:00"/>
    <n v="4"/>
    <x v="1"/>
    <s v="Anna Häberlin"/>
    <x v="1"/>
    <s v="United States"/>
    <s v="Houston"/>
    <s v="Texas"/>
    <s v="Central"/>
    <x v="2"/>
    <x v="7"/>
    <s v="ShoreTel ShorePhone IP 230 VoIP phone"/>
    <x v="1251"/>
    <n v="7"/>
    <n v="0.2"/>
    <n v="118.29300000000001"/>
  </r>
  <r>
    <n v="5728"/>
    <x v="166"/>
    <x v="3"/>
    <x v="4"/>
    <d v="2014-12-14T00:00:00"/>
    <n v="5"/>
    <x v="1"/>
    <s v="Jeremy Pistek"/>
    <x v="0"/>
    <s v="United States"/>
    <s v="Madison"/>
    <s v="Wisconsin"/>
    <s v="Central"/>
    <x v="2"/>
    <x v="11"/>
    <s v="Logitech G105 Gaming Keyboard"/>
    <x v="3957"/>
    <n v="3"/>
    <n v="0"/>
    <n v="32.059800000000003"/>
  </r>
  <r>
    <n v="5729"/>
    <x v="166"/>
    <x v="3"/>
    <x v="4"/>
    <d v="2014-12-14T00:00:00"/>
    <n v="5"/>
    <x v="1"/>
    <s v="Jeremy Pistek"/>
    <x v="0"/>
    <s v="United States"/>
    <s v="Madison"/>
    <s v="Wisconsin"/>
    <s v="Central"/>
    <x v="1"/>
    <x v="9"/>
    <s v="Hoover WindTunnel Plus Canister Vacuum"/>
    <x v="1219"/>
    <n v="3"/>
    <n v="0"/>
    <n v="305.13"/>
  </r>
  <r>
    <n v="5730"/>
    <x v="166"/>
    <x v="3"/>
    <x v="4"/>
    <d v="2014-12-14T00:00:00"/>
    <n v="5"/>
    <x v="1"/>
    <s v="Jeremy Pistek"/>
    <x v="0"/>
    <s v="United States"/>
    <s v="Madison"/>
    <s v="Wisconsin"/>
    <s v="Central"/>
    <x v="1"/>
    <x v="2"/>
    <s v="Avery 4027 File Folder Labels for Dot Matrix Printers, 5000 Labels per Box, White"/>
    <x v="3447"/>
    <n v="2"/>
    <n v="0"/>
    <n v="28.087599999999998"/>
  </r>
  <r>
    <n v="5731"/>
    <x v="166"/>
    <x v="3"/>
    <x v="4"/>
    <d v="2014-12-14T00:00:00"/>
    <n v="5"/>
    <x v="1"/>
    <s v="Jeremy Pistek"/>
    <x v="0"/>
    <s v="United States"/>
    <s v="Madison"/>
    <s v="Wisconsin"/>
    <s v="Central"/>
    <x v="0"/>
    <x v="0"/>
    <s v="Sauder Camden County Collection Libraries, Planked Cherry Finish"/>
    <x v="3958"/>
    <n v="4"/>
    <n v="0"/>
    <n v="41.392800000000001"/>
  </r>
  <r>
    <n v="5732"/>
    <x v="166"/>
    <x v="3"/>
    <x v="4"/>
    <d v="2014-12-14T00:00:00"/>
    <n v="5"/>
    <x v="1"/>
    <s v="Jeremy Pistek"/>
    <x v="0"/>
    <s v="United States"/>
    <s v="Madison"/>
    <s v="Wisconsin"/>
    <s v="Central"/>
    <x v="1"/>
    <x v="10"/>
    <s v="Adams Phone Message Book, 200 Message Capacity, 8 1/16” x 11”"/>
    <x v="3959"/>
    <n v="4"/>
    <n v="0"/>
    <n v="12.6592"/>
  </r>
  <r>
    <n v="5733"/>
    <x v="222"/>
    <x v="3"/>
    <x v="1"/>
    <d v="2014-07-03T00:00:00"/>
    <n v="3"/>
    <x v="2"/>
    <s v="Dan Reichenbach"/>
    <x v="1"/>
    <s v="United States"/>
    <s v="Milford"/>
    <s v="Connecticut"/>
    <s v="East"/>
    <x v="0"/>
    <x v="0"/>
    <s v="Hon Metal Bookcases, Putty"/>
    <x v="3083"/>
    <n v="9"/>
    <n v="0"/>
    <n v="185.2578"/>
  </r>
  <r>
    <n v="5734"/>
    <x v="222"/>
    <x v="3"/>
    <x v="1"/>
    <d v="2014-07-03T00:00:00"/>
    <n v="3"/>
    <x v="2"/>
    <s v="Dan Reichenbach"/>
    <x v="1"/>
    <s v="United States"/>
    <s v="Milford"/>
    <s v="Connecticut"/>
    <s v="East"/>
    <x v="1"/>
    <x v="14"/>
    <s v="Acme Box Cutter Scissors"/>
    <x v="3960"/>
    <n v="3"/>
    <n v="0"/>
    <n v="7.9794"/>
  </r>
  <r>
    <n v="5735"/>
    <x v="222"/>
    <x v="3"/>
    <x v="1"/>
    <d v="2014-07-03T00:00:00"/>
    <n v="3"/>
    <x v="2"/>
    <s v="Dan Reichenbach"/>
    <x v="1"/>
    <s v="United States"/>
    <s v="Milford"/>
    <s v="Connecticut"/>
    <s v="East"/>
    <x v="0"/>
    <x v="5"/>
    <s v="DAX Executive Solid Wood Document Frame, Desktop or Hang, Mahogany, 5 x 7"/>
    <x v="2783"/>
    <n v="2"/>
    <n v="0"/>
    <n v="8.5543999999999993"/>
  </r>
  <r>
    <n v="5736"/>
    <x v="290"/>
    <x v="2"/>
    <x v="1"/>
    <d v="2011-07-03T00:00:00"/>
    <n v="4"/>
    <x v="1"/>
    <s v="Jim Karlsson"/>
    <x v="0"/>
    <s v="United States"/>
    <s v="New York City"/>
    <s v="New York"/>
    <s v="East"/>
    <x v="1"/>
    <x v="8"/>
    <s v="Wilson Jones Clip &amp; Carry Folder Binder Tool for Ring Binders, Clear"/>
    <x v="3961"/>
    <n v="3"/>
    <n v="0.2"/>
    <n v="4.8719999999999999"/>
  </r>
  <r>
    <n v="5737"/>
    <x v="407"/>
    <x v="2"/>
    <x v="9"/>
    <d v="2011-01-26T00:00:00"/>
    <n v="5"/>
    <x v="1"/>
    <s v="Mark Van Huff"/>
    <x v="0"/>
    <s v="United States"/>
    <s v="Los Angeles"/>
    <s v="California"/>
    <s v="West"/>
    <x v="1"/>
    <x v="10"/>
    <s v="Wirebound Service Call Books, 5 1/2&quot; x 4&quot;"/>
    <x v="2389"/>
    <n v="2"/>
    <n v="0"/>
    <n v="9.2927999999999997"/>
  </r>
  <r>
    <n v="5738"/>
    <x v="407"/>
    <x v="2"/>
    <x v="9"/>
    <d v="2011-01-26T00:00:00"/>
    <n v="5"/>
    <x v="1"/>
    <s v="Mark Van Huff"/>
    <x v="0"/>
    <s v="United States"/>
    <s v="Los Angeles"/>
    <s v="California"/>
    <s v="West"/>
    <x v="0"/>
    <x v="5"/>
    <s v="Eldon Expressions Desk Accessory, Wood Pencil Holder, Oak"/>
    <x v="78"/>
    <n v="2"/>
    <n v="0"/>
    <n v="5.79"/>
  </r>
  <r>
    <n v="5739"/>
    <x v="413"/>
    <x v="3"/>
    <x v="9"/>
    <d v="2014-01-07T00:00:00"/>
    <n v="6"/>
    <x v="1"/>
    <s v="Becky Pak"/>
    <x v="0"/>
    <s v="United States"/>
    <s v="San Francisco"/>
    <s v="California"/>
    <s v="West"/>
    <x v="1"/>
    <x v="8"/>
    <s v="GBC Pre-Punched Binding Paper, Plastic, White, 8-1/2&quot; x 11&quot;"/>
    <x v="3962"/>
    <n v="3"/>
    <n v="0.2"/>
    <n v="13.4316"/>
  </r>
  <r>
    <n v="5740"/>
    <x v="615"/>
    <x v="3"/>
    <x v="10"/>
    <d v="2014-04-01T00:00:00"/>
    <n v="3"/>
    <x v="2"/>
    <s v="Dave Hallsten"/>
    <x v="1"/>
    <s v="United States"/>
    <s v="Fairfield"/>
    <s v="California"/>
    <s v="West"/>
    <x v="1"/>
    <x v="10"/>
    <s v="Xerox 1975"/>
    <x v="91"/>
    <n v="2"/>
    <n v="0"/>
    <n v="6.3503999999999996"/>
  </r>
  <r>
    <n v="5741"/>
    <x v="615"/>
    <x v="3"/>
    <x v="10"/>
    <d v="2014-04-01T00:00:00"/>
    <n v="3"/>
    <x v="2"/>
    <s v="Dave Hallsten"/>
    <x v="1"/>
    <s v="United States"/>
    <s v="Fairfield"/>
    <s v="California"/>
    <s v="West"/>
    <x v="0"/>
    <x v="5"/>
    <s v="DAX Black Cherry Wood-Tone Poster Frame"/>
    <x v="3963"/>
    <n v="1"/>
    <n v="0"/>
    <n v="10.0624"/>
  </r>
  <r>
    <n v="5742"/>
    <x v="615"/>
    <x v="3"/>
    <x v="10"/>
    <d v="2014-04-01T00:00:00"/>
    <n v="3"/>
    <x v="2"/>
    <s v="Dave Hallsten"/>
    <x v="1"/>
    <s v="United States"/>
    <s v="Fairfield"/>
    <s v="California"/>
    <s v="West"/>
    <x v="2"/>
    <x v="15"/>
    <s v="StarTech.com 10/100 VDSL2 Ethernet Extender Kit"/>
    <x v="3964"/>
    <n v="2"/>
    <n v="0.2"/>
    <n v="53.271999999999998"/>
  </r>
  <r>
    <n v="5743"/>
    <x v="615"/>
    <x v="3"/>
    <x v="10"/>
    <d v="2014-04-01T00:00:00"/>
    <n v="3"/>
    <x v="2"/>
    <s v="Dave Hallsten"/>
    <x v="1"/>
    <s v="United States"/>
    <s v="Fairfield"/>
    <s v="California"/>
    <s v="West"/>
    <x v="1"/>
    <x v="10"/>
    <s v="Xerox 1968"/>
    <x v="2979"/>
    <n v="4"/>
    <n v="0"/>
    <n v="12.8256"/>
  </r>
  <r>
    <n v="5744"/>
    <x v="615"/>
    <x v="3"/>
    <x v="10"/>
    <d v="2014-04-01T00:00:00"/>
    <n v="3"/>
    <x v="2"/>
    <s v="Dave Hallsten"/>
    <x v="1"/>
    <s v="United States"/>
    <s v="Fairfield"/>
    <s v="California"/>
    <s v="West"/>
    <x v="1"/>
    <x v="10"/>
    <s v="Xerox 1977"/>
    <x v="130"/>
    <n v="3"/>
    <n v="0"/>
    <n v="9.6191999999999993"/>
  </r>
  <r>
    <n v="5745"/>
    <x v="615"/>
    <x v="3"/>
    <x v="10"/>
    <d v="2014-04-01T00:00:00"/>
    <n v="3"/>
    <x v="2"/>
    <s v="Dave Hallsten"/>
    <x v="1"/>
    <s v="United States"/>
    <s v="Fairfield"/>
    <s v="California"/>
    <s v="West"/>
    <x v="1"/>
    <x v="4"/>
    <s v="SAFCO Boltless Steel Shelving"/>
    <x v="3965"/>
    <n v="7"/>
    <n v="0"/>
    <n v="7.9547999999999996"/>
  </r>
  <r>
    <n v="5746"/>
    <x v="615"/>
    <x v="3"/>
    <x v="10"/>
    <d v="2014-04-01T00:00:00"/>
    <n v="3"/>
    <x v="2"/>
    <s v="Dave Hallsten"/>
    <x v="1"/>
    <s v="United States"/>
    <s v="Fairfield"/>
    <s v="California"/>
    <s v="West"/>
    <x v="0"/>
    <x v="5"/>
    <s v="Stackable Trays"/>
    <x v="742"/>
    <n v="7"/>
    <n v="0"/>
    <n v="6.8992000000000004"/>
  </r>
  <r>
    <n v="5747"/>
    <x v="16"/>
    <x v="0"/>
    <x v="4"/>
    <d v="2013-12-13T00:00:00"/>
    <n v="4"/>
    <x v="1"/>
    <s v="Lena Hernandez"/>
    <x v="0"/>
    <s v="United States"/>
    <s v="Greenville"/>
    <s v="North Carolina"/>
    <s v="South"/>
    <x v="2"/>
    <x v="7"/>
    <s v="Cisco SPA301"/>
    <x v="2475"/>
    <n v="2"/>
    <n v="0.2"/>
    <n v="31.198"/>
  </r>
  <r>
    <n v="5748"/>
    <x v="16"/>
    <x v="0"/>
    <x v="4"/>
    <d v="2013-12-13T00:00:00"/>
    <n v="4"/>
    <x v="1"/>
    <s v="Lena Hernandez"/>
    <x v="0"/>
    <s v="United States"/>
    <s v="Greenville"/>
    <s v="North Carolina"/>
    <s v="South"/>
    <x v="2"/>
    <x v="11"/>
    <s v="Maxell 4.7GB DVD-R"/>
    <x v="3065"/>
    <n v="3"/>
    <n v="0.2"/>
    <n v="17.8794"/>
  </r>
  <r>
    <n v="5749"/>
    <x v="16"/>
    <x v="0"/>
    <x v="4"/>
    <d v="2013-12-13T00:00:00"/>
    <n v="4"/>
    <x v="1"/>
    <s v="Lena Hernandez"/>
    <x v="0"/>
    <s v="United States"/>
    <s v="Greenville"/>
    <s v="North Carolina"/>
    <s v="South"/>
    <x v="2"/>
    <x v="11"/>
    <s v="Imation 30456 USB Flash Drive 8GB"/>
    <x v="3319"/>
    <n v="3"/>
    <n v="0.2"/>
    <n v="-2.484"/>
  </r>
  <r>
    <n v="5750"/>
    <x v="551"/>
    <x v="3"/>
    <x v="0"/>
    <d v="2014-11-23T00:00:00"/>
    <n v="4"/>
    <x v="1"/>
    <s v="Dave Kipp"/>
    <x v="0"/>
    <s v="United States"/>
    <s v="Long Beach"/>
    <s v="New York"/>
    <s v="East"/>
    <x v="2"/>
    <x v="7"/>
    <s v="Belkin SportFit Armband For iPhone 5s/5c, Fuchsia"/>
    <x v="3966"/>
    <n v="5"/>
    <n v="0"/>
    <n v="36.725499999999997"/>
  </r>
  <r>
    <n v="5751"/>
    <x v="992"/>
    <x v="2"/>
    <x v="5"/>
    <d v="2011-06-05T00:00:00"/>
    <n v="6"/>
    <x v="1"/>
    <s v="Shahid Shariari"/>
    <x v="0"/>
    <s v="United States"/>
    <s v="Buffalo Grove"/>
    <s v="Illinois"/>
    <s v="Central"/>
    <x v="0"/>
    <x v="3"/>
    <s v="Chromcraft Rectangular Conference Tables"/>
    <x v="3967"/>
    <n v="3"/>
    <n v="0.5"/>
    <n v="-184.8366"/>
  </r>
  <r>
    <n v="5752"/>
    <x v="115"/>
    <x v="0"/>
    <x v="9"/>
    <d v="2013-01-28T00:00:00"/>
    <n v="6"/>
    <x v="1"/>
    <s v="Frank Preis"/>
    <x v="0"/>
    <s v="United States"/>
    <s v="San Diego"/>
    <s v="California"/>
    <s v="West"/>
    <x v="1"/>
    <x v="2"/>
    <s v="Avery 475"/>
    <x v="1821"/>
    <n v="3"/>
    <n v="0"/>
    <n v="22.2"/>
  </r>
  <r>
    <n v="5753"/>
    <x v="115"/>
    <x v="0"/>
    <x v="9"/>
    <d v="2013-01-28T00:00:00"/>
    <n v="6"/>
    <x v="1"/>
    <s v="Frank Preis"/>
    <x v="0"/>
    <s v="United States"/>
    <s v="San Diego"/>
    <s v="California"/>
    <s v="West"/>
    <x v="1"/>
    <x v="2"/>
    <s v="Avery 476"/>
    <x v="2740"/>
    <n v="5"/>
    <n v="0"/>
    <n v="9.4990000000000006"/>
  </r>
  <r>
    <n v="5754"/>
    <x v="1066"/>
    <x v="0"/>
    <x v="11"/>
    <d v="2013-02-10T00:00:00"/>
    <n v="7"/>
    <x v="1"/>
    <s v="Liz Carlisle"/>
    <x v="0"/>
    <s v="United States"/>
    <s v="Richmond"/>
    <s v="Kentucky"/>
    <s v="South"/>
    <x v="0"/>
    <x v="1"/>
    <s v="Hon Multipurpose Stacking Arm Chairs"/>
    <x v="402"/>
    <n v="4"/>
    <n v="0"/>
    <n v="225.26400000000001"/>
  </r>
  <r>
    <n v="5755"/>
    <x v="368"/>
    <x v="1"/>
    <x v="10"/>
    <d v="2012-04-03T00:00:00"/>
    <n v="5"/>
    <x v="0"/>
    <s v="Alan Shonely"/>
    <x v="0"/>
    <s v="United States"/>
    <s v="Springfield"/>
    <s v="Virginia"/>
    <s v="South"/>
    <x v="1"/>
    <x v="6"/>
    <s v="Newell 333"/>
    <x v="345"/>
    <n v="2"/>
    <n v="0"/>
    <n v="1.4456"/>
  </r>
  <r>
    <n v="5756"/>
    <x v="1005"/>
    <x v="2"/>
    <x v="2"/>
    <d v="2011-10-18T00:00:00"/>
    <n v="4"/>
    <x v="1"/>
    <s v="Hunter Glantz"/>
    <x v="0"/>
    <s v="United States"/>
    <s v="Fort Worth"/>
    <s v="Texas"/>
    <s v="Central"/>
    <x v="1"/>
    <x v="9"/>
    <s v="Hoover Replacement Belts For Soft Guard &amp; Commercial Ltweight Upright Vacs, 2/Pk"/>
    <x v="3968"/>
    <n v="4"/>
    <n v="0.8"/>
    <n v="-8.532"/>
  </r>
  <r>
    <n v="5757"/>
    <x v="1005"/>
    <x v="2"/>
    <x v="2"/>
    <d v="2011-10-18T00:00:00"/>
    <n v="4"/>
    <x v="1"/>
    <s v="Hunter Glantz"/>
    <x v="0"/>
    <s v="United States"/>
    <s v="Fort Worth"/>
    <s v="Texas"/>
    <s v="Central"/>
    <x v="2"/>
    <x v="16"/>
    <s v="Hewlett Packard 610 Color Digital Copier / Printer"/>
    <x v="3969"/>
    <n v="5"/>
    <n v="0.2"/>
    <n v="624.98749999999995"/>
  </r>
  <r>
    <n v="5758"/>
    <x v="1067"/>
    <x v="1"/>
    <x v="6"/>
    <d v="2012-08-16T00:00:00"/>
    <n v="5"/>
    <x v="1"/>
    <s v="Barry Weirich"/>
    <x v="0"/>
    <s v="United States"/>
    <s v="Raleigh"/>
    <s v="North Carolina"/>
    <s v="South"/>
    <x v="0"/>
    <x v="5"/>
    <s v="Executive Impressions 13&quot; Clairmont Wall Clock"/>
    <x v="3970"/>
    <n v="3"/>
    <n v="0.2"/>
    <n v="12.1149"/>
  </r>
  <r>
    <n v="5759"/>
    <x v="6"/>
    <x v="1"/>
    <x v="0"/>
    <d v="2012-11-23T00:00:00"/>
    <n v="1"/>
    <x v="2"/>
    <s v="Brosina Hoffman"/>
    <x v="0"/>
    <s v="United States"/>
    <s v="Hialeah"/>
    <s v="Florida"/>
    <s v="South"/>
    <x v="2"/>
    <x v="15"/>
    <s v="Texas Instruments TI-34 Scientific Calculator"/>
    <x v="3971"/>
    <n v="3"/>
    <n v="0.5"/>
    <n v="-1.9791000000000001"/>
  </r>
  <r>
    <n v="5760"/>
    <x v="945"/>
    <x v="0"/>
    <x v="4"/>
    <d v="2013-12-31T00:00:00"/>
    <n v="0"/>
    <x v="3"/>
    <s v="Julie Prescott"/>
    <x v="2"/>
    <s v="United States"/>
    <s v="Los Angeles"/>
    <s v="California"/>
    <s v="West"/>
    <x v="1"/>
    <x v="4"/>
    <s v="Iceberg Mobile Mega Data/Printer Cart "/>
    <x v="2246"/>
    <n v="4"/>
    <n v="0"/>
    <n v="125.14319999999999"/>
  </r>
  <r>
    <n v="5761"/>
    <x v="945"/>
    <x v="0"/>
    <x v="4"/>
    <d v="2013-12-31T00:00:00"/>
    <n v="0"/>
    <x v="3"/>
    <s v="Julie Prescott"/>
    <x v="2"/>
    <s v="United States"/>
    <s v="Los Angeles"/>
    <s v="California"/>
    <s v="West"/>
    <x v="1"/>
    <x v="8"/>
    <s v="Cardinal Hold-It CD Pocket"/>
    <x v="3972"/>
    <n v="1"/>
    <n v="0.2"/>
    <n v="2.1545999999999998"/>
  </r>
  <r>
    <n v="5762"/>
    <x v="801"/>
    <x v="3"/>
    <x v="6"/>
    <d v="2014-08-16T00:00:00"/>
    <n v="3"/>
    <x v="2"/>
    <s v="Justin MacKendrick"/>
    <x v="0"/>
    <s v="United States"/>
    <s v="Lake Forest"/>
    <s v="California"/>
    <s v="West"/>
    <x v="1"/>
    <x v="9"/>
    <s v="Avanti 4.4 Cu. Ft. Refrigerator"/>
    <x v="3036"/>
    <n v="3"/>
    <n v="0"/>
    <n v="152.0232"/>
  </r>
  <r>
    <n v="5763"/>
    <x v="801"/>
    <x v="3"/>
    <x v="6"/>
    <d v="2014-08-16T00:00:00"/>
    <n v="3"/>
    <x v="2"/>
    <s v="Justin MacKendrick"/>
    <x v="0"/>
    <s v="United States"/>
    <s v="Lake Forest"/>
    <s v="California"/>
    <s v="West"/>
    <x v="0"/>
    <x v="5"/>
    <s v="DAX Wood Document Frame"/>
    <x v="3471"/>
    <n v="4"/>
    <n v="0"/>
    <n v="19.7712"/>
  </r>
  <r>
    <n v="5764"/>
    <x v="502"/>
    <x v="1"/>
    <x v="0"/>
    <d v="2012-11-05T00:00:00"/>
    <n v="2"/>
    <x v="2"/>
    <s v="Fred Hopkins"/>
    <x v="1"/>
    <s v="United States"/>
    <s v="Long Beach"/>
    <s v="New York"/>
    <s v="East"/>
    <x v="0"/>
    <x v="1"/>
    <s v="Office Star - Mid Back Dual function Ergonomic High Back Chair with 2-Way Adjustable Arms"/>
    <x v="3973"/>
    <n v="10"/>
    <n v="0.1"/>
    <n v="209.274"/>
  </r>
  <r>
    <n v="5765"/>
    <x v="229"/>
    <x v="1"/>
    <x v="8"/>
    <d v="2012-09-12T00:00:00"/>
    <n v="2"/>
    <x v="0"/>
    <s v="Matt Collins"/>
    <x v="0"/>
    <s v="United States"/>
    <s v="Seattle"/>
    <s v="Washington"/>
    <s v="West"/>
    <x v="1"/>
    <x v="4"/>
    <s v="Belkin 19&quot; Center-Weighted Shelf, Gray"/>
    <x v="3974"/>
    <n v="6"/>
    <n v="0"/>
    <n v="17.693999999999999"/>
  </r>
  <r>
    <n v="5766"/>
    <x v="1068"/>
    <x v="2"/>
    <x v="0"/>
    <d v="2011-11-14T00:00:00"/>
    <n v="6"/>
    <x v="1"/>
    <s v="Emily Burns"/>
    <x v="0"/>
    <s v="United States"/>
    <s v="Redding"/>
    <s v="California"/>
    <s v="West"/>
    <x v="2"/>
    <x v="7"/>
    <s v="Toshiba IPT2010-SD IP Telephone"/>
    <x v="3720"/>
    <n v="3"/>
    <n v="0.2"/>
    <n v="25.0182"/>
  </r>
  <r>
    <n v="5767"/>
    <x v="750"/>
    <x v="0"/>
    <x v="2"/>
    <d v="2013-10-16T00:00:00"/>
    <n v="7"/>
    <x v="1"/>
    <s v="Peter McVee"/>
    <x v="2"/>
    <s v="United States"/>
    <s v="San Antonio"/>
    <s v="Texas"/>
    <s v="Central"/>
    <x v="1"/>
    <x v="2"/>
    <s v="Avery 50"/>
    <x v="3975"/>
    <n v="6"/>
    <n v="0.2"/>
    <n v="20.2986"/>
  </r>
  <r>
    <n v="5768"/>
    <x v="565"/>
    <x v="3"/>
    <x v="8"/>
    <d v="2014-09-13T00:00:00"/>
    <n v="4"/>
    <x v="0"/>
    <s v="Alex Russell"/>
    <x v="1"/>
    <s v="United States"/>
    <s v="Houston"/>
    <s v="Texas"/>
    <s v="Central"/>
    <x v="2"/>
    <x v="11"/>
    <s v="Memorex Froggy Flash Drive 8 GB"/>
    <x v="3976"/>
    <n v="6"/>
    <n v="0.2"/>
    <n v="20.234999999999999"/>
  </r>
  <r>
    <n v="5769"/>
    <x v="1069"/>
    <x v="1"/>
    <x v="11"/>
    <d v="2012-03-01T00:00:00"/>
    <n v="5"/>
    <x v="1"/>
    <s v="Sung Shariari"/>
    <x v="0"/>
    <s v="United States"/>
    <s v="Leominster"/>
    <s v="Massachusetts"/>
    <s v="East"/>
    <x v="1"/>
    <x v="2"/>
    <s v="Avery 518"/>
    <x v="974"/>
    <n v="1"/>
    <n v="0"/>
    <n v="1.512"/>
  </r>
  <r>
    <n v="5770"/>
    <x v="1069"/>
    <x v="1"/>
    <x v="11"/>
    <d v="2012-03-01T00:00:00"/>
    <n v="5"/>
    <x v="1"/>
    <s v="Sung Shariari"/>
    <x v="0"/>
    <s v="United States"/>
    <s v="Leominster"/>
    <s v="Massachusetts"/>
    <s v="East"/>
    <x v="1"/>
    <x v="10"/>
    <s v="Adams Telephone Message Book W/Dividers/Space For Phone Numbers, 5 1/4&quot;X8 1/2&quot;, 200/Messages"/>
    <x v="20"/>
    <n v="4"/>
    <n v="0"/>
    <n v="10.224"/>
  </r>
  <r>
    <n v="5771"/>
    <x v="496"/>
    <x v="1"/>
    <x v="8"/>
    <d v="2012-09-28T00:00:00"/>
    <n v="4"/>
    <x v="1"/>
    <s v="Shaun Chance"/>
    <x v="1"/>
    <s v="United States"/>
    <s v="Los Angeles"/>
    <s v="California"/>
    <s v="West"/>
    <x v="0"/>
    <x v="5"/>
    <s v="DAX Value U-Channel Document Frames, Easel Back"/>
    <x v="3977"/>
    <n v="3"/>
    <n v="0"/>
    <n v="4.6220999999999997"/>
  </r>
  <r>
    <n v="5772"/>
    <x v="496"/>
    <x v="1"/>
    <x v="8"/>
    <d v="2012-09-28T00:00:00"/>
    <n v="4"/>
    <x v="1"/>
    <s v="Shaun Chance"/>
    <x v="1"/>
    <s v="United States"/>
    <s v="Los Angeles"/>
    <s v="California"/>
    <s v="West"/>
    <x v="1"/>
    <x v="9"/>
    <s v="Hoover Upright Vacuum With Dirt Cup"/>
    <x v="3978"/>
    <n v="4"/>
    <n v="0"/>
    <n v="335.85480000000001"/>
  </r>
  <r>
    <n v="5773"/>
    <x v="650"/>
    <x v="1"/>
    <x v="0"/>
    <d v="2012-12-01T00:00:00"/>
    <n v="5"/>
    <x v="1"/>
    <s v="Erin Ashbrook"/>
    <x v="1"/>
    <s v="United States"/>
    <s v="Springfield"/>
    <s v="Missouri"/>
    <s v="Central"/>
    <x v="2"/>
    <x v="16"/>
    <s v="Canon PC1080F Personal Copier"/>
    <x v="3979"/>
    <n v="1"/>
    <n v="0"/>
    <n v="233.99610000000001"/>
  </r>
  <r>
    <n v="5774"/>
    <x v="1070"/>
    <x v="0"/>
    <x v="8"/>
    <d v="2013-09-07T00:00:00"/>
    <n v="6"/>
    <x v="1"/>
    <s v="Theone Pippenger"/>
    <x v="0"/>
    <s v="United States"/>
    <s v="Waco"/>
    <s v="Texas"/>
    <s v="Central"/>
    <x v="1"/>
    <x v="4"/>
    <s v="Super Decoflex Portable Personal File"/>
    <x v="934"/>
    <n v="2"/>
    <n v="0.2"/>
    <n v="2.3967999999999998"/>
  </r>
  <r>
    <n v="5775"/>
    <x v="408"/>
    <x v="0"/>
    <x v="3"/>
    <d v="2013-04-17T00:00:00"/>
    <n v="4"/>
    <x v="1"/>
    <s v="Beth Paige"/>
    <x v="0"/>
    <s v="United States"/>
    <s v="Los Angeles"/>
    <s v="California"/>
    <s v="West"/>
    <x v="0"/>
    <x v="1"/>
    <s v="Hon Comfortask Task/Swivel Chairs"/>
    <x v="3980"/>
    <n v="7"/>
    <n v="0.2"/>
    <n v="-31.914400000000001"/>
  </r>
  <r>
    <n v="5776"/>
    <x v="408"/>
    <x v="0"/>
    <x v="3"/>
    <d v="2013-04-17T00:00:00"/>
    <n v="4"/>
    <x v="1"/>
    <s v="Beth Paige"/>
    <x v="0"/>
    <s v="United States"/>
    <s v="Los Angeles"/>
    <s v="California"/>
    <s v="West"/>
    <x v="1"/>
    <x v="8"/>
    <s v="JM Magazine Binder"/>
    <x v="3981"/>
    <n v="1"/>
    <n v="0.2"/>
    <n v="4.6227999999999998"/>
  </r>
  <r>
    <n v="5777"/>
    <x v="429"/>
    <x v="0"/>
    <x v="4"/>
    <d v="2013-12-09T00:00:00"/>
    <n v="4"/>
    <x v="1"/>
    <s v="Liz MacKendrick"/>
    <x v="0"/>
    <s v="United States"/>
    <s v="Auburn"/>
    <s v="New York"/>
    <s v="East"/>
    <x v="1"/>
    <x v="8"/>
    <s v="GBC Instant Report Kit"/>
    <x v="1626"/>
    <n v="3"/>
    <n v="0.2"/>
    <n v="5.8230000000000004"/>
  </r>
  <r>
    <n v="5778"/>
    <x v="429"/>
    <x v="0"/>
    <x v="4"/>
    <d v="2013-12-10T00:00:00"/>
    <n v="5"/>
    <x v="1"/>
    <s v="Kean Takahito"/>
    <x v="0"/>
    <s v="United States"/>
    <s v="San Francisco"/>
    <s v="California"/>
    <s v="West"/>
    <x v="1"/>
    <x v="10"/>
    <s v="Xerox 1915"/>
    <x v="1230"/>
    <n v="1"/>
    <n v="0"/>
    <n v="50.328000000000003"/>
  </r>
  <r>
    <n v="5779"/>
    <x v="7"/>
    <x v="2"/>
    <x v="0"/>
    <d v="2011-11-18T00:00:00"/>
    <n v="7"/>
    <x v="1"/>
    <s v="Arthur Prichep"/>
    <x v="0"/>
    <s v="United States"/>
    <s v="Los Angeles"/>
    <s v="California"/>
    <s v="West"/>
    <x v="1"/>
    <x v="6"/>
    <s v="50 Colored Long Pencils"/>
    <x v="426"/>
    <n v="3"/>
    <n v="0"/>
    <n v="7.9248000000000003"/>
  </r>
  <r>
    <n v="5780"/>
    <x v="7"/>
    <x v="2"/>
    <x v="0"/>
    <d v="2011-11-18T00:00:00"/>
    <n v="7"/>
    <x v="1"/>
    <s v="Arthur Prichep"/>
    <x v="0"/>
    <s v="United States"/>
    <s v="Los Angeles"/>
    <s v="California"/>
    <s v="West"/>
    <x v="0"/>
    <x v="1"/>
    <s v="Hon Olson Stacker Stools"/>
    <x v="3982"/>
    <n v="1"/>
    <n v="0.2"/>
    <n v="11.264799999999999"/>
  </r>
  <r>
    <n v="5781"/>
    <x v="788"/>
    <x v="1"/>
    <x v="3"/>
    <d v="2012-04-09T00:00:00"/>
    <n v="7"/>
    <x v="1"/>
    <s v="John Dryer"/>
    <x v="0"/>
    <s v="United States"/>
    <s v="Los Angeles"/>
    <s v="California"/>
    <s v="West"/>
    <x v="2"/>
    <x v="15"/>
    <s v="Vtech AT&amp;T CL2940 Corded Speakerphone, Black"/>
    <x v="973"/>
    <n v="3"/>
    <n v="0.2"/>
    <n v="24.291899999999998"/>
  </r>
  <r>
    <n v="5782"/>
    <x v="295"/>
    <x v="1"/>
    <x v="4"/>
    <d v="2012-12-16T00:00:00"/>
    <n v="4"/>
    <x v="0"/>
    <s v="Xylona Preis"/>
    <x v="0"/>
    <s v="United States"/>
    <s v="Chico"/>
    <s v="California"/>
    <s v="West"/>
    <x v="1"/>
    <x v="6"/>
    <s v="Newell 311"/>
    <x v="3983"/>
    <n v="1"/>
    <n v="0"/>
    <n v="0.59670000000000001"/>
  </r>
  <r>
    <n v="5783"/>
    <x v="295"/>
    <x v="1"/>
    <x v="4"/>
    <d v="2012-12-16T00:00:00"/>
    <n v="4"/>
    <x v="0"/>
    <s v="Xylona Preis"/>
    <x v="0"/>
    <s v="United States"/>
    <s v="Chico"/>
    <s v="California"/>
    <s v="West"/>
    <x v="1"/>
    <x v="12"/>
    <s v="Peel &amp; Seel Envelopes"/>
    <x v="2814"/>
    <n v="4"/>
    <n v="0"/>
    <n v="7.4496000000000002"/>
  </r>
  <r>
    <n v="5784"/>
    <x v="295"/>
    <x v="1"/>
    <x v="4"/>
    <d v="2012-12-16T00:00:00"/>
    <n v="4"/>
    <x v="0"/>
    <s v="Xylona Preis"/>
    <x v="0"/>
    <s v="United States"/>
    <s v="Chico"/>
    <s v="California"/>
    <s v="West"/>
    <x v="1"/>
    <x v="10"/>
    <s v="Black Print Carbonless Snap-Off Rapid Letter, 8 1/2&quot; x 7&quot;"/>
    <x v="2900"/>
    <n v="4"/>
    <n v="0"/>
    <n v="16.398"/>
  </r>
  <r>
    <n v="5785"/>
    <x v="280"/>
    <x v="3"/>
    <x v="2"/>
    <d v="2014-10-09T00:00:00"/>
    <n v="6"/>
    <x v="1"/>
    <s v="Juliana Krohn"/>
    <x v="0"/>
    <s v="United States"/>
    <s v="Springfield"/>
    <s v="Oregon"/>
    <s v="West"/>
    <x v="0"/>
    <x v="0"/>
    <s v="O'Sullivan 4-Shelf Bookcase in Odessa Pine"/>
    <x v="3984"/>
    <n v="6"/>
    <n v="0.7"/>
    <n v="-384.71640000000002"/>
  </r>
  <r>
    <n v="5786"/>
    <x v="280"/>
    <x v="3"/>
    <x v="2"/>
    <d v="2014-10-09T00:00:00"/>
    <n v="6"/>
    <x v="1"/>
    <s v="Juliana Krohn"/>
    <x v="0"/>
    <s v="United States"/>
    <s v="Springfield"/>
    <s v="Oregon"/>
    <s v="West"/>
    <x v="1"/>
    <x v="14"/>
    <s v="Acme Softgrip Scissors"/>
    <x v="381"/>
    <n v="6"/>
    <n v="0.2"/>
    <n v="4.3956"/>
  </r>
  <r>
    <n v="5787"/>
    <x v="280"/>
    <x v="3"/>
    <x v="2"/>
    <d v="2014-10-09T00:00:00"/>
    <n v="6"/>
    <x v="1"/>
    <s v="Juliana Krohn"/>
    <x v="0"/>
    <s v="United States"/>
    <s v="Springfield"/>
    <s v="Oregon"/>
    <s v="West"/>
    <x v="1"/>
    <x v="8"/>
    <s v="GBC Standard Recycled Report Covers, Clear Plastic Sheets"/>
    <x v="3985"/>
    <n v="7"/>
    <n v="0.7"/>
    <n v="-16.601199999999999"/>
  </r>
  <r>
    <n v="5788"/>
    <x v="280"/>
    <x v="3"/>
    <x v="2"/>
    <d v="2014-10-09T00:00:00"/>
    <n v="6"/>
    <x v="1"/>
    <s v="Juliana Krohn"/>
    <x v="0"/>
    <s v="United States"/>
    <s v="Springfield"/>
    <s v="Oregon"/>
    <s v="West"/>
    <x v="1"/>
    <x v="6"/>
    <s v="Berol Giant Pencil Sharpener"/>
    <x v="3986"/>
    <n v="7"/>
    <n v="0.2"/>
    <n v="10.7037"/>
  </r>
  <r>
    <n v="5789"/>
    <x v="318"/>
    <x v="3"/>
    <x v="3"/>
    <d v="2014-04-15T00:00:00"/>
    <n v="4"/>
    <x v="0"/>
    <s v="Mitch Gastineau"/>
    <x v="1"/>
    <s v="United States"/>
    <s v="Jacksonville"/>
    <s v="Florida"/>
    <s v="South"/>
    <x v="0"/>
    <x v="5"/>
    <s v="Stackable Trays"/>
    <x v="3987"/>
    <n v="5"/>
    <n v="0.2"/>
    <n v="1.8480000000000001"/>
  </r>
  <r>
    <n v="5790"/>
    <x v="318"/>
    <x v="3"/>
    <x v="3"/>
    <d v="2014-04-15T00:00:00"/>
    <n v="4"/>
    <x v="0"/>
    <s v="Mitch Gastineau"/>
    <x v="1"/>
    <s v="United States"/>
    <s v="Jacksonville"/>
    <s v="Florida"/>
    <s v="South"/>
    <x v="1"/>
    <x v="8"/>
    <s v="Acco Pressboard Covers with Storage Hooks, 14 7/8&quot; x 11&quot;, Light Blue"/>
    <x v="2896"/>
    <n v="3"/>
    <n v="0.7"/>
    <n v="-3.0933000000000002"/>
  </r>
  <r>
    <n v="5791"/>
    <x v="365"/>
    <x v="3"/>
    <x v="8"/>
    <d v="2014-10-03T00:00:00"/>
    <n v="3"/>
    <x v="2"/>
    <s v="Patrick Gardner"/>
    <x v="0"/>
    <s v="United States"/>
    <s v="Bakersfield"/>
    <s v="California"/>
    <s v="West"/>
    <x v="1"/>
    <x v="13"/>
    <s v="Advantus Plastic Paper Clips"/>
    <x v="762"/>
    <n v="7"/>
    <n v="0"/>
    <n v="16.8"/>
  </r>
  <r>
    <n v="5792"/>
    <x v="365"/>
    <x v="3"/>
    <x v="8"/>
    <d v="2014-10-03T00:00:00"/>
    <n v="3"/>
    <x v="2"/>
    <s v="Patrick Gardner"/>
    <x v="0"/>
    <s v="United States"/>
    <s v="Bakersfield"/>
    <s v="California"/>
    <s v="West"/>
    <x v="0"/>
    <x v="1"/>
    <s v="Leather Task Chair, Black"/>
    <x v="74"/>
    <n v="1"/>
    <n v="0.2"/>
    <n v="0"/>
  </r>
  <r>
    <n v="5793"/>
    <x v="365"/>
    <x v="3"/>
    <x v="8"/>
    <d v="2014-10-03T00:00:00"/>
    <n v="3"/>
    <x v="2"/>
    <s v="Patrick Gardner"/>
    <x v="0"/>
    <s v="United States"/>
    <s v="Bakersfield"/>
    <s v="California"/>
    <s v="West"/>
    <x v="1"/>
    <x v="9"/>
    <s v="Fellowes Premier Superior Surge Suppressor, 10-Outlet, With Phone and Remote"/>
    <x v="2029"/>
    <n v="2"/>
    <n v="0"/>
    <n v="25.438400000000001"/>
  </r>
  <r>
    <n v="5794"/>
    <x v="365"/>
    <x v="3"/>
    <x v="8"/>
    <d v="2014-10-03T00:00:00"/>
    <n v="3"/>
    <x v="2"/>
    <s v="Patrick Gardner"/>
    <x v="0"/>
    <s v="United States"/>
    <s v="Bakersfield"/>
    <s v="California"/>
    <s v="West"/>
    <x v="0"/>
    <x v="5"/>
    <s v="Howard Miller 13-3/4&quot; Diameter Brushed Chrome Round Wall Clock"/>
    <x v="2616"/>
    <n v="1"/>
    <n v="0"/>
    <n v="15.525"/>
  </r>
  <r>
    <n v="5795"/>
    <x v="365"/>
    <x v="3"/>
    <x v="8"/>
    <d v="2014-10-03T00:00:00"/>
    <n v="3"/>
    <x v="2"/>
    <s v="Patrick Gardner"/>
    <x v="0"/>
    <s v="United States"/>
    <s v="Bakersfield"/>
    <s v="California"/>
    <s v="West"/>
    <x v="1"/>
    <x v="8"/>
    <s v="Binding Machine Supplies"/>
    <x v="996"/>
    <n v="2"/>
    <n v="0.2"/>
    <n v="16.3352"/>
  </r>
  <r>
    <n v="5796"/>
    <x v="411"/>
    <x v="2"/>
    <x v="8"/>
    <d v="2011-10-03T00:00:00"/>
    <n v="4"/>
    <x v="0"/>
    <s v="Lisa DeCherney"/>
    <x v="0"/>
    <s v="United States"/>
    <s v="New York City"/>
    <s v="New York"/>
    <s v="East"/>
    <x v="1"/>
    <x v="4"/>
    <s v="Dual Level, Single-Width Filing Carts"/>
    <x v="3988"/>
    <n v="9"/>
    <n v="0"/>
    <n v="362.84039999999999"/>
  </r>
  <r>
    <n v="5797"/>
    <x v="411"/>
    <x v="2"/>
    <x v="8"/>
    <d v="2011-10-03T00:00:00"/>
    <n v="4"/>
    <x v="0"/>
    <s v="Lisa DeCherney"/>
    <x v="0"/>
    <s v="United States"/>
    <s v="New York City"/>
    <s v="New York"/>
    <s v="East"/>
    <x v="0"/>
    <x v="5"/>
    <s v="Seth Thomas 14&quot; Putty-Colored Wall Clock"/>
    <x v="3989"/>
    <n v="4"/>
    <n v="0"/>
    <n v="36.381599999999999"/>
  </r>
  <r>
    <n v="5798"/>
    <x v="411"/>
    <x v="2"/>
    <x v="8"/>
    <d v="2011-10-03T00:00:00"/>
    <n v="4"/>
    <x v="0"/>
    <s v="Lisa DeCherney"/>
    <x v="0"/>
    <s v="United States"/>
    <s v="New York City"/>
    <s v="New York"/>
    <s v="East"/>
    <x v="1"/>
    <x v="2"/>
    <s v="Avery 48"/>
    <x v="1365"/>
    <n v="3"/>
    <n v="0"/>
    <n v="8.6940000000000008"/>
  </r>
  <r>
    <n v="5799"/>
    <x v="411"/>
    <x v="2"/>
    <x v="8"/>
    <d v="2011-10-03T00:00:00"/>
    <n v="4"/>
    <x v="0"/>
    <s v="Lisa DeCherney"/>
    <x v="0"/>
    <s v="United States"/>
    <s v="New York City"/>
    <s v="New York"/>
    <s v="East"/>
    <x v="1"/>
    <x v="10"/>
    <s v="White Computer Printout Paper by Universal"/>
    <x v="2661"/>
    <n v="2"/>
    <n v="0"/>
    <n v="37.9848"/>
  </r>
  <r>
    <n v="5800"/>
    <x v="1071"/>
    <x v="2"/>
    <x v="6"/>
    <d v="2011-08-25T00:00:00"/>
    <n v="5"/>
    <x v="0"/>
    <s v="Craig Reiter"/>
    <x v="0"/>
    <s v="United States"/>
    <s v="Chicago"/>
    <s v="Illinois"/>
    <s v="Central"/>
    <x v="0"/>
    <x v="1"/>
    <s v="Global Leather and Oak Executive Chair, Black"/>
    <x v="3990"/>
    <n v="2"/>
    <n v="0.3"/>
    <n v="-6.0195999999999996"/>
  </r>
  <r>
    <n v="5801"/>
    <x v="384"/>
    <x v="2"/>
    <x v="7"/>
    <d v="2011-07-14T00:00:00"/>
    <n v="3"/>
    <x v="2"/>
    <s v="Michael Nguyen"/>
    <x v="0"/>
    <s v="United States"/>
    <s v="El Paso"/>
    <s v="Texas"/>
    <s v="Central"/>
    <x v="2"/>
    <x v="7"/>
    <s v="Polycom VVX 310 VoIP phone"/>
    <x v="3991"/>
    <n v="4"/>
    <n v="0.2"/>
    <n v="43.197600000000001"/>
  </r>
  <r>
    <n v="5802"/>
    <x v="384"/>
    <x v="2"/>
    <x v="7"/>
    <d v="2011-07-14T00:00:00"/>
    <n v="3"/>
    <x v="2"/>
    <s v="Michael Nguyen"/>
    <x v="0"/>
    <s v="United States"/>
    <s v="El Paso"/>
    <s v="Texas"/>
    <s v="Central"/>
    <x v="1"/>
    <x v="10"/>
    <s v="Xerox 200"/>
    <x v="559"/>
    <n v="2"/>
    <n v="0.2"/>
    <n v="3.6288"/>
  </r>
  <r>
    <n v="5803"/>
    <x v="204"/>
    <x v="1"/>
    <x v="10"/>
    <d v="2012-03-24T00:00:00"/>
    <n v="2"/>
    <x v="2"/>
    <s v="Ruben Dartt"/>
    <x v="0"/>
    <s v="United States"/>
    <s v="Thousand Oaks"/>
    <s v="California"/>
    <s v="West"/>
    <x v="2"/>
    <x v="7"/>
    <s v="Square Credit Card Reader"/>
    <x v="2913"/>
    <n v="2"/>
    <n v="0.2"/>
    <n v="1.1988000000000001"/>
  </r>
  <r>
    <n v="5804"/>
    <x v="605"/>
    <x v="3"/>
    <x v="5"/>
    <d v="2014-05-20T00:00:00"/>
    <n v="7"/>
    <x v="1"/>
    <s v="Julie Prescott"/>
    <x v="2"/>
    <s v="United States"/>
    <s v="Springfield"/>
    <s v="Ohio"/>
    <s v="East"/>
    <x v="1"/>
    <x v="6"/>
    <s v="Newell 347"/>
    <x v="1495"/>
    <n v="3"/>
    <n v="0.2"/>
    <n v="1.1556"/>
  </r>
  <r>
    <n v="5805"/>
    <x v="38"/>
    <x v="3"/>
    <x v="0"/>
    <d v="2014-11-20T00:00:00"/>
    <n v="6"/>
    <x v="1"/>
    <s v="Katrina Edelman"/>
    <x v="1"/>
    <s v="United States"/>
    <s v="Dallas"/>
    <s v="Texas"/>
    <s v="Central"/>
    <x v="1"/>
    <x v="4"/>
    <s v="Eldon ProFile File 'N Store Portable File Tub Letter/Legal Size Black"/>
    <x v="1815"/>
    <n v="4"/>
    <n v="0.2"/>
    <n v="6.1791999999999998"/>
  </r>
  <r>
    <n v="5806"/>
    <x v="38"/>
    <x v="3"/>
    <x v="0"/>
    <d v="2014-11-20T00:00:00"/>
    <n v="6"/>
    <x v="1"/>
    <s v="Katrina Edelman"/>
    <x v="1"/>
    <s v="United States"/>
    <s v="Dallas"/>
    <s v="Texas"/>
    <s v="Central"/>
    <x v="0"/>
    <x v="0"/>
    <s v="Bush Westfield Collection Bookcases, Fully Assembled"/>
    <x v="3992"/>
    <n v="3"/>
    <n v="0.32"/>
    <n v="-27.264600000000002"/>
  </r>
  <r>
    <n v="5807"/>
    <x v="913"/>
    <x v="0"/>
    <x v="8"/>
    <d v="2013-09-08T00:00:00"/>
    <n v="3"/>
    <x v="0"/>
    <s v="Delfina Latchford"/>
    <x v="0"/>
    <s v="United States"/>
    <s v="Knoxville"/>
    <s v="Tennessee"/>
    <s v="South"/>
    <x v="1"/>
    <x v="10"/>
    <s v="RSVP Cards &amp; Envelopes, Blank White, 8-1/2&quot; X 11&quot;, 24 Cards/25 Envelopes/Set"/>
    <x v="848"/>
    <n v="3"/>
    <n v="0.2"/>
    <n v="4.1147999999999998"/>
  </r>
  <r>
    <n v="5808"/>
    <x v="913"/>
    <x v="0"/>
    <x v="8"/>
    <d v="2013-09-08T00:00:00"/>
    <n v="3"/>
    <x v="0"/>
    <s v="Delfina Latchford"/>
    <x v="0"/>
    <s v="United States"/>
    <s v="Knoxville"/>
    <s v="Tennessee"/>
    <s v="South"/>
    <x v="1"/>
    <x v="9"/>
    <s v="Belkin 5 Outlet SurgeMaster Power Centers"/>
    <x v="2734"/>
    <n v="2"/>
    <n v="0.2"/>
    <n v="8.7167999999999992"/>
  </r>
  <r>
    <n v="5809"/>
    <x v="913"/>
    <x v="0"/>
    <x v="8"/>
    <d v="2013-09-08T00:00:00"/>
    <n v="3"/>
    <x v="0"/>
    <s v="Delfina Latchford"/>
    <x v="0"/>
    <s v="United States"/>
    <s v="Knoxville"/>
    <s v="Tennessee"/>
    <s v="South"/>
    <x v="1"/>
    <x v="6"/>
    <s v="Prismacolor Color Pencil Set"/>
    <x v="3993"/>
    <n v="2"/>
    <n v="0.2"/>
    <n v="8.3328000000000007"/>
  </r>
  <r>
    <n v="5810"/>
    <x v="1072"/>
    <x v="0"/>
    <x v="11"/>
    <d v="2013-02-11T00:00:00"/>
    <n v="5"/>
    <x v="1"/>
    <s v="Karen Bern"/>
    <x v="1"/>
    <s v="United States"/>
    <s v="Chattanooga"/>
    <s v="Tennessee"/>
    <s v="South"/>
    <x v="0"/>
    <x v="5"/>
    <s v="Deflect-o EconoMat Studded, No Bevel Mat for Low Pile Carpeting"/>
    <x v="3994"/>
    <n v="4"/>
    <n v="0.2"/>
    <n v="-18.180800000000001"/>
  </r>
  <r>
    <n v="5811"/>
    <x v="204"/>
    <x v="1"/>
    <x v="10"/>
    <d v="2012-03-26T00:00:00"/>
    <n v="4"/>
    <x v="1"/>
    <s v="Justin Deggeller"/>
    <x v="1"/>
    <s v="United States"/>
    <s v="San Diego"/>
    <s v="California"/>
    <s v="West"/>
    <x v="1"/>
    <x v="10"/>
    <s v="Staples"/>
    <x v="151"/>
    <n v="4"/>
    <n v="0"/>
    <n v="48.539200000000001"/>
  </r>
  <r>
    <n v="5812"/>
    <x v="204"/>
    <x v="1"/>
    <x v="10"/>
    <d v="2012-03-26T00:00:00"/>
    <n v="4"/>
    <x v="1"/>
    <s v="Justin Deggeller"/>
    <x v="1"/>
    <s v="United States"/>
    <s v="San Diego"/>
    <s v="California"/>
    <s v="West"/>
    <x v="0"/>
    <x v="5"/>
    <s v="Tenex B1-RE Series Chair Mats for Low Pile Carpets"/>
    <x v="1361"/>
    <n v="2"/>
    <n v="0"/>
    <n v="15.6332"/>
  </r>
  <r>
    <n v="5813"/>
    <x v="204"/>
    <x v="1"/>
    <x v="10"/>
    <d v="2012-03-26T00:00:00"/>
    <n v="4"/>
    <x v="1"/>
    <s v="Justin Deggeller"/>
    <x v="1"/>
    <s v="United States"/>
    <s v="San Diego"/>
    <s v="California"/>
    <s v="West"/>
    <x v="2"/>
    <x v="7"/>
    <s v="ClearOne CHATAttach 160 - speaker phone"/>
    <x v="3995"/>
    <n v="3"/>
    <n v="0.2"/>
    <n v="185.99700000000001"/>
  </r>
  <r>
    <n v="5814"/>
    <x v="740"/>
    <x v="1"/>
    <x v="7"/>
    <d v="2012-07-03T00:00:00"/>
    <n v="1"/>
    <x v="2"/>
    <s v="Steven Roelle"/>
    <x v="2"/>
    <s v="United States"/>
    <s v="New York City"/>
    <s v="New York"/>
    <s v="East"/>
    <x v="1"/>
    <x v="10"/>
    <s v="Xerox 209"/>
    <x v="537"/>
    <n v="3"/>
    <n v="0"/>
    <n v="9.3312000000000008"/>
  </r>
  <r>
    <n v="5815"/>
    <x v="925"/>
    <x v="1"/>
    <x v="1"/>
    <d v="2012-06-17T00:00:00"/>
    <n v="2"/>
    <x v="2"/>
    <s v="Amy Cox"/>
    <x v="0"/>
    <s v="United States"/>
    <s v="Tampa"/>
    <s v="Florida"/>
    <s v="South"/>
    <x v="2"/>
    <x v="11"/>
    <s v="Belkin Standard 104 key USB Keyboard"/>
    <x v="3996"/>
    <n v="1"/>
    <n v="0.2"/>
    <n v="-0.72950000000000004"/>
  </r>
  <r>
    <n v="5816"/>
    <x v="35"/>
    <x v="2"/>
    <x v="0"/>
    <d v="2011-11-26T00:00:00"/>
    <n v="0"/>
    <x v="3"/>
    <s v="Lynn Smith"/>
    <x v="0"/>
    <s v="United States"/>
    <s v="Utica"/>
    <s v="New York"/>
    <s v="East"/>
    <x v="2"/>
    <x v="7"/>
    <s v="ClearSounds CSC500 Amplified Spirit Phone Corded phone"/>
    <x v="460"/>
    <n v="4"/>
    <n v="0"/>
    <n v="78.388800000000003"/>
  </r>
  <r>
    <n v="5817"/>
    <x v="35"/>
    <x v="2"/>
    <x v="0"/>
    <d v="2011-11-26T00:00:00"/>
    <n v="0"/>
    <x v="3"/>
    <s v="Lynn Smith"/>
    <x v="0"/>
    <s v="United States"/>
    <s v="Utica"/>
    <s v="New York"/>
    <s v="East"/>
    <x v="1"/>
    <x v="8"/>
    <s v="Acco PRESSTEX Data Binder with Storage Hooks, Dark Blue, 14 7/8&quot; X 11&quot;"/>
    <x v="3997"/>
    <n v="3"/>
    <n v="0.2"/>
    <n v="4.6806000000000001"/>
  </r>
  <r>
    <n v="5818"/>
    <x v="35"/>
    <x v="2"/>
    <x v="0"/>
    <d v="2011-11-26T00:00:00"/>
    <n v="0"/>
    <x v="3"/>
    <s v="Lynn Smith"/>
    <x v="0"/>
    <s v="United States"/>
    <s v="Utica"/>
    <s v="New York"/>
    <s v="East"/>
    <x v="1"/>
    <x v="8"/>
    <s v="Pressboard Data Binders by Wilson Jones"/>
    <x v="1217"/>
    <n v="4"/>
    <n v="0.2"/>
    <n v="5.7671999999999999"/>
  </r>
  <r>
    <n v="5819"/>
    <x v="35"/>
    <x v="2"/>
    <x v="0"/>
    <d v="2011-11-26T00:00:00"/>
    <n v="0"/>
    <x v="3"/>
    <s v="Lynn Smith"/>
    <x v="0"/>
    <s v="United States"/>
    <s v="Utica"/>
    <s v="New York"/>
    <s v="East"/>
    <x v="1"/>
    <x v="2"/>
    <s v="Avery Address/Shipping Labels for Typewriters, 4&quot; x 2&quot;"/>
    <x v="3998"/>
    <n v="9"/>
    <n v="0"/>
    <n v="44.712000000000003"/>
  </r>
  <r>
    <n v="5820"/>
    <x v="35"/>
    <x v="2"/>
    <x v="0"/>
    <d v="2011-11-26T00:00:00"/>
    <n v="0"/>
    <x v="3"/>
    <s v="Lynn Smith"/>
    <x v="0"/>
    <s v="United States"/>
    <s v="Utica"/>
    <s v="New York"/>
    <s v="East"/>
    <x v="1"/>
    <x v="2"/>
    <s v="Avery File Folder Labels"/>
    <x v="132"/>
    <n v="4"/>
    <n v="0"/>
    <n v="5.6448"/>
  </r>
  <r>
    <n v="5821"/>
    <x v="605"/>
    <x v="3"/>
    <x v="5"/>
    <d v="2014-05-19T00:00:00"/>
    <n v="6"/>
    <x v="1"/>
    <s v="Charles Sheldon"/>
    <x v="1"/>
    <s v="United States"/>
    <s v="San Francisco"/>
    <s v="California"/>
    <s v="West"/>
    <x v="1"/>
    <x v="14"/>
    <s v="Compact Automatic Electric Letter Opener"/>
    <x v="3999"/>
    <n v="2"/>
    <n v="0"/>
    <n v="4.7724000000000002"/>
  </r>
  <r>
    <n v="5822"/>
    <x v="605"/>
    <x v="3"/>
    <x v="5"/>
    <d v="2014-05-19T00:00:00"/>
    <n v="6"/>
    <x v="1"/>
    <s v="Charles Sheldon"/>
    <x v="1"/>
    <s v="United States"/>
    <s v="San Francisco"/>
    <s v="California"/>
    <s v="West"/>
    <x v="1"/>
    <x v="9"/>
    <s v="Hoover Commercial Soft Guard Upright Vacuum And Disposable Filtration Bags"/>
    <x v="4000"/>
    <n v="1"/>
    <n v="0"/>
    <n v="2.0979000000000001"/>
  </r>
  <r>
    <n v="5823"/>
    <x v="605"/>
    <x v="3"/>
    <x v="5"/>
    <d v="2014-05-19T00:00:00"/>
    <n v="6"/>
    <x v="1"/>
    <s v="Charles Sheldon"/>
    <x v="1"/>
    <s v="United States"/>
    <s v="San Francisco"/>
    <s v="California"/>
    <s v="West"/>
    <x v="0"/>
    <x v="3"/>
    <s v="Lesro Sheffield Collection Coffee Table, End Table, Center Table, Corner Table"/>
    <x v="4001"/>
    <n v="5"/>
    <n v="0.2"/>
    <n v="-10.705500000000001"/>
  </r>
  <r>
    <n v="5824"/>
    <x v="605"/>
    <x v="3"/>
    <x v="5"/>
    <d v="2014-05-19T00:00:00"/>
    <n v="6"/>
    <x v="1"/>
    <s v="Charles Sheldon"/>
    <x v="1"/>
    <s v="United States"/>
    <s v="San Francisco"/>
    <s v="California"/>
    <s v="West"/>
    <x v="1"/>
    <x v="8"/>
    <s v="DXL Angle-View Binders with Locking Rings, Black"/>
    <x v="4002"/>
    <n v="4"/>
    <n v="0.2"/>
    <n v="6.4691999999999998"/>
  </r>
  <r>
    <n v="5825"/>
    <x v="1073"/>
    <x v="2"/>
    <x v="5"/>
    <d v="2011-05-02T00:00:00"/>
    <n v="0"/>
    <x v="3"/>
    <s v="Andrew Roberts"/>
    <x v="0"/>
    <s v="United States"/>
    <s v="Columbus"/>
    <s v="Ohio"/>
    <s v="East"/>
    <x v="1"/>
    <x v="9"/>
    <s v="Belkin 6 Outlet Metallic Surge Strip"/>
    <x v="4003"/>
    <n v="3"/>
    <n v="0.2"/>
    <n v="1.9601999999999999"/>
  </r>
  <r>
    <n v="5826"/>
    <x v="213"/>
    <x v="3"/>
    <x v="8"/>
    <d v="2014-09-07T00:00:00"/>
    <n v="3"/>
    <x v="0"/>
    <s v="Katrina Bavinger"/>
    <x v="2"/>
    <s v="United States"/>
    <s v="New York City"/>
    <s v="New York"/>
    <s v="East"/>
    <x v="1"/>
    <x v="10"/>
    <s v="Xerox 189"/>
    <x v="1242"/>
    <n v="4"/>
    <n v="0"/>
    <n v="201.31200000000001"/>
  </r>
  <r>
    <n v="5827"/>
    <x v="213"/>
    <x v="3"/>
    <x v="8"/>
    <d v="2014-09-07T00:00:00"/>
    <n v="3"/>
    <x v="0"/>
    <s v="Katrina Bavinger"/>
    <x v="2"/>
    <s v="United States"/>
    <s v="New York City"/>
    <s v="New York"/>
    <s v="East"/>
    <x v="0"/>
    <x v="1"/>
    <s v="Office Star Flex Back Scooter Chair with Aluminum Finish Frame"/>
    <x v="4004"/>
    <n v="1"/>
    <n v="0.1"/>
    <n v="14.124599999999999"/>
  </r>
  <r>
    <n v="5828"/>
    <x v="213"/>
    <x v="3"/>
    <x v="8"/>
    <d v="2014-09-07T00:00:00"/>
    <n v="3"/>
    <x v="0"/>
    <s v="Katrina Bavinger"/>
    <x v="2"/>
    <s v="United States"/>
    <s v="New York City"/>
    <s v="New York"/>
    <s v="East"/>
    <x v="0"/>
    <x v="1"/>
    <s v="Global Low Back Tilter Chair"/>
    <x v="4005"/>
    <n v="2"/>
    <n v="0.1"/>
    <n v="-8.0784000000000002"/>
  </r>
  <r>
    <n v="5829"/>
    <x v="213"/>
    <x v="3"/>
    <x v="8"/>
    <d v="2014-09-07T00:00:00"/>
    <n v="3"/>
    <x v="0"/>
    <s v="Katrina Bavinger"/>
    <x v="2"/>
    <s v="United States"/>
    <s v="New York City"/>
    <s v="New York"/>
    <s v="East"/>
    <x v="1"/>
    <x v="6"/>
    <s v="Prang Drawing Pencil Set"/>
    <x v="345"/>
    <n v="2"/>
    <n v="0"/>
    <n v="2.2240000000000002"/>
  </r>
  <r>
    <n v="5830"/>
    <x v="275"/>
    <x v="0"/>
    <x v="4"/>
    <d v="2013-12-08T00:00:00"/>
    <n v="4"/>
    <x v="1"/>
    <s v="Michael Moore"/>
    <x v="0"/>
    <s v="United States"/>
    <s v="Richmond"/>
    <s v="Indiana"/>
    <s v="Central"/>
    <x v="0"/>
    <x v="3"/>
    <s v="Hon 5100 Series Wood Tables"/>
    <x v="4006"/>
    <n v="2"/>
    <n v="0"/>
    <n v="104.75279999999999"/>
  </r>
  <r>
    <n v="5831"/>
    <x v="275"/>
    <x v="0"/>
    <x v="4"/>
    <d v="2013-12-08T00:00:00"/>
    <n v="4"/>
    <x v="1"/>
    <s v="Michael Moore"/>
    <x v="0"/>
    <s v="United States"/>
    <s v="Richmond"/>
    <s v="Indiana"/>
    <s v="Central"/>
    <x v="0"/>
    <x v="1"/>
    <s v="Global Stack Chair with Arms, Black"/>
    <x v="4007"/>
    <n v="1"/>
    <n v="0"/>
    <n v="8.0945999999999998"/>
  </r>
  <r>
    <n v="5832"/>
    <x v="1074"/>
    <x v="1"/>
    <x v="7"/>
    <d v="2012-07-22T00:00:00"/>
    <n v="4"/>
    <x v="1"/>
    <s v="Roland Fjeld"/>
    <x v="0"/>
    <s v="United States"/>
    <s v="San Diego"/>
    <s v="California"/>
    <s v="West"/>
    <x v="2"/>
    <x v="11"/>
    <s v="Logitech G35 7.1-Channel Surround Sound Headset"/>
    <x v="4008"/>
    <n v="4"/>
    <n v="0"/>
    <n v="176.78639999999999"/>
  </r>
  <r>
    <n v="5833"/>
    <x v="658"/>
    <x v="0"/>
    <x v="7"/>
    <d v="2013-07-27T00:00:00"/>
    <n v="5"/>
    <x v="1"/>
    <s v="Beth Paige"/>
    <x v="0"/>
    <s v="United States"/>
    <s v="Concord"/>
    <s v="North Carolina"/>
    <s v="South"/>
    <x v="1"/>
    <x v="2"/>
    <s v="Avery 494"/>
    <x v="301"/>
    <n v="3"/>
    <n v="0.2"/>
    <n v="2.0358000000000001"/>
  </r>
  <r>
    <n v="5834"/>
    <x v="658"/>
    <x v="0"/>
    <x v="7"/>
    <d v="2013-07-27T00:00:00"/>
    <n v="5"/>
    <x v="1"/>
    <s v="Beth Paige"/>
    <x v="0"/>
    <s v="United States"/>
    <s v="Concord"/>
    <s v="North Carolina"/>
    <s v="South"/>
    <x v="0"/>
    <x v="1"/>
    <s v="Leather Task Chair, Black"/>
    <x v="4009"/>
    <n v="5"/>
    <n v="0.2"/>
    <n v="0"/>
  </r>
  <r>
    <n v="5835"/>
    <x v="988"/>
    <x v="1"/>
    <x v="1"/>
    <d v="2012-06-16T00:00:00"/>
    <n v="7"/>
    <x v="1"/>
    <s v="Max Jones"/>
    <x v="0"/>
    <s v="United States"/>
    <s v="Miami"/>
    <s v="Florida"/>
    <s v="South"/>
    <x v="1"/>
    <x v="8"/>
    <s v="Green Canvas Binder for 8-1/2&quot; x 14&quot; Sheets"/>
    <x v="4010"/>
    <n v="5"/>
    <n v="0.7"/>
    <n v="-42.8"/>
  </r>
  <r>
    <n v="5836"/>
    <x v="988"/>
    <x v="1"/>
    <x v="1"/>
    <d v="2012-06-16T00:00:00"/>
    <n v="7"/>
    <x v="1"/>
    <s v="Max Jones"/>
    <x v="0"/>
    <s v="United States"/>
    <s v="Miami"/>
    <s v="Florida"/>
    <s v="South"/>
    <x v="1"/>
    <x v="8"/>
    <s v="Wilson Jones Elliptical Ring 3 1/2&quot; Capacity Binders, 800 sheets"/>
    <x v="1782"/>
    <n v="3"/>
    <n v="0.7"/>
    <n v="-26.963999999999999"/>
  </r>
  <r>
    <n v="5837"/>
    <x v="988"/>
    <x v="1"/>
    <x v="1"/>
    <d v="2012-06-16T00:00:00"/>
    <n v="7"/>
    <x v="1"/>
    <s v="Max Jones"/>
    <x v="0"/>
    <s v="United States"/>
    <s v="Miami"/>
    <s v="Florida"/>
    <s v="South"/>
    <x v="2"/>
    <x v="11"/>
    <s v="Logitech Keyboard K120"/>
    <x v="4011"/>
    <n v="5"/>
    <n v="0.2"/>
    <n v="-8.1675000000000004"/>
  </r>
  <r>
    <n v="5838"/>
    <x v="344"/>
    <x v="3"/>
    <x v="0"/>
    <d v="2014-12-04T00:00:00"/>
    <n v="6"/>
    <x v="1"/>
    <s v="Doug O'Connell"/>
    <x v="0"/>
    <s v="United States"/>
    <s v="Los Angeles"/>
    <s v="California"/>
    <s v="West"/>
    <x v="2"/>
    <x v="7"/>
    <s v="Griffin GC17055 Auxiliary Audio Cable"/>
    <x v="4012"/>
    <n v="4"/>
    <n v="0.2"/>
    <n v="5.7568000000000001"/>
  </r>
  <r>
    <n v="5839"/>
    <x v="1075"/>
    <x v="1"/>
    <x v="10"/>
    <d v="2012-04-03T00:00:00"/>
    <n v="7"/>
    <x v="1"/>
    <s v="Mark Van Huff"/>
    <x v="0"/>
    <s v="United States"/>
    <s v="Seattle"/>
    <s v="Washington"/>
    <s v="West"/>
    <x v="1"/>
    <x v="4"/>
    <s v="Rogers Profile Extra Capacity Storage Tub"/>
    <x v="4013"/>
    <n v="5"/>
    <n v="0"/>
    <n v="3.3479999999999999"/>
  </r>
  <r>
    <n v="5840"/>
    <x v="357"/>
    <x v="1"/>
    <x v="8"/>
    <d v="2012-09-26T00:00:00"/>
    <n v="4"/>
    <x v="0"/>
    <s v="Michael Grace"/>
    <x v="2"/>
    <s v="United States"/>
    <s v="Arlington"/>
    <s v="Virginia"/>
    <s v="South"/>
    <x v="1"/>
    <x v="10"/>
    <s v="Xerox 214"/>
    <x v="56"/>
    <n v="5"/>
    <n v="0"/>
    <n v="15.552"/>
  </r>
  <r>
    <n v="5841"/>
    <x v="357"/>
    <x v="1"/>
    <x v="8"/>
    <d v="2012-09-26T00:00:00"/>
    <n v="4"/>
    <x v="0"/>
    <s v="Michael Grace"/>
    <x v="2"/>
    <s v="United States"/>
    <s v="Arlington"/>
    <s v="Virginia"/>
    <s v="South"/>
    <x v="0"/>
    <x v="5"/>
    <s v="Westinghouse Floor Lamp with Metal Mesh Shade, Black"/>
    <x v="3175"/>
    <n v="2"/>
    <n v="0"/>
    <n v="11.035399999999999"/>
  </r>
  <r>
    <n v="5842"/>
    <x v="972"/>
    <x v="1"/>
    <x v="0"/>
    <d v="2012-11-21T00:00:00"/>
    <n v="4"/>
    <x v="1"/>
    <s v="Brian Stugart"/>
    <x v="0"/>
    <s v="United States"/>
    <s v="San Diego"/>
    <s v="California"/>
    <s v="West"/>
    <x v="2"/>
    <x v="7"/>
    <s v="RCA ViSYS 25825 Wireless digital phone"/>
    <x v="4014"/>
    <n v="4"/>
    <n v="0.2"/>
    <n v="51.996000000000002"/>
  </r>
  <r>
    <n v="5843"/>
    <x v="972"/>
    <x v="1"/>
    <x v="0"/>
    <d v="2012-11-21T00:00:00"/>
    <n v="4"/>
    <x v="1"/>
    <s v="Brian Stugart"/>
    <x v="0"/>
    <s v="United States"/>
    <s v="San Diego"/>
    <s v="California"/>
    <s v="West"/>
    <x v="1"/>
    <x v="4"/>
    <s v="Carina Media Storage Towers in Natural &amp; Black"/>
    <x v="4015"/>
    <n v="5"/>
    <n v="0"/>
    <n v="6.0979999999999999"/>
  </r>
  <r>
    <n v="5844"/>
    <x v="972"/>
    <x v="1"/>
    <x v="0"/>
    <d v="2012-11-21T00:00:00"/>
    <n v="4"/>
    <x v="1"/>
    <s v="Brian Stugart"/>
    <x v="0"/>
    <s v="United States"/>
    <s v="San Diego"/>
    <s v="California"/>
    <s v="West"/>
    <x v="0"/>
    <x v="5"/>
    <s v="DAX Contemporary Wood Frame with Silver Metal Mat, Desktop, 11 x 14 Size"/>
    <x v="4016"/>
    <n v="4"/>
    <n v="0"/>
    <n v="29.145600000000002"/>
  </r>
  <r>
    <n v="5845"/>
    <x v="972"/>
    <x v="1"/>
    <x v="0"/>
    <d v="2012-11-21T00:00:00"/>
    <n v="4"/>
    <x v="1"/>
    <s v="Brian Stugart"/>
    <x v="0"/>
    <s v="United States"/>
    <s v="San Diego"/>
    <s v="California"/>
    <s v="West"/>
    <x v="1"/>
    <x v="4"/>
    <s v="Fellowes Recycled Storage Drawers"/>
    <x v="4017"/>
    <n v="7"/>
    <n v="0"/>
    <n v="54.404699999999998"/>
  </r>
  <r>
    <n v="5846"/>
    <x v="972"/>
    <x v="1"/>
    <x v="0"/>
    <d v="2012-11-21T00:00:00"/>
    <n v="4"/>
    <x v="1"/>
    <s v="Brian Stugart"/>
    <x v="0"/>
    <s v="United States"/>
    <s v="San Diego"/>
    <s v="California"/>
    <s v="West"/>
    <x v="1"/>
    <x v="10"/>
    <s v="Xerox 203"/>
    <x v="56"/>
    <n v="5"/>
    <n v="0"/>
    <n v="15.552"/>
  </r>
  <r>
    <n v="5847"/>
    <x v="972"/>
    <x v="1"/>
    <x v="0"/>
    <d v="2012-11-21T00:00:00"/>
    <n v="4"/>
    <x v="1"/>
    <s v="Brian Stugart"/>
    <x v="0"/>
    <s v="United States"/>
    <s v="San Diego"/>
    <s v="California"/>
    <s v="West"/>
    <x v="0"/>
    <x v="1"/>
    <s v="Office Star - Contemporary Swivel Chair with Padded Adjustable Arms and Flex Back"/>
    <x v="4018"/>
    <n v="2"/>
    <n v="0.2"/>
    <n v="2.8195999999999999"/>
  </r>
  <r>
    <n v="5848"/>
    <x v="972"/>
    <x v="1"/>
    <x v="0"/>
    <d v="2012-11-21T00:00:00"/>
    <n v="4"/>
    <x v="1"/>
    <s v="Brian Stugart"/>
    <x v="0"/>
    <s v="United States"/>
    <s v="San Diego"/>
    <s v="California"/>
    <s v="West"/>
    <x v="0"/>
    <x v="5"/>
    <s v="Advantus Panel Wall Certificate Holder - 8.5x11"/>
    <x v="3031"/>
    <n v="3"/>
    <n v="0"/>
    <n v="15.372"/>
  </r>
  <r>
    <n v="5849"/>
    <x v="113"/>
    <x v="1"/>
    <x v="0"/>
    <d v="2012-11-14T00:00:00"/>
    <n v="4"/>
    <x v="1"/>
    <s v="Philisse Overcash"/>
    <x v="2"/>
    <s v="United States"/>
    <s v="Roseville"/>
    <s v="Minnesota"/>
    <s v="Central"/>
    <x v="1"/>
    <x v="9"/>
    <s v="Hoover Shoulder Vac Commercial Portable Vacuum"/>
    <x v="4019"/>
    <n v="2"/>
    <n v="0"/>
    <n v="178.91"/>
  </r>
  <r>
    <n v="5850"/>
    <x v="113"/>
    <x v="1"/>
    <x v="0"/>
    <d v="2012-11-14T00:00:00"/>
    <n v="4"/>
    <x v="1"/>
    <s v="Philisse Overcash"/>
    <x v="2"/>
    <s v="United States"/>
    <s v="Roseville"/>
    <s v="Minnesota"/>
    <s v="Central"/>
    <x v="1"/>
    <x v="4"/>
    <s v="Tennsco 6- and 18-Compartment Lockers"/>
    <x v="4020"/>
    <n v="3"/>
    <n v="0"/>
    <n v="143.1918"/>
  </r>
  <r>
    <n v="5851"/>
    <x v="113"/>
    <x v="1"/>
    <x v="0"/>
    <d v="2012-11-14T00:00:00"/>
    <n v="4"/>
    <x v="1"/>
    <s v="Philisse Overcash"/>
    <x v="2"/>
    <s v="United States"/>
    <s v="Roseville"/>
    <s v="Minnesota"/>
    <s v="Central"/>
    <x v="2"/>
    <x v="16"/>
    <s v="Sharp 1540cs Digital Laser Copier"/>
    <x v="3629"/>
    <n v="1"/>
    <n v="0"/>
    <n v="274.995"/>
  </r>
  <r>
    <n v="5852"/>
    <x v="113"/>
    <x v="1"/>
    <x v="0"/>
    <d v="2012-11-14T00:00:00"/>
    <n v="4"/>
    <x v="1"/>
    <s v="Philisse Overcash"/>
    <x v="2"/>
    <s v="United States"/>
    <s v="Roseville"/>
    <s v="Minnesota"/>
    <s v="Central"/>
    <x v="1"/>
    <x v="8"/>
    <s v="GBC Standard Therm-A-Bind Covers"/>
    <x v="4021"/>
    <n v="3"/>
    <n v="0"/>
    <n v="34.389600000000002"/>
  </r>
  <r>
    <n v="5853"/>
    <x v="113"/>
    <x v="1"/>
    <x v="0"/>
    <d v="2012-11-14T00:00:00"/>
    <n v="4"/>
    <x v="1"/>
    <s v="Philisse Overcash"/>
    <x v="2"/>
    <s v="United States"/>
    <s v="Roseville"/>
    <s v="Minnesota"/>
    <s v="Central"/>
    <x v="0"/>
    <x v="5"/>
    <s v="Staples"/>
    <x v="4022"/>
    <n v="3"/>
    <n v="0"/>
    <n v="12.8568"/>
  </r>
  <r>
    <n v="5854"/>
    <x v="1076"/>
    <x v="2"/>
    <x v="8"/>
    <d v="2011-09-14T00:00:00"/>
    <n v="4"/>
    <x v="1"/>
    <s v="Dianna Arnett"/>
    <x v="2"/>
    <s v="United States"/>
    <s v="Virginia Beach"/>
    <s v="Virginia"/>
    <s v="South"/>
    <x v="1"/>
    <x v="8"/>
    <s v="Tuff Stuff Recycled Round Ring Binders"/>
    <x v="1313"/>
    <n v="2"/>
    <n v="0"/>
    <n v="4.7236000000000002"/>
  </r>
  <r>
    <n v="5855"/>
    <x v="1077"/>
    <x v="1"/>
    <x v="6"/>
    <d v="2012-08-11T00:00:00"/>
    <n v="6"/>
    <x v="1"/>
    <s v="Anna Häberlin"/>
    <x v="1"/>
    <s v="United States"/>
    <s v="Dallas"/>
    <s v="Texas"/>
    <s v="Central"/>
    <x v="1"/>
    <x v="4"/>
    <s v="Perma STOR-ALL Hanging File Box, 13 1/8&quot;W x 12 1/4&quot;D x 10 1/2&quot;H"/>
    <x v="1383"/>
    <n v="7"/>
    <n v="0.2"/>
    <n v="-1.2558"/>
  </r>
  <r>
    <n v="5856"/>
    <x v="1077"/>
    <x v="1"/>
    <x v="6"/>
    <d v="2012-08-11T00:00:00"/>
    <n v="6"/>
    <x v="1"/>
    <s v="Anna Häberlin"/>
    <x v="1"/>
    <s v="United States"/>
    <s v="Dallas"/>
    <s v="Texas"/>
    <s v="Central"/>
    <x v="1"/>
    <x v="14"/>
    <s v="Stiletto Hand Letter Openers"/>
    <x v="4023"/>
    <n v="3"/>
    <n v="0.2"/>
    <n v="-4.8959999999999999"/>
  </r>
  <r>
    <n v="5857"/>
    <x v="1077"/>
    <x v="1"/>
    <x v="6"/>
    <d v="2012-08-11T00:00:00"/>
    <n v="6"/>
    <x v="1"/>
    <s v="Anna Häberlin"/>
    <x v="1"/>
    <s v="United States"/>
    <s v="Dallas"/>
    <s v="Texas"/>
    <s v="Central"/>
    <x v="1"/>
    <x v="8"/>
    <s v="Avery Self-Adhesive Photo Pockets for Polaroid Photos"/>
    <x v="4024"/>
    <n v="1"/>
    <n v="0.8"/>
    <n v="-2.1791999999999998"/>
  </r>
  <r>
    <n v="5858"/>
    <x v="1077"/>
    <x v="1"/>
    <x v="6"/>
    <d v="2012-08-11T00:00:00"/>
    <n v="6"/>
    <x v="1"/>
    <s v="Anna Häberlin"/>
    <x v="1"/>
    <s v="United States"/>
    <s v="Dallas"/>
    <s v="Texas"/>
    <s v="Central"/>
    <x v="0"/>
    <x v="5"/>
    <s v="Eldon Expressions Wood Desk Accessories, Oak"/>
    <x v="1787"/>
    <n v="5"/>
    <n v="0.6"/>
    <n v="-11.439"/>
  </r>
  <r>
    <n v="5859"/>
    <x v="213"/>
    <x v="3"/>
    <x v="8"/>
    <d v="2014-09-08T00:00:00"/>
    <n v="4"/>
    <x v="0"/>
    <s v="Joe Kamberova"/>
    <x v="0"/>
    <s v="United States"/>
    <s v="Concord"/>
    <s v="California"/>
    <s v="West"/>
    <x v="0"/>
    <x v="0"/>
    <s v="Bush Heritage Pine Collection 5-Shelf Bookcase, Albany Pine Finish, *Special Order"/>
    <x v="4025"/>
    <n v="2"/>
    <n v="0.15"/>
    <n v="14.098000000000001"/>
  </r>
  <r>
    <n v="5860"/>
    <x v="549"/>
    <x v="1"/>
    <x v="0"/>
    <d v="2012-11-08T00:00:00"/>
    <n v="7"/>
    <x v="1"/>
    <s v="MaryBeth Skach"/>
    <x v="0"/>
    <s v="United States"/>
    <s v="Conway"/>
    <s v="Arkansas"/>
    <s v="South"/>
    <x v="0"/>
    <x v="3"/>
    <s v="Iceberg OfficeWorks 42&quot; Round Tables"/>
    <x v="85"/>
    <n v="2"/>
    <n v="0"/>
    <n v="45.293999999999997"/>
  </r>
  <r>
    <n v="5861"/>
    <x v="1078"/>
    <x v="1"/>
    <x v="3"/>
    <d v="2012-05-04T00:00:00"/>
    <n v="5"/>
    <x v="0"/>
    <s v="Jim Kriz"/>
    <x v="2"/>
    <s v="United States"/>
    <s v="Philadelphia"/>
    <s v="Pennsylvania"/>
    <s v="East"/>
    <x v="1"/>
    <x v="10"/>
    <s v="Xerox 1949"/>
    <x v="885"/>
    <n v="2"/>
    <n v="0.2"/>
    <n v="2.8883999999999999"/>
  </r>
  <r>
    <n v="5862"/>
    <x v="766"/>
    <x v="0"/>
    <x v="5"/>
    <d v="2013-05-05T00:00:00"/>
    <n v="3"/>
    <x v="0"/>
    <s v="Chris McAfee"/>
    <x v="0"/>
    <s v="United States"/>
    <s v="Little Rock"/>
    <s v="Arkansas"/>
    <s v="South"/>
    <x v="1"/>
    <x v="10"/>
    <s v="Xerox 1914"/>
    <x v="1427"/>
    <n v="2"/>
    <n v="0"/>
    <n v="53.860799999999998"/>
  </r>
  <r>
    <n v="5863"/>
    <x v="766"/>
    <x v="0"/>
    <x v="5"/>
    <d v="2013-05-05T00:00:00"/>
    <n v="3"/>
    <x v="0"/>
    <s v="Chris McAfee"/>
    <x v="0"/>
    <s v="United States"/>
    <s v="Little Rock"/>
    <s v="Arkansas"/>
    <s v="South"/>
    <x v="1"/>
    <x v="10"/>
    <s v="Xerox 1994"/>
    <x v="537"/>
    <n v="3"/>
    <n v="0"/>
    <n v="9.3312000000000008"/>
  </r>
  <r>
    <n v="5864"/>
    <x v="766"/>
    <x v="0"/>
    <x v="5"/>
    <d v="2013-05-05T00:00:00"/>
    <n v="3"/>
    <x v="0"/>
    <s v="Chris McAfee"/>
    <x v="0"/>
    <s v="United States"/>
    <s v="Little Rock"/>
    <s v="Arkansas"/>
    <s v="South"/>
    <x v="1"/>
    <x v="6"/>
    <s v="DIXON Ticonderoga Erasable Checking Pencils"/>
    <x v="946"/>
    <n v="2"/>
    <n v="0"/>
    <n v="4.3524000000000003"/>
  </r>
  <r>
    <n v="5865"/>
    <x v="79"/>
    <x v="2"/>
    <x v="6"/>
    <d v="2011-08-07T00:00:00"/>
    <n v="2"/>
    <x v="0"/>
    <s v="Ricardo Sperren"/>
    <x v="1"/>
    <s v="United States"/>
    <s v="Meriden"/>
    <s v="Connecticut"/>
    <s v="East"/>
    <x v="1"/>
    <x v="9"/>
    <s v="Fellowes Advanced Computer Series Surge Protectors"/>
    <x v="1941"/>
    <n v="3"/>
    <n v="0"/>
    <n v="22.2516"/>
  </r>
  <r>
    <n v="5866"/>
    <x v="79"/>
    <x v="2"/>
    <x v="6"/>
    <d v="2011-08-07T00:00:00"/>
    <n v="2"/>
    <x v="0"/>
    <s v="Ricardo Sperren"/>
    <x v="1"/>
    <s v="United States"/>
    <s v="Meriden"/>
    <s v="Connecticut"/>
    <s v="East"/>
    <x v="1"/>
    <x v="6"/>
    <s v="Binney &amp; Smith inkTank Erasable Pocket Highlighter, Chisel Tip, Yellow"/>
    <x v="4026"/>
    <n v="2"/>
    <n v="0"/>
    <n v="2.0064000000000002"/>
  </r>
  <r>
    <n v="5867"/>
    <x v="79"/>
    <x v="2"/>
    <x v="6"/>
    <d v="2011-08-07T00:00:00"/>
    <n v="2"/>
    <x v="0"/>
    <s v="Ricardo Sperren"/>
    <x v="1"/>
    <s v="United States"/>
    <s v="Meriden"/>
    <s v="Connecticut"/>
    <s v="East"/>
    <x v="0"/>
    <x v="1"/>
    <s v="Hon GuestStacker Chair"/>
    <x v="4027"/>
    <n v="5"/>
    <n v="0"/>
    <n v="294.67099999999999"/>
  </r>
  <r>
    <n v="5868"/>
    <x v="810"/>
    <x v="0"/>
    <x v="9"/>
    <d v="2013-01-08T00:00:00"/>
    <n v="4"/>
    <x v="1"/>
    <s v="Ben Peterman"/>
    <x v="1"/>
    <s v="United States"/>
    <s v="Philadelphia"/>
    <s v="Pennsylvania"/>
    <s v="East"/>
    <x v="1"/>
    <x v="6"/>
    <s v="Newell 312"/>
    <x v="1081"/>
    <n v="1"/>
    <n v="0.2"/>
    <n v="0.58399999999999996"/>
  </r>
  <r>
    <n v="5869"/>
    <x v="810"/>
    <x v="0"/>
    <x v="9"/>
    <d v="2013-01-08T00:00:00"/>
    <n v="4"/>
    <x v="1"/>
    <s v="Ben Peterman"/>
    <x v="1"/>
    <s v="United States"/>
    <s v="Philadelphia"/>
    <s v="Pennsylvania"/>
    <s v="East"/>
    <x v="1"/>
    <x v="8"/>
    <s v="Avery Arch Ring Binders"/>
    <x v="4028"/>
    <n v="6"/>
    <n v="0.7"/>
    <n v="-80.177999999999997"/>
  </r>
  <r>
    <n v="5870"/>
    <x v="77"/>
    <x v="0"/>
    <x v="0"/>
    <d v="2013-11-13T00:00:00"/>
    <n v="5"/>
    <x v="1"/>
    <s v="Michelle Arnett"/>
    <x v="2"/>
    <s v="United States"/>
    <s v="Cheyenne"/>
    <s v="Wyoming"/>
    <s v="West"/>
    <x v="0"/>
    <x v="1"/>
    <s v="Global Troy Executive Leather Low-Back Tilter"/>
    <x v="2311"/>
    <n v="4"/>
    <n v="0.2"/>
    <n v="100.196"/>
  </r>
  <r>
    <n v="5871"/>
    <x v="403"/>
    <x v="0"/>
    <x v="1"/>
    <d v="2013-06-15T00:00:00"/>
    <n v="0"/>
    <x v="3"/>
    <s v="Ed Braxton"/>
    <x v="1"/>
    <s v="United States"/>
    <s v="Anaheim"/>
    <s v="California"/>
    <s v="West"/>
    <x v="0"/>
    <x v="3"/>
    <s v="Bush Cubix Conference Tables, Fully Assembled"/>
    <x v="4029"/>
    <n v="7"/>
    <n v="0.2"/>
    <n v="80.843000000000004"/>
  </r>
  <r>
    <n v="5872"/>
    <x v="446"/>
    <x v="0"/>
    <x v="8"/>
    <d v="2013-09-29T00:00:00"/>
    <n v="4"/>
    <x v="1"/>
    <s v="Ruben Dartt"/>
    <x v="0"/>
    <s v="United States"/>
    <s v="Bloomington"/>
    <s v="Indiana"/>
    <s v="Central"/>
    <x v="0"/>
    <x v="5"/>
    <s v="Deflect-o DuraMat Lighweight, Studded, Beveled Mat for Low Pile Carpeting"/>
    <x v="4030"/>
    <n v="3"/>
    <n v="0"/>
    <n v="21.7515"/>
  </r>
  <r>
    <n v="5873"/>
    <x v="983"/>
    <x v="3"/>
    <x v="10"/>
    <d v="2014-04-04T00:00:00"/>
    <n v="4"/>
    <x v="1"/>
    <s v="Maria Etezadi"/>
    <x v="2"/>
    <s v="United States"/>
    <s v="Columbus"/>
    <s v="Georgia"/>
    <s v="South"/>
    <x v="1"/>
    <x v="4"/>
    <s v="Advantus 10-Drawer Portable Organizer, Chrome Metal Frame, Smoke Drawers"/>
    <x v="4031"/>
    <n v="1"/>
    <n v="0"/>
    <n v="16.732800000000001"/>
  </r>
  <r>
    <n v="5874"/>
    <x v="400"/>
    <x v="3"/>
    <x v="1"/>
    <d v="2014-06-05T00:00:00"/>
    <n v="0"/>
    <x v="3"/>
    <s v="Erica Hernandez"/>
    <x v="2"/>
    <s v="United States"/>
    <s v="Jonesboro"/>
    <s v="Arkansas"/>
    <s v="South"/>
    <x v="1"/>
    <x v="8"/>
    <s v="GBC VeloBind Cover Sets"/>
    <x v="4032"/>
    <n v="7"/>
    <n v="0"/>
    <n v="54.04"/>
  </r>
  <r>
    <n v="5875"/>
    <x v="400"/>
    <x v="3"/>
    <x v="1"/>
    <d v="2014-06-05T00:00:00"/>
    <n v="0"/>
    <x v="3"/>
    <s v="Erica Hernandez"/>
    <x v="2"/>
    <s v="United States"/>
    <s v="Jonesboro"/>
    <s v="Arkansas"/>
    <s v="South"/>
    <x v="1"/>
    <x v="8"/>
    <s v="Insertable Tab Indexes For Data Binders"/>
    <x v="4033"/>
    <n v="3"/>
    <n v="0"/>
    <n v="4.3883999999999999"/>
  </r>
  <r>
    <n v="5876"/>
    <x v="1003"/>
    <x v="1"/>
    <x v="3"/>
    <d v="2012-04-09T00:00:00"/>
    <n v="2"/>
    <x v="2"/>
    <s v="Frank Merwin"/>
    <x v="2"/>
    <s v="United States"/>
    <s v="Philadelphia"/>
    <s v="Pennsylvania"/>
    <s v="East"/>
    <x v="1"/>
    <x v="6"/>
    <s v="Newell 331"/>
    <x v="4034"/>
    <n v="3"/>
    <n v="0.2"/>
    <n v="1.0268999999999999"/>
  </r>
  <r>
    <n v="5877"/>
    <x v="371"/>
    <x v="2"/>
    <x v="5"/>
    <d v="2011-05-26T00:00:00"/>
    <n v="5"/>
    <x v="1"/>
    <s v="Frank Gastineau"/>
    <x v="2"/>
    <s v="United States"/>
    <s v="Lawrence"/>
    <s v="Massachusetts"/>
    <s v="East"/>
    <x v="1"/>
    <x v="8"/>
    <s v="GBC ProClick Punch Binding System"/>
    <x v="2456"/>
    <n v="7"/>
    <n v="0"/>
    <n v="219.45140000000001"/>
  </r>
  <r>
    <n v="5878"/>
    <x v="371"/>
    <x v="2"/>
    <x v="5"/>
    <d v="2011-05-26T00:00:00"/>
    <n v="5"/>
    <x v="1"/>
    <s v="Frank Gastineau"/>
    <x v="2"/>
    <s v="United States"/>
    <s v="Lawrence"/>
    <s v="Massachusetts"/>
    <s v="East"/>
    <x v="1"/>
    <x v="10"/>
    <s v="Xerox 1992"/>
    <x v="1444"/>
    <n v="3"/>
    <n v="0"/>
    <n v="8.7905999999999995"/>
  </r>
  <r>
    <n v="5879"/>
    <x v="371"/>
    <x v="2"/>
    <x v="5"/>
    <d v="2011-05-26T00:00:00"/>
    <n v="5"/>
    <x v="1"/>
    <s v="Frank Gastineau"/>
    <x v="2"/>
    <s v="United States"/>
    <s v="Lawrence"/>
    <s v="Massachusetts"/>
    <s v="East"/>
    <x v="1"/>
    <x v="9"/>
    <s v="Belkin 8 Outlet Surge Protector"/>
    <x v="3496"/>
    <n v="6"/>
    <n v="0"/>
    <n v="68.846400000000003"/>
  </r>
  <r>
    <n v="5880"/>
    <x v="64"/>
    <x v="0"/>
    <x v="8"/>
    <d v="2013-09-12T00:00:00"/>
    <n v="6"/>
    <x v="1"/>
    <s v="Mark Van Huff"/>
    <x v="0"/>
    <s v="United States"/>
    <s v="New York City"/>
    <s v="New York"/>
    <s v="East"/>
    <x v="1"/>
    <x v="10"/>
    <s v="Xerox 1885"/>
    <x v="801"/>
    <n v="4"/>
    <n v="0"/>
    <n v="92.236800000000002"/>
  </r>
  <r>
    <n v="5881"/>
    <x v="31"/>
    <x v="0"/>
    <x v="8"/>
    <d v="2013-09-23T00:00:00"/>
    <n v="4"/>
    <x v="1"/>
    <s v="Jane Waco"/>
    <x v="1"/>
    <s v="United States"/>
    <s v="San Diego"/>
    <s v="California"/>
    <s v="West"/>
    <x v="0"/>
    <x v="1"/>
    <s v="Global Troy Executive Leather Low-Back Tilter"/>
    <x v="476"/>
    <n v="2"/>
    <n v="0.2"/>
    <n v="50.097999999999999"/>
  </r>
  <r>
    <n v="5882"/>
    <x v="31"/>
    <x v="0"/>
    <x v="8"/>
    <d v="2013-09-23T00:00:00"/>
    <n v="4"/>
    <x v="1"/>
    <s v="Jane Waco"/>
    <x v="1"/>
    <s v="United States"/>
    <s v="San Diego"/>
    <s v="California"/>
    <s v="West"/>
    <x v="1"/>
    <x v="10"/>
    <s v="Xerox 1945"/>
    <x v="1519"/>
    <n v="9"/>
    <n v="0"/>
    <n v="180.76589999999999"/>
  </r>
  <r>
    <n v="5883"/>
    <x v="31"/>
    <x v="0"/>
    <x v="8"/>
    <d v="2013-09-23T00:00:00"/>
    <n v="4"/>
    <x v="1"/>
    <s v="Jane Waco"/>
    <x v="1"/>
    <s v="United States"/>
    <s v="San Diego"/>
    <s v="California"/>
    <s v="West"/>
    <x v="0"/>
    <x v="1"/>
    <s v="Global High-Back Leather Tilter, Burgundy"/>
    <x v="4035"/>
    <n v="9"/>
    <n v="0.2"/>
    <n v="-99.621899999999997"/>
  </r>
  <r>
    <n v="5884"/>
    <x v="69"/>
    <x v="0"/>
    <x v="10"/>
    <d v="2013-03-16T00:00:00"/>
    <n v="2"/>
    <x v="0"/>
    <s v="Edward Hooks"/>
    <x v="1"/>
    <s v="United States"/>
    <s v="San Francisco"/>
    <s v="California"/>
    <s v="West"/>
    <x v="0"/>
    <x v="5"/>
    <s v="Westinghouse Mesh Shade Clip-On Gooseneck Lamp, Black"/>
    <x v="4036"/>
    <n v="2"/>
    <n v="0"/>
    <n v="7.3528000000000002"/>
  </r>
  <r>
    <n v="5885"/>
    <x v="69"/>
    <x v="0"/>
    <x v="10"/>
    <d v="2013-03-16T00:00:00"/>
    <n v="2"/>
    <x v="0"/>
    <s v="Edward Hooks"/>
    <x v="1"/>
    <s v="United States"/>
    <s v="San Francisco"/>
    <s v="California"/>
    <s v="West"/>
    <x v="1"/>
    <x v="14"/>
    <s v="High Speed Automatic Electric Letter Opener"/>
    <x v="4037"/>
    <n v="3"/>
    <n v="0"/>
    <n v="196.50360000000001"/>
  </r>
  <r>
    <n v="5886"/>
    <x v="1079"/>
    <x v="2"/>
    <x v="2"/>
    <d v="2011-10-17T00:00:00"/>
    <n v="1"/>
    <x v="3"/>
    <s v="Lynn Smith"/>
    <x v="0"/>
    <s v="United States"/>
    <s v="San Francisco"/>
    <s v="California"/>
    <s v="West"/>
    <x v="1"/>
    <x v="8"/>
    <s v="Avery Non-Stick Heavy Duty View Round Locking Ring Binders"/>
    <x v="642"/>
    <n v="3"/>
    <n v="0.2"/>
    <n v="5.0232000000000001"/>
  </r>
  <r>
    <n v="5887"/>
    <x v="1079"/>
    <x v="2"/>
    <x v="2"/>
    <d v="2011-10-17T00:00:00"/>
    <n v="1"/>
    <x v="3"/>
    <s v="Lynn Smith"/>
    <x v="0"/>
    <s v="United States"/>
    <s v="San Francisco"/>
    <s v="California"/>
    <s v="West"/>
    <x v="2"/>
    <x v="11"/>
    <s v="Logitech Illuminated - Keyboard"/>
    <x v="686"/>
    <n v="3"/>
    <n v="0"/>
    <n v="86.385599999999997"/>
  </r>
  <r>
    <n v="5888"/>
    <x v="1048"/>
    <x v="3"/>
    <x v="2"/>
    <d v="2014-10-12T00:00:00"/>
    <n v="3"/>
    <x v="2"/>
    <s v="Barry Pond"/>
    <x v="1"/>
    <s v="United States"/>
    <s v="Cranston"/>
    <s v="Rhode Island"/>
    <s v="East"/>
    <x v="1"/>
    <x v="4"/>
    <s v="SAFCO Mobile Desk Side File, Wire Frame"/>
    <x v="3802"/>
    <n v="1"/>
    <n v="0"/>
    <n v="11.117599999999999"/>
  </r>
  <r>
    <n v="5889"/>
    <x v="820"/>
    <x v="1"/>
    <x v="5"/>
    <d v="2012-05-12T00:00:00"/>
    <n v="5"/>
    <x v="1"/>
    <s v="Chris Cortes"/>
    <x v="0"/>
    <s v="United States"/>
    <s v="Owensboro"/>
    <s v="Kentucky"/>
    <s v="South"/>
    <x v="1"/>
    <x v="10"/>
    <s v="Xerox 1902"/>
    <x v="1816"/>
    <n v="2"/>
    <n v="0"/>
    <n v="21.012799999999999"/>
  </r>
  <r>
    <n v="5890"/>
    <x v="167"/>
    <x v="0"/>
    <x v="3"/>
    <d v="2013-04-18T00:00:00"/>
    <n v="3"/>
    <x v="2"/>
    <s v="Jill Matthias"/>
    <x v="0"/>
    <s v="United States"/>
    <s v="Baltimore"/>
    <s v="Maryland"/>
    <s v="East"/>
    <x v="1"/>
    <x v="8"/>
    <s v="GBC ProClick Spines for 32-Hole Punch"/>
    <x v="2910"/>
    <n v="2"/>
    <n v="0"/>
    <n v="11.7782"/>
  </r>
  <r>
    <n v="5891"/>
    <x v="831"/>
    <x v="0"/>
    <x v="0"/>
    <d v="2013-11-27T00:00:00"/>
    <n v="5"/>
    <x v="1"/>
    <s v="Roger Demir"/>
    <x v="0"/>
    <s v="United States"/>
    <s v="Chicago"/>
    <s v="Illinois"/>
    <s v="Central"/>
    <x v="1"/>
    <x v="10"/>
    <s v="Xerox 1910"/>
    <x v="4038"/>
    <n v="1"/>
    <n v="0.2"/>
    <n v="13.4512"/>
  </r>
  <r>
    <n v="5892"/>
    <x v="831"/>
    <x v="0"/>
    <x v="0"/>
    <d v="2013-11-27T00:00:00"/>
    <n v="5"/>
    <x v="1"/>
    <s v="Roger Demir"/>
    <x v="0"/>
    <s v="United States"/>
    <s v="Chicago"/>
    <s v="Illinois"/>
    <s v="Central"/>
    <x v="1"/>
    <x v="4"/>
    <s v="Tenex Personal Project File with Scoop Front Design, Black"/>
    <x v="4039"/>
    <n v="2"/>
    <n v="0.2"/>
    <n v="1.6175999999999999"/>
  </r>
  <r>
    <n v="5893"/>
    <x v="831"/>
    <x v="0"/>
    <x v="0"/>
    <d v="2013-11-27T00:00:00"/>
    <n v="5"/>
    <x v="1"/>
    <s v="Roger Demir"/>
    <x v="0"/>
    <s v="United States"/>
    <s v="Chicago"/>
    <s v="Illinois"/>
    <s v="Central"/>
    <x v="2"/>
    <x v="11"/>
    <s v="Lenovo 17-Key USB Numeric Keypad"/>
    <x v="4040"/>
    <n v="3"/>
    <n v="0.2"/>
    <n v="2.0394000000000001"/>
  </r>
  <r>
    <n v="5894"/>
    <x v="18"/>
    <x v="3"/>
    <x v="8"/>
    <d v="2014-09-15T00:00:00"/>
    <n v="4"/>
    <x v="1"/>
    <s v="Shahid Shariari"/>
    <x v="0"/>
    <s v="United States"/>
    <s v="Atlanta"/>
    <s v="Georgia"/>
    <s v="South"/>
    <x v="1"/>
    <x v="8"/>
    <s v="Wilson Jones Suede Grain Vinyl Binders"/>
    <x v="1094"/>
    <n v="1"/>
    <n v="0"/>
    <n v="1.3622000000000001"/>
  </r>
  <r>
    <n v="5895"/>
    <x v="428"/>
    <x v="3"/>
    <x v="8"/>
    <d v="2014-09-15T00:00:00"/>
    <n v="5"/>
    <x v="1"/>
    <s v="Keith Dawkins"/>
    <x v="1"/>
    <s v="United States"/>
    <s v="Los Angeles"/>
    <s v="California"/>
    <s v="West"/>
    <x v="1"/>
    <x v="4"/>
    <s v="Fellowes Bases and Tops For Staxonsteel/High-Stak Systems"/>
    <x v="4041"/>
    <n v="3"/>
    <n v="0"/>
    <n v="23.968800000000002"/>
  </r>
  <r>
    <n v="5896"/>
    <x v="301"/>
    <x v="2"/>
    <x v="0"/>
    <d v="2011-11-08T00:00:00"/>
    <n v="7"/>
    <x v="1"/>
    <s v="Paul Lucas"/>
    <x v="2"/>
    <s v="United States"/>
    <s v="Los Angeles"/>
    <s v="California"/>
    <s v="West"/>
    <x v="1"/>
    <x v="2"/>
    <s v="Avery 475"/>
    <x v="1821"/>
    <n v="3"/>
    <n v="0"/>
    <n v="22.2"/>
  </r>
  <r>
    <n v="5897"/>
    <x v="301"/>
    <x v="2"/>
    <x v="0"/>
    <d v="2011-11-08T00:00:00"/>
    <n v="7"/>
    <x v="1"/>
    <s v="Paul Lucas"/>
    <x v="2"/>
    <s v="United States"/>
    <s v="Los Angeles"/>
    <s v="California"/>
    <s v="West"/>
    <x v="1"/>
    <x v="10"/>
    <s v="Staples"/>
    <x v="1567"/>
    <n v="5"/>
    <n v="0"/>
    <n v="9.6300000000000008"/>
  </r>
  <r>
    <n v="5898"/>
    <x v="1015"/>
    <x v="0"/>
    <x v="3"/>
    <d v="2013-04-10T00:00:00"/>
    <n v="6"/>
    <x v="1"/>
    <s v="Zuschuss Donatelli"/>
    <x v="0"/>
    <s v="United States"/>
    <s v="Richmond"/>
    <s v="Indiana"/>
    <s v="Central"/>
    <x v="0"/>
    <x v="5"/>
    <s v="Seth Thomas 13 1/2&quot; Wall Clock"/>
    <x v="4042"/>
    <n v="4"/>
    <n v="0"/>
    <n v="22.0472"/>
  </r>
  <r>
    <n v="5899"/>
    <x v="1015"/>
    <x v="0"/>
    <x v="3"/>
    <d v="2013-04-10T00:00:00"/>
    <n v="6"/>
    <x v="1"/>
    <s v="Zuschuss Donatelli"/>
    <x v="0"/>
    <s v="United States"/>
    <s v="Richmond"/>
    <s v="Indiana"/>
    <s v="Central"/>
    <x v="2"/>
    <x v="7"/>
    <s v="Plantronics Voyager Pro HD - Bluetooth Headset"/>
    <x v="4043"/>
    <n v="4"/>
    <n v="0"/>
    <n v="124.7808"/>
  </r>
  <r>
    <n v="5900"/>
    <x v="602"/>
    <x v="3"/>
    <x v="9"/>
    <d v="2014-01-17T00:00:00"/>
    <n v="4"/>
    <x v="1"/>
    <s v="Linda Southworth"/>
    <x v="1"/>
    <s v="United States"/>
    <s v="San Francisco"/>
    <s v="California"/>
    <s v="West"/>
    <x v="1"/>
    <x v="12"/>
    <s v="Staples"/>
    <x v="3855"/>
    <n v="1"/>
    <n v="0"/>
    <n v="4.8899999999999997"/>
  </r>
  <r>
    <n v="5901"/>
    <x v="312"/>
    <x v="1"/>
    <x v="0"/>
    <d v="2012-11-24T00:00:00"/>
    <n v="4"/>
    <x v="1"/>
    <s v="Patrick Bzostek"/>
    <x v="2"/>
    <s v="United States"/>
    <s v="San Francisco"/>
    <s v="California"/>
    <s v="West"/>
    <x v="1"/>
    <x v="8"/>
    <s v="Cardinal Poly Pocket Divider Pockets for Ring Binders"/>
    <x v="4044"/>
    <n v="9"/>
    <n v="0.2"/>
    <n v="7.56"/>
  </r>
  <r>
    <n v="5902"/>
    <x v="581"/>
    <x v="0"/>
    <x v="0"/>
    <d v="2013-12-03T00:00:00"/>
    <n v="5"/>
    <x v="1"/>
    <s v="Pamela Coakley"/>
    <x v="1"/>
    <m/>
    <s v="Westfield"/>
    <s v="New Jersey"/>
    <s v="East"/>
    <x v="0"/>
    <x v="5"/>
    <s v="Ultra Door Pull Handle"/>
    <x v="610"/>
    <n v="3"/>
    <n v="0"/>
    <n v="10.4148"/>
  </r>
  <r>
    <n v="5903"/>
    <x v="44"/>
    <x v="3"/>
    <x v="0"/>
    <d v="2014-11-07T00:00:00"/>
    <n v="0"/>
    <x v="3"/>
    <s v="Frank Merwin"/>
    <x v="2"/>
    <m/>
    <s v="San Francisco"/>
    <s v="California"/>
    <s v="West"/>
    <x v="1"/>
    <x v="10"/>
    <s v="Xerox 191"/>
    <x v="725"/>
    <n v="3"/>
    <n v="0"/>
    <n v="28.171800000000001"/>
  </r>
  <r>
    <n v="5904"/>
    <x v="44"/>
    <x v="3"/>
    <x v="0"/>
    <d v="2014-11-07T00:00:00"/>
    <n v="0"/>
    <x v="3"/>
    <s v="Frank Merwin"/>
    <x v="2"/>
    <m/>
    <s v="San Francisco"/>
    <s v="California"/>
    <s v="West"/>
    <x v="1"/>
    <x v="10"/>
    <s v="Staples"/>
    <x v="1544"/>
    <n v="4"/>
    <n v="0"/>
    <n v="22.226400000000002"/>
  </r>
  <r>
    <n v="5905"/>
    <x v="44"/>
    <x v="3"/>
    <x v="0"/>
    <d v="2014-11-07T00:00:00"/>
    <n v="0"/>
    <x v="3"/>
    <s v="Frank Merwin"/>
    <x v="2"/>
    <m/>
    <s v="San Francisco"/>
    <s v="California"/>
    <s v="West"/>
    <x v="1"/>
    <x v="10"/>
    <s v="Astroparche Fine Business Paper"/>
    <x v="1579"/>
    <n v="5"/>
    <n v="0"/>
    <n v="12.672000000000001"/>
  </r>
  <r>
    <n v="5906"/>
    <x v="44"/>
    <x v="3"/>
    <x v="0"/>
    <d v="2014-11-07T00:00:00"/>
    <n v="0"/>
    <x v="3"/>
    <s v="Frank Merwin"/>
    <x v="2"/>
    <m/>
    <s v="San Francisco"/>
    <s v="California"/>
    <s v="West"/>
    <x v="1"/>
    <x v="2"/>
    <s v="Avery 503"/>
    <x v="1399"/>
    <n v="4"/>
    <n v="0"/>
    <n v="19.872"/>
  </r>
  <r>
    <n v="5907"/>
    <x v="44"/>
    <x v="3"/>
    <x v="0"/>
    <d v="2014-11-07T00:00:00"/>
    <n v="0"/>
    <x v="3"/>
    <s v="Frank Merwin"/>
    <x v="2"/>
    <m/>
    <s v="San Francisco"/>
    <s v="California"/>
    <s v="West"/>
    <x v="2"/>
    <x v="11"/>
    <s v="Kingston Digital DataTraveler 32GB USB 2.0"/>
    <x v="4045"/>
    <n v="1"/>
    <n v="0"/>
    <n v="1.0169999999999999"/>
  </r>
  <r>
    <n v="5908"/>
    <x v="499"/>
    <x v="0"/>
    <x v="4"/>
    <d v="2013-12-08T00:00:00"/>
    <n v="5"/>
    <x v="1"/>
    <s v="Keith Dawkins"/>
    <x v="1"/>
    <m/>
    <s v="San Jose"/>
    <s v="California"/>
    <s v="West"/>
    <x v="1"/>
    <x v="8"/>
    <s v="GBC VeloBind Cover Sets"/>
    <x v="4046"/>
    <n v="2"/>
    <n v="0.2"/>
    <n v="9.2639999999999993"/>
  </r>
  <r>
    <n v="5909"/>
    <x v="499"/>
    <x v="0"/>
    <x v="4"/>
    <d v="2013-12-08T00:00:00"/>
    <n v="5"/>
    <x v="1"/>
    <s v="Keith Dawkins"/>
    <x v="1"/>
    <m/>
    <s v="San Jose"/>
    <s v="California"/>
    <s v="West"/>
    <x v="1"/>
    <x v="9"/>
    <s v="Holmes Cool Mist Humidifier for the Whole House with 8-Gallon Output per Day, Extended Life Filter"/>
    <x v="3263"/>
    <n v="3"/>
    <n v="0"/>
    <n v="26.864999999999998"/>
  </r>
  <r>
    <n v="5910"/>
    <x v="499"/>
    <x v="0"/>
    <x v="4"/>
    <d v="2013-12-08T00:00:00"/>
    <n v="5"/>
    <x v="1"/>
    <s v="Keith Dawkins"/>
    <x v="1"/>
    <m/>
    <s v="San Jose"/>
    <s v="California"/>
    <s v="West"/>
    <x v="0"/>
    <x v="5"/>
    <s v="Eldon Regeneration Recycled Desk Accessories, Black"/>
    <x v="1582"/>
    <n v="3"/>
    <n v="0"/>
    <n v="5.6627999999999998"/>
  </r>
  <r>
    <n v="5911"/>
    <x v="499"/>
    <x v="0"/>
    <x v="4"/>
    <d v="2013-12-08T00:00:00"/>
    <n v="5"/>
    <x v="1"/>
    <s v="Keith Dawkins"/>
    <x v="1"/>
    <m/>
    <s v="San Jose"/>
    <s v="California"/>
    <s v="West"/>
    <x v="1"/>
    <x v="8"/>
    <s v="Satellite Sectional Post Binders"/>
    <x v="4047"/>
    <n v="3"/>
    <n v="0.2"/>
    <n v="33.8598"/>
  </r>
  <r>
    <n v="5912"/>
    <x v="907"/>
    <x v="0"/>
    <x v="4"/>
    <d v="2013-12-23T00:00:00"/>
    <n v="5"/>
    <x v="1"/>
    <s v="Steve Carroll"/>
    <x v="2"/>
    <m/>
    <s v="Seattle"/>
    <s v="Washington"/>
    <s v="West"/>
    <x v="1"/>
    <x v="4"/>
    <s v="Personal Filing Tote with Lid, Black/Gray"/>
    <x v="2028"/>
    <n v="3"/>
    <n v="0"/>
    <n v="13.0284"/>
  </r>
  <r>
    <n v="5913"/>
    <x v="829"/>
    <x v="2"/>
    <x v="6"/>
    <d v="2011-08-26T00:00:00"/>
    <n v="2"/>
    <x v="0"/>
    <s v="Dorothy Wardle"/>
    <x v="1"/>
    <m/>
    <s v="Owensboro"/>
    <s v="Kentucky"/>
    <s v="South"/>
    <x v="1"/>
    <x v="14"/>
    <s v="Acme Titanium Bonded Scissors"/>
    <x v="4048"/>
    <n v="3"/>
    <n v="0"/>
    <n v="6.63"/>
  </r>
  <r>
    <n v="5914"/>
    <x v="14"/>
    <x v="1"/>
    <x v="8"/>
    <d v="2012-09-23T00:00:00"/>
    <n v="6"/>
    <x v="1"/>
    <s v="Peter Fuller"/>
    <x v="0"/>
    <m/>
    <s v="New York City"/>
    <s v="New York"/>
    <s v="East"/>
    <x v="1"/>
    <x v="4"/>
    <s v="Woodgrain Magazine Files by Perma"/>
    <x v="81"/>
    <n v="5"/>
    <n v="0"/>
    <n v="1.0429999999999999"/>
  </r>
  <r>
    <n v="5915"/>
    <x v="14"/>
    <x v="1"/>
    <x v="8"/>
    <d v="2012-09-23T00:00:00"/>
    <n v="6"/>
    <x v="1"/>
    <s v="Peter Fuller"/>
    <x v="0"/>
    <m/>
    <s v="New York City"/>
    <s v="New York"/>
    <s v="East"/>
    <x v="1"/>
    <x v="2"/>
    <s v="Avery 485"/>
    <x v="2041"/>
    <n v="7"/>
    <n v="0"/>
    <n v="41.223700000000001"/>
  </r>
  <r>
    <n v="5916"/>
    <x v="14"/>
    <x v="1"/>
    <x v="8"/>
    <d v="2012-09-23T00:00:00"/>
    <n v="6"/>
    <x v="1"/>
    <s v="Peter Fuller"/>
    <x v="0"/>
    <m/>
    <s v="New York City"/>
    <s v="New York"/>
    <s v="East"/>
    <x v="0"/>
    <x v="1"/>
    <s v="Office Star Flex Back Scooter Chair with White Frame"/>
    <x v="4049"/>
    <n v="2"/>
    <n v="0.1"/>
    <n v="8.8783999999999992"/>
  </r>
  <r>
    <n v="5917"/>
    <x v="14"/>
    <x v="1"/>
    <x v="8"/>
    <d v="2012-09-23T00:00:00"/>
    <n v="6"/>
    <x v="1"/>
    <s v="Peter Fuller"/>
    <x v="0"/>
    <m/>
    <s v="New York City"/>
    <s v="New York"/>
    <s v="East"/>
    <x v="1"/>
    <x v="4"/>
    <s v="Eldon Mobile Mega Data Cart  Mega Stackable  Add-On Trays"/>
    <x v="4050"/>
    <n v="4"/>
    <n v="0"/>
    <n v="27.434000000000001"/>
  </r>
  <r>
    <n v="5918"/>
    <x v="14"/>
    <x v="1"/>
    <x v="8"/>
    <d v="2012-09-23T00:00:00"/>
    <n v="6"/>
    <x v="1"/>
    <s v="Peter Fuller"/>
    <x v="0"/>
    <m/>
    <s v="New York City"/>
    <s v="New York"/>
    <s v="East"/>
    <x v="0"/>
    <x v="0"/>
    <s v="Riverside Palais Royal Lawyers Bookcase, Royale Cherry Finish"/>
    <x v="4051"/>
    <n v="6"/>
    <n v="0.2"/>
    <n v="158.57640000000001"/>
  </r>
  <r>
    <n v="5919"/>
    <x v="14"/>
    <x v="1"/>
    <x v="8"/>
    <d v="2012-09-23T00:00:00"/>
    <n v="6"/>
    <x v="1"/>
    <s v="Peter Fuller"/>
    <x v="0"/>
    <m/>
    <s v="New York City"/>
    <s v="New York"/>
    <s v="East"/>
    <x v="0"/>
    <x v="0"/>
    <s v="DMI Eclipse Executive Suite Bookcases"/>
    <x v="4052"/>
    <n v="5"/>
    <n v="0.2"/>
    <n v="-25.048999999999999"/>
  </r>
  <r>
    <n v="5920"/>
    <x v="14"/>
    <x v="1"/>
    <x v="8"/>
    <d v="2012-09-23T00:00:00"/>
    <n v="6"/>
    <x v="1"/>
    <s v="Peter Fuller"/>
    <x v="0"/>
    <m/>
    <s v="New York City"/>
    <s v="New York"/>
    <s v="East"/>
    <x v="2"/>
    <x v="7"/>
    <s v="ClearSounds CSC500 Amplified Spirit Phone Corded phone"/>
    <x v="2713"/>
    <n v="3"/>
    <n v="0"/>
    <n v="58.791600000000003"/>
  </r>
  <r>
    <n v="5921"/>
    <x v="14"/>
    <x v="1"/>
    <x v="8"/>
    <d v="2012-09-23T00:00:00"/>
    <n v="6"/>
    <x v="1"/>
    <s v="Peter Fuller"/>
    <x v="0"/>
    <m/>
    <s v="New York City"/>
    <s v="New York"/>
    <s v="East"/>
    <x v="2"/>
    <x v="11"/>
    <s v="Plantronics CS510 - Over-the-Head monaural Wireless Headset System"/>
    <x v="2963"/>
    <n v="2"/>
    <n v="0"/>
    <n v="217.767"/>
  </r>
  <r>
    <n v="5922"/>
    <x v="14"/>
    <x v="1"/>
    <x v="8"/>
    <d v="2012-09-23T00:00:00"/>
    <n v="6"/>
    <x v="1"/>
    <s v="Peter Fuller"/>
    <x v="0"/>
    <m/>
    <s v="New York City"/>
    <s v="New York"/>
    <s v="East"/>
    <x v="1"/>
    <x v="10"/>
    <s v="Eaton Premium Continuous-Feed Paper, 25% Cotton, Letter Size, White, 1000 Shts/Box"/>
    <x v="168"/>
    <n v="2"/>
    <n v="0"/>
    <n v="53.260800000000003"/>
  </r>
  <r>
    <n v="5923"/>
    <x v="14"/>
    <x v="1"/>
    <x v="8"/>
    <d v="2012-09-23T00:00:00"/>
    <n v="6"/>
    <x v="1"/>
    <s v="Peter Fuller"/>
    <x v="0"/>
    <m/>
    <s v="New York City"/>
    <s v="New York"/>
    <s v="East"/>
    <x v="2"/>
    <x v="7"/>
    <s v="ARKON Windshield Dashboard Air Vent Car Mount Holder"/>
    <x v="760"/>
    <n v="4"/>
    <n v="0"/>
    <n v="1.3560000000000001"/>
  </r>
  <r>
    <n v="5924"/>
    <x v="491"/>
    <x v="0"/>
    <x v="0"/>
    <d v="2013-12-01T00:00:00"/>
    <n v="4"/>
    <x v="0"/>
    <s v="Dean Katz"/>
    <x v="1"/>
    <m/>
    <s v="New York City"/>
    <s v="New York"/>
    <s v="East"/>
    <x v="0"/>
    <x v="3"/>
    <s v="Bevis Oval Conference Table, Walnut"/>
    <x v="4053"/>
    <n v="2"/>
    <n v="0.4"/>
    <n v="-120.0508"/>
  </r>
  <r>
    <n v="5925"/>
    <x v="123"/>
    <x v="3"/>
    <x v="0"/>
    <d v="2014-11-23T00:00:00"/>
    <n v="3"/>
    <x v="0"/>
    <s v="Richard Bierner"/>
    <x v="0"/>
    <m/>
    <s v="Springfield"/>
    <s v="Virginia"/>
    <s v="South"/>
    <x v="1"/>
    <x v="6"/>
    <s v="Newell 349"/>
    <x v="1003"/>
    <n v="7"/>
    <n v="0"/>
    <n v="6.6584000000000003"/>
  </r>
  <r>
    <n v="5926"/>
    <x v="95"/>
    <x v="3"/>
    <x v="1"/>
    <d v="2014-06-09T00:00:00"/>
    <n v="5"/>
    <x v="1"/>
    <s v="Giulietta Dortch"/>
    <x v="1"/>
    <m/>
    <s v="Bellingham"/>
    <s v="Washington"/>
    <s v="West"/>
    <x v="2"/>
    <x v="11"/>
    <s v="Plantronics Audio 995 Wireless Stereo Headset"/>
    <x v="4054"/>
    <n v="10"/>
    <n v="0"/>
    <n v="362.83499999999998"/>
  </r>
  <r>
    <n v="5927"/>
    <x v="918"/>
    <x v="2"/>
    <x v="3"/>
    <d v="2011-04-12T00:00:00"/>
    <n v="4"/>
    <x v="1"/>
    <s v="Ruben Ausman"/>
    <x v="1"/>
    <m/>
    <s v="Decatur"/>
    <s v="Alabama"/>
    <s v="South"/>
    <x v="0"/>
    <x v="3"/>
    <s v="SAFCO PlanMaster Boards, 60w x 37-1/2d, White Melamine"/>
    <x v="4055"/>
    <n v="8"/>
    <n v="0"/>
    <n v="316.13920000000002"/>
  </r>
  <r>
    <n v="5928"/>
    <x v="856"/>
    <x v="2"/>
    <x v="2"/>
    <d v="2011-10-15T00:00:00"/>
    <n v="4"/>
    <x v="1"/>
    <s v="Dorothy Badders"/>
    <x v="1"/>
    <m/>
    <s v="Fayetteville"/>
    <s v="Arkansas"/>
    <s v="South"/>
    <x v="1"/>
    <x v="2"/>
    <s v="Self-Adhesive Address Labels for Typewriters by Universal"/>
    <x v="2026"/>
    <n v="1"/>
    <n v="0"/>
    <n v="3.4357000000000002"/>
  </r>
  <r>
    <n v="5929"/>
    <x v="856"/>
    <x v="2"/>
    <x v="2"/>
    <d v="2011-10-15T00:00:00"/>
    <n v="4"/>
    <x v="1"/>
    <s v="Dorothy Badders"/>
    <x v="1"/>
    <m/>
    <s v="Fayetteville"/>
    <s v="Arkansas"/>
    <s v="South"/>
    <x v="0"/>
    <x v="5"/>
    <s v="Eldon Pizzaz Desk Accessories"/>
    <x v="4056"/>
    <n v="4"/>
    <n v="0"/>
    <n v="3.9247999999999998"/>
  </r>
  <r>
    <n v="5930"/>
    <x v="437"/>
    <x v="3"/>
    <x v="7"/>
    <d v="2014-07-10T00:00:00"/>
    <n v="2"/>
    <x v="2"/>
    <s v="Rob Lucas"/>
    <x v="0"/>
    <m/>
    <s v="Philadelphia"/>
    <s v="Pennsylvania"/>
    <s v="East"/>
    <x v="0"/>
    <x v="0"/>
    <s v="O'Sullivan 3-Shelf Heavy-Duty Bookcases"/>
    <x v="4057"/>
    <n v="3"/>
    <n v="0.5"/>
    <n v="-45.349200000000003"/>
  </r>
  <r>
    <n v="5931"/>
    <x v="437"/>
    <x v="3"/>
    <x v="7"/>
    <d v="2014-07-10T00:00:00"/>
    <n v="2"/>
    <x v="2"/>
    <s v="Rob Lucas"/>
    <x v="0"/>
    <m/>
    <s v="Philadelphia"/>
    <s v="Pennsylvania"/>
    <s v="East"/>
    <x v="1"/>
    <x v="10"/>
    <s v="Xerox 216"/>
    <x v="12"/>
    <n v="3"/>
    <n v="0.2"/>
    <n v="5.4432"/>
  </r>
  <r>
    <n v="5932"/>
    <x v="437"/>
    <x v="3"/>
    <x v="7"/>
    <d v="2014-07-10T00:00:00"/>
    <n v="2"/>
    <x v="2"/>
    <s v="Rob Lucas"/>
    <x v="0"/>
    <m/>
    <s v="Philadelphia"/>
    <s v="Pennsylvania"/>
    <s v="East"/>
    <x v="2"/>
    <x v="7"/>
    <s v="Apple iPhone 5S"/>
    <x v="4058"/>
    <n v="2"/>
    <n v="0.4"/>
    <n v="-113.998"/>
  </r>
  <r>
    <n v="5933"/>
    <x v="437"/>
    <x v="3"/>
    <x v="7"/>
    <d v="2014-07-10T00:00:00"/>
    <n v="2"/>
    <x v="2"/>
    <s v="Rob Lucas"/>
    <x v="0"/>
    <m/>
    <s v="Philadelphia"/>
    <s v="Pennsylvania"/>
    <s v="East"/>
    <x v="1"/>
    <x v="4"/>
    <s v="Plastic Stacking Crates &amp; Casters"/>
    <x v="2513"/>
    <n v="3"/>
    <n v="0.2"/>
    <n v="1.0044"/>
  </r>
  <r>
    <n v="5934"/>
    <x v="437"/>
    <x v="3"/>
    <x v="7"/>
    <d v="2014-07-10T00:00:00"/>
    <n v="2"/>
    <x v="2"/>
    <s v="Rob Lucas"/>
    <x v="0"/>
    <m/>
    <s v="Philadelphia"/>
    <s v="Pennsylvania"/>
    <s v="East"/>
    <x v="2"/>
    <x v="11"/>
    <s v="AmazonBasics 3-Button USB Wired Mouse"/>
    <x v="3549"/>
    <n v="3"/>
    <n v="0.2"/>
    <n v="4.8231000000000002"/>
  </r>
  <r>
    <n v="5935"/>
    <x v="437"/>
    <x v="3"/>
    <x v="7"/>
    <d v="2014-07-10T00:00:00"/>
    <n v="2"/>
    <x v="2"/>
    <s v="Rob Lucas"/>
    <x v="0"/>
    <m/>
    <s v="Philadelphia"/>
    <s v="Pennsylvania"/>
    <s v="East"/>
    <x v="2"/>
    <x v="11"/>
    <s v="Plantronics CS510 - Over-the-Head monaural Wireless Headset System"/>
    <x v="4059"/>
    <n v="2"/>
    <n v="0.2"/>
    <n v="85.787000000000006"/>
  </r>
  <r>
    <n v="5936"/>
    <x v="975"/>
    <x v="0"/>
    <x v="7"/>
    <d v="2013-07-05T00:00:00"/>
    <n v="0"/>
    <x v="3"/>
    <s v="Rick Bensley"/>
    <x v="2"/>
    <m/>
    <s v="Seattle"/>
    <s v="Washington"/>
    <s v="West"/>
    <x v="0"/>
    <x v="5"/>
    <s v="Master Caster Door Stop, Brown"/>
    <x v="3286"/>
    <n v="5"/>
    <n v="0"/>
    <n v="8.6359999999999992"/>
  </r>
  <r>
    <n v="5937"/>
    <x v="975"/>
    <x v="0"/>
    <x v="7"/>
    <d v="2013-07-05T00:00:00"/>
    <n v="0"/>
    <x v="3"/>
    <s v="Rick Bensley"/>
    <x v="2"/>
    <m/>
    <s v="Seattle"/>
    <s v="Washington"/>
    <s v="West"/>
    <x v="2"/>
    <x v="7"/>
    <s v="Avaya 4621SW VoIP phone"/>
    <x v="1637"/>
    <n v="3"/>
    <n v="0.2"/>
    <n v="19.9665"/>
  </r>
  <r>
    <n v="5938"/>
    <x v="975"/>
    <x v="0"/>
    <x v="7"/>
    <d v="2013-07-05T00:00:00"/>
    <n v="0"/>
    <x v="3"/>
    <s v="Rick Bensley"/>
    <x v="2"/>
    <m/>
    <s v="Seattle"/>
    <s v="Washington"/>
    <s v="West"/>
    <x v="2"/>
    <x v="7"/>
    <s v="OtterBox Defender Series Case - Samsung Galaxy S4"/>
    <x v="973"/>
    <n v="3"/>
    <n v="0.2"/>
    <n v="8.9969999999999999"/>
  </r>
  <r>
    <n v="5939"/>
    <x v="240"/>
    <x v="3"/>
    <x v="5"/>
    <d v="2014-05-26T00:00:00"/>
    <n v="6"/>
    <x v="1"/>
    <s v="Jason Fortune-"/>
    <x v="0"/>
    <m/>
    <s v="Plano"/>
    <s v="Texas"/>
    <s v="Central"/>
    <x v="2"/>
    <x v="7"/>
    <s v="Jabra Supreme Plus Driver Edition Headset"/>
    <x v="4060"/>
    <n v="1"/>
    <n v="0.2"/>
    <n v="9.5991999999999997"/>
  </r>
  <r>
    <n v="5940"/>
    <x v="240"/>
    <x v="3"/>
    <x v="5"/>
    <d v="2014-05-26T00:00:00"/>
    <n v="6"/>
    <x v="1"/>
    <s v="Jason Fortune-"/>
    <x v="0"/>
    <m/>
    <s v="Plano"/>
    <s v="Texas"/>
    <s v="Central"/>
    <x v="1"/>
    <x v="2"/>
    <s v="Avery 491"/>
    <x v="1145"/>
    <n v="4"/>
    <n v="0.2"/>
    <n v="4.2952000000000004"/>
  </r>
  <r>
    <n v="5941"/>
    <x v="386"/>
    <x v="3"/>
    <x v="2"/>
    <d v="2014-10-15T00:00:00"/>
    <n v="2"/>
    <x v="0"/>
    <s v="Robert Waldorf"/>
    <x v="0"/>
    <m/>
    <s v="Los Angeles"/>
    <s v="California"/>
    <s v="West"/>
    <x v="2"/>
    <x v="11"/>
    <s v="SanDisk Cruzer 64 GB USB Flash Drive"/>
    <x v="4061"/>
    <n v="12"/>
    <n v="0"/>
    <n v="130.75200000000001"/>
  </r>
  <r>
    <n v="5942"/>
    <x v="386"/>
    <x v="3"/>
    <x v="2"/>
    <d v="2014-10-15T00:00:00"/>
    <n v="2"/>
    <x v="0"/>
    <s v="Robert Waldorf"/>
    <x v="0"/>
    <m/>
    <s v="Los Angeles"/>
    <s v="California"/>
    <s v="West"/>
    <x v="1"/>
    <x v="6"/>
    <s v="Newell 343"/>
    <x v="486"/>
    <n v="2"/>
    <n v="0"/>
    <n v="1.5875999999999999"/>
  </r>
  <r>
    <n v="5943"/>
    <x v="876"/>
    <x v="0"/>
    <x v="6"/>
    <d v="2013-08-14T00:00:00"/>
    <n v="7"/>
    <x v="1"/>
    <s v="Vivek Gonzalez"/>
    <x v="0"/>
    <m/>
    <s v="Los Angeles"/>
    <s v="California"/>
    <s v="West"/>
    <x v="2"/>
    <x v="7"/>
    <s v="Panasonic KX-TG6844B Expandable Digital Cordless Telephone"/>
    <x v="1972"/>
    <n v="4"/>
    <n v="0.2"/>
    <n v="18.4772"/>
  </r>
  <r>
    <n v="5944"/>
    <x v="55"/>
    <x v="2"/>
    <x v="6"/>
    <d v="2011-08-29T00:00:00"/>
    <n v="4"/>
    <x v="1"/>
    <s v="Janet Molinari"/>
    <x v="1"/>
    <m/>
    <s v="Los Angeles"/>
    <s v="California"/>
    <s v="West"/>
    <x v="0"/>
    <x v="5"/>
    <s v="Eldon 200 Class Desk Accessories, Smoke"/>
    <x v="2933"/>
    <n v="1"/>
    <n v="0"/>
    <n v="2.6375999999999999"/>
  </r>
  <r>
    <n v="5945"/>
    <x v="55"/>
    <x v="2"/>
    <x v="6"/>
    <d v="2011-08-29T00:00:00"/>
    <n v="4"/>
    <x v="1"/>
    <s v="Janet Molinari"/>
    <x v="1"/>
    <m/>
    <s v="Los Angeles"/>
    <s v="California"/>
    <s v="West"/>
    <x v="2"/>
    <x v="11"/>
    <s v="SanDisk Cruzer 32 GB USB Flash Drive"/>
    <x v="2016"/>
    <n v="5"/>
    <n v="0"/>
    <n v="30.431999999999999"/>
  </r>
  <r>
    <n v="5946"/>
    <x v="55"/>
    <x v="2"/>
    <x v="6"/>
    <d v="2011-08-29T00:00:00"/>
    <n v="4"/>
    <x v="1"/>
    <s v="Janet Molinari"/>
    <x v="1"/>
    <m/>
    <s v="Los Angeles"/>
    <s v="California"/>
    <s v="West"/>
    <x v="1"/>
    <x v="10"/>
    <s v="Xerox 23"/>
    <x v="233"/>
    <n v="4"/>
    <n v="0"/>
    <n v="12.441599999999999"/>
  </r>
  <r>
    <n v="5947"/>
    <x v="55"/>
    <x v="2"/>
    <x v="6"/>
    <d v="2011-08-29T00:00:00"/>
    <n v="4"/>
    <x v="1"/>
    <s v="Janet Molinari"/>
    <x v="1"/>
    <m/>
    <s v="Los Angeles"/>
    <s v="California"/>
    <s v="West"/>
    <x v="1"/>
    <x v="4"/>
    <s v="Portable Personal File Box"/>
    <x v="4062"/>
    <n v="4"/>
    <n v="0"/>
    <n v="13.1868"/>
  </r>
  <r>
    <n v="5948"/>
    <x v="471"/>
    <x v="1"/>
    <x v="8"/>
    <d v="2012-09-18T00:00:00"/>
    <n v="4"/>
    <x v="0"/>
    <s v="Brad Eason"/>
    <x v="2"/>
    <m/>
    <s v="Des Moines"/>
    <s v="Iowa"/>
    <s v="Central"/>
    <x v="1"/>
    <x v="8"/>
    <s v="Wilson Jones Impact Binders"/>
    <x v="4063"/>
    <n v="5"/>
    <n v="0"/>
    <n v="12.691000000000001"/>
  </r>
  <r>
    <n v="5949"/>
    <x v="916"/>
    <x v="3"/>
    <x v="10"/>
    <d v="2014-03-06T00:00:00"/>
    <n v="0"/>
    <x v="3"/>
    <s v="Claudia Bergmann"/>
    <x v="1"/>
    <m/>
    <s v="Southaven"/>
    <s v="Mississippi"/>
    <s v="South"/>
    <x v="1"/>
    <x v="12"/>
    <s v="Laser &amp; Ink Jet Business Envelopes"/>
    <x v="4064"/>
    <n v="4"/>
    <n v="0"/>
    <n v="19.6328"/>
  </r>
  <r>
    <n v="5950"/>
    <x v="916"/>
    <x v="3"/>
    <x v="10"/>
    <d v="2014-03-06T00:00:00"/>
    <n v="0"/>
    <x v="3"/>
    <s v="Claudia Bergmann"/>
    <x v="1"/>
    <m/>
    <s v="Southaven"/>
    <s v="Mississippi"/>
    <s v="South"/>
    <x v="2"/>
    <x v="11"/>
    <s v="Logitech G700s Rechargeable Gaming Mouse"/>
    <x v="670"/>
    <n v="3"/>
    <n v="0"/>
    <n v="125.98739999999999"/>
  </r>
  <r>
    <n v="5951"/>
    <x v="916"/>
    <x v="3"/>
    <x v="10"/>
    <d v="2014-03-06T00:00:00"/>
    <n v="0"/>
    <x v="3"/>
    <s v="Claudia Bergmann"/>
    <x v="1"/>
    <m/>
    <s v="Southaven"/>
    <s v="Mississippi"/>
    <s v="South"/>
    <x v="1"/>
    <x v="9"/>
    <s v="Kensington 7 Outlet MasterPiece HOMEOFFICE Power Control Center"/>
    <x v="2664"/>
    <n v="2"/>
    <n v="0"/>
    <n v="78.671999999999997"/>
  </r>
  <r>
    <n v="5952"/>
    <x v="916"/>
    <x v="3"/>
    <x v="10"/>
    <d v="2014-03-06T00:00:00"/>
    <n v="0"/>
    <x v="3"/>
    <s v="Claudia Bergmann"/>
    <x v="1"/>
    <m/>
    <s v="Southaven"/>
    <s v="Mississippi"/>
    <s v="South"/>
    <x v="1"/>
    <x v="8"/>
    <s v="Ibico Recycled Linen-Style Covers"/>
    <x v="4065"/>
    <n v="6"/>
    <n v="0"/>
    <n v="112.4928"/>
  </r>
  <r>
    <n v="5953"/>
    <x v="4"/>
    <x v="3"/>
    <x v="3"/>
    <d v="2014-04-22T00:00:00"/>
    <n v="6"/>
    <x v="1"/>
    <s v="Shirley Daniels"/>
    <x v="2"/>
    <m/>
    <s v="Houston"/>
    <s v="Texas"/>
    <s v="Central"/>
    <x v="1"/>
    <x v="10"/>
    <s v="Xerox 207"/>
    <x v="557"/>
    <n v="4"/>
    <n v="0.2"/>
    <n v="7.2576000000000001"/>
  </r>
  <r>
    <n v="5954"/>
    <x v="809"/>
    <x v="2"/>
    <x v="10"/>
    <d v="2011-03-31T00:00:00"/>
    <n v="1"/>
    <x v="2"/>
    <s v="Susan Gilcrest"/>
    <x v="1"/>
    <m/>
    <s v="New York City"/>
    <s v="New York"/>
    <s v="East"/>
    <x v="1"/>
    <x v="6"/>
    <s v="Sanford EarthWrite Recycled Pencils, Medium Soft, #2"/>
    <x v="4066"/>
    <n v="5"/>
    <n v="0"/>
    <n v="2.94"/>
  </r>
  <r>
    <n v="5955"/>
    <x v="7"/>
    <x v="2"/>
    <x v="0"/>
    <d v="2011-11-15T00:00:00"/>
    <n v="4"/>
    <x v="0"/>
    <s v="Tom Stivers"/>
    <x v="1"/>
    <m/>
    <s v="Reading"/>
    <s v="Pennsylvania"/>
    <s v="East"/>
    <x v="0"/>
    <x v="5"/>
    <s v="GE 4 Foot Flourescent Tube, 40 Watt"/>
    <x v="934"/>
    <n v="2"/>
    <n v="0.2"/>
    <n v="7.7896000000000001"/>
  </r>
  <r>
    <n v="5956"/>
    <x v="7"/>
    <x v="2"/>
    <x v="0"/>
    <d v="2011-11-15T00:00:00"/>
    <n v="4"/>
    <x v="0"/>
    <s v="Tom Stivers"/>
    <x v="1"/>
    <m/>
    <s v="Reading"/>
    <s v="Pennsylvania"/>
    <s v="East"/>
    <x v="0"/>
    <x v="0"/>
    <s v="Atlantic Metals Mobile 3-Shelf Bookcases, Custom Colors"/>
    <x v="3431"/>
    <n v="4"/>
    <n v="0.5"/>
    <n v="-250.54079999999999"/>
  </r>
  <r>
    <n v="5957"/>
    <x v="299"/>
    <x v="0"/>
    <x v="10"/>
    <d v="2013-03-16T00:00:00"/>
    <n v="3"/>
    <x v="0"/>
    <s v="Dean Katz"/>
    <x v="1"/>
    <m/>
    <s v="San Francisco"/>
    <s v="California"/>
    <s v="West"/>
    <x v="1"/>
    <x v="4"/>
    <s v="Tennsco Stur-D-Stor Boltless Shelving, 5 Shelves, 24&quot; Deep, Sand"/>
    <x v="4067"/>
    <n v="5"/>
    <n v="0"/>
    <n v="6.7655000000000003"/>
  </r>
  <r>
    <n v="5958"/>
    <x v="299"/>
    <x v="0"/>
    <x v="10"/>
    <d v="2013-03-16T00:00:00"/>
    <n v="3"/>
    <x v="0"/>
    <s v="Dean Katz"/>
    <x v="1"/>
    <m/>
    <s v="San Francisco"/>
    <s v="California"/>
    <s v="West"/>
    <x v="1"/>
    <x v="9"/>
    <s v="Euro-Pro Shark Turbo Vacuum"/>
    <x v="894"/>
    <n v="5"/>
    <n v="0"/>
    <n v="40.274000000000001"/>
  </r>
  <r>
    <n v="5959"/>
    <x v="299"/>
    <x v="0"/>
    <x v="10"/>
    <d v="2013-03-16T00:00:00"/>
    <n v="3"/>
    <x v="0"/>
    <s v="Dean Katz"/>
    <x v="1"/>
    <m/>
    <s v="San Francisco"/>
    <s v="California"/>
    <s v="West"/>
    <x v="1"/>
    <x v="12"/>
    <s v="Security-Tint Envelopes"/>
    <x v="2433"/>
    <n v="4"/>
    <n v="0"/>
    <n v="14.974399999999999"/>
  </r>
  <r>
    <n v="5960"/>
    <x v="299"/>
    <x v="0"/>
    <x v="10"/>
    <d v="2013-03-16T00:00:00"/>
    <n v="3"/>
    <x v="0"/>
    <s v="Dean Katz"/>
    <x v="1"/>
    <m/>
    <s v="San Francisco"/>
    <s v="California"/>
    <s v="West"/>
    <x v="0"/>
    <x v="1"/>
    <s v="Hon 4070 Series Pagoda Round Back Stacking Chairs"/>
    <x v="4068"/>
    <n v="3"/>
    <n v="0.2"/>
    <n v="77.035200000000003"/>
  </r>
  <r>
    <n v="5961"/>
    <x v="839"/>
    <x v="3"/>
    <x v="11"/>
    <d v="2014-02-15T00:00:00"/>
    <n v="5"/>
    <x v="0"/>
    <s v="Marina Lichtenstein"/>
    <x v="1"/>
    <m/>
    <s v="Los Angeles"/>
    <s v="California"/>
    <s v="West"/>
    <x v="0"/>
    <x v="5"/>
    <s v="Master Big Foot Doorstop, Beige"/>
    <x v="3051"/>
    <n v="4"/>
    <n v="0"/>
    <n v="6.5472000000000001"/>
  </r>
  <r>
    <n v="5962"/>
    <x v="7"/>
    <x v="2"/>
    <x v="0"/>
    <d v="2011-11-13T00:00:00"/>
    <n v="2"/>
    <x v="0"/>
    <s v="Matt Abelman"/>
    <x v="2"/>
    <m/>
    <s v="Los Angeles"/>
    <s v="California"/>
    <s v="West"/>
    <x v="2"/>
    <x v="7"/>
    <s v="Mophie Juice Pack Helium for iPhone"/>
    <x v="4069"/>
    <n v="9"/>
    <n v="0.2"/>
    <n v="57.592799999999997"/>
  </r>
  <r>
    <n v="5963"/>
    <x v="7"/>
    <x v="2"/>
    <x v="0"/>
    <d v="2011-11-13T00:00:00"/>
    <n v="2"/>
    <x v="0"/>
    <s v="Matt Abelman"/>
    <x v="2"/>
    <m/>
    <s v="Los Angeles"/>
    <s v="California"/>
    <s v="West"/>
    <x v="1"/>
    <x v="9"/>
    <s v="Commercial WindTunnel Clean Air Upright Vacuum, Replacement Belts, Filtration Bags"/>
    <x v="3890"/>
    <n v="2"/>
    <n v="0"/>
    <n v="2.0228000000000002"/>
  </r>
  <r>
    <n v="5964"/>
    <x v="7"/>
    <x v="2"/>
    <x v="0"/>
    <d v="2011-11-13T00:00:00"/>
    <n v="2"/>
    <x v="0"/>
    <s v="Matt Abelman"/>
    <x v="2"/>
    <m/>
    <s v="Los Angeles"/>
    <s v="California"/>
    <s v="West"/>
    <x v="1"/>
    <x v="10"/>
    <s v="Xerox 1979"/>
    <x v="1832"/>
    <n v="4"/>
    <n v="0"/>
    <n v="55.764000000000003"/>
  </r>
  <r>
    <n v="5965"/>
    <x v="648"/>
    <x v="3"/>
    <x v="6"/>
    <d v="2014-08-26T00:00:00"/>
    <n v="5"/>
    <x v="1"/>
    <s v="Lisa Ryan"/>
    <x v="1"/>
    <m/>
    <s v="San Francisco"/>
    <s v="California"/>
    <s v="West"/>
    <x v="1"/>
    <x v="14"/>
    <s v="Acme Kleencut Forged Steel Scissors"/>
    <x v="1683"/>
    <n v="3"/>
    <n v="0"/>
    <n v="5.1660000000000004"/>
  </r>
  <r>
    <n v="5966"/>
    <x v="648"/>
    <x v="3"/>
    <x v="6"/>
    <d v="2014-08-26T00:00:00"/>
    <n v="5"/>
    <x v="1"/>
    <s v="Lisa Ryan"/>
    <x v="1"/>
    <m/>
    <s v="San Francisco"/>
    <s v="California"/>
    <s v="West"/>
    <x v="1"/>
    <x v="4"/>
    <s v="Companion Letter/Legal File, Black"/>
    <x v="118"/>
    <n v="6"/>
    <n v="0"/>
    <n v="63.436799999999998"/>
  </r>
  <r>
    <n v="5967"/>
    <x v="648"/>
    <x v="3"/>
    <x v="6"/>
    <d v="2014-08-26T00:00:00"/>
    <n v="5"/>
    <x v="1"/>
    <s v="Lisa Ryan"/>
    <x v="1"/>
    <m/>
    <s v="San Francisco"/>
    <s v="California"/>
    <s v="West"/>
    <x v="2"/>
    <x v="7"/>
    <s v="Plantronics Encore H101 Dual Earpieces Headset"/>
    <x v="4070"/>
    <n v="3"/>
    <n v="0.2"/>
    <n v="10.788"/>
  </r>
  <r>
    <n v="5968"/>
    <x v="804"/>
    <x v="0"/>
    <x v="9"/>
    <d v="2013-01-17T00:00:00"/>
    <n v="2"/>
    <x v="2"/>
    <s v="Bill Eplett"/>
    <x v="2"/>
    <m/>
    <s v="New York City"/>
    <s v="New York"/>
    <s v="East"/>
    <x v="1"/>
    <x v="10"/>
    <s v="Xerox 1893"/>
    <x v="2597"/>
    <n v="2"/>
    <n v="0"/>
    <n v="40.170200000000001"/>
  </r>
  <r>
    <n v="5969"/>
    <x v="836"/>
    <x v="2"/>
    <x v="7"/>
    <d v="2011-07-22T00:00:00"/>
    <n v="2"/>
    <x v="2"/>
    <s v="Charles Crestani"/>
    <x v="0"/>
    <m/>
    <s v="San Diego"/>
    <s v="California"/>
    <s v="West"/>
    <x v="1"/>
    <x v="10"/>
    <s v="Xerox 189"/>
    <x v="1230"/>
    <n v="1"/>
    <n v="0"/>
    <n v="50.328000000000003"/>
  </r>
  <r>
    <n v="5970"/>
    <x v="836"/>
    <x v="2"/>
    <x v="7"/>
    <d v="2011-07-22T00:00:00"/>
    <n v="2"/>
    <x v="2"/>
    <s v="Charles Crestani"/>
    <x v="0"/>
    <m/>
    <s v="San Diego"/>
    <s v="California"/>
    <s v="West"/>
    <x v="1"/>
    <x v="8"/>
    <s v="Wilson Jones Custom Binder Spines &amp; Labels"/>
    <x v="4071"/>
    <n v="2"/>
    <n v="0.2"/>
    <n v="3.1551999999999998"/>
  </r>
  <r>
    <n v="5971"/>
    <x v="836"/>
    <x v="2"/>
    <x v="7"/>
    <d v="2011-07-22T00:00:00"/>
    <n v="2"/>
    <x v="2"/>
    <s v="Charles Crestani"/>
    <x v="0"/>
    <m/>
    <s v="San Diego"/>
    <s v="California"/>
    <s v="West"/>
    <x v="1"/>
    <x v="10"/>
    <s v="Xerox 1897"/>
    <x v="544"/>
    <n v="4"/>
    <n v="0"/>
    <n v="9.7607999999999997"/>
  </r>
  <r>
    <n v="5972"/>
    <x v="836"/>
    <x v="2"/>
    <x v="7"/>
    <d v="2011-07-22T00:00:00"/>
    <n v="2"/>
    <x v="2"/>
    <s v="Charles Crestani"/>
    <x v="0"/>
    <m/>
    <s v="San Diego"/>
    <s v="California"/>
    <s v="West"/>
    <x v="0"/>
    <x v="5"/>
    <s v="Nu-Dell Leatherette Frames"/>
    <x v="4072"/>
    <n v="3"/>
    <n v="0"/>
    <n v="15.4872"/>
  </r>
  <r>
    <n v="5973"/>
    <x v="695"/>
    <x v="3"/>
    <x v="11"/>
    <d v="2014-02-12T00:00:00"/>
    <n v="5"/>
    <x v="1"/>
    <s v="Bryan Davis"/>
    <x v="0"/>
    <m/>
    <s v="New York City"/>
    <s v="New York"/>
    <s v="East"/>
    <x v="0"/>
    <x v="0"/>
    <s v="Atlantic Metals Mobile 5-Shelf Bookcases, Custom Colors"/>
    <x v="2949"/>
    <n v="1"/>
    <n v="0.2"/>
    <n v="30.097999999999999"/>
  </r>
  <r>
    <n v="5974"/>
    <x v="707"/>
    <x v="1"/>
    <x v="4"/>
    <d v="2012-12-29T00:00:00"/>
    <n v="4"/>
    <x v="1"/>
    <s v="Jim Kriz"/>
    <x v="2"/>
    <m/>
    <s v="New York City"/>
    <s v="New York"/>
    <s v="East"/>
    <x v="1"/>
    <x v="9"/>
    <s v="Kensington 7 Outlet MasterPiece Power Center with Fax/Phone Line Protection"/>
    <x v="4073"/>
    <n v="2"/>
    <n v="0"/>
    <n v="124.488"/>
  </r>
  <r>
    <n v="5975"/>
    <x v="750"/>
    <x v="0"/>
    <x v="2"/>
    <d v="2013-10-14T00:00:00"/>
    <n v="5"/>
    <x v="1"/>
    <s v="Doug Bickford"/>
    <x v="0"/>
    <m/>
    <s v="Charlotte"/>
    <s v="North Carolina"/>
    <s v="South"/>
    <x v="1"/>
    <x v="4"/>
    <s v="Fellowes Econo/Stor Drawers"/>
    <x v="4074"/>
    <n v="5"/>
    <n v="0.2"/>
    <n v="-67.850999999999999"/>
  </r>
  <r>
    <n v="5976"/>
    <x v="1002"/>
    <x v="3"/>
    <x v="7"/>
    <d v="2014-07-18T00:00:00"/>
    <n v="4"/>
    <x v="1"/>
    <s v="Rick Reed"/>
    <x v="1"/>
    <m/>
    <s v="Overland Park"/>
    <s v="Kansas"/>
    <s v="Central"/>
    <x v="1"/>
    <x v="4"/>
    <s v="Standard Rollaway File with Lock"/>
    <x v="2861"/>
    <n v="2"/>
    <n v="0"/>
    <n v="93.698800000000006"/>
  </r>
  <r>
    <n v="5977"/>
    <x v="1002"/>
    <x v="3"/>
    <x v="7"/>
    <d v="2014-07-18T00:00:00"/>
    <n v="4"/>
    <x v="1"/>
    <s v="Rick Reed"/>
    <x v="1"/>
    <m/>
    <s v="Overland Park"/>
    <s v="Kansas"/>
    <s v="Central"/>
    <x v="1"/>
    <x v="10"/>
    <s v="Strathmore Photo Mount Cards"/>
    <x v="4075"/>
    <n v="2"/>
    <n v="0"/>
    <n v="6.2375999999999996"/>
  </r>
  <r>
    <n v="5978"/>
    <x v="558"/>
    <x v="3"/>
    <x v="3"/>
    <d v="2014-04-26T00:00:00"/>
    <n v="1"/>
    <x v="2"/>
    <s v="Susan Vittorini"/>
    <x v="0"/>
    <m/>
    <s v="Mesa"/>
    <s v="Arizona"/>
    <s v="West"/>
    <x v="2"/>
    <x v="7"/>
    <s v="AT&amp;T 841000 Phone"/>
    <x v="4076"/>
    <n v="10"/>
    <n v="0.2"/>
    <n v="34.5"/>
  </r>
  <r>
    <n v="5979"/>
    <x v="557"/>
    <x v="2"/>
    <x v="8"/>
    <d v="2011-09-13T00:00:00"/>
    <n v="6"/>
    <x v="1"/>
    <s v="Rick Bensley"/>
    <x v="2"/>
    <m/>
    <s v="Tulsa"/>
    <s v="Oklahoma"/>
    <s v="Central"/>
    <x v="0"/>
    <x v="3"/>
    <s v="KI Adjustable-Height Table"/>
    <x v="4077"/>
    <n v="5"/>
    <n v="0"/>
    <n v="111.774"/>
  </r>
  <r>
    <n v="5980"/>
    <x v="557"/>
    <x v="2"/>
    <x v="8"/>
    <d v="2011-09-13T00:00:00"/>
    <n v="6"/>
    <x v="1"/>
    <s v="Rick Bensley"/>
    <x v="2"/>
    <m/>
    <s v="Tulsa"/>
    <s v="Oklahoma"/>
    <s v="Central"/>
    <x v="1"/>
    <x v="8"/>
    <s v="Avery Recycled Flexi-View Covers for Binding Systems"/>
    <x v="4078"/>
    <n v="2"/>
    <n v="0"/>
    <n v="15.3888"/>
  </r>
  <r>
    <n v="5981"/>
    <x v="557"/>
    <x v="2"/>
    <x v="8"/>
    <d v="2011-09-13T00:00:00"/>
    <n v="6"/>
    <x v="1"/>
    <s v="Rick Bensley"/>
    <x v="2"/>
    <m/>
    <s v="Tulsa"/>
    <s v="Oklahoma"/>
    <s v="Central"/>
    <x v="0"/>
    <x v="1"/>
    <s v="Padded Folding Chairs, Black, 4/Carton"/>
    <x v="4079"/>
    <n v="2"/>
    <n v="0"/>
    <n v="45.348799999999997"/>
  </r>
  <r>
    <n v="5982"/>
    <x v="557"/>
    <x v="2"/>
    <x v="8"/>
    <d v="2011-09-13T00:00:00"/>
    <n v="6"/>
    <x v="1"/>
    <s v="Rick Bensley"/>
    <x v="2"/>
    <m/>
    <s v="Tulsa"/>
    <s v="Oklahoma"/>
    <s v="Central"/>
    <x v="1"/>
    <x v="4"/>
    <s v="Akro-Mils 12-Gallon Tote"/>
    <x v="4080"/>
    <n v="2"/>
    <n v="0"/>
    <n v="5.7594000000000003"/>
  </r>
  <r>
    <n v="5983"/>
    <x v="831"/>
    <x v="0"/>
    <x v="0"/>
    <d v="2013-11-29T00:00:00"/>
    <n v="7"/>
    <x v="1"/>
    <s v="Mike Vittorini"/>
    <x v="0"/>
    <m/>
    <s v="New York City"/>
    <s v="New York"/>
    <s v="East"/>
    <x v="1"/>
    <x v="10"/>
    <s v="Xerox 1975"/>
    <x v="91"/>
    <n v="2"/>
    <n v="0"/>
    <n v="6.3503999999999996"/>
  </r>
  <r>
    <n v="5984"/>
    <x v="118"/>
    <x v="3"/>
    <x v="8"/>
    <d v="2014-09-19T00:00:00"/>
    <n v="2"/>
    <x v="0"/>
    <s v="Evan Henry"/>
    <x v="0"/>
    <m/>
    <s v="Philadelphia"/>
    <s v="Pennsylvania"/>
    <s v="East"/>
    <x v="1"/>
    <x v="10"/>
    <s v="Xerox 1927"/>
    <x v="3236"/>
    <n v="6"/>
    <n v="0.2"/>
    <n v="6.42"/>
  </r>
  <r>
    <n v="5985"/>
    <x v="1080"/>
    <x v="0"/>
    <x v="7"/>
    <d v="2013-07-26T00:00:00"/>
    <n v="6"/>
    <x v="1"/>
    <s v="Joy Smith"/>
    <x v="0"/>
    <m/>
    <s v="Hattiesburg"/>
    <s v="Mississippi"/>
    <s v="South"/>
    <x v="0"/>
    <x v="5"/>
    <s v="Advantus Employee of the Month Certificate Frame, 11 x 13-1/2"/>
    <x v="2280"/>
    <n v="6"/>
    <n v="0"/>
    <n v="76.087800000000001"/>
  </r>
  <r>
    <n v="5986"/>
    <x v="1080"/>
    <x v="0"/>
    <x v="7"/>
    <d v="2013-07-26T00:00:00"/>
    <n v="6"/>
    <x v="1"/>
    <s v="Joy Smith"/>
    <x v="0"/>
    <m/>
    <s v="Hattiesburg"/>
    <s v="Mississippi"/>
    <s v="South"/>
    <x v="1"/>
    <x v="8"/>
    <s v="Premium Transparent Presentation Covers, No Pattern/Clear, 8 1/2&quot; x 11&quot;"/>
    <x v="4081"/>
    <n v="2"/>
    <n v="0"/>
    <n v="35.677599999999998"/>
  </r>
  <r>
    <n v="5987"/>
    <x v="1080"/>
    <x v="0"/>
    <x v="7"/>
    <d v="2013-07-26T00:00:00"/>
    <n v="6"/>
    <x v="1"/>
    <s v="Joy Smith"/>
    <x v="0"/>
    <m/>
    <s v="Hattiesburg"/>
    <s v="Mississippi"/>
    <s v="South"/>
    <x v="1"/>
    <x v="4"/>
    <s v="Rogers Deluxe File Chest"/>
    <x v="1177"/>
    <n v="4"/>
    <n v="0"/>
    <n v="0.87919999999999998"/>
  </r>
  <r>
    <n v="5988"/>
    <x v="1080"/>
    <x v="0"/>
    <x v="7"/>
    <d v="2013-07-26T00:00:00"/>
    <n v="6"/>
    <x v="1"/>
    <s v="Joy Smith"/>
    <x v="0"/>
    <m/>
    <s v="Hattiesburg"/>
    <s v="Mississippi"/>
    <s v="South"/>
    <x v="1"/>
    <x v="10"/>
    <s v="Xerox 1893"/>
    <x v="4082"/>
    <n v="6"/>
    <n v="0"/>
    <n v="120.5106"/>
  </r>
  <r>
    <n v="5989"/>
    <x v="1080"/>
    <x v="0"/>
    <x v="7"/>
    <d v="2013-07-26T00:00:00"/>
    <n v="6"/>
    <x v="1"/>
    <s v="Joy Smith"/>
    <x v="0"/>
    <m/>
    <s v="Hattiesburg"/>
    <s v="Mississippi"/>
    <s v="South"/>
    <x v="1"/>
    <x v="8"/>
    <s v="Avery Printable Repositionable Plastic Tabs"/>
    <x v="4083"/>
    <n v="1"/>
    <n v="0"/>
    <n v="4.0419999999999998"/>
  </r>
  <r>
    <n v="5990"/>
    <x v="1080"/>
    <x v="0"/>
    <x v="7"/>
    <d v="2013-07-26T00:00:00"/>
    <n v="6"/>
    <x v="1"/>
    <s v="Joy Smith"/>
    <x v="0"/>
    <m/>
    <s v="Hattiesburg"/>
    <s v="Mississippi"/>
    <s v="South"/>
    <x v="0"/>
    <x v="0"/>
    <s v="Hon 4-Shelf Metal Bookcases"/>
    <x v="2414"/>
    <n v="5"/>
    <n v="0"/>
    <n v="126.22499999999999"/>
  </r>
  <r>
    <n v="5991"/>
    <x v="175"/>
    <x v="3"/>
    <x v="8"/>
    <d v="2014-09-22T00:00:00"/>
    <n v="6"/>
    <x v="1"/>
    <s v="Erica Smith"/>
    <x v="0"/>
    <m/>
    <s v="Los Angeles"/>
    <s v="California"/>
    <s v="West"/>
    <x v="1"/>
    <x v="8"/>
    <s v="GBC DocuBind 200 Manual Binding Machine"/>
    <x v="4084"/>
    <n v="7"/>
    <n v="0.2"/>
    <n v="884.05799999999999"/>
  </r>
  <r>
    <n v="5992"/>
    <x v="175"/>
    <x v="3"/>
    <x v="8"/>
    <d v="2014-09-22T00:00:00"/>
    <n v="6"/>
    <x v="1"/>
    <s v="Erica Smith"/>
    <x v="0"/>
    <m/>
    <s v="Los Angeles"/>
    <s v="California"/>
    <s v="West"/>
    <x v="2"/>
    <x v="7"/>
    <s v="Panasonic KX-TG6844B Expandable Digital Cordless Telephone"/>
    <x v="4085"/>
    <n v="7"/>
    <n v="0.2"/>
    <n v="32.335099999999997"/>
  </r>
  <r>
    <n v="5993"/>
    <x v="175"/>
    <x v="3"/>
    <x v="8"/>
    <d v="2014-09-22T00:00:00"/>
    <n v="6"/>
    <x v="1"/>
    <s v="Erica Smith"/>
    <x v="0"/>
    <m/>
    <s v="Los Angeles"/>
    <s v="California"/>
    <s v="West"/>
    <x v="0"/>
    <x v="1"/>
    <s v="Global Deluxe Steno Chair"/>
    <x v="4086"/>
    <n v="3"/>
    <n v="0.2"/>
    <n v="-20.784600000000001"/>
  </r>
  <r>
    <n v="5994"/>
    <x v="25"/>
    <x v="0"/>
    <x v="4"/>
    <d v="2013-12-12T00:00:00"/>
    <n v="0"/>
    <x v="3"/>
    <s v="Noel Staavos"/>
    <x v="1"/>
    <m/>
    <s v="Columbus"/>
    <s v="Ohio"/>
    <s v="East"/>
    <x v="1"/>
    <x v="4"/>
    <s v="Acco Perma 4000 Stacking Storage Drawers"/>
    <x v="643"/>
    <n v="5"/>
    <n v="0.2"/>
    <n v="-4.0599999999999996"/>
  </r>
  <r>
    <n v="5995"/>
    <x v="25"/>
    <x v="0"/>
    <x v="4"/>
    <d v="2013-12-12T00:00:00"/>
    <n v="0"/>
    <x v="3"/>
    <s v="Noel Staavos"/>
    <x v="1"/>
    <m/>
    <s v="Columbus"/>
    <s v="Ohio"/>
    <s v="East"/>
    <x v="1"/>
    <x v="14"/>
    <s v="Elite 5&quot; Scissors"/>
    <x v="1902"/>
    <n v="2"/>
    <n v="0.2"/>
    <n v="1.69"/>
  </r>
  <r>
    <n v="5996"/>
    <x v="25"/>
    <x v="0"/>
    <x v="4"/>
    <d v="2013-12-12T00:00:00"/>
    <n v="0"/>
    <x v="3"/>
    <s v="Noel Staavos"/>
    <x v="1"/>
    <m/>
    <s v="Columbus"/>
    <s v="Ohio"/>
    <s v="East"/>
    <x v="0"/>
    <x v="1"/>
    <s v="Office Star - Contemporary Task Swivel chair with Loop Arms, Charcoal"/>
    <x v="4087"/>
    <n v="5"/>
    <n v="0.3"/>
    <n v="-137.529"/>
  </r>
  <r>
    <n v="5997"/>
    <x v="25"/>
    <x v="0"/>
    <x v="4"/>
    <d v="2013-12-12T00:00:00"/>
    <n v="0"/>
    <x v="3"/>
    <s v="Noel Staavos"/>
    <x v="1"/>
    <m/>
    <s v="Columbus"/>
    <s v="Ohio"/>
    <s v="East"/>
    <x v="1"/>
    <x v="9"/>
    <s v="Belkin 325VA UPS Surge Protector, 6'"/>
    <x v="2342"/>
    <n v="4"/>
    <n v="0.2"/>
    <n v="24.196000000000002"/>
  </r>
  <r>
    <n v="5998"/>
    <x v="25"/>
    <x v="0"/>
    <x v="4"/>
    <d v="2013-12-12T00:00:00"/>
    <n v="0"/>
    <x v="3"/>
    <s v="Noel Staavos"/>
    <x v="1"/>
    <m/>
    <s v="Columbus"/>
    <s v="Ohio"/>
    <s v="East"/>
    <x v="0"/>
    <x v="3"/>
    <s v="Lesro Round Back Collection Coffee Table, End Table"/>
    <x v="4088"/>
    <n v="3"/>
    <n v="0.4"/>
    <n v="-147.8655"/>
  </r>
  <r>
    <n v="5999"/>
    <x v="325"/>
    <x v="2"/>
    <x v="4"/>
    <d v="2011-12-14T00:00:00"/>
    <n v="4"/>
    <x v="1"/>
    <s v="Sally Hughsby"/>
    <x v="1"/>
    <m/>
    <s v="Caldwell"/>
    <s v="Idaho"/>
    <s v="West"/>
    <x v="0"/>
    <x v="1"/>
    <s v="Office Star - Contemporary Swivel Chair with Padded Adjustable Arms and Flex Back"/>
    <x v="4089"/>
    <n v="3"/>
    <n v="0.2"/>
    <n v="4.2294"/>
  </r>
  <r>
    <n v="6000"/>
    <x v="325"/>
    <x v="2"/>
    <x v="4"/>
    <d v="2011-12-14T00:00:00"/>
    <n v="4"/>
    <x v="1"/>
    <s v="Sally Hughsby"/>
    <x v="1"/>
    <m/>
    <s v="Caldwell"/>
    <s v="Idaho"/>
    <s v="West"/>
    <x v="1"/>
    <x v="10"/>
    <s v="Xerox 1931"/>
    <x v="233"/>
    <n v="4"/>
    <n v="0"/>
    <n v="12.441599999999999"/>
  </r>
  <r>
    <n v="6001"/>
    <x v="325"/>
    <x v="2"/>
    <x v="4"/>
    <d v="2011-12-14T00:00:00"/>
    <n v="4"/>
    <x v="1"/>
    <s v="Sally Hughsby"/>
    <x v="1"/>
    <m/>
    <s v="Caldwell"/>
    <s v="Idaho"/>
    <s v="West"/>
    <x v="1"/>
    <x v="10"/>
    <s v="Xerox Color Copier Paper, 11&quot; x 17&quot;, Ream"/>
    <x v="419"/>
    <n v="4"/>
    <n v="0"/>
    <n v="42.025599999999997"/>
  </r>
  <r>
    <n v="6002"/>
    <x v="736"/>
    <x v="2"/>
    <x v="4"/>
    <d v="2011-12-17T00:00:00"/>
    <n v="4"/>
    <x v="1"/>
    <s v="Randy Ferguson"/>
    <x v="1"/>
    <m/>
    <s v="Phoenix"/>
    <s v="Arizona"/>
    <s v="West"/>
    <x v="0"/>
    <x v="5"/>
    <s v="Electrix Incandescent Magnifying Lamp, Black"/>
    <x v="2839"/>
    <n v="3"/>
    <n v="0.2"/>
    <n v="7.6965000000000003"/>
  </r>
  <r>
    <n v="6003"/>
    <x v="736"/>
    <x v="2"/>
    <x v="4"/>
    <d v="2011-12-17T00:00:00"/>
    <n v="4"/>
    <x v="1"/>
    <s v="Randy Ferguson"/>
    <x v="1"/>
    <m/>
    <s v="Phoenix"/>
    <s v="Arizona"/>
    <s v="West"/>
    <x v="1"/>
    <x v="8"/>
    <s v="Cardinal Slant-D Ring Binder, Heavy Gauge Vinyl"/>
    <x v="3862"/>
    <n v="2"/>
    <n v="0.7"/>
    <n v="-4.1711999999999998"/>
  </r>
  <r>
    <n v="6004"/>
    <x v="296"/>
    <x v="3"/>
    <x v="8"/>
    <d v="2014-09-28T00:00:00"/>
    <n v="6"/>
    <x v="1"/>
    <s v="Dan Lawera"/>
    <x v="0"/>
    <m/>
    <s v="Miami"/>
    <s v="Florida"/>
    <s v="South"/>
    <x v="1"/>
    <x v="8"/>
    <s v="Avery Trapezoid Ring Binder, 3&quot; Capacity, Black, 1040 sheets"/>
    <x v="4090"/>
    <n v="1"/>
    <n v="0.7"/>
    <n v="-8.6058000000000003"/>
  </r>
  <r>
    <n v="6005"/>
    <x v="210"/>
    <x v="3"/>
    <x v="8"/>
    <d v="2014-09-12T00:00:00"/>
    <n v="4"/>
    <x v="1"/>
    <s v="Allen Goldenen"/>
    <x v="0"/>
    <m/>
    <s v="Los Angeles"/>
    <s v="California"/>
    <s v="West"/>
    <x v="0"/>
    <x v="5"/>
    <s v="C-Line Magnetic Cubicle Keepers, Clear Polypropylene"/>
    <x v="2354"/>
    <n v="4"/>
    <n v="0"/>
    <n v="8.2992000000000008"/>
  </r>
  <r>
    <n v="6006"/>
    <x v="121"/>
    <x v="1"/>
    <x v="0"/>
    <d v="2012-11-07T00:00:00"/>
    <n v="5"/>
    <x v="1"/>
    <s v="Scot Wooten"/>
    <x v="0"/>
    <m/>
    <s v="Troy"/>
    <s v="New York"/>
    <s v="East"/>
    <x v="0"/>
    <x v="1"/>
    <s v="Global Armless Task Chair, Royal Blue"/>
    <x v="4091"/>
    <n v="2"/>
    <n v="0.1"/>
    <n v="8.5372000000000003"/>
  </r>
  <r>
    <n v="6007"/>
    <x v="157"/>
    <x v="3"/>
    <x v="4"/>
    <d v="2014-12-19T00:00:00"/>
    <n v="7"/>
    <x v="1"/>
    <s v="Katherine Nockton"/>
    <x v="1"/>
    <m/>
    <s v="New Bedford"/>
    <s v="Massachusetts"/>
    <s v="East"/>
    <x v="2"/>
    <x v="7"/>
    <s v="Plantronics MX500i Earset"/>
    <x v="3565"/>
    <n v="3"/>
    <n v="0"/>
    <n v="3.8654999999999999"/>
  </r>
  <r>
    <n v="6008"/>
    <x v="719"/>
    <x v="3"/>
    <x v="3"/>
    <d v="2014-04-04T00:00:00"/>
    <n v="2"/>
    <x v="2"/>
    <s v="George Bell"/>
    <x v="1"/>
    <m/>
    <s v="Florence"/>
    <s v="South Carolina"/>
    <s v="South"/>
    <x v="0"/>
    <x v="5"/>
    <s v="Deflect-o DuraMat Lighweight, Studded, Beveled Mat for Low Pile Carpeting"/>
    <x v="4030"/>
    <n v="3"/>
    <n v="0"/>
    <n v="21.7515"/>
  </r>
  <r>
    <n v="6009"/>
    <x v="1081"/>
    <x v="1"/>
    <x v="4"/>
    <d v="2013-01-03T00:00:00"/>
    <n v="4"/>
    <x v="1"/>
    <s v="Clay Ludtke"/>
    <x v="0"/>
    <m/>
    <s v="Los Angeles"/>
    <s v="California"/>
    <s v="West"/>
    <x v="1"/>
    <x v="10"/>
    <s v="Xerox 1929"/>
    <x v="4092"/>
    <n v="3"/>
    <n v="0"/>
    <n v="31.519200000000001"/>
  </r>
  <r>
    <n v="6010"/>
    <x v="1081"/>
    <x v="1"/>
    <x v="4"/>
    <d v="2013-01-03T00:00:00"/>
    <n v="4"/>
    <x v="1"/>
    <s v="Clay Ludtke"/>
    <x v="0"/>
    <m/>
    <s v="Los Angeles"/>
    <s v="California"/>
    <s v="West"/>
    <x v="1"/>
    <x v="4"/>
    <s v="2300 Heavy-Duty Transfer File Systems by Perma"/>
    <x v="4093"/>
    <n v="3"/>
    <n v="0"/>
    <n v="14.2386"/>
  </r>
  <r>
    <n v="6011"/>
    <x v="1081"/>
    <x v="1"/>
    <x v="4"/>
    <d v="2013-01-03T00:00:00"/>
    <n v="4"/>
    <x v="1"/>
    <s v="Clay Ludtke"/>
    <x v="0"/>
    <m/>
    <s v="Los Angeles"/>
    <s v="California"/>
    <s v="West"/>
    <x v="2"/>
    <x v="15"/>
    <s v="Zebra GX420t Direct Thermal/Thermal Transfer Printer"/>
    <x v="4094"/>
    <n v="6"/>
    <n v="0.2"/>
    <n v="286.71300000000002"/>
  </r>
  <r>
    <n v="6012"/>
    <x v="1081"/>
    <x v="1"/>
    <x v="4"/>
    <d v="2013-01-03T00:00:00"/>
    <n v="4"/>
    <x v="1"/>
    <s v="Clay Ludtke"/>
    <x v="0"/>
    <m/>
    <s v="Los Angeles"/>
    <s v="California"/>
    <s v="West"/>
    <x v="1"/>
    <x v="12"/>
    <s v="Tyvek Side-Opening Peel &amp; Seel Expanding Envelopes"/>
    <x v="3341"/>
    <n v="3"/>
    <n v="0"/>
    <n v="122.148"/>
  </r>
  <r>
    <n v="6013"/>
    <x v="1081"/>
    <x v="1"/>
    <x v="4"/>
    <d v="2013-01-03T00:00:00"/>
    <n v="4"/>
    <x v="1"/>
    <s v="Clay Ludtke"/>
    <x v="0"/>
    <m/>
    <s v="Los Angeles"/>
    <s v="California"/>
    <s v="West"/>
    <x v="2"/>
    <x v="7"/>
    <s v="Cisco SPA 502G IP Phone"/>
    <x v="4095"/>
    <n v="3"/>
    <n v="0.2"/>
    <n v="35.984999999999999"/>
  </r>
  <r>
    <n v="6014"/>
    <x v="612"/>
    <x v="0"/>
    <x v="10"/>
    <d v="2013-03-12T00:00:00"/>
    <n v="1"/>
    <x v="2"/>
    <s v="Karen Ferguson"/>
    <x v="2"/>
    <m/>
    <s v="Los Angeles"/>
    <s v="California"/>
    <s v="West"/>
    <x v="1"/>
    <x v="10"/>
    <s v="Rediform Voice Mail Log Books"/>
    <x v="81"/>
    <n v="5"/>
    <n v="0"/>
    <n v="7.1520000000000001"/>
  </r>
  <r>
    <n v="6015"/>
    <x v="612"/>
    <x v="0"/>
    <x v="10"/>
    <d v="2013-03-12T00:00:00"/>
    <n v="1"/>
    <x v="2"/>
    <s v="Karen Ferguson"/>
    <x v="2"/>
    <m/>
    <s v="Los Angeles"/>
    <s v="California"/>
    <s v="West"/>
    <x v="2"/>
    <x v="7"/>
    <s v="Apple iPhone 5"/>
    <x v="4096"/>
    <n v="8"/>
    <n v="0.2"/>
    <n v="363.90480000000002"/>
  </r>
  <r>
    <n v="6016"/>
    <x v="322"/>
    <x v="2"/>
    <x v="3"/>
    <d v="2011-04-12T00:00:00"/>
    <n v="6"/>
    <x v="1"/>
    <s v="Andy Yotov"/>
    <x v="1"/>
    <m/>
    <s v="Los Angeles"/>
    <s v="California"/>
    <s v="West"/>
    <x v="0"/>
    <x v="5"/>
    <s v="Tenex B1-RE Series Chair Mats for Low Pile Carpets"/>
    <x v="1361"/>
    <n v="2"/>
    <n v="0"/>
    <n v="15.6332"/>
  </r>
  <r>
    <n v="6017"/>
    <x v="322"/>
    <x v="2"/>
    <x v="3"/>
    <d v="2011-04-12T00:00:00"/>
    <n v="6"/>
    <x v="1"/>
    <s v="Andy Yotov"/>
    <x v="1"/>
    <m/>
    <s v="Los Angeles"/>
    <s v="California"/>
    <s v="West"/>
    <x v="0"/>
    <x v="5"/>
    <s v="C-Line Cubicle Keepers Polyproplyene Holder With Velcro Backings"/>
    <x v="900"/>
    <n v="7"/>
    <n v="0"/>
    <n v="12.9129"/>
  </r>
  <r>
    <n v="6018"/>
    <x v="322"/>
    <x v="2"/>
    <x v="3"/>
    <d v="2011-04-12T00:00:00"/>
    <n v="6"/>
    <x v="1"/>
    <s v="Andy Yotov"/>
    <x v="1"/>
    <m/>
    <s v="Los Angeles"/>
    <s v="California"/>
    <s v="West"/>
    <x v="1"/>
    <x v="10"/>
    <s v="Xerox 211"/>
    <x v="537"/>
    <n v="3"/>
    <n v="0"/>
    <n v="9.3312000000000008"/>
  </r>
  <r>
    <n v="6019"/>
    <x v="322"/>
    <x v="2"/>
    <x v="3"/>
    <d v="2011-04-12T00:00:00"/>
    <n v="6"/>
    <x v="1"/>
    <s v="Andy Yotov"/>
    <x v="1"/>
    <m/>
    <s v="Los Angeles"/>
    <s v="California"/>
    <s v="West"/>
    <x v="1"/>
    <x v="10"/>
    <s v="Xerox 194"/>
    <x v="444"/>
    <n v="1"/>
    <n v="0"/>
    <n v="26.630400000000002"/>
  </r>
  <r>
    <n v="6020"/>
    <x v="1082"/>
    <x v="2"/>
    <x v="2"/>
    <d v="2011-10-10T00:00:00"/>
    <n v="5"/>
    <x v="0"/>
    <s v="Brian Derr"/>
    <x v="0"/>
    <m/>
    <s v="Columbus"/>
    <s v="Ohio"/>
    <s v="East"/>
    <x v="1"/>
    <x v="9"/>
    <s v="Belkin F5C206VTEL 6 Outlet Surge"/>
    <x v="2784"/>
    <n v="5"/>
    <n v="0.2"/>
    <n v="11.49"/>
  </r>
  <r>
    <n v="6021"/>
    <x v="572"/>
    <x v="0"/>
    <x v="6"/>
    <d v="2013-08-14T00:00:00"/>
    <n v="0"/>
    <x v="3"/>
    <s v="Hunter Glantz"/>
    <x v="0"/>
    <m/>
    <s v="Kenner"/>
    <s v="Louisiana"/>
    <s v="South"/>
    <x v="1"/>
    <x v="9"/>
    <s v="Staples"/>
    <x v="1686"/>
    <n v="2"/>
    <n v="0"/>
    <n v="4.6818"/>
  </r>
  <r>
    <n v="6022"/>
    <x v="572"/>
    <x v="0"/>
    <x v="6"/>
    <d v="2013-08-14T00:00:00"/>
    <n v="0"/>
    <x v="3"/>
    <s v="Hunter Glantz"/>
    <x v="0"/>
    <m/>
    <s v="Kenner"/>
    <s v="Louisiana"/>
    <s v="South"/>
    <x v="2"/>
    <x v="11"/>
    <s v="Sony 64GB Class 10 Micro SDHC R40 Memory Card"/>
    <x v="2215"/>
    <n v="2"/>
    <n v="0"/>
    <n v="15.1158"/>
  </r>
  <r>
    <n v="6023"/>
    <x v="664"/>
    <x v="2"/>
    <x v="0"/>
    <d v="2011-11-21T00:00:00"/>
    <n v="4"/>
    <x v="1"/>
    <s v="Cassandra Brandow"/>
    <x v="0"/>
    <m/>
    <s v="Cedar Hill"/>
    <s v="Texas"/>
    <s v="Central"/>
    <x v="1"/>
    <x v="12"/>
    <s v="Redi-Strip #10 Envelopes, 4 1/8 x 9 1/2"/>
    <x v="906"/>
    <n v="3"/>
    <n v="0.2"/>
    <n v="2.4780000000000002"/>
  </r>
  <r>
    <n v="6024"/>
    <x v="558"/>
    <x v="3"/>
    <x v="3"/>
    <d v="2014-04-28T00:00:00"/>
    <n v="3"/>
    <x v="2"/>
    <s v="Linda Southworth"/>
    <x v="1"/>
    <m/>
    <s v="Providence"/>
    <s v="Rhode Island"/>
    <s v="East"/>
    <x v="2"/>
    <x v="11"/>
    <s v="V7 USB Numeric Keypad"/>
    <x v="3401"/>
    <n v="2"/>
    <n v="0"/>
    <n v="4.8986000000000001"/>
  </r>
  <r>
    <n v="6025"/>
    <x v="1043"/>
    <x v="3"/>
    <x v="6"/>
    <d v="2014-08-27T00:00:00"/>
    <n v="2"/>
    <x v="0"/>
    <s v="Darrin Martin"/>
    <x v="0"/>
    <m/>
    <s v="Lancaster"/>
    <s v="Ohio"/>
    <s v="East"/>
    <x v="1"/>
    <x v="9"/>
    <s v="Avanti 1.7 Cu. Ft. Refrigerator"/>
    <x v="4097"/>
    <n v="8"/>
    <n v="0.2"/>
    <n v="64.627200000000002"/>
  </r>
  <r>
    <n v="6026"/>
    <x v="1043"/>
    <x v="3"/>
    <x v="6"/>
    <d v="2014-08-27T00:00:00"/>
    <n v="2"/>
    <x v="0"/>
    <s v="Darrin Martin"/>
    <x v="0"/>
    <m/>
    <s v="Lancaster"/>
    <s v="Ohio"/>
    <s v="East"/>
    <x v="1"/>
    <x v="10"/>
    <s v="Xerox 1966"/>
    <x v="559"/>
    <n v="2"/>
    <n v="0.2"/>
    <n v="3.7584"/>
  </r>
  <r>
    <n v="6027"/>
    <x v="660"/>
    <x v="3"/>
    <x v="11"/>
    <d v="2014-03-03T00:00:00"/>
    <n v="7"/>
    <x v="1"/>
    <s v="Ann Chong"/>
    <x v="1"/>
    <m/>
    <s v="Seattle"/>
    <s v="Washington"/>
    <s v="West"/>
    <x v="1"/>
    <x v="13"/>
    <s v="Alliance Rubber Bands"/>
    <x v="3566"/>
    <n v="5"/>
    <n v="0"/>
    <n v="0.33600000000000002"/>
  </r>
  <r>
    <n v="6028"/>
    <x v="660"/>
    <x v="3"/>
    <x v="11"/>
    <d v="2014-03-03T00:00:00"/>
    <n v="7"/>
    <x v="1"/>
    <s v="Ann Chong"/>
    <x v="1"/>
    <m/>
    <s v="Seattle"/>
    <s v="Washington"/>
    <s v="West"/>
    <x v="2"/>
    <x v="7"/>
    <s v="invisibleSHIELD by ZAGG Smudge-Free Screen Protector"/>
    <x v="994"/>
    <n v="5"/>
    <n v="0.2"/>
    <n v="25.186"/>
  </r>
  <r>
    <n v="6029"/>
    <x v="258"/>
    <x v="0"/>
    <x v="0"/>
    <d v="2013-11-22T00:00:00"/>
    <n v="2"/>
    <x v="2"/>
    <s v="Liz Thompson"/>
    <x v="0"/>
    <m/>
    <s v="Jacksonville"/>
    <s v="North Carolina"/>
    <s v="South"/>
    <x v="1"/>
    <x v="6"/>
    <s v="Deluxe Chalkboard Eraser Cleaner"/>
    <x v="4098"/>
    <n v="2"/>
    <n v="0.2"/>
    <n v="6.0060000000000002"/>
  </r>
  <r>
    <n v="6030"/>
    <x v="696"/>
    <x v="0"/>
    <x v="0"/>
    <d v="2013-11-16T00:00:00"/>
    <n v="1"/>
    <x v="2"/>
    <s v="Tim Brockman"/>
    <x v="0"/>
    <m/>
    <s v="Los Angeles"/>
    <s v="California"/>
    <s v="West"/>
    <x v="1"/>
    <x v="6"/>
    <s v="Newell 35"/>
    <x v="294"/>
    <n v="3"/>
    <n v="0"/>
    <n v="2.8536000000000001"/>
  </r>
  <r>
    <n v="6031"/>
    <x v="91"/>
    <x v="3"/>
    <x v="7"/>
    <d v="2014-07-07T00:00:00"/>
    <n v="0"/>
    <x v="3"/>
    <s v="Angele Hood"/>
    <x v="0"/>
    <m/>
    <s v="Miami"/>
    <s v="Florida"/>
    <s v="South"/>
    <x v="0"/>
    <x v="1"/>
    <s v="Global Comet Stacking Armless Chair"/>
    <x v="4099"/>
    <n v="1"/>
    <n v="0.2"/>
    <n v="23.923999999999999"/>
  </r>
  <r>
    <n v="6032"/>
    <x v="591"/>
    <x v="0"/>
    <x v="4"/>
    <d v="2014-01-02T00:00:00"/>
    <n v="7"/>
    <x v="1"/>
    <s v="Saphhira Shifley"/>
    <x v="1"/>
    <m/>
    <s v="Nashua"/>
    <s v="New Hampshire"/>
    <s v="East"/>
    <x v="0"/>
    <x v="5"/>
    <s v="Master Big Foot Doorstop, Beige"/>
    <x v="3051"/>
    <n v="4"/>
    <n v="0"/>
    <n v="6.5472000000000001"/>
  </r>
  <r>
    <n v="6033"/>
    <x v="756"/>
    <x v="3"/>
    <x v="3"/>
    <d v="2014-04-26T00:00:00"/>
    <n v="2"/>
    <x v="2"/>
    <s v="Tamara Dahlen"/>
    <x v="0"/>
    <m/>
    <s v="New York City"/>
    <s v="New York"/>
    <s v="East"/>
    <x v="1"/>
    <x v="14"/>
    <s v="Fiskars Softgrip Scissors"/>
    <x v="2735"/>
    <n v="5"/>
    <n v="0"/>
    <n v="15.372"/>
  </r>
  <r>
    <n v="6034"/>
    <x v="639"/>
    <x v="1"/>
    <x v="4"/>
    <d v="2012-12-18T00:00:00"/>
    <n v="4"/>
    <x v="1"/>
    <s v="Paul Prost"/>
    <x v="2"/>
    <m/>
    <s v="Los Angeles"/>
    <s v="California"/>
    <s v="West"/>
    <x v="0"/>
    <x v="5"/>
    <s v="Master Caster Door Stop, Gray"/>
    <x v="593"/>
    <n v="3"/>
    <n v="0"/>
    <n v="5.1816000000000004"/>
  </r>
  <r>
    <n v="6035"/>
    <x v="1083"/>
    <x v="1"/>
    <x v="3"/>
    <d v="2012-04-25T00:00:00"/>
    <n v="6"/>
    <x v="1"/>
    <s v="Patrick Gardner"/>
    <x v="0"/>
    <m/>
    <s v="Carrollton"/>
    <s v="Texas"/>
    <s v="Central"/>
    <x v="1"/>
    <x v="9"/>
    <s v="Fellowes Premier Superior Surge Suppressor, 10-Outlet, With Phone and Remote"/>
    <x v="4100"/>
    <n v="2"/>
    <n v="0.8"/>
    <n v="-52.833599999999997"/>
  </r>
  <r>
    <n v="6036"/>
    <x v="1083"/>
    <x v="1"/>
    <x v="3"/>
    <d v="2012-04-25T00:00:00"/>
    <n v="6"/>
    <x v="1"/>
    <s v="Patrick Gardner"/>
    <x v="0"/>
    <m/>
    <s v="Carrollton"/>
    <s v="Texas"/>
    <s v="Central"/>
    <x v="1"/>
    <x v="8"/>
    <s v="Fellowes PB300 Plastic Comb Binding Machine"/>
    <x v="4101"/>
    <n v="4"/>
    <n v="0.8"/>
    <n v="-512.14679999999998"/>
  </r>
  <r>
    <n v="6037"/>
    <x v="913"/>
    <x v="0"/>
    <x v="8"/>
    <d v="2013-09-09T00:00:00"/>
    <n v="4"/>
    <x v="1"/>
    <s v="Anna Andreadi"/>
    <x v="0"/>
    <m/>
    <s v="Georgetown"/>
    <s v="Kentucky"/>
    <s v="South"/>
    <x v="0"/>
    <x v="5"/>
    <s v="Coloredge Poster Frame"/>
    <x v="528"/>
    <n v="3"/>
    <n v="0"/>
    <n v="16.614000000000001"/>
  </r>
  <r>
    <n v="6038"/>
    <x v="913"/>
    <x v="0"/>
    <x v="8"/>
    <d v="2013-09-09T00:00:00"/>
    <n v="4"/>
    <x v="1"/>
    <s v="Anna Andreadi"/>
    <x v="0"/>
    <m/>
    <s v="Georgetown"/>
    <s v="Kentucky"/>
    <s v="South"/>
    <x v="1"/>
    <x v="8"/>
    <s v="Poly Designer Cover &amp; Back"/>
    <x v="3273"/>
    <n v="6"/>
    <n v="0"/>
    <n v="54.691200000000002"/>
  </r>
  <r>
    <n v="6039"/>
    <x v="913"/>
    <x v="0"/>
    <x v="8"/>
    <d v="2013-09-09T00:00:00"/>
    <n v="4"/>
    <x v="1"/>
    <s v="Anna Andreadi"/>
    <x v="0"/>
    <m/>
    <s v="Georgetown"/>
    <s v="Kentucky"/>
    <s v="South"/>
    <x v="1"/>
    <x v="4"/>
    <s v="Fellowes Neat Ideas Storage Cubes"/>
    <x v="677"/>
    <n v="4"/>
    <n v="0"/>
    <n v="5.1967999999999996"/>
  </r>
  <r>
    <n v="6040"/>
    <x v="913"/>
    <x v="0"/>
    <x v="8"/>
    <d v="2013-09-09T00:00:00"/>
    <n v="4"/>
    <x v="1"/>
    <s v="Anna Andreadi"/>
    <x v="0"/>
    <m/>
    <s v="Georgetown"/>
    <s v="Kentucky"/>
    <s v="South"/>
    <x v="1"/>
    <x v="6"/>
    <s v="Nontoxic Chalk"/>
    <x v="266"/>
    <n v="3"/>
    <n v="0"/>
    <n v="2.5344000000000002"/>
  </r>
  <r>
    <n v="6041"/>
    <x v="241"/>
    <x v="3"/>
    <x v="8"/>
    <d v="2014-09-30T00:00:00"/>
    <n v="5"/>
    <x v="1"/>
    <s v="Frank Atkinson"/>
    <x v="1"/>
    <m/>
    <s v="Los Angeles"/>
    <s v="California"/>
    <s v="West"/>
    <x v="2"/>
    <x v="7"/>
    <s v="Wilson Electronics DB Pro Signal Booster"/>
    <x v="3848"/>
    <n v="3"/>
    <n v="0.2"/>
    <n v="75.180000000000007"/>
  </r>
  <r>
    <n v="6042"/>
    <x v="241"/>
    <x v="3"/>
    <x v="8"/>
    <d v="2014-09-30T00:00:00"/>
    <n v="5"/>
    <x v="1"/>
    <s v="Frank Atkinson"/>
    <x v="1"/>
    <m/>
    <s v="Los Angeles"/>
    <s v="California"/>
    <s v="West"/>
    <x v="2"/>
    <x v="15"/>
    <s v="Socket Bluetooth Cordless Hand Scanner (CHS)"/>
    <x v="4102"/>
    <n v="3"/>
    <n v="0.2"/>
    <n v="177.19800000000001"/>
  </r>
  <r>
    <n v="6043"/>
    <x v="1084"/>
    <x v="0"/>
    <x v="11"/>
    <d v="2013-02-08T00:00:00"/>
    <n v="4"/>
    <x v="1"/>
    <s v="Tracy Blumstein"/>
    <x v="0"/>
    <m/>
    <s v="Sierra Vista"/>
    <s v="Arizona"/>
    <s v="West"/>
    <x v="0"/>
    <x v="5"/>
    <s v="Nu-Dell Float Frame 11 x 14 1/2"/>
    <x v="322"/>
    <n v="2"/>
    <n v="0.2"/>
    <n v="3.9512"/>
  </r>
  <r>
    <n v="6044"/>
    <x v="240"/>
    <x v="3"/>
    <x v="5"/>
    <d v="2014-05-25T00:00:00"/>
    <n v="5"/>
    <x v="0"/>
    <s v="Adam Hart"/>
    <x v="1"/>
    <m/>
    <s v="Knoxville"/>
    <s v="Tennessee"/>
    <s v="South"/>
    <x v="0"/>
    <x v="1"/>
    <s v="Office Star - Mesh Screen back chair with Vinyl seat"/>
    <x v="2317"/>
    <n v="3"/>
    <n v="0.2"/>
    <n v="-35.364600000000003"/>
  </r>
  <r>
    <n v="6045"/>
    <x v="240"/>
    <x v="3"/>
    <x v="5"/>
    <d v="2014-05-25T00:00:00"/>
    <n v="5"/>
    <x v="0"/>
    <s v="Adam Hart"/>
    <x v="1"/>
    <m/>
    <s v="Knoxville"/>
    <s v="Tennessee"/>
    <s v="South"/>
    <x v="1"/>
    <x v="10"/>
    <s v="Xerox 1949"/>
    <x v="2825"/>
    <n v="7"/>
    <n v="0.2"/>
    <n v="10.109400000000001"/>
  </r>
  <r>
    <n v="6046"/>
    <x v="37"/>
    <x v="1"/>
    <x v="8"/>
    <d v="2012-09-08T00:00:00"/>
    <n v="5"/>
    <x v="1"/>
    <s v="Cathy Prescott"/>
    <x v="1"/>
    <m/>
    <s v="Tucson"/>
    <s v="Arizona"/>
    <s v="West"/>
    <x v="0"/>
    <x v="5"/>
    <s v="GE 48&quot; Fluorescent Tube, Cool White Energy Saver, 34 Watts, 30/Box"/>
    <x v="4103"/>
    <n v="3"/>
    <n v="0.2"/>
    <n v="89.307000000000002"/>
  </r>
  <r>
    <n v="6047"/>
    <x v="632"/>
    <x v="0"/>
    <x v="1"/>
    <d v="2013-06-17T00:00:00"/>
    <n v="7"/>
    <x v="1"/>
    <s v="Benjamin Farhat"/>
    <x v="2"/>
    <m/>
    <s v="Minneapolis"/>
    <s v="Minnesota"/>
    <s v="Central"/>
    <x v="0"/>
    <x v="3"/>
    <s v="Bush Cubix Conference Tables, Fully Assembled"/>
    <x v="4104"/>
    <n v="3"/>
    <n v="0"/>
    <n v="173.23500000000001"/>
  </r>
  <r>
    <n v="6048"/>
    <x v="209"/>
    <x v="1"/>
    <x v="0"/>
    <d v="2012-11-11T00:00:00"/>
    <n v="4"/>
    <x v="1"/>
    <s v="Christine Phan"/>
    <x v="1"/>
    <m/>
    <s v="Miami"/>
    <s v="Florida"/>
    <s v="South"/>
    <x v="1"/>
    <x v="8"/>
    <s v="Avery Hanging File Binders"/>
    <x v="4105"/>
    <n v="9"/>
    <n v="0.7"/>
    <n v="-12.9168"/>
  </r>
  <r>
    <n v="6049"/>
    <x v="209"/>
    <x v="1"/>
    <x v="0"/>
    <d v="2012-11-11T00:00:00"/>
    <n v="4"/>
    <x v="1"/>
    <s v="Christine Phan"/>
    <x v="1"/>
    <m/>
    <s v="Miami"/>
    <s v="Florida"/>
    <s v="South"/>
    <x v="1"/>
    <x v="8"/>
    <s v="GBC DocuBind TL300 Electric Binding System"/>
    <x v="4106"/>
    <n v="5"/>
    <n v="0.7"/>
    <n v="-1031.5385000000001"/>
  </r>
  <r>
    <n v="6050"/>
    <x v="1085"/>
    <x v="0"/>
    <x v="1"/>
    <d v="2013-06-19T00:00:00"/>
    <n v="3"/>
    <x v="2"/>
    <s v="Lynn Smith"/>
    <x v="0"/>
    <m/>
    <s v="Houston"/>
    <s v="Texas"/>
    <s v="Central"/>
    <x v="1"/>
    <x v="10"/>
    <s v="Xerox 19"/>
    <x v="4107"/>
    <n v="7"/>
    <n v="0.2"/>
    <n v="54.215000000000003"/>
  </r>
  <r>
    <n v="6051"/>
    <x v="334"/>
    <x v="1"/>
    <x v="3"/>
    <d v="2012-04-30T00:00:00"/>
    <n v="5"/>
    <x v="1"/>
    <s v="Trudy Schmidt"/>
    <x v="0"/>
    <m/>
    <s v="Milwaukee"/>
    <s v="Wisconsin"/>
    <s v="Central"/>
    <x v="1"/>
    <x v="6"/>
    <s v="Newell 324"/>
    <x v="2444"/>
    <n v="5"/>
    <n v="0"/>
    <n v="16.170000000000002"/>
  </r>
  <r>
    <n v="6052"/>
    <x v="334"/>
    <x v="1"/>
    <x v="3"/>
    <d v="2012-04-30T00:00:00"/>
    <n v="5"/>
    <x v="1"/>
    <s v="Trudy Schmidt"/>
    <x v="0"/>
    <m/>
    <s v="Milwaukee"/>
    <s v="Wisconsin"/>
    <s v="Central"/>
    <x v="1"/>
    <x v="9"/>
    <s v="Belkin 5 Outlet SurgeMaster Power Centers"/>
    <x v="4108"/>
    <n v="5"/>
    <n v="0"/>
    <n v="76.272000000000006"/>
  </r>
  <r>
    <n v="6053"/>
    <x v="713"/>
    <x v="0"/>
    <x v="8"/>
    <d v="2013-09-27T00:00:00"/>
    <n v="3"/>
    <x v="0"/>
    <s v="Joni Sundaresam"/>
    <x v="2"/>
    <m/>
    <s v="Lancaster"/>
    <s v="Ohio"/>
    <s v="East"/>
    <x v="1"/>
    <x v="10"/>
    <s v="Xerox 1970"/>
    <x v="1627"/>
    <n v="3"/>
    <n v="0.2"/>
    <n v="4.0338000000000003"/>
  </r>
  <r>
    <n v="6054"/>
    <x v="713"/>
    <x v="0"/>
    <x v="8"/>
    <d v="2013-09-27T00:00:00"/>
    <n v="3"/>
    <x v="0"/>
    <s v="Joni Sundaresam"/>
    <x v="2"/>
    <m/>
    <s v="Lancaster"/>
    <s v="Ohio"/>
    <s v="East"/>
    <x v="0"/>
    <x v="5"/>
    <s v="Eldon 400 Class Desk Accessories, Black Carbon"/>
    <x v="4109"/>
    <n v="4"/>
    <n v="0.2"/>
    <n v="7.7"/>
  </r>
  <r>
    <n v="6055"/>
    <x v="713"/>
    <x v="0"/>
    <x v="8"/>
    <d v="2013-09-27T00:00:00"/>
    <n v="3"/>
    <x v="0"/>
    <s v="Joni Sundaresam"/>
    <x v="2"/>
    <m/>
    <s v="Lancaster"/>
    <s v="Ohio"/>
    <s v="East"/>
    <x v="1"/>
    <x v="8"/>
    <s v="Fellowes Black Plastic Comb Bindings"/>
    <x v="4110"/>
    <n v="7"/>
    <n v="0.7"/>
    <n v="-9.7607999999999997"/>
  </r>
  <r>
    <n v="6056"/>
    <x v="298"/>
    <x v="0"/>
    <x v="6"/>
    <d v="2013-08-21T00:00:00"/>
    <n v="2"/>
    <x v="2"/>
    <s v="Natalie Fritzler"/>
    <x v="0"/>
    <m/>
    <s v="Edinburg"/>
    <s v="Texas"/>
    <s v="Central"/>
    <x v="1"/>
    <x v="8"/>
    <s v="GBC Wire Binding Combs"/>
    <x v="4111"/>
    <n v="1"/>
    <n v="0.8"/>
    <n v="-3.4121999999999999"/>
  </r>
  <r>
    <n v="6057"/>
    <x v="298"/>
    <x v="0"/>
    <x v="6"/>
    <d v="2013-08-21T00:00:00"/>
    <n v="2"/>
    <x v="2"/>
    <s v="Natalie Fritzler"/>
    <x v="0"/>
    <m/>
    <s v="Edinburg"/>
    <s v="Texas"/>
    <s v="Central"/>
    <x v="1"/>
    <x v="10"/>
    <s v="Advantus Motivational Note Cards"/>
    <x v="1332"/>
    <n v="8"/>
    <n v="0.2"/>
    <n v="30.391999999999999"/>
  </r>
  <r>
    <n v="6058"/>
    <x v="1086"/>
    <x v="2"/>
    <x v="10"/>
    <d v="2011-03-08T00:00:00"/>
    <n v="6"/>
    <x v="1"/>
    <s v="Kristina Nunn"/>
    <x v="2"/>
    <m/>
    <s v="New York City"/>
    <s v="New York"/>
    <s v="East"/>
    <x v="1"/>
    <x v="12"/>
    <s v="Staples"/>
    <x v="710"/>
    <n v="2"/>
    <n v="0"/>
    <n v="5.3391999999999999"/>
  </r>
  <r>
    <n v="6059"/>
    <x v="1086"/>
    <x v="2"/>
    <x v="10"/>
    <d v="2011-03-08T00:00:00"/>
    <n v="6"/>
    <x v="1"/>
    <s v="Kristina Nunn"/>
    <x v="2"/>
    <m/>
    <s v="New York City"/>
    <s v="New York"/>
    <s v="East"/>
    <x v="1"/>
    <x v="10"/>
    <s v="Array Parchment Paper, Assorted Colors"/>
    <x v="3343"/>
    <n v="5"/>
    <n v="0"/>
    <n v="17.472000000000001"/>
  </r>
  <r>
    <n v="6060"/>
    <x v="125"/>
    <x v="2"/>
    <x v="4"/>
    <d v="2012-01-03T00:00:00"/>
    <n v="4"/>
    <x v="1"/>
    <s v="Guy Armstrong"/>
    <x v="0"/>
    <m/>
    <s v="Philadelphia"/>
    <s v="Pennsylvania"/>
    <s v="East"/>
    <x v="2"/>
    <x v="11"/>
    <s v="Maxell Pro 80 Minute CD-R, 10/Pack"/>
    <x v="886"/>
    <n v="2"/>
    <n v="0.2"/>
    <n v="6.992"/>
  </r>
  <r>
    <n v="6061"/>
    <x v="889"/>
    <x v="1"/>
    <x v="3"/>
    <d v="2012-04-16T00:00:00"/>
    <n v="6"/>
    <x v="1"/>
    <s v="Eugene Hildebrand"/>
    <x v="2"/>
    <m/>
    <s v="Rochester"/>
    <s v="New York"/>
    <s v="East"/>
    <x v="1"/>
    <x v="4"/>
    <s v="Steel Personal Filing/Posting Tote"/>
    <x v="4112"/>
    <n v="4"/>
    <n v="0"/>
    <n v="38.3508"/>
  </r>
  <r>
    <n v="6062"/>
    <x v="889"/>
    <x v="1"/>
    <x v="3"/>
    <d v="2012-04-16T00:00:00"/>
    <n v="6"/>
    <x v="1"/>
    <s v="Eugene Hildebrand"/>
    <x v="2"/>
    <m/>
    <s v="Rochester"/>
    <s v="New York"/>
    <s v="East"/>
    <x v="1"/>
    <x v="6"/>
    <s v="Faber Castell Col-Erase Pencils"/>
    <x v="1835"/>
    <n v="3"/>
    <n v="0"/>
    <n v="6.0147000000000004"/>
  </r>
  <r>
    <n v="6063"/>
    <x v="707"/>
    <x v="1"/>
    <x v="4"/>
    <d v="2012-12-30T00:00:00"/>
    <n v="5"/>
    <x v="0"/>
    <s v="Ralph Arnett"/>
    <x v="0"/>
    <m/>
    <s v="San Diego"/>
    <s v="California"/>
    <s v="West"/>
    <x v="2"/>
    <x v="16"/>
    <s v="Brother DCP1000 Digital 3 in 1 Multifunction Machine"/>
    <x v="4113"/>
    <n v="5"/>
    <n v="0.2"/>
    <n v="224.99250000000001"/>
  </r>
  <r>
    <n v="6064"/>
    <x v="707"/>
    <x v="1"/>
    <x v="4"/>
    <d v="2012-12-30T00:00:00"/>
    <n v="5"/>
    <x v="0"/>
    <s v="Ralph Arnett"/>
    <x v="0"/>
    <m/>
    <s v="San Diego"/>
    <s v="California"/>
    <s v="West"/>
    <x v="1"/>
    <x v="10"/>
    <s v="Important Message Pads, 50 4-1/4 x 5-1/2 Forms per Pad"/>
    <x v="2336"/>
    <n v="3"/>
    <n v="0"/>
    <n v="6.1740000000000004"/>
  </r>
  <r>
    <n v="6065"/>
    <x v="707"/>
    <x v="1"/>
    <x v="4"/>
    <d v="2012-12-30T00:00:00"/>
    <n v="5"/>
    <x v="0"/>
    <s v="Ralph Arnett"/>
    <x v="0"/>
    <m/>
    <s v="San Diego"/>
    <s v="California"/>
    <s v="West"/>
    <x v="1"/>
    <x v="10"/>
    <s v="Great White Multi-Use Recycled Paper (20Lb. and 84 Bright)"/>
    <x v="1444"/>
    <n v="3"/>
    <n v="0"/>
    <n v="8.0730000000000004"/>
  </r>
  <r>
    <n v="6066"/>
    <x v="57"/>
    <x v="1"/>
    <x v="3"/>
    <d v="2012-04-07T00:00:00"/>
    <n v="2"/>
    <x v="2"/>
    <s v="Ted Trevino"/>
    <x v="0"/>
    <m/>
    <s v="Philadelphia"/>
    <s v="Pennsylvania"/>
    <s v="East"/>
    <x v="1"/>
    <x v="2"/>
    <s v="Avery 499"/>
    <x v="4114"/>
    <n v="6"/>
    <n v="0.2"/>
    <n v="7.7687999999999997"/>
  </r>
  <r>
    <n v="6067"/>
    <x v="184"/>
    <x v="1"/>
    <x v="9"/>
    <d v="2012-01-23T00:00:00"/>
    <n v="6"/>
    <x v="1"/>
    <s v="Amy Hunt"/>
    <x v="0"/>
    <m/>
    <s v="Bartlett"/>
    <s v="Tennessee"/>
    <s v="South"/>
    <x v="1"/>
    <x v="14"/>
    <s v="Acme Hot Forged Carbon Steel Scissors with Nickel-Plated Handles, 3 7/8&quot; Cut, 8&quot;L"/>
    <x v="4115"/>
    <n v="8"/>
    <n v="0.2"/>
    <n v="10.007999999999999"/>
  </r>
  <r>
    <n v="6068"/>
    <x v="968"/>
    <x v="3"/>
    <x v="5"/>
    <d v="2014-05-25T00:00:00"/>
    <n v="4"/>
    <x v="1"/>
    <s v="Chuck Clark"/>
    <x v="2"/>
    <m/>
    <s v="Lakewood"/>
    <s v="California"/>
    <s v="West"/>
    <x v="0"/>
    <x v="1"/>
    <s v="Global Geo Office Task Chair, Gray"/>
    <x v="4116"/>
    <n v="8"/>
    <n v="0.2"/>
    <n v="-97.176000000000002"/>
  </r>
  <r>
    <n v="6069"/>
    <x v="968"/>
    <x v="3"/>
    <x v="5"/>
    <d v="2014-05-25T00:00:00"/>
    <n v="4"/>
    <x v="1"/>
    <s v="Chuck Clark"/>
    <x v="2"/>
    <m/>
    <s v="Lakewood"/>
    <s v="California"/>
    <s v="West"/>
    <x v="0"/>
    <x v="5"/>
    <s v="G.E. Halogen Desk Lamp Bulbs"/>
    <x v="4117"/>
    <n v="1"/>
    <n v="0"/>
    <n v="3.3504"/>
  </r>
  <r>
    <n v="6070"/>
    <x v="968"/>
    <x v="3"/>
    <x v="5"/>
    <d v="2014-05-25T00:00:00"/>
    <n v="4"/>
    <x v="1"/>
    <s v="Chuck Clark"/>
    <x v="2"/>
    <m/>
    <s v="Lakewood"/>
    <s v="California"/>
    <s v="West"/>
    <x v="2"/>
    <x v="15"/>
    <s v="Okidata B400 Printer"/>
    <x v="4118"/>
    <n v="1"/>
    <n v="0.2"/>
    <n v="38.61"/>
  </r>
  <r>
    <n v="6071"/>
    <x v="802"/>
    <x v="3"/>
    <x v="6"/>
    <d v="2014-08-21T00:00:00"/>
    <n v="7"/>
    <x v="1"/>
    <s v="Keith Dawkins"/>
    <x v="1"/>
    <m/>
    <s v="Philadelphia"/>
    <s v="Pennsylvania"/>
    <s v="East"/>
    <x v="1"/>
    <x v="2"/>
    <s v="Avery 486"/>
    <x v="1569"/>
    <n v="3"/>
    <n v="0.2"/>
    <n v="5.9211"/>
  </r>
  <r>
    <n v="6072"/>
    <x v="620"/>
    <x v="1"/>
    <x v="4"/>
    <d v="2013-01-04T00:00:00"/>
    <n v="4"/>
    <x v="1"/>
    <s v="Barry Gonzalez"/>
    <x v="0"/>
    <m/>
    <s v="Austin"/>
    <s v="Texas"/>
    <s v="Central"/>
    <x v="1"/>
    <x v="4"/>
    <s v="Fellowes Stor/Drawer Steel Plus Storage Drawers"/>
    <x v="4119"/>
    <n v="2"/>
    <n v="0.2"/>
    <n v="-26.720400000000001"/>
  </r>
  <r>
    <n v="6073"/>
    <x v="620"/>
    <x v="1"/>
    <x v="4"/>
    <d v="2013-01-04T00:00:00"/>
    <n v="4"/>
    <x v="1"/>
    <s v="Barry Gonzalez"/>
    <x v="0"/>
    <m/>
    <s v="Austin"/>
    <s v="Texas"/>
    <s v="Central"/>
    <x v="1"/>
    <x v="13"/>
    <s v="Stockwell Push Pins"/>
    <x v="4120"/>
    <n v="2"/>
    <n v="0.2"/>
    <n v="0.56679999999999997"/>
  </r>
  <r>
    <n v="6074"/>
    <x v="620"/>
    <x v="1"/>
    <x v="4"/>
    <d v="2013-01-04T00:00:00"/>
    <n v="4"/>
    <x v="1"/>
    <s v="Barry Gonzalez"/>
    <x v="0"/>
    <m/>
    <s v="Austin"/>
    <s v="Texas"/>
    <s v="Central"/>
    <x v="1"/>
    <x v="14"/>
    <s v="Staples"/>
    <x v="4121"/>
    <n v="2"/>
    <n v="0.2"/>
    <n v="-1.3248"/>
  </r>
  <r>
    <n v="6075"/>
    <x v="53"/>
    <x v="3"/>
    <x v="4"/>
    <d v="2014-12-30T00:00:00"/>
    <n v="4"/>
    <x v="1"/>
    <s v="Fred Hopkins"/>
    <x v="1"/>
    <m/>
    <s v="Los Angeles"/>
    <s v="California"/>
    <s v="West"/>
    <x v="1"/>
    <x v="8"/>
    <s v="GBC DocuBind P50 Personal Binding Machine"/>
    <x v="1830"/>
    <n v="3"/>
    <n v="0.2"/>
    <n v="51.823799999999999"/>
  </r>
  <r>
    <n v="6076"/>
    <x v="53"/>
    <x v="3"/>
    <x v="4"/>
    <d v="2014-12-30T00:00:00"/>
    <n v="4"/>
    <x v="1"/>
    <s v="Fred Hopkins"/>
    <x v="1"/>
    <m/>
    <s v="Los Angeles"/>
    <s v="California"/>
    <s v="West"/>
    <x v="1"/>
    <x v="4"/>
    <s v="Tennsco Stur-D-Stor Boltless Shelving, 5 Shelves, 24&quot; Deep, Sand"/>
    <x v="4122"/>
    <n v="2"/>
    <n v="0"/>
    <n v="2.7061999999999999"/>
  </r>
  <r>
    <n v="6077"/>
    <x v="142"/>
    <x v="0"/>
    <x v="8"/>
    <d v="2013-09-08T00:00:00"/>
    <n v="6"/>
    <x v="1"/>
    <s v="Patrick Gardner"/>
    <x v="0"/>
    <m/>
    <s v="New York City"/>
    <s v="New York"/>
    <s v="East"/>
    <x v="2"/>
    <x v="11"/>
    <s v="Enermax Aurora Lite Keyboard"/>
    <x v="511"/>
    <n v="6"/>
    <n v="0"/>
    <n v="206.316"/>
  </r>
  <r>
    <n v="6078"/>
    <x v="142"/>
    <x v="0"/>
    <x v="8"/>
    <d v="2013-09-08T00:00:00"/>
    <n v="6"/>
    <x v="1"/>
    <s v="Patrick Gardner"/>
    <x v="0"/>
    <m/>
    <s v="New York City"/>
    <s v="New York"/>
    <s v="East"/>
    <x v="2"/>
    <x v="11"/>
    <s v="Memorex Mini Travel Drive 64 GB USB 2.0 Flash Drive"/>
    <x v="4123"/>
    <n v="2"/>
    <n v="0"/>
    <n v="30.441600000000001"/>
  </r>
  <r>
    <n v="6079"/>
    <x v="142"/>
    <x v="0"/>
    <x v="8"/>
    <d v="2013-09-08T00:00:00"/>
    <n v="6"/>
    <x v="1"/>
    <s v="Patrick Gardner"/>
    <x v="0"/>
    <m/>
    <s v="New York City"/>
    <s v="New York"/>
    <s v="East"/>
    <x v="1"/>
    <x v="14"/>
    <s v="Acme Value Line Scissors"/>
    <x v="1023"/>
    <n v="3"/>
    <n v="0"/>
    <n v="3.2850000000000001"/>
  </r>
  <r>
    <n v="6080"/>
    <x v="142"/>
    <x v="0"/>
    <x v="8"/>
    <d v="2013-09-08T00:00:00"/>
    <n v="6"/>
    <x v="1"/>
    <s v="Patrick Gardner"/>
    <x v="0"/>
    <m/>
    <s v="New York City"/>
    <s v="New York"/>
    <s v="East"/>
    <x v="0"/>
    <x v="5"/>
    <s v="Howard Miller 14-1/2&quot; Diameter Chrome Round Wall Clock"/>
    <x v="1838"/>
    <n v="3"/>
    <n v="0"/>
    <n v="61.382399999999997"/>
  </r>
  <r>
    <n v="6081"/>
    <x v="485"/>
    <x v="3"/>
    <x v="6"/>
    <d v="2014-08-09T00:00:00"/>
    <n v="3"/>
    <x v="2"/>
    <s v="Nick Zandusky"/>
    <x v="2"/>
    <m/>
    <s v="Houston"/>
    <s v="Texas"/>
    <s v="Central"/>
    <x v="1"/>
    <x v="4"/>
    <s v="Tennsco Lockers, Sand"/>
    <x v="4124"/>
    <n v="9"/>
    <n v="0.2"/>
    <n v="7.5528000000000004"/>
  </r>
  <r>
    <n v="6082"/>
    <x v="1087"/>
    <x v="2"/>
    <x v="11"/>
    <d v="2011-02-19T00:00:00"/>
    <n v="0"/>
    <x v="3"/>
    <s v="Troy Blackwell"/>
    <x v="0"/>
    <m/>
    <s v="Lubbock"/>
    <s v="Texas"/>
    <s v="Central"/>
    <x v="0"/>
    <x v="5"/>
    <s v="DAX Copper Panel Document Frame, 5 x 7 Size"/>
    <x v="2783"/>
    <n v="5"/>
    <n v="0.6"/>
    <n v="-11.321999999999999"/>
  </r>
  <r>
    <n v="6083"/>
    <x v="441"/>
    <x v="0"/>
    <x v="0"/>
    <d v="2013-11-28T00:00:00"/>
    <n v="5"/>
    <x v="1"/>
    <s v="Jeremy Ellison"/>
    <x v="0"/>
    <m/>
    <s v="Houston"/>
    <s v="Texas"/>
    <s v="Central"/>
    <x v="1"/>
    <x v="8"/>
    <s v="Wilson Jones Impact Binders"/>
    <x v="3812"/>
    <n v="6"/>
    <n v="0.8"/>
    <n v="-9.6348000000000003"/>
  </r>
  <r>
    <n v="6084"/>
    <x v="441"/>
    <x v="0"/>
    <x v="0"/>
    <d v="2013-11-28T00:00:00"/>
    <n v="5"/>
    <x v="1"/>
    <s v="Jeremy Ellison"/>
    <x v="0"/>
    <m/>
    <s v="Houston"/>
    <s v="Texas"/>
    <s v="Central"/>
    <x v="1"/>
    <x v="6"/>
    <s v="Newell 348"/>
    <x v="3353"/>
    <n v="9"/>
    <n v="0.2"/>
    <n v="2.6568000000000001"/>
  </r>
  <r>
    <n v="6085"/>
    <x v="441"/>
    <x v="0"/>
    <x v="0"/>
    <d v="2013-11-28T00:00:00"/>
    <n v="5"/>
    <x v="1"/>
    <s v="Jeremy Ellison"/>
    <x v="0"/>
    <m/>
    <s v="Houston"/>
    <s v="Texas"/>
    <s v="Central"/>
    <x v="2"/>
    <x v="11"/>
    <s v="KeyTronic KT800P2 - Keyboard - Black"/>
    <x v="4125"/>
    <n v="2"/>
    <n v="0.2"/>
    <n v="-0.6008"/>
  </r>
  <r>
    <n v="6086"/>
    <x v="441"/>
    <x v="0"/>
    <x v="0"/>
    <d v="2013-11-28T00:00:00"/>
    <n v="5"/>
    <x v="1"/>
    <s v="Jeremy Ellison"/>
    <x v="0"/>
    <m/>
    <s v="Houston"/>
    <s v="Texas"/>
    <s v="Central"/>
    <x v="1"/>
    <x v="2"/>
    <s v="Avery 494"/>
    <x v="4126"/>
    <n v="1"/>
    <n v="0.2"/>
    <n v="0.67859999999999998"/>
  </r>
  <r>
    <n v="6087"/>
    <x v="441"/>
    <x v="0"/>
    <x v="0"/>
    <d v="2013-11-28T00:00:00"/>
    <n v="5"/>
    <x v="1"/>
    <s v="Jeremy Ellison"/>
    <x v="0"/>
    <m/>
    <s v="Houston"/>
    <s v="Texas"/>
    <s v="Central"/>
    <x v="1"/>
    <x v="8"/>
    <s v="Accohide Poly Flexible Ring Binders"/>
    <x v="4127"/>
    <n v="6"/>
    <n v="0.8"/>
    <n v="-6.7320000000000002"/>
  </r>
  <r>
    <n v="6088"/>
    <x v="639"/>
    <x v="1"/>
    <x v="4"/>
    <d v="2012-12-18T00:00:00"/>
    <n v="4"/>
    <x v="1"/>
    <s v="Eric Hoffmann"/>
    <x v="0"/>
    <m/>
    <s v="Costa Mesa"/>
    <s v="California"/>
    <s v="West"/>
    <x v="0"/>
    <x v="5"/>
    <s v="Staples"/>
    <x v="4022"/>
    <n v="3"/>
    <n v="0"/>
    <n v="12.8568"/>
  </r>
  <r>
    <n v="6089"/>
    <x v="385"/>
    <x v="1"/>
    <x v="1"/>
    <d v="2012-06-17T00:00:00"/>
    <n v="4"/>
    <x v="1"/>
    <s v="Barbara Fisher"/>
    <x v="1"/>
    <m/>
    <s v="Roswell"/>
    <s v="Georgia"/>
    <s v="South"/>
    <x v="1"/>
    <x v="10"/>
    <s v="Xerox 202"/>
    <x v="90"/>
    <n v="1"/>
    <n v="0"/>
    <n v="3.1103999999999998"/>
  </r>
  <r>
    <n v="6090"/>
    <x v="116"/>
    <x v="3"/>
    <x v="4"/>
    <d v="2015-01-01T00:00:00"/>
    <n v="3"/>
    <x v="0"/>
    <s v="Pamela Coakley"/>
    <x v="1"/>
    <m/>
    <s v="Loveland"/>
    <s v="Colorado"/>
    <s v="West"/>
    <x v="1"/>
    <x v="8"/>
    <s v="Avery Reinforcements for Hole-Punch Pages"/>
    <x v="1452"/>
    <n v="2"/>
    <n v="0.7"/>
    <n v="-0.99"/>
  </r>
  <r>
    <n v="6091"/>
    <x v="1088"/>
    <x v="3"/>
    <x v="8"/>
    <d v="2014-09-27T00:00:00"/>
    <n v="6"/>
    <x v="1"/>
    <s v="Seth Vernon"/>
    <x v="0"/>
    <m/>
    <s v="New York City"/>
    <s v="New York"/>
    <s v="East"/>
    <x v="0"/>
    <x v="1"/>
    <s v="Hon Valutask Swivel Chairs"/>
    <x v="4128"/>
    <n v="3"/>
    <n v="0.1"/>
    <n v="18.176400000000001"/>
  </r>
  <r>
    <n v="6092"/>
    <x v="1088"/>
    <x v="3"/>
    <x v="8"/>
    <d v="2014-09-27T00:00:00"/>
    <n v="6"/>
    <x v="1"/>
    <s v="Seth Vernon"/>
    <x v="0"/>
    <m/>
    <s v="New York City"/>
    <s v="New York"/>
    <s v="East"/>
    <x v="2"/>
    <x v="11"/>
    <s v="Logitech Wireless Boombox Speaker - portable - wireless, wired"/>
    <x v="4129"/>
    <n v="2"/>
    <n v="0"/>
    <n v="95.76"/>
  </r>
  <r>
    <n v="6093"/>
    <x v="1088"/>
    <x v="3"/>
    <x v="8"/>
    <d v="2014-09-27T00:00:00"/>
    <n v="6"/>
    <x v="1"/>
    <s v="Seth Vernon"/>
    <x v="0"/>
    <m/>
    <s v="New York City"/>
    <s v="New York"/>
    <s v="East"/>
    <x v="1"/>
    <x v="10"/>
    <s v="TOPS &quot;Important Message&quot; Pads, Canary, 4-1/4 x 5-1/2, 50 Sheets per Pad"/>
    <x v="1782"/>
    <n v="9"/>
    <n v="0"/>
    <n v="18.104399999999998"/>
  </r>
  <r>
    <n v="6094"/>
    <x v="1088"/>
    <x v="3"/>
    <x v="8"/>
    <d v="2014-09-27T00:00:00"/>
    <n v="6"/>
    <x v="1"/>
    <s v="Seth Vernon"/>
    <x v="0"/>
    <m/>
    <s v="New York City"/>
    <s v="New York"/>
    <s v="East"/>
    <x v="2"/>
    <x v="11"/>
    <s v="SanDisk Cruzer 64 GB USB Flash Drive"/>
    <x v="3605"/>
    <n v="2"/>
    <n v="0"/>
    <n v="21.792000000000002"/>
  </r>
  <r>
    <n v="6095"/>
    <x v="1088"/>
    <x v="3"/>
    <x v="8"/>
    <d v="2014-09-27T00:00:00"/>
    <n v="6"/>
    <x v="1"/>
    <s v="Seth Vernon"/>
    <x v="0"/>
    <m/>
    <s v="New York City"/>
    <s v="New York"/>
    <s v="East"/>
    <x v="1"/>
    <x v="4"/>
    <s v="SimpliFile Personal File, Black Granite, 15w x 6-15/16d x 11-1/4h"/>
    <x v="4130"/>
    <n v="4"/>
    <n v="0"/>
    <n v="12.712"/>
  </r>
  <r>
    <n v="6096"/>
    <x v="1088"/>
    <x v="3"/>
    <x v="8"/>
    <d v="2014-09-27T00:00:00"/>
    <n v="6"/>
    <x v="1"/>
    <s v="Seth Vernon"/>
    <x v="0"/>
    <m/>
    <s v="New York City"/>
    <s v="New York"/>
    <s v="East"/>
    <x v="1"/>
    <x v="10"/>
    <s v="Adams Phone Message Book, 200 Message Capacity, 8 1/16” x 11”"/>
    <x v="1273"/>
    <n v="2"/>
    <n v="0"/>
    <n v="6.3296000000000001"/>
  </r>
  <r>
    <n v="6097"/>
    <x v="1088"/>
    <x v="3"/>
    <x v="8"/>
    <d v="2014-09-27T00:00:00"/>
    <n v="6"/>
    <x v="1"/>
    <s v="Seth Vernon"/>
    <x v="0"/>
    <m/>
    <s v="New York City"/>
    <s v="New York"/>
    <s v="East"/>
    <x v="0"/>
    <x v="1"/>
    <s v="Global Leather Task Chair, Black"/>
    <x v="4131"/>
    <n v="1"/>
    <n v="0.1"/>
    <n v="8.0991"/>
  </r>
  <r>
    <n v="6098"/>
    <x v="1088"/>
    <x v="3"/>
    <x v="8"/>
    <d v="2014-09-27T00:00:00"/>
    <n v="6"/>
    <x v="1"/>
    <s v="Seth Vernon"/>
    <x v="0"/>
    <m/>
    <s v="New York City"/>
    <s v="New York"/>
    <s v="East"/>
    <x v="1"/>
    <x v="8"/>
    <s v="Pressboard Covers with Storage Hooks, 9 1/2&quot; x 11&quot;, Light Blue"/>
    <x v="692"/>
    <n v="3"/>
    <n v="0.2"/>
    <n v="3.9771000000000001"/>
  </r>
  <r>
    <n v="6099"/>
    <x v="1088"/>
    <x v="3"/>
    <x v="8"/>
    <d v="2014-09-27T00:00:00"/>
    <n v="6"/>
    <x v="1"/>
    <s v="Seth Vernon"/>
    <x v="0"/>
    <m/>
    <s v="New York City"/>
    <s v="New York"/>
    <s v="East"/>
    <x v="1"/>
    <x v="13"/>
    <s v="Advantus Push Pins"/>
    <x v="1001"/>
    <n v="2"/>
    <n v="0"/>
    <n v="1.7876000000000001"/>
  </r>
  <r>
    <n v="6100"/>
    <x v="1088"/>
    <x v="3"/>
    <x v="8"/>
    <d v="2014-09-27T00:00:00"/>
    <n v="6"/>
    <x v="1"/>
    <s v="Seth Vernon"/>
    <x v="0"/>
    <m/>
    <s v="New York City"/>
    <s v="New York"/>
    <s v="East"/>
    <x v="0"/>
    <x v="1"/>
    <s v="Hon 4070 Series Pagoda Armless Upholstered Stacking Chairs"/>
    <x v="4132"/>
    <n v="11"/>
    <n v="0.1"/>
    <n v="609.71569999999997"/>
  </r>
  <r>
    <n v="6101"/>
    <x v="1088"/>
    <x v="3"/>
    <x v="8"/>
    <d v="2014-09-27T00:00:00"/>
    <n v="6"/>
    <x v="1"/>
    <s v="Seth Vernon"/>
    <x v="0"/>
    <m/>
    <s v="New York City"/>
    <s v="New York"/>
    <s v="East"/>
    <x v="2"/>
    <x v="7"/>
    <s v="Apple iPhone 5"/>
    <x v="4133"/>
    <n v="2"/>
    <n v="0"/>
    <n v="350.90820000000002"/>
  </r>
  <r>
    <n v="6102"/>
    <x v="1088"/>
    <x v="3"/>
    <x v="8"/>
    <d v="2014-09-27T00:00:00"/>
    <n v="6"/>
    <x v="1"/>
    <s v="Seth Vernon"/>
    <x v="0"/>
    <m/>
    <s v="New York City"/>
    <s v="New York"/>
    <s v="East"/>
    <x v="0"/>
    <x v="1"/>
    <s v="Global Troy Executive Leather Low-Back Tilter"/>
    <x v="4134"/>
    <n v="5"/>
    <n v="0.1"/>
    <n v="375.73500000000001"/>
  </r>
  <r>
    <n v="6103"/>
    <x v="1088"/>
    <x v="3"/>
    <x v="8"/>
    <d v="2014-09-27T00:00:00"/>
    <n v="6"/>
    <x v="1"/>
    <s v="Seth Vernon"/>
    <x v="0"/>
    <m/>
    <s v="New York City"/>
    <s v="New York"/>
    <s v="East"/>
    <x v="2"/>
    <x v="7"/>
    <s v="Plantronics Cordless Phone Headset with In-line Volume - M214C"/>
    <x v="1230"/>
    <n v="3"/>
    <n v="0"/>
    <n v="28.3095"/>
  </r>
  <r>
    <n v="6104"/>
    <x v="1088"/>
    <x v="3"/>
    <x v="8"/>
    <d v="2014-09-27T00:00:00"/>
    <n v="6"/>
    <x v="1"/>
    <s v="Seth Vernon"/>
    <x v="0"/>
    <m/>
    <s v="New York City"/>
    <s v="New York"/>
    <s v="East"/>
    <x v="2"/>
    <x v="11"/>
    <s v="Logitech LS21 Speaker System - PC Multimedia - 2.1-CH - Wired"/>
    <x v="127"/>
    <n v="3"/>
    <n v="0"/>
    <n v="20.389800000000001"/>
  </r>
  <r>
    <n v="6105"/>
    <x v="1029"/>
    <x v="3"/>
    <x v="6"/>
    <d v="2014-08-25T00:00:00"/>
    <n v="2"/>
    <x v="2"/>
    <s v="Dean percer"/>
    <x v="2"/>
    <m/>
    <s v="Philadelphia"/>
    <s v="Pennsylvania"/>
    <s v="East"/>
    <x v="0"/>
    <x v="3"/>
    <s v="Bevis Boat-Shaped Conference Table"/>
    <x v="4135"/>
    <n v="2"/>
    <n v="0.4"/>
    <n v="-83.875200000000007"/>
  </r>
  <r>
    <n v="6106"/>
    <x v="652"/>
    <x v="1"/>
    <x v="1"/>
    <d v="2012-06-22T00:00:00"/>
    <n v="4"/>
    <x v="1"/>
    <s v="Harold Ryan"/>
    <x v="1"/>
    <m/>
    <s v="Miami"/>
    <s v="Florida"/>
    <s v="South"/>
    <x v="1"/>
    <x v="6"/>
    <s v="Dixon Prang Watercolor Pencils, 10-Color Set with Brush"/>
    <x v="4136"/>
    <n v="4"/>
    <n v="0.2"/>
    <n v="3.5783999999999998"/>
  </r>
  <r>
    <n v="6107"/>
    <x v="414"/>
    <x v="2"/>
    <x v="4"/>
    <d v="2011-12-25T00:00:00"/>
    <n v="5"/>
    <x v="1"/>
    <s v="William Brown"/>
    <x v="0"/>
    <m/>
    <s v="Grand Prairie"/>
    <s v="Texas"/>
    <s v="Central"/>
    <x v="1"/>
    <x v="9"/>
    <s v="Belkin Premiere Surge Master II 8-outlet surge protector"/>
    <x v="4137"/>
    <n v="2"/>
    <n v="0.8"/>
    <n v="-49.551600000000001"/>
  </r>
  <r>
    <n v="6108"/>
    <x v="414"/>
    <x v="2"/>
    <x v="4"/>
    <d v="2011-12-25T00:00:00"/>
    <n v="5"/>
    <x v="1"/>
    <s v="William Brown"/>
    <x v="0"/>
    <m/>
    <s v="Grand Prairie"/>
    <s v="Texas"/>
    <s v="Central"/>
    <x v="2"/>
    <x v="11"/>
    <s v="Logitech Desktop MK120 Mouse and keyboard Combo"/>
    <x v="4138"/>
    <n v="5"/>
    <n v="0.2"/>
    <n v="-8.18"/>
  </r>
  <r>
    <n v="6109"/>
    <x v="108"/>
    <x v="0"/>
    <x v="8"/>
    <d v="2013-09-17T00:00:00"/>
    <n v="5"/>
    <x v="1"/>
    <s v="Adam Shillingsburg"/>
    <x v="0"/>
    <m/>
    <s v="Chicago"/>
    <s v="Illinois"/>
    <s v="Central"/>
    <x v="1"/>
    <x v="2"/>
    <s v="Smead Alpha-Z Color-Coded Name Labels First Letter Starter Set"/>
    <x v="1603"/>
    <n v="2"/>
    <n v="0.2"/>
    <n v="2.1"/>
  </r>
  <r>
    <n v="6110"/>
    <x v="108"/>
    <x v="0"/>
    <x v="8"/>
    <d v="2013-09-17T00:00:00"/>
    <n v="5"/>
    <x v="1"/>
    <s v="Adam Shillingsburg"/>
    <x v="0"/>
    <m/>
    <s v="Chicago"/>
    <s v="Illinois"/>
    <s v="Central"/>
    <x v="1"/>
    <x v="8"/>
    <s v="Insertable Tab Indexes For Data Binders"/>
    <x v="3453"/>
    <n v="3"/>
    <n v="0.8"/>
    <n v="-3.2435999999999998"/>
  </r>
  <r>
    <n v="6111"/>
    <x v="396"/>
    <x v="0"/>
    <x v="0"/>
    <d v="2013-11-17T00:00:00"/>
    <n v="4"/>
    <x v="1"/>
    <s v="Susan Pistek"/>
    <x v="0"/>
    <m/>
    <s v="Parma"/>
    <s v="Ohio"/>
    <s v="East"/>
    <x v="0"/>
    <x v="1"/>
    <s v="Global Leather and Oak Executive Chair, Black"/>
    <x v="4139"/>
    <n v="7"/>
    <n v="0.3"/>
    <n v="-21.0686"/>
  </r>
  <r>
    <n v="6112"/>
    <x v="396"/>
    <x v="0"/>
    <x v="0"/>
    <d v="2013-11-17T00:00:00"/>
    <n v="4"/>
    <x v="1"/>
    <s v="Susan Pistek"/>
    <x v="0"/>
    <m/>
    <s v="Parma"/>
    <s v="Ohio"/>
    <s v="East"/>
    <x v="1"/>
    <x v="9"/>
    <s v="Holmes Replacement Filter for HEPA Air Cleaner, Very Large Room, HEPA Filter"/>
    <x v="4140"/>
    <n v="2"/>
    <n v="0.2"/>
    <n v="33.028799999999997"/>
  </r>
  <r>
    <n v="6113"/>
    <x v="396"/>
    <x v="0"/>
    <x v="0"/>
    <d v="2013-11-17T00:00:00"/>
    <n v="4"/>
    <x v="1"/>
    <s v="Susan Pistek"/>
    <x v="0"/>
    <m/>
    <s v="Parma"/>
    <s v="Ohio"/>
    <s v="East"/>
    <x v="1"/>
    <x v="13"/>
    <s v="OIC Bulk Pack Metal Binder Clips"/>
    <x v="4141"/>
    <n v="6"/>
    <n v="0.2"/>
    <n v="5.4443999999999999"/>
  </r>
  <r>
    <n v="6114"/>
    <x v="396"/>
    <x v="0"/>
    <x v="0"/>
    <d v="2013-11-17T00:00:00"/>
    <n v="4"/>
    <x v="1"/>
    <s v="Susan Pistek"/>
    <x v="0"/>
    <m/>
    <s v="Parma"/>
    <s v="Ohio"/>
    <s v="East"/>
    <x v="0"/>
    <x v="1"/>
    <s v="Hon Deluxe Fabric Upholstered Stacking Chairs, Rounded Back"/>
    <x v="4142"/>
    <n v="9"/>
    <n v="0.3"/>
    <n v="0"/>
  </r>
  <r>
    <n v="6115"/>
    <x v="396"/>
    <x v="0"/>
    <x v="0"/>
    <d v="2013-11-17T00:00:00"/>
    <n v="4"/>
    <x v="1"/>
    <s v="Susan Pistek"/>
    <x v="0"/>
    <m/>
    <s v="Parma"/>
    <s v="Ohio"/>
    <s v="East"/>
    <x v="0"/>
    <x v="1"/>
    <s v="Hon 4070 Series Pagoda Round Back Stacking Chairs"/>
    <x v="4143"/>
    <n v="2"/>
    <n v="0.3"/>
    <n v="-12.8392"/>
  </r>
  <r>
    <n v="6116"/>
    <x v="560"/>
    <x v="0"/>
    <x v="10"/>
    <d v="2013-03-21T00:00:00"/>
    <n v="6"/>
    <x v="1"/>
    <s v="Stephanie Phelps"/>
    <x v="1"/>
    <m/>
    <s v="Redwood City"/>
    <s v="California"/>
    <s v="West"/>
    <x v="1"/>
    <x v="8"/>
    <s v="Wilson Jones Leather-Like Binders with DublLock Round Rings"/>
    <x v="4144"/>
    <n v="6"/>
    <n v="0.2"/>
    <n v="14.1426"/>
  </r>
  <r>
    <n v="6117"/>
    <x v="373"/>
    <x v="0"/>
    <x v="0"/>
    <d v="2013-11-20T00:00:00"/>
    <n v="6"/>
    <x v="1"/>
    <s v="Corinna Mitchell"/>
    <x v="2"/>
    <m/>
    <s v="New York City"/>
    <s v="New York"/>
    <s v="East"/>
    <x v="2"/>
    <x v="7"/>
    <s v="Xiaomi Mi3"/>
    <x v="4145"/>
    <n v="4"/>
    <n v="0"/>
    <n v="592.78959999999995"/>
  </r>
  <r>
    <n v="6118"/>
    <x v="373"/>
    <x v="0"/>
    <x v="0"/>
    <d v="2013-11-20T00:00:00"/>
    <n v="6"/>
    <x v="1"/>
    <s v="Corinna Mitchell"/>
    <x v="2"/>
    <m/>
    <s v="New York City"/>
    <s v="New York"/>
    <s v="East"/>
    <x v="1"/>
    <x v="2"/>
    <s v="Avery 499"/>
    <x v="1801"/>
    <n v="3"/>
    <n v="0"/>
    <n v="6.8723999999999998"/>
  </r>
  <r>
    <n v="6119"/>
    <x v="20"/>
    <x v="3"/>
    <x v="8"/>
    <d v="2014-09-26T00:00:00"/>
    <n v="6"/>
    <x v="1"/>
    <s v="Justin Ritter"/>
    <x v="1"/>
    <m/>
    <s v="Springfield"/>
    <s v="Oregon"/>
    <s v="West"/>
    <x v="2"/>
    <x v="7"/>
    <s v="Mophie Juice Pack Helium for iPhone"/>
    <x v="1807"/>
    <n v="3"/>
    <n v="0.2"/>
    <n v="19.197600000000001"/>
  </r>
  <r>
    <n v="6120"/>
    <x v="20"/>
    <x v="3"/>
    <x v="8"/>
    <d v="2014-09-26T00:00:00"/>
    <n v="6"/>
    <x v="1"/>
    <s v="Justin Ritter"/>
    <x v="1"/>
    <m/>
    <s v="Springfield"/>
    <s v="Oregon"/>
    <s v="West"/>
    <x v="1"/>
    <x v="6"/>
    <s v="Peel-Off China Markers"/>
    <x v="358"/>
    <n v="3"/>
    <n v="0.2"/>
    <n v="6.5537999999999998"/>
  </r>
  <r>
    <n v="6121"/>
    <x v="20"/>
    <x v="3"/>
    <x v="8"/>
    <d v="2014-09-26T00:00:00"/>
    <n v="6"/>
    <x v="1"/>
    <s v="Justin Ritter"/>
    <x v="1"/>
    <m/>
    <s v="Springfield"/>
    <s v="Oregon"/>
    <s v="West"/>
    <x v="0"/>
    <x v="5"/>
    <s v="Howard Miller 14-1/2&quot; Diameter Chrome Round Wall Clock"/>
    <x v="4146"/>
    <n v="8"/>
    <n v="0.2"/>
    <n v="61.382399999999997"/>
  </r>
  <r>
    <n v="6122"/>
    <x v="20"/>
    <x v="3"/>
    <x v="8"/>
    <d v="2014-09-26T00:00:00"/>
    <n v="6"/>
    <x v="1"/>
    <s v="Justin Ritter"/>
    <x v="1"/>
    <m/>
    <s v="Springfield"/>
    <s v="Oregon"/>
    <s v="West"/>
    <x v="0"/>
    <x v="0"/>
    <s v="O'Sullivan 4-Shelf Bookcase in Odessa Pine"/>
    <x v="1255"/>
    <n v="2"/>
    <n v="0.7"/>
    <n v="-128.2388"/>
  </r>
  <r>
    <n v="6123"/>
    <x v="769"/>
    <x v="3"/>
    <x v="4"/>
    <d v="2014-12-10T00:00:00"/>
    <n v="5"/>
    <x v="1"/>
    <s v="Christy Brittain"/>
    <x v="0"/>
    <m/>
    <s v="Chicago"/>
    <s v="Illinois"/>
    <s v="Central"/>
    <x v="1"/>
    <x v="4"/>
    <s v="Advantus Rolling Drawer Organizers"/>
    <x v="3518"/>
    <n v="2"/>
    <n v="0.2"/>
    <n v="4.6176000000000004"/>
  </r>
  <r>
    <n v="6124"/>
    <x v="284"/>
    <x v="1"/>
    <x v="6"/>
    <d v="2012-09-05T00:00:00"/>
    <n v="5"/>
    <x v="1"/>
    <s v="Shirley Daniels"/>
    <x v="2"/>
    <m/>
    <s v="Bedford"/>
    <s v="Texas"/>
    <s v="Central"/>
    <x v="1"/>
    <x v="10"/>
    <s v="Message Book, Phone, Wirebound Standard Line Memo, 2 3/4&quot; X 5&quot;"/>
    <x v="3208"/>
    <n v="4"/>
    <n v="0.2"/>
    <n v="6.8120000000000003"/>
  </r>
  <r>
    <n v="6125"/>
    <x v="95"/>
    <x v="3"/>
    <x v="1"/>
    <d v="2014-06-08T00:00:00"/>
    <n v="4"/>
    <x v="1"/>
    <s v="Saphhira Shifley"/>
    <x v="1"/>
    <m/>
    <s v="Los Angeles"/>
    <s v="California"/>
    <s v="West"/>
    <x v="2"/>
    <x v="11"/>
    <s v="Kingston Digital DataTraveler 16GB USB 2.0"/>
    <x v="908"/>
    <n v="5"/>
    <n v="0"/>
    <n v="8.5024999999999995"/>
  </r>
  <r>
    <n v="6126"/>
    <x v="95"/>
    <x v="3"/>
    <x v="1"/>
    <d v="2014-06-08T00:00:00"/>
    <n v="4"/>
    <x v="1"/>
    <s v="Saphhira Shifley"/>
    <x v="1"/>
    <m/>
    <s v="Los Angeles"/>
    <s v="California"/>
    <s v="West"/>
    <x v="1"/>
    <x v="10"/>
    <s v="Xerox 1947"/>
    <x v="489"/>
    <n v="2"/>
    <n v="0"/>
    <n v="5.3819999999999997"/>
  </r>
  <r>
    <n v="6127"/>
    <x v="95"/>
    <x v="3"/>
    <x v="1"/>
    <d v="2014-06-08T00:00:00"/>
    <n v="4"/>
    <x v="1"/>
    <s v="Saphhira Shifley"/>
    <x v="1"/>
    <m/>
    <s v="Los Angeles"/>
    <s v="California"/>
    <s v="West"/>
    <x v="1"/>
    <x v="8"/>
    <s v="UniKeep View Case Binders"/>
    <x v="2893"/>
    <n v="1"/>
    <n v="0.2"/>
    <n v="1.2714000000000001"/>
  </r>
  <r>
    <n v="6128"/>
    <x v="1044"/>
    <x v="0"/>
    <x v="3"/>
    <d v="2013-04-07T00:00:00"/>
    <n v="6"/>
    <x v="1"/>
    <s v="Erica Hackney"/>
    <x v="0"/>
    <m/>
    <s v="New York City"/>
    <s v="New York"/>
    <s v="East"/>
    <x v="0"/>
    <x v="1"/>
    <s v="Global Value Steno Chair, Gray"/>
    <x v="4147"/>
    <n v="6"/>
    <n v="0.1"/>
    <n v="54.665999999999997"/>
  </r>
  <r>
    <n v="6129"/>
    <x v="1089"/>
    <x v="2"/>
    <x v="2"/>
    <d v="2011-10-28T00:00:00"/>
    <n v="3"/>
    <x v="2"/>
    <s v="Aaron Hawkins"/>
    <x v="1"/>
    <m/>
    <s v="San Francisco"/>
    <s v="California"/>
    <s v="West"/>
    <x v="1"/>
    <x v="8"/>
    <s v="GBC VeloBind Cover Sets"/>
    <x v="4148"/>
    <n v="4"/>
    <n v="0.2"/>
    <n v="18.527999999999999"/>
  </r>
  <r>
    <n v="6130"/>
    <x v="606"/>
    <x v="3"/>
    <x v="10"/>
    <d v="2014-04-03T00:00:00"/>
    <n v="7"/>
    <x v="1"/>
    <s v="Evan Minnotte"/>
    <x v="2"/>
    <m/>
    <s v="Virginia Beach"/>
    <s v="Virginia"/>
    <s v="South"/>
    <x v="2"/>
    <x v="11"/>
    <s v="Memorex Froggy Flash Drive 8 GB"/>
    <x v="3443"/>
    <n v="3"/>
    <n v="0"/>
    <n v="20.767499999999998"/>
  </r>
  <r>
    <n v="6131"/>
    <x v="606"/>
    <x v="3"/>
    <x v="10"/>
    <d v="2014-04-03T00:00:00"/>
    <n v="7"/>
    <x v="1"/>
    <s v="Evan Minnotte"/>
    <x v="2"/>
    <m/>
    <s v="Virginia Beach"/>
    <s v="Virginia"/>
    <s v="South"/>
    <x v="1"/>
    <x v="13"/>
    <s v="Staples"/>
    <x v="1053"/>
    <n v="2"/>
    <n v="0"/>
    <n v="1.3160000000000001"/>
  </r>
  <r>
    <n v="6132"/>
    <x v="422"/>
    <x v="2"/>
    <x v="4"/>
    <d v="2011-12-31T00:00:00"/>
    <n v="4"/>
    <x v="1"/>
    <s v="Thomas Brumley"/>
    <x v="2"/>
    <m/>
    <s v="New York City"/>
    <s v="New York"/>
    <s v="East"/>
    <x v="0"/>
    <x v="1"/>
    <s v="Global Push Button Manager's Chair, Indigo"/>
    <x v="4149"/>
    <n v="14"/>
    <n v="0.1"/>
    <n v="161.9674"/>
  </r>
  <r>
    <n v="6133"/>
    <x v="175"/>
    <x v="3"/>
    <x v="8"/>
    <d v="2014-09-21T00:00:00"/>
    <n v="5"/>
    <x v="1"/>
    <s v="Alan Barnes"/>
    <x v="0"/>
    <m/>
    <s v="Lebanon"/>
    <s v="Tennessee"/>
    <s v="South"/>
    <x v="1"/>
    <x v="10"/>
    <s v="Xerox 1893"/>
    <x v="2844"/>
    <n v="5"/>
    <n v="0.2"/>
    <n v="59.435499999999998"/>
  </r>
  <r>
    <n v="6134"/>
    <x v="765"/>
    <x v="0"/>
    <x v="6"/>
    <d v="2013-08-20T00:00:00"/>
    <n v="3"/>
    <x v="2"/>
    <s v="Anthony O'Donnell"/>
    <x v="1"/>
    <m/>
    <s v="Los Angeles"/>
    <s v="California"/>
    <s v="West"/>
    <x v="0"/>
    <x v="3"/>
    <s v="Barricks 18&quot; x 48&quot; Non-Folding Utility Table with Bottom Storage Shelf"/>
    <x v="4150"/>
    <n v="2"/>
    <n v="0.2"/>
    <n v="12.096"/>
  </r>
  <r>
    <n v="6135"/>
    <x v="254"/>
    <x v="0"/>
    <x v="0"/>
    <d v="2013-11-05T00:00:00"/>
    <n v="0"/>
    <x v="3"/>
    <s v="Thomas Thornton"/>
    <x v="0"/>
    <m/>
    <s v="Chula Vista"/>
    <s v="California"/>
    <s v="West"/>
    <x v="1"/>
    <x v="6"/>
    <s v="Boston Heavy-Duty Trimline Electric Pencil Sharpeners"/>
    <x v="4151"/>
    <n v="4"/>
    <n v="0"/>
    <n v="55.911999999999999"/>
  </r>
  <r>
    <n v="6136"/>
    <x v="1090"/>
    <x v="1"/>
    <x v="2"/>
    <d v="2012-10-22T00:00:00"/>
    <n v="4"/>
    <x v="1"/>
    <s v="Kristina Nunn"/>
    <x v="2"/>
    <m/>
    <s v="Mcallen"/>
    <s v="Texas"/>
    <s v="Central"/>
    <x v="2"/>
    <x v="11"/>
    <s v="Verbatim Slim CD and DVD Storage Cases, 50/Pack"/>
    <x v="3473"/>
    <n v="3"/>
    <n v="0.2"/>
    <n v="3.4620000000000002"/>
  </r>
  <r>
    <n v="6137"/>
    <x v="1090"/>
    <x v="1"/>
    <x v="2"/>
    <d v="2012-10-22T00:00:00"/>
    <n v="4"/>
    <x v="1"/>
    <s v="Kristina Nunn"/>
    <x v="2"/>
    <m/>
    <s v="Mcallen"/>
    <s v="Texas"/>
    <s v="Central"/>
    <x v="1"/>
    <x v="9"/>
    <s v="Tripp Lite Isotel 6 Outlet Surge Protector with Fax/Modem Protection"/>
    <x v="4152"/>
    <n v="6"/>
    <n v="0.8"/>
    <n v="-186.56819999999999"/>
  </r>
  <r>
    <n v="6138"/>
    <x v="731"/>
    <x v="0"/>
    <x v="0"/>
    <d v="2013-11-05T00:00:00"/>
    <n v="4"/>
    <x v="0"/>
    <s v="Frank Olsen"/>
    <x v="0"/>
    <m/>
    <s v="Hollywood"/>
    <s v="Florida"/>
    <s v="South"/>
    <x v="1"/>
    <x v="10"/>
    <s v="Xerox 1898"/>
    <x v="164"/>
    <n v="6"/>
    <n v="0.2"/>
    <n v="11.2224"/>
  </r>
  <r>
    <n v="6139"/>
    <x v="809"/>
    <x v="2"/>
    <x v="10"/>
    <d v="2011-04-04T00:00:00"/>
    <n v="5"/>
    <x v="1"/>
    <s v="Guy Armstrong"/>
    <x v="0"/>
    <m/>
    <s v="San Francisco"/>
    <s v="California"/>
    <s v="West"/>
    <x v="0"/>
    <x v="0"/>
    <s v="O'Sullivan Living Dimensions 2-Shelf Bookcases"/>
    <x v="4153"/>
    <n v="2"/>
    <n v="0.15"/>
    <n v="-12.098000000000001"/>
  </r>
  <r>
    <n v="6140"/>
    <x v="24"/>
    <x v="1"/>
    <x v="3"/>
    <d v="2012-04-20T00:00:00"/>
    <n v="2"/>
    <x v="2"/>
    <s v="Nathan Cano"/>
    <x v="0"/>
    <m/>
    <s v="Santa Maria"/>
    <s v="California"/>
    <s v="West"/>
    <x v="1"/>
    <x v="4"/>
    <s v="Advantus Rolling Drawer Organizers"/>
    <x v="4154"/>
    <n v="3"/>
    <n v="0"/>
    <n v="30.014399999999998"/>
  </r>
  <r>
    <n v="6141"/>
    <x v="362"/>
    <x v="3"/>
    <x v="7"/>
    <d v="2014-07-16T00:00:00"/>
    <n v="6"/>
    <x v="1"/>
    <s v="Jamie Frazer"/>
    <x v="0"/>
    <m/>
    <s v="Manchester"/>
    <s v="Connecticut"/>
    <s v="East"/>
    <x v="1"/>
    <x v="10"/>
    <s v="Xerox 1914"/>
    <x v="4155"/>
    <n v="5"/>
    <n v="0"/>
    <n v="134.65199999999999"/>
  </r>
  <r>
    <n v="6142"/>
    <x v="362"/>
    <x v="3"/>
    <x v="7"/>
    <d v="2014-07-16T00:00:00"/>
    <n v="6"/>
    <x v="1"/>
    <s v="Jamie Frazer"/>
    <x v="0"/>
    <m/>
    <s v="Manchester"/>
    <s v="Connecticut"/>
    <s v="East"/>
    <x v="1"/>
    <x v="4"/>
    <s v="Tennsco Industrial Shelving"/>
    <x v="3483"/>
    <n v="4"/>
    <n v="0"/>
    <n v="3.9127999999999998"/>
  </r>
  <r>
    <n v="6143"/>
    <x v="362"/>
    <x v="3"/>
    <x v="7"/>
    <d v="2014-07-16T00:00:00"/>
    <n v="6"/>
    <x v="1"/>
    <s v="Jamie Frazer"/>
    <x v="0"/>
    <m/>
    <s v="Manchester"/>
    <s v="Connecticut"/>
    <s v="East"/>
    <x v="2"/>
    <x v="7"/>
    <s v="Digium D40 VoIP phone"/>
    <x v="2018"/>
    <n v="2"/>
    <n v="0"/>
    <n v="74.8142"/>
  </r>
  <r>
    <n v="6144"/>
    <x v="362"/>
    <x v="3"/>
    <x v="7"/>
    <d v="2014-07-16T00:00:00"/>
    <n v="6"/>
    <x v="1"/>
    <s v="Jamie Frazer"/>
    <x v="0"/>
    <m/>
    <s v="Manchester"/>
    <s v="Connecticut"/>
    <s v="East"/>
    <x v="1"/>
    <x v="6"/>
    <s v="Prismacolor Color Pencil Set"/>
    <x v="4156"/>
    <n v="6"/>
    <n v="0"/>
    <n v="48.806399999999996"/>
  </r>
  <r>
    <n v="6145"/>
    <x v="818"/>
    <x v="3"/>
    <x v="1"/>
    <d v="2014-07-02T00:00:00"/>
    <n v="4"/>
    <x v="1"/>
    <s v="Greg Tran"/>
    <x v="0"/>
    <m/>
    <s v="Omaha"/>
    <s v="Nebraska"/>
    <s v="Central"/>
    <x v="1"/>
    <x v="10"/>
    <s v="Wirebound Message Books, Four 2 3/4 x 5 White Forms per Page"/>
    <x v="4157"/>
    <n v="3"/>
    <n v="0"/>
    <n v="9.2322000000000006"/>
  </r>
  <r>
    <n v="6146"/>
    <x v="1091"/>
    <x v="2"/>
    <x v="4"/>
    <d v="2011-12-26T00:00:00"/>
    <n v="4"/>
    <x v="1"/>
    <s v="Khloe Miller"/>
    <x v="0"/>
    <m/>
    <s v="San Jose"/>
    <s v="California"/>
    <s v="West"/>
    <x v="1"/>
    <x v="6"/>
    <s v="Newell 332"/>
    <x v="2660"/>
    <n v="4"/>
    <n v="0"/>
    <n v="3.1751999999999998"/>
  </r>
  <r>
    <n v="6147"/>
    <x v="610"/>
    <x v="3"/>
    <x v="0"/>
    <d v="2014-11-26T00:00:00"/>
    <n v="4"/>
    <x v="1"/>
    <s v="Patrick Jones"/>
    <x v="1"/>
    <m/>
    <s v="San Francisco"/>
    <s v="California"/>
    <s v="West"/>
    <x v="1"/>
    <x v="6"/>
    <s v="Newell 332"/>
    <x v="2660"/>
    <n v="4"/>
    <n v="0"/>
    <n v="3.1751999999999998"/>
  </r>
  <r>
    <n v="6148"/>
    <x v="610"/>
    <x v="3"/>
    <x v="0"/>
    <d v="2014-11-26T00:00:00"/>
    <n v="4"/>
    <x v="1"/>
    <s v="Patrick Jones"/>
    <x v="1"/>
    <m/>
    <s v="San Francisco"/>
    <s v="California"/>
    <s v="West"/>
    <x v="1"/>
    <x v="8"/>
    <s v="Canvas Sectional Post Binders"/>
    <x v="4158"/>
    <n v="2"/>
    <n v="0.2"/>
    <n v="14.7668"/>
  </r>
  <r>
    <n v="6149"/>
    <x v="812"/>
    <x v="0"/>
    <x v="1"/>
    <d v="2013-06-30T00:00:00"/>
    <n v="2"/>
    <x v="0"/>
    <s v="Anna Chung"/>
    <x v="0"/>
    <m/>
    <s v="San Francisco"/>
    <s v="California"/>
    <s v="West"/>
    <x v="2"/>
    <x v="7"/>
    <s v="Ooma Telo VoIP Home Phone System"/>
    <x v="1212"/>
    <n v="2"/>
    <n v="0.2"/>
    <n v="12.599"/>
  </r>
  <r>
    <n v="6150"/>
    <x v="116"/>
    <x v="3"/>
    <x v="4"/>
    <d v="2015-01-01T00:00:00"/>
    <n v="3"/>
    <x v="2"/>
    <s v="Jason Gross"/>
    <x v="1"/>
    <m/>
    <s v="Long Beach"/>
    <s v="California"/>
    <s v="West"/>
    <x v="0"/>
    <x v="1"/>
    <s v="Novimex Turbo Task Chair"/>
    <x v="4159"/>
    <n v="6"/>
    <n v="0.2"/>
    <n v="-34.070399999999999"/>
  </r>
  <r>
    <n v="6151"/>
    <x v="143"/>
    <x v="0"/>
    <x v="3"/>
    <d v="2013-04-12T00:00:00"/>
    <n v="3"/>
    <x v="2"/>
    <s v="Raymond Messe"/>
    <x v="0"/>
    <m/>
    <s v="Columbus"/>
    <s v="Georgia"/>
    <s v="South"/>
    <x v="0"/>
    <x v="0"/>
    <s v="Hon Metal Bookcases, Black"/>
    <x v="1367"/>
    <n v="5"/>
    <n v="0"/>
    <n v="88.724999999999994"/>
  </r>
  <r>
    <n v="6152"/>
    <x v="772"/>
    <x v="2"/>
    <x v="10"/>
    <d v="2011-03-21T00:00:00"/>
    <n v="3"/>
    <x v="0"/>
    <s v="Eileen Kiefer"/>
    <x v="2"/>
    <m/>
    <s v="San Francisco"/>
    <s v="California"/>
    <s v="West"/>
    <x v="0"/>
    <x v="0"/>
    <s v="Bush Heritage Pine Collection 5-Shelf Bookcase, Albany Pine Finish, *Special Order"/>
    <x v="4160"/>
    <n v="10"/>
    <n v="0.15"/>
    <n v="70.489999999999995"/>
  </r>
  <r>
    <n v="6153"/>
    <x v="445"/>
    <x v="3"/>
    <x v="7"/>
    <d v="2014-07-09T00:00:00"/>
    <n v="5"/>
    <x v="1"/>
    <s v="Rob Dowd"/>
    <x v="0"/>
    <m/>
    <s v="Los Angeles"/>
    <s v="California"/>
    <s v="West"/>
    <x v="1"/>
    <x v="4"/>
    <s v="Rogers Deluxe File Chest"/>
    <x v="1177"/>
    <n v="4"/>
    <n v="0"/>
    <n v="0.87919999999999998"/>
  </r>
  <r>
    <n v="6154"/>
    <x v="693"/>
    <x v="3"/>
    <x v="3"/>
    <d v="2014-04-24T00:00:00"/>
    <n v="3"/>
    <x v="2"/>
    <s v="Cynthia Voltz"/>
    <x v="1"/>
    <m/>
    <s v="Philadelphia"/>
    <s v="Pennsylvania"/>
    <s v="East"/>
    <x v="0"/>
    <x v="5"/>
    <s v="Computer Room Manger, 14&quot;"/>
    <x v="3417"/>
    <n v="2"/>
    <n v="0.2"/>
    <n v="10.393599999999999"/>
  </r>
  <r>
    <n v="6155"/>
    <x v="693"/>
    <x v="3"/>
    <x v="3"/>
    <d v="2014-04-24T00:00:00"/>
    <n v="3"/>
    <x v="2"/>
    <s v="Cynthia Voltz"/>
    <x v="1"/>
    <m/>
    <s v="Philadelphia"/>
    <s v="Pennsylvania"/>
    <s v="East"/>
    <x v="1"/>
    <x v="4"/>
    <s v="Sortfiler Multipurpose Personal File Organizer, Black"/>
    <x v="4161"/>
    <n v="3"/>
    <n v="0.2"/>
    <n v="5.7752999999999997"/>
  </r>
  <r>
    <n v="6156"/>
    <x v="693"/>
    <x v="3"/>
    <x v="3"/>
    <d v="2014-04-24T00:00:00"/>
    <n v="3"/>
    <x v="2"/>
    <s v="Cynthia Voltz"/>
    <x v="1"/>
    <m/>
    <s v="Philadelphia"/>
    <s v="Pennsylvania"/>
    <s v="East"/>
    <x v="1"/>
    <x v="4"/>
    <s v="Deluxe Rollaway Locking File with Drawer"/>
    <x v="4162"/>
    <n v="1"/>
    <n v="0.2"/>
    <n v="33.270400000000002"/>
  </r>
  <r>
    <n v="6157"/>
    <x v="693"/>
    <x v="3"/>
    <x v="3"/>
    <d v="2014-04-24T00:00:00"/>
    <n v="3"/>
    <x v="2"/>
    <s v="Cynthia Voltz"/>
    <x v="1"/>
    <m/>
    <s v="Philadelphia"/>
    <s v="Pennsylvania"/>
    <s v="East"/>
    <x v="0"/>
    <x v="5"/>
    <s v="Executive Impressions 12&quot; Wall Clock"/>
    <x v="4163"/>
    <n v="3"/>
    <n v="0.2"/>
    <n v="9.5418000000000003"/>
  </r>
  <r>
    <n v="6158"/>
    <x v="1092"/>
    <x v="0"/>
    <x v="6"/>
    <d v="2013-08-06T00:00:00"/>
    <n v="2"/>
    <x v="0"/>
    <s v="Alex Grayson"/>
    <x v="0"/>
    <m/>
    <s v="Tulsa"/>
    <s v="Oklahoma"/>
    <s v="Central"/>
    <x v="1"/>
    <x v="12"/>
    <s v="Tyvek  Top-Opening Peel &amp; Seel Envelopes, Plain White"/>
    <x v="2618"/>
    <n v="3"/>
    <n v="0"/>
    <n v="38.323799999999999"/>
  </r>
  <r>
    <n v="6159"/>
    <x v="1092"/>
    <x v="0"/>
    <x v="6"/>
    <d v="2013-08-06T00:00:00"/>
    <n v="2"/>
    <x v="0"/>
    <s v="Alex Grayson"/>
    <x v="0"/>
    <m/>
    <s v="Tulsa"/>
    <s v="Oklahoma"/>
    <s v="Central"/>
    <x v="2"/>
    <x v="11"/>
    <s v="Sony Micro Vault Click 4 GB USB 2.0 Flash Drive"/>
    <x v="4164"/>
    <n v="12"/>
    <n v="0"/>
    <n v="23.4192"/>
  </r>
  <r>
    <n v="6160"/>
    <x v="275"/>
    <x v="0"/>
    <x v="4"/>
    <d v="2013-12-10T00:00:00"/>
    <n v="6"/>
    <x v="1"/>
    <s v="Gary McGarr"/>
    <x v="0"/>
    <m/>
    <s v="Los Angeles"/>
    <s v="California"/>
    <s v="West"/>
    <x v="1"/>
    <x v="4"/>
    <s v="Fellowes Staxonsteel Drawer Files"/>
    <x v="3404"/>
    <n v="4"/>
    <n v="0"/>
    <n v="108.1752"/>
  </r>
  <r>
    <n v="6161"/>
    <x v="1093"/>
    <x v="2"/>
    <x v="10"/>
    <d v="2011-03-21T00:00:00"/>
    <n v="2"/>
    <x v="2"/>
    <s v="Matt Connell"/>
    <x v="1"/>
    <m/>
    <s v="Lakeland"/>
    <s v="Florida"/>
    <s v="South"/>
    <x v="2"/>
    <x v="7"/>
    <s v="Cisco 8x8 Inc. 6753i IP Business Phone System"/>
    <x v="824"/>
    <n v="3"/>
    <n v="0.2"/>
    <n v="28.347899999999999"/>
  </r>
  <r>
    <n v="6162"/>
    <x v="1093"/>
    <x v="2"/>
    <x v="10"/>
    <d v="2011-03-21T00:00:00"/>
    <n v="2"/>
    <x v="2"/>
    <s v="Matt Connell"/>
    <x v="1"/>
    <m/>
    <s v="Lakeland"/>
    <s v="Florida"/>
    <s v="South"/>
    <x v="1"/>
    <x v="2"/>
    <s v="Avery 501"/>
    <x v="921"/>
    <n v="4"/>
    <n v="0.2"/>
    <n v="3.9851999999999999"/>
  </r>
  <r>
    <n v="6163"/>
    <x v="1093"/>
    <x v="2"/>
    <x v="10"/>
    <d v="2011-03-21T00:00:00"/>
    <n v="2"/>
    <x v="2"/>
    <s v="Matt Connell"/>
    <x v="1"/>
    <m/>
    <s v="Lakeland"/>
    <s v="Florida"/>
    <s v="South"/>
    <x v="1"/>
    <x v="4"/>
    <s v="Crate-A-Files"/>
    <x v="4165"/>
    <n v="3"/>
    <n v="0.2"/>
    <n v="1.962"/>
  </r>
  <r>
    <n v="6164"/>
    <x v="1093"/>
    <x v="2"/>
    <x v="10"/>
    <d v="2011-03-21T00:00:00"/>
    <n v="2"/>
    <x v="2"/>
    <s v="Matt Connell"/>
    <x v="1"/>
    <m/>
    <s v="Lakeland"/>
    <s v="Florida"/>
    <s v="South"/>
    <x v="1"/>
    <x v="8"/>
    <s v="Avery Flip-Chart Easel Binder, Black"/>
    <x v="4166"/>
    <n v="5"/>
    <n v="0.7"/>
    <n v="-25.736999999999998"/>
  </r>
  <r>
    <n v="6165"/>
    <x v="1093"/>
    <x v="2"/>
    <x v="10"/>
    <d v="2011-03-21T00:00:00"/>
    <n v="2"/>
    <x v="2"/>
    <s v="Matt Connell"/>
    <x v="1"/>
    <m/>
    <s v="Lakeland"/>
    <s v="Florida"/>
    <s v="South"/>
    <x v="0"/>
    <x v="5"/>
    <s v="Eldon Wave Desk Accessories"/>
    <x v="3688"/>
    <n v="3"/>
    <n v="0.2"/>
    <n v="1.3728"/>
  </r>
  <r>
    <n v="6166"/>
    <x v="1093"/>
    <x v="2"/>
    <x v="10"/>
    <d v="2011-03-21T00:00:00"/>
    <n v="2"/>
    <x v="2"/>
    <s v="Matt Connell"/>
    <x v="1"/>
    <m/>
    <s v="Lakeland"/>
    <s v="Florida"/>
    <s v="South"/>
    <x v="0"/>
    <x v="5"/>
    <s v="Document Clip Frames"/>
    <x v="184"/>
    <n v="3"/>
    <n v="0.2"/>
    <n v="5.5044000000000004"/>
  </r>
  <r>
    <n v="6167"/>
    <x v="1093"/>
    <x v="2"/>
    <x v="10"/>
    <d v="2011-03-21T00:00:00"/>
    <n v="2"/>
    <x v="2"/>
    <s v="Matt Connell"/>
    <x v="1"/>
    <m/>
    <s v="Lakeland"/>
    <s v="Florida"/>
    <s v="South"/>
    <x v="2"/>
    <x v="11"/>
    <s v="Logitech Wireless Boombox Speaker - portable - wireless, wired"/>
    <x v="4167"/>
    <n v="2"/>
    <n v="0.2"/>
    <n v="53.2"/>
  </r>
  <r>
    <n v="6168"/>
    <x v="704"/>
    <x v="1"/>
    <x v="3"/>
    <d v="2012-04-25T00:00:00"/>
    <n v="5"/>
    <x v="1"/>
    <s v="Erica Smith"/>
    <x v="0"/>
    <m/>
    <s v="Houston"/>
    <s v="Texas"/>
    <s v="Central"/>
    <x v="1"/>
    <x v="10"/>
    <s v="Xerox 1916"/>
    <x v="4168"/>
    <n v="3"/>
    <n v="0.2"/>
    <n v="44.045999999999999"/>
  </r>
  <r>
    <n v="6169"/>
    <x v="444"/>
    <x v="1"/>
    <x v="8"/>
    <d v="2012-09-22T00:00:00"/>
    <n v="3"/>
    <x v="0"/>
    <s v="Rick Wilson"/>
    <x v="1"/>
    <m/>
    <s v="Los Angeles"/>
    <s v="California"/>
    <s v="West"/>
    <x v="1"/>
    <x v="10"/>
    <s v="Personal Creations Ink Jet Cards and Labels"/>
    <x v="1003"/>
    <n v="2"/>
    <n v="0"/>
    <n v="11.250400000000001"/>
  </r>
  <r>
    <n v="6170"/>
    <x v="9"/>
    <x v="2"/>
    <x v="6"/>
    <d v="2011-08-30T00:00:00"/>
    <n v="3"/>
    <x v="0"/>
    <s v="Michael Moore"/>
    <x v="0"/>
    <m/>
    <s v="Springfield"/>
    <s v="Virginia"/>
    <s v="South"/>
    <x v="1"/>
    <x v="10"/>
    <s v="Xerox 1898"/>
    <x v="518"/>
    <n v="2"/>
    <n v="0"/>
    <n v="6.4127999999999998"/>
  </r>
  <r>
    <n v="6171"/>
    <x v="1054"/>
    <x v="0"/>
    <x v="4"/>
    <d v="2013-12-25T00:00:00"/>
    <n v="5"/>
    <x v="0"/>
    <s v="Mark Haberlin"/>
    <x v="1"/>
    <m/>
    <s v="New York City"/>
    <s v="New York"/>
    <s v="East"/>
    <x v="1"/>
    <x v="8"/>
    <s v="GBC Laser Imprintable Binding System Covers, Desert Sand"/>
    <x v="4169"/>
    <n v="3"/>
    <n v="0.2"/>
    <n v="11.5587"/>
  </r>
  <r>
    <n v="6172"/>
    <x v="1054"/>
    <x v="0"/>
    <x v="4"/>
    <d v="2013-12-25T00:00:00"/>
    <n v="5"/>
    <x v="0"/>
    <s v="Mark Haberlin"/>
    <x v="1"/>
    <m/>
    <s v="New York City"/>
    <s v="New York"/>
    <s v="East"/>
    <x v="1"/>
    <x v="6"/>
    <s v="Newell 326"/>
    <x v="2799"/>
    <n v="2"/>
    <n v="0"/>
    <n v="1.0207999999999999"/>
  </r>
  <r>
    <n v="6173"/>
    <x v="1094"/>
    <x v="2"/>
    <x v="6"/>
    <d v="2011-08-08T00:00:00"/>
    <n v="6"/>
    <x v="1"/>
    <s v="Nick Zandusky"/>
    <x v="2"/>
    <m/>
    <s v="Springfield"/>
    <s v="Missouri"/>
    <s v="Central"/>
    <x v="1"/>
    <x v="8"/>
    <s v="Wilson Jones 14 Line Acrylic Coated Pressboard Data Binders"/>
    <x v="4170"/>
    <n v="5"/>
    <n v="0"/>
    <n v="12.548999999999999"/>
  </r>
  <r>
    <n v="6174"/>
    <x v="1094"/>
    <x v="2"/>
    <x v="6"/>
    <d v="2011-08-08T00:00:00"/>
    <n v="6"/>
    <x v="1"/>
    <s v="Nick Zandusky"/>
    <x v="2"/>
    <m/>
    <s v="Springfield"/>
    <s v="Missouri"/>
    <s v="Central"/>
    <x v="2"/>
    <x v="11"/>
    <s v="Memorex Micro Travel Drive 4 GB"/>
    <x v="4171"/>
    <n v="2"/>
    <n v="0"/>
    <n v="9.1159999999999997"/>
  </r>
  <r>
    <n v="6175"/>
    <x v="1094"/>
    <x v="2"/>
    <x v="6"/>
    <d v="2011-08-08T00:00:00"/>
    <n v="6"/>
    <x v="1"/>
    <s v="Nick Zandusky"/>
    <x v="2"/>
    <m/>
    <s v="Springfield"/>
    <s v="Missouri"/>
    <s v="Central"/>
    <x v="1"/>
    <x v="4"/>
    <s v="Smead Adjustable Mobile File Trolley with Lockable Top"/>
    <x v="4172"/>
    <n v="2"/>
    <n v="0"/>
    <n v="226.36259999999999"/>
  </r>
  <r>
    <n v="6176"/>
    <x v="481"/>
    <x v="1"/>
    <x v="8"/>
    <d v="2012-09-26T00:00:00"/>
    <n v="5"/>
    <x v="1"/>
    <s v="Giulietta Baptist"/>
    <x v="0"/>
    <m/>
    <s v="Columbia"/>
    <s v="South Carolina"/>
    <s v="South"/>
    <x v="0"/>
    <x v="1"/>
    <s v="Global Comet Stacking Arm Chair"/>
    <x v="4173"/>
    <n v="4"/>
    <n v="0"/>
    <n v="422.51"/>
  </r>
  <r>
    <n v="6177"/>
    <x v="481"/>
    <x v="1"/>
    <x v="8"/>
    <d v="2012-09-26T00:00:00"/>
    <n v="5"/>
    <x v="1"/>
    <s v="Giulietta Baptist"/>
    <x v="0"/>
    <m/>
    <s v="Columbia"/>
    <s v="South Carolina"/>
    <s v="South"/>
    <x v="1"/>
    <x v="4"/>
    <s v="Recycled Eldon Regeneration Jumbo File"/>
    <x v="2937"/>
    <n v="7"/>
    <n v="0"/>
    <n v="24.0688"/>
  </r>
  <r>
    <n v="6178"/>
    <x v="481"/>
    <x v="1"/>
    <x v="8"/>
    <d v="2012-09-26T00:00:00"/>
    <n v="5"/>
    <x v="1"/>
    <s v="Giulietta Baptist"/>
    <x v="0"/>
    <m/>
    <s v="Columbia"/>
    <s v="South Carolina"/>
    <s v="South"/>
    <x v="1"/>
    <x v="12"/>
    <s v="Tyvek Interoffice Envelopes, 9 1/2&quot; x 12 1/2&quot;, 100/Box"/>
    <x v="4174"/>
    <n v="2"/>
    <n v="0"/>
    <n v="57.321199999999997"/>
  </r>
  <r>
    <n v="6179"/>
    <x v="481"/>
    <x v="1"/>
    <x v="8"/>
    <d v="2012-09-26T00:00:00"/>
    <n v="5"/>
    <x v="1"/>
    <s v="Giulietta Baptist"/>
    <x v="0"/>
    <m/>
    <s v="Columbia"/>
    <s v="South Carolina"/>
    <s v="South"/>
    <x v="1"/>
    <x v="10"/>
    <s v="Xerox 193"/>
    <x v="100"/>
    <n v="4"/>
    <n v="0"/>
    <n v="11.720800000000001"/>
  </r>
  <r>
    <n v="6180"/>
    <x v="481"/>
    <x v="1"/>
    <x v="8"/>
    <d v="2012-09-26T00:00:00"/>
    <n v="5"/>
    <x v="1"/>
    <s v="Giulietta Baptist"/>
    <x v="0"/>
    <m/>
    <s v="Columbia"/>
    <s v="South Carolina"/>
    <s v="South"/>
    <x v="1"/>
    <x v="4"/>
    <s v="Fellowes Bankers Box Stor/Drawer Steel Plus"/>
    <x v="1458"/>
    <n v="2"/>
    <n v="0"/>
    <n v="6.3959999999999999"/>
  </r>
  <r>
    <n v="6181"/>
    <x v="481"/>
    <x v="1"/>
    <x v="8"/>
    <d v="2012-09-26T00:00:00"/>
    <n v="5"/>
    <x v="1"/>
    <s v="Giulietta Baptist"/>
    <x v="0"/>
    <m/>
    <s v="Columbia"/>
    <s v="South Carolina"/>
    <s v="South"/>
    <x v="2"/>
    <x v="7"/>
    <s v="HTC One Mini"/>
    <x v="3125"/>
    <n v="5"/>
    <n v="0"/>
    <n v="176.386"/>
  </r>
  <r>
    <n v="6182"/>
    <x v="481"/>
    <x v="1"/>
    <x v="8"/>
    <d v="2012-09-26T00:00:00"/>
    <n v="5"/>
    <x v="1"/>
    <s v="Giulietta Baptist"/>
    <x v="0"/>
    <m/>
    <s v="Columbia"/>
    <s v="South Carolina"/>
    <s v="South"/>
    <x v="2"/>
    <x v="7"/>
    <s v="Grandstream GXP1160 VoIP phone"/>
    <x v="4175"/>
    <n v="3"/>
    <n v="0"/>
    <n v="32.981699999999996"/>
  </r>
  <r>
    <n v="6183"/>
    <x v="481"/>
    <x v="1"/>
    <x v="8"/>
    <d v="2012-09-26T00:00:00"/>
    <n v="5"/>
    <x v="1"/>
    <s v="Giulietta Baptist"/>
    <x v="0"/>
    <m/>
    <s v="Columbia"/>
    <s v="South Carolina"/>
    <s v="South"/>
    <x v="1"/>
    <x v="8"/>
    <s v="Angle-D Binders with Locking Rings, Label Holders"/>
    <x v="4176"/>
    <n v="2"/>
    <n v="0"/>
    <n v="6.8620000000000001"/>
  </r>
  <r>
    <n v="6184"/>
    <x v="481"/>
    <x v="1"/>
    <x v="8"/>
    <d v="2012-09-26T00:00:00"/>
    <n v="5"/>
    <x v="1"/>
    <s v="Giulietta Baptist"/>
    <x v="0"/>
    <m/>
    <s v="Columbia"/>
    <s v="South Carolina"/>
    <s v="South"/>
    <x v="1"/>
    <x v="4"/>
    <s v="Stur-D-Stor Shelving, Vertical 5-Shelf: 72&quot;H x 36&quot;W x 18 1/2&quot;D"/>
    <x v="4177"/>
    <n v="8"/>
    <n v="0"/>
    <n v="17.756799999999998"/>
  </r>
  <r>
    <n v="6185"/>
    <x v="25"/>
    <x v="0"/>
    <x v="4"/>
    <d v="2013-12-14T00:00:00"/>
    <n v="2"/>
    <x v="2"/>
    <s v="Deborah Brumfield"/>
    <x v="2"/>
    <m/>
    <s v="Portland"/>
    <s v="Oregon"/>
    <s v="West"/>
    <x v="0"/>
    <x v="1"/>
    <s v="Global Fabric Manager's Chair, Dark Gray"/>
    <x v="4178"/>
    <n v="5"/>
    <n v="0.2"/>
    <n v="25.245000000000001"/>
  </r>
  <r>
    <n v="6186"/>
    <x v="976"/>
    <x v="1"/>
    <x v="6"/>
    <d v="2012-08-12T00:00:00"/>
    <n v="5"/>
    <x v="1"/>
    <s v="Jim Karlsson"/>
    <x v="0"/>
    <m/>
    <s v="Philadelphia"/>
    <s v="Pennsylvania"/>
    <s v="East"/>
    <x v="1"/>
    <x v="6"/>
    <s v="Stanley Contemporary Battery Pencil Sharpeners"/>
    <x v="4179"/>
    <n v="10"/>
    <n v="0.2"/>
    <n v="10.68"/>
  </r>
  <r>
    <n v="6187"/>
    <x v="219"/>
    <x v="1"/>
    <x v="0"/>
    <d v="2012-11-17T00:00:00"/>
    <n v="2"/>
    <x v="2"/>
    <s v="Maya Herman"/>
    <x v="1"/>
    <m/>
    <s v="New York City"/>
    <s v="New York"/>
    <s v="East"/>
    <x v="1"/>
    <x v="4"/>
    <s v="Eldon Mobile Mega Data Cart  Mega Stackable  Add-On Trays"/>
    <x v="418"/>
    <n v="3"/>
    <n v="0"/>
    <n v="20.575500000000002"/>
  </r>
  <r>
    <n v="6188"/>
    <x v="219"/>
    <x v="1"/>
    <x v="0"/>
    <d v="2012-11-17T00:00:00"/>
    <n v="2"/>
    <x v="2"/>
    <s v="Maya Herman"/>
    <x v="1"/>
    <m/>
    <s v="New York City"/>
    <s v="New York"/>
    <s v="East"/>
    <x v="1"/>
    <x v="8"/>
    <s v="Cardinal Holdit Data Disk Pockets"/>
    <x v="4180"/>
    <n v="6"/>
    <n v="0.2"/>
    <n v="11.7936"/>
  </r>
  <r>
    <n v="6189"/>
    <x v="219"/>
    <x v="1"/>
    <x v="0"/>
    <d v="2012-11-17T00:00:00"/>
    <n v="2"/>
    <x v="2"/>
    <s v="Maya Herman"/>
    <x v="1"/>
    <m/>
    <s v="New York City"/>
    <s v="New York"/>
    <s v="East"/>
    <x v="1"/>
    <x v="6"/>
    <s v="Newell 319"/>
    <x v="4156"/>
    <n v="6"/>
    <n v="0"/>
    <n v="35.712000000000003"/>
  </r>
  <r>
    <n v="6190"/>
    <x v="1095"/>
    <x v="3"/>
    <x v="3"/>
    <d v="2014-04-09T00:00:00"/>
    <n v="4"/>
    <x v="1"/>
    <s v="Anne McFarland"/>
    <x v="0"/>
    <m/>
    <s v="Des Plaines"/>
    <s v="Illinois"/>
    <s v="Central"/>
    <x v="2"/>
    <x v="7"/>
    <s v="Cisco SPA 502G IP Phone"/>
    <x v="4181"/>
    <n v="4"/>
    <n v="0.2"/>
    <n v="47.98"/>
  </r>
  <r>
    <n v="6191"/>
    <x v="435"/>
    <x v="0"/>
    <x v="4"/>
    <d v="2013-12-29T00:00:00"/>
    <n v="4"/>
    <x v="1"/>
    <s v="Jessica Myrick"/>
    <x v="0"/>
    <m/>
    <s v="New York City"/>
    <s v="New York"/>
    <s v="East"/>
    <x v="0"/>
    <x v="5"/>
    <s v="Luxo Adjustable Task Clamp Lamp"/>
    <x v="4182"/>
    <n v="9"/>
    <n v="0"/>
    <n v="207.88560000000001"/>
  </r>
  <r>
    <n v="6192"/>
    <x v="1096"/>
    <x v="3"/>
    <x v="4"/>
    <d v="2014-12-14T00:00:00"/>
    <n v="0"/>
    <x v="3"/>
    <s v="Mitch Webber"/>
    <x v="0"/>
    <m/>
    <s v="Seattle"/>
    <s v="Washington"/>
    <s v="West"/>
    <x v="1"/>
    <x v="4"/>
    <s v="Sterilite Officeware Hinged File Box"/>
    <x v="966"/>
    <n v="3"/>
    <n v="0"/>
    <n v="8.4887999999999995"/>
  </r>
  <r>
    <n v="6193"/>
    <x v="66"/>
    <x v="3"/>
    <x v="4"/>
    <d v="2014-12-27T00:00:00"/>
    <n v="4"/>
    <x v="1"/>
    <s v="Alex Grayson"/>
    <x v="0"/>
    <m/>
    <s v="Houston"/>
    <s v="Texas"/>
    <s v="Central"/>
    <x v="1"/>
    <x v="10"/>
    <s v="Xerox 1931"/>
    <x v="233"/>
    <n v="5"/>
    <n v="0.2"/>
    <n v="9.0719999999999992"/>
  </r>
  <r>
    <n v="6194"/>
    <x v="66"/>
    <x v="3"/>
    <x v="4"/>
    <d v="2014-12-27T00:00:00"/>
    <n v="4"/>
    <x v="1"/>
    <s v="Alex Grayson"/>
    <x v="0"/>
    <m/>
    <s v="Houston"/>
    <s v="Texas"/>
    <s v="Central"/>
    <x v="1"/>
    <x v="8"/>
    <s v="Cardinal HOLDit! Binder Insert Strips,Extra Strips"/>
    <x v="4183"/>
    <n v="5"/>
    <n v="0.8"/>
    <n v="-9.8115000000000006"/>
  </r>
  <r>
    <n v="6195"/>
    <x v="66"/>
    <x v="3"/>
    <x v="4"/>
    <d v="2014-12-27T00:00:00"/>
    <n v="4"/>
    <x v="1"/>
    <s v="Alex Grayson"/>
    <x v="0"/>
    <m/>
    <s v="Houston"/>
    <s v="Texas"/>
    <s v="Central"/>
    <x v="1"/>
    <x v="10"/>
    <s v="Xerox 1887"/>
    <x v="69"/>
    <n v="5"/>
    <n v="0.2"/>
    <n v="26.558"/>
  </r>
  <r>
    <n v="6196"/>
    <x v="208"/>
    <x v="3"/>
    <x v="2"/>
    <d v="2014-10-29T00:00:00"/>
    <n v="7"/>
    <x v="1"/>
    <s v="Charles McCrossin"/>
    <x v="0"/>
    <m/>
    <s v="Philadelphia"/>
    <s v="Pennsylvania"/>
    <s v="East"/>
    <x v="2"/>
    <x v="7"/>
    <s v="Mitel MiVoice 5330e IP Phone"/>
    <x v="4184"/>
    <n v="2"/>
    <n v="0.4"/>
    <n v="-76.997200000000007"/>
  </r>
  <r>
    <n v="6197"/>
    <x v="208"/>
    <x v="3"/>
    <x v="2"/>
    <d v="2014-10-29T00:00:00"/>
    <n v="7"/>
    <x v="1"/>
    <s v="Charles McCrossin"/>
    <x v="0"/>
    <m/>
    <s v="Philadelphia"/>
    <s v="Pennsylvania"/>
    <s v="East"/>
    <x v="1"/>
    <x v="4"/>
    <s v="Acco Perma 2700 Stacking Storage Drawers"/>
    <x v="4185"/>
    <n v="3"/>
    <n v="0.2"/>
    <n v="-4.4610000000000003"/>
  </r>
  <r>
    <n v="6198"/>
    <x v="50"/>
    <x v="1"/>
    <x v="0"/>
    <d v="2012-11-17T00:00:00"/>
    <n v="4"/>
    <x v="1"/>
    <s v="Russell Applegate"/>
    <x v="0"/>
    <m/>
    <s v="Columbus"/>
    <s v="Indiana"/>
    <s v="Central"/>
    <x v="1"/>
    <x v="10"/>
    <s v="Black Print Carbonless Snap-Off Rapid Letter, 8 1/2&quot; x 7&quot;"/>
    <x v="4186"/>
    <n v="7"/>
    <n v="0"/>
    <n v="28.6965"/>
  </r>
  <r>
    <n v="6199"/>
    <x v="50"/>
    <x v="1"/>
    <x v="0"/>
    <d v="2012-11-17T00:00:00"/>
    <n v="4"/>
    <x v="1"/>
    <s v="Russell Applegate"/>
    <x v="0"/>
    <m/>
    <s v="Columbus"/>
    <s v="Indiana"/>
    <s v="Central"/>
    <x v="2"/>
    <x v="7"/>
    <s v="Spigen Samsung Galaxy S5 Case Wallet"/>
    <x v="4187"/>
    <n v="3"/>
    <n v="0"/>
    <n v="13.2522"/>
  </r>
  <r>
    <n v="6200"/>
    <x v="50"/>
    <x v="1"/>
    <x v="0"/>
    <d v="2012-11-17T00:00:00"/>
    <n v="4"/>
    <x v="1"/>
    <s v="Russell Applegate"/>
    <x v="0"/>
    <m/>
    <s v="Columbus"/>
    <s v="Indiana"/>
    <s v="Central"/>
    <x v="1"/>
    <x v="10"/>
    <s v="Xerox 1910"/>
    <x v="3542"/>
    <n v="2"/>
    <n v="0"/>
    <n v="46.118400000000001"/>
  </r>
  <r>
    <n v="6201"/>
    <x v="392"/>
    <x v="1"/>
    <x v="3"/>
    <d v="2012-04-20T00:00:00"/>
    <n v="4"/>
    <x v="1"/>
    <s v="Sarah Brown"/>
    <x v="0"/>
    <m/>
    <s v="Evanston"/>
    <s v="Illinois"/>
    <s v="Central"/>
    <x v="2"/>
    <x v="16"/>
    <s v="Canon PC940 Copier"/>
    <x v="4188"/>
    <n v="4"/>
    <n v="0.2"/>
    <n v="485.98919999999998"/>
  </r>
  <r>
    <n v="6202"/>
    <x v="392"/>
    <x v="1"/>
    <x v="3"/>
    <d v="2012-04-20T00:00:00"/>
    <n v="4"/>
    <x v="1"/>
    <s v="Sarah Brown"/>
    <x v="0"/>
    <m/>
    <s v="Evanston"/>
    <s v="Illinois"/>
    <s v="Central"/>
    <x v="2"/>
    <x v="11"/>
    <s v="Logitech Keyboard K120"/>
    <x v="1875"/>
    <n v="3"/>
    <n v="0.2"/>
    <n v="-4.9005000000000001"/>
  </r>
  <r>
    <n v="6203"/>
    <x v="186"/>
    <x v="0"/>
    <x v="4"/>
    <d v="2013-12-24T00:00:00"/>
    <n v="7"/>
    <x v="1"/>
    <s v="Pete Kriz"/>
    <x v="0"/>
    <m/>
    <s v="Apple Valley"/>
    <s v="California"/>
    <s v="West"/>
    <x v="0"/>
    <x v="1"/>
    <s v="Office Star - Contemporary Swivel Chair with Padded Adjustable Arms and Flex Back"/>
    <x v="4189"/>
    <n v="5"/>
    <n v="0.2"/>
    <n v="7.0490000000000004"/>
  </r>
  <r>
    <n v="6204"/>
    <x v="147"/>
    <x v="0"/>
    <x v="2"/>
    <d v="2013-10-28T00:00:00"/>
    <n v="6"/>
    <x v="1"/>
    <s v="Susan Vittorini"/>
    <x v="0"/>
    <m/>
    <s v="Columbus"/>
    <s v="Ohio"/>
    <s v="East"/>
    <x v="2"/>
    <x v="7"/>
    <s v="Panasonic KX TS208W Corded phone"/>
    <x v="4190"/>
    <n v="8"/>
    <n v="0.4"/>
    <n v="-47.0304"/>
  </r>
  <r>
    <n v="6205"/>
    <x v="96"/>
    <x v="3"/>
    <x v="4"/>
    <d v="2014-12-04T00:00:00"/>
    <n v="2"/>
    <x v="2"/>
    <s v="Matthew Grinstein"/>
    <x v="2"/>
    <m/>
    <s v="Marion"/>
    <s v="Ohio"/>
    <s v="East"/>
    <x v="0"/>
    <x v="5"/>
    <s v="Magna Visual Magnetic Picture Hangers"/>
    <x v="323"/>
    <n v="2"/>
    <n v="0.2"/>
    <n v="1.7352000000000001"/>
  </r>
  <r>
    <n v="6206"/>
    <x v="201"/>
    <x v="0"/>
    <x v="2"/>
    <d v="2013-10-25T00:00:00"/>
    <n v="4"/>
    <x v="0"/>
    <s v="Chuck Magee"/>
    <x v="0"/>
    <m/>
    <s v="Houston"/>
    <s v="Texas"/>
    <s v="Central"/>
    <x v="1"/>
    <x v="10"/>
    <s v="Black Print Carbonless Snap-Off Rapid Letter, 8 1/2&quot; x 7&quot;"/>
    <x v="4191"/>
    <n v="7"/>
    <n v="0.2"/>
    <n v="15.942500000000001"/>
  </r>
  <r>
    <n v="6207"/>
    <x v="201"/>
    <x v="0"/>
    <x v="2"/>
    <d v="2013-10-25T00:00:00"/>
    <n v="4"/>
    <x v="0"/>
    <s v="Chuck Magee"/>
    <x v="0"/>
    <m/>
    <s v="Houston"/>
    <s v="Texas"/>
    <s v="Central"/>
    <x v="1"/>
    <x v="13"/>
    <s v="Staples"/>
    <x v="4192"/>
    <n v="4"/>
    <n v="0.2"/>
    <n v="7.89"/>
  </r>
  <r>
    <n v="6208"/>
    <x v="201"/>
    <x v="0"/>
    <x v="2"/>
    <d v="2013-10-25T00:00:00"/>
    <n v="4"/>
    <x v="0"/>
    <s v="Chuck Magee"/>
    <x v="0"/>
    <m/>
    <s v="Houston"/>
    <s v="Texas"/>
    <s v="Central"/>
    <x v="0"/>
    <x v="1"/>
    <s v="Office Star - Ergonomically Designed Knee Chair"/>
    <x v="4193"/>
    <n v="1"/>
    <n v="0.3"/>
    <n v="-14.5764"/>
  </r>
  <r>
    <n v="6209"/>
    <x v="365"/>
    <x v="3"/>
    <x v="8"/>
    <d v="2014-10-04T00:00:00"/>
    <n v="4"/>
    <x v="1"/>
    <s v="Michelle Ellison"/>
    <x v="1"/>
    <m/>
    <s v="Marion"/>
    <s v="Ohio"/>
    <s v="East"/>
    <x v="1"/>
    <x v="4"/>
    <s v="Fellowes Bankers Box Stor/Drawer Steel Plus"/>
    <x v="4194"/>
    <n v="2"/>
    <n v="0.2"/>
    <n v="-6.3959999999999999"/>
  </r>
  <r>
    <n v="6210"/>
    <x v="238"/>
    <x v="3"/>
    <x v="6"/>
    <d v="2014-08-26T00:00:00"/>
    <n v="7"/>
    <x v="1"/>
    <s v="Yana Sorensen"/>
    <x v="1"/>
    <m/>
    <s v="Seattle"/>
    <s v="Washington"/>
    <s v="West"/>
    <x v="1"/>
    <x v="8"/>
    <s v="Fellowes PB300 Plastic Comb Binding Machine"/>
    <x v="4195"/>
    <n v="9"/>
    <n v="0.2"/>
    <n v="942.81569999999999"/>
  </r>
  <r>
    <n v="6211"/>
    <x v="238"/>
    <x v="3"/>
    <x v="6"/>
    <d v="2014-08-26T00:00:00"/>
    <n v="7"/>
    <x v="1"/>
    <s v="Yana Sorensen"/>
    <x v="1"/>
    <m/>
    <s v="Seattle"/>
    <s v="Washington"/>
    <s v="West"/>
    <x v="1"/>
    <x v="4"/>
    <s v="Letter Size Cart"/>
    <x v="1397"/>
    <n v="7"/>
    <n v="0"/>
    <n v="290.00580000000002"/>
  </r>
  <r>
    <n v="6212"/>
    <x v="238"/>
    <x v="3"/>
    <x v="6"/>
    <d v="2014-08-26T00:00:00"/>
    <n v="7"/>
    <x v="1"/>
    <s v="Yana Sorensen"/>
    <x v="1"/>
    <m/>
    <s v="Seattle"/>
    <s v="Washington"/>
    <s v="West"/>
    <x v="0"/>
    <x v="5"/>
    <s v="Contract Clock, 14&quot;, Brown"/>
    <x v="4196"/>
    <n v="3"/>
    <n v="0"/>
    <n v="22.419599999999999"/>
  </r>
  <r>
    <n v="6213"/>
    <x v="105"/>
    <x v="3"/>
    <x v="0"/>
    <d v="2014-11-17T00:00:00"/>
    <n v="4"/>
    <x v="0"/>
    <s v="Maria Bertelson"/>
    <x v="0"/>
    <m/>
    <s v="Longview"/>
    <s v="Washington"/>
    <s v="West"/>
    <x v="1"/>
    <x v="13"/>
    <s v="Staples"/>
    <x v="2556"/>
    <n v="3"/>
    <n v="0"/>
    <n v="9.1199999999999992"/>
  </r>
  <r>
    <n v="6214"/>
    <x v="105"/>
    <x v="3"/>
    <x v="0"/>
    <d v="2014-11-17T00:00:00"/>
    <n v="4"/>
    <x v="0"/>
    <s v="Maria Bertelson"/>
    <x v="0"/>
    <m/>
    <s v="Longview"/>
    <s v="Washington"/>
    <s v="West"/>
    <x v="1"/>
    <x v="9"/>
    <s v="Fellowes Superior 10 Outlet Split Surge Protector"/>
    <x v="562"/>
    <n v="2"/>
    <n v="0"/>
    <n v="22.0748"/>
  </r>
  <r>
    <n v="6215"/>
    <x v="856"/>
    <x v="2"/>
    <x v="2"/>
    <d v="2011-10-15T00:00:00"/>
    <n v="4"/>
    <x v="1"/>
    <s v="Alan Shonely"/>
    <x v="0"/>
    <m/>
    <s v="Redondo Beach"/>
    <s v="California"/>
    <s v="West"/>
    <x v="1"/>
    <x v="12"/>
    <s v="#10- 4 1/8&quot; x 9 1/2&quot; Security-Tint Envelopes"/>
    <x v="2469"/>
    <n v="1"/>
    <n v="0"/>
    <n v="3.7435999999999998"/>
  </r>
  <r>
    <n v="6216"/>
    <x v="109"/>
    <x v="1"/>
    <x v="0"/>
    <d v="2012-12-03T00:00:00"/>
    <n v="5"/>
    <x v="1"/>
    <s v="Mark Cousins"/>
    <x v="1"/>
    <m/>
    <s v="New York City"/>
    <s v="New York"/>
    <s v="East"/>
    <x v="0"/>
    <x v="5"/>
    <s v="Executive Impressions 14&quot; Two-Color Numerals Wall Clock"/>
    <x v="4197"/>
    <n v="3"/>
    <n v="0"/>
    <n v="27.945599999999999"/>
  </r>
  <r>
    <n v="6217"/>
    <x v="109"/>
    <x v="1"/>
    <x v="0"/>
    <d v="2012-12-03T00:00:00"/>
    <n v="5"/>
    <x v="1"/>
    <s v="Mark Cousins"/>
    <x v="1"/>
    <m/>
    <s v="New York City"/>
    <s v="New York"/>
    <s v="East"/>
    <x v="1"/>
    <x v="12"/>
    <s v="Staples"/>
    <x v="2529"/>
    <n v="8"/>
    <n v="0"/>
    <n v="29.252800000000001"/>
  </r>
  <r>
    <n v="6218"/>
    <x v="1097"/>
    <x v="1"/>
    <x v="7"/>
    <d v="2012-08-02T00:00:00"/>
    <n v="6"/>
    <x v="1"/>
    <s v="Patrick Gardner"/>
    <x v="0"/>
    <m/>
    <s v="Louisville"/>
    <s v="Kentucky"/>
    <s v="South"/>
    <x v="2"/>
    <x v="7"/>
    <s v="Mediabridge Sport Armband iPhone 5s"/>
    <x v="2030"/>
    <n v="3"/>
    <n v="0"/>
    <n v="0.29970000000000002"/>
  </r>
  <r>
    <n v="6219"/>
    <x v="201"/>
    <x v="0"/>
    <x v="2"/>
    <d v="2013-10-27T00:00:00"/>
    <n v="6"/>
    <x v="1"/>
    <s v="Joy Smith"/>
    <x v="0"/>
    <m/>
    <s v="Trenton"/>
    <s v="Michigan"/>
    <s v="Central"/>
    <x v="2"/>
    <x v="7"/>
    <s v="iKross Bluetooth Portable Keyboard + Cell Phone Stand Holder + Brush for Apple iPhone 5S 5C 5, 4S 4"/>
    <x v="4198"/>
    <n v="6"/>
    <n v="0"/>
    <n v="35.195999999999998"/>
  </r>
  <r>
    <n v="6220"/>
    <x v="201"/>
    <x v="0"/>
    <x v="2"/>
    <d v="2013-10-27T00:00:00"/>
    <n v="6"/>
    <x v="1"/>
    <s v="Joy Smith"/>
    <x v="0"/>
    <m/>
    <s v="Trenton"/>
    <s v="Michigan"/>
    <s v="Central"/>
    <x v="2"/>
    <x v="7"/>
    <s v="Pyle PMP37LED"/>
    <x v="766"/>
    <n v="2"/>
    <n v="0"/>
    <n v="51.834600000000002"/>
  </r>
  <r>
    <n v="6221"/>
    <x v="201"/>
    <x v="0"/>
    <x v="2"/>
    <d v="2013-10-27T00:00:00"/>
    <n v="6"/>
    <x v="1"/>
    <s v="Joy Smith"/>
    <x v="0"/>
    <m/>
    <s v="Trenton"/>
    <s v="Michigan"/>
    <s v="Central"/>
    <x v="1"/>
    <x v="4"/>
    <s v="Woodgrain Magazine Files by Perma"/>
    <x v="1516"/>
    <n v="7"/>
    <n v="0"/>
    <n v="1.4601999999999999"/>
  </r>
  <r>
    <n v="6222"/>
    <x v="32"/>
    <x v="3"/>
    <x v="8"/>
    <d v="2014-09-19T00:00:00"/>
    <n v="4"/>
    <x v="0"/>
    <s v="Joy Bell-"/>
    <x v="0"/>
    <m/>
    <s v="Los Angeles"/>
    <s v="California"/>
    <s v="West"/>
    <x v="1"/>
    <x v="2"/>
    <s v="Avery 48"/>
    <x v="3589"/>
    <n v="9"/>
    <n v="0"/>
    <n v="26.082000000000001"/>
  </r>
  <r>
    <n v="6223"/>
    <x v="331"/>
    <x v="3"/>
    <x v="4"/>
    <d v="2014-12-28T00:00:00"/>
    <n v="4"/>
    <x v="1"/>
    <s v="Darren Koutras"/>
    <x v="0"/>
    <m/>
    <s v="Hendersonville"/>
    <s v="Tennessee"/>
    <s v="South"/>
    <x v="0"/>
    <x v="5"/>
    <s v="Executive Impressions 14&quot; Two-Color Numerals Wall Clock"/>
    <x v="218"/>
    <n v="4"/>
    <n v="0.2"/>
    <n v="19.084800000000001"/>
  </r>
  <r>
    <n v="6224"/>
    <x v="331"/>
    <x v="3"/>
    <x v="4"/>
    <d v="2014-12-28T00:00:00"/>
    <n v="4"/>
    <x v="1"/>
    <s v="Darren Koutras"/>
    <x v="0"/>
    <m/>
    <s v="Hendersonville"/>
    <s v="Tennessee"/>
    <s v="South"/>
    <x v="1"/>
    <x v="6"/>
    <s v="Pencil and Crayon Sharpener"/>
    <x v="4199"/>
    <n v="7"/>
    <n v="0.2"/>
    <n v="1.0730999999999999"/>
  </r>
  <r>
    <n v="6225"/>
    <x v="331"/>
    <x v="3"/>
    <x v="4"/>
    <d v="2014-12-28T00:00:00"/>
    <n v="4"/>
    <x v="1"/>
    <s v="Darren Koutras"/>
    <x v="0"/>
    <m/>
    <s v="Hendersonville"/>
    <s v="Tennessee"/>
    <s v="South"/>
    <x v="1"/>
    <x v="4"/>
    <s v="Safco Industrial Wire Shelving System"/>
    <x v="286"/>
    <n v="3"/>
    <n v="0.2"/>
    <n v="-54.588000000000001"/>
  </r>
  <r>
    <n v="6226"/>
    <x v="348"/>
    <x v="1"/>
    <x v="2"/>
    <d v="2012-10-09T00:00:00"/>
    <n v="4"/>
    <x v="1"/>
    <s v="Jeremy Farry"/>
    <x v="0"/>
    <m/>
    <s v="Portland"/>
    <s v="Oregon"/>
    <s v="West"/>
    <x v="0"/>
    <x v="0"/>
    <s v="Bush Cubix Collection Bookcases, Fully Assembled"/>
    <x v="4200"/>
    <n v="1"/>
    <n v="0.7"/>
    <n v="-103.86060000000001"/>
  </r>
  <r>
    <n v="6227"/>
    <x v="348"/>
    <x v="1"/>
    <x v="2"/>
    <d v="2012-10-09T00:00:00"/>
    <n v="4"/>
    <x v="1"/>
    <s v="Jeremy Farry"/>
    <x v="0"/>
    <m/>
    <s v="Portland"/>
    <s v="Oregon"/>
    <s v="West"/>
    <x v="0"/>
    <x v="1"/>
    <s v="Global Highback Leather Tilter in Burgundy"/>
    <x v="4201"/>
    <n v="4"/>
    <n v="0.2"/>
    <n v="-14.558400000000001"/>
  </r>
  <r>
    <n v="6228"/>
    <x v="981"/>
    <x v="2"/>
    <x v="0"/>
    <d v="2011-11-07T00:00:00"/>
    <n v="5"/>
    <x v="1"/>
    <s v="Patrick O'Brill"/>
    <x v="0"/>
    <m/>
    <s v="Irving"/>
    <s v="Texas"/>
    <s v="Central"/>
    <x v="2"/>
    <x v="7"/>
    <s v="Logitech B530 USB Headset - headset - Full size, Binaural"/>
    <x v="2495"/>
    <n v="3"/>
    <n v="0.2"/>
    <n v="7.7679"/>
  </r>
  <r>
    <n v="6229"/>
    <x v="115"/>
    <x v="0"/>
    <x v="9"/>
    <d v="2013-01-27T00:00:00"/>
    <n v="5"/>
    <x v="1"/>
    <s v="Bradley Talbott"/>
    <x v="2"/>
    <m/>
    <s v="Cleveland"/>
    <s v="Ohio"/>
    <s v="East"/>
    <x v="2"/>
    <x v="7"/>
    <s v="Panasonic Kx-TS550"/>
    <x v="4202"/>
    <n v="4"/>
    <n v="0.4"/>
    <n v="-20.235600000000002"/>
  </r>
  <r>
    <n v="6230"/>
    <x v="115"/>
    <x v="0"/>
    <x v="9"/>
    <d v="2013-01-27T00:00:00"/>
    <n v="5"/>
    <x v="1"/>
    <s v="Bradley Talbott"/>
    <x v="2"/>
    <m/>
    <s v="Cleveland"/>
    <s v="Ohio"/>
    <s v="East"/>
    <x v="2"/>
    <x v="11"/>
    <s v="Verbatim 25 GB 6x Blu-ray Single Layer Recordable Disc, 25/Pack"/>
    <x v="494"/>
    <n v="3"/>
    <n v="0.2"/>
    <n v="15.863099999999999"/>
  </r>
  <r>
    <n v="6231"/>
    <x v="497"/>
    <x v="3"/>
    <x v="7"/>
    <d v="2014-07-18T00:00:00"/>
    <n v="6"/>
    <x v="1"/>
    <s v="Natalie Webber"/>
    <x v="0"/>
    <m/>
    <s v="Waterloo"/>
    <s v="Iowa"/>
    <s v="Central"/>
    <x v="1"/>
    <x v="6"/>
    <s v="Staples"/>
    <x v="4203"/>
    <n v="4"/>
    <n v="0"/>
    <n v="11.8248"/>
  </r>
  <r>
    <n v="6232"/>
    <x v="220"/>
    <x v="3"/>
    <x v="8"/>
    <d v="2014-09-12T00:00:00"/>
    <n v="0"/>
    <x v="3"/>
    <s v="Jennifer Ferguson"/>
    <x v="0"/>
    <m/>
    <s v="Seattle"/>
    <s v="Washington"/>
    <s v="West"/>
    <x v="0"/>
    <x v="1"/>
    <s v="Office Star - Contemporary Task Swivel Chair"/>
    <x v="2787"/>
    <n v="2"/>
    <n v="0.2"/>
    <n v="8.8783999999999992"/>
  </r>
  <r>
    <n v="6233"/>
    <x v="220"/>
    <x v="3"/>
    <x v="8"/>
    <d v="2014-09-12T00:00:00"/>
    <n v="0"/>
    <x v="3"/>
    <s v="Jennifer Ferguson"/>
    <x v="0"/>
    <m/>
    <s v="Seattle"/>
    <s v="Washington"/>
    <s v="West"/>
    <x v="1"/>
    <x v="10"/>
    <s v="Xerox 225"/>
    <x v="537"/>
    <n v="3"/>
    <n v="0"/>
    <n v="9.3312000000000008"/>
  </r>
  <r>
    <n v="6234"/>
    <x v="220"/>
    <x v="3"/>
    <x v="8"/>
    <d v="2014-09-12T00:00:00"/>
    <n v="0"/>
    <x v="3"/>
    <s v="Jennifer Ferguson"/>
    <x v="0"/>
    <m/>
    <s v="Seattle"/>
    <s v="Washington"/>
    <s v="West"/>
    <x v="1"/>
    <x v="10"/>
    <s v="Xerox 1894"/>
    <x v="4204"/>
    <n v="11"/>
    <n v="0"/>
    <n v="34.214399999999998"/>
  </r>
  <r>
    <n v="6235"/>
    <x v="220"/>
    <x v="3"/>
    <x v="8"/>
    <d v="2014-09-12T00:00:00"/>
    <n v="0"/>
    <x v="3"/>
    <s v="Jennifer Ferguson"/>
    <x v="0"/>
    <m/>
    <s v="Seattle"/>
    <s v="Washington"/>
    <s v="West"/>
    <x v="1"/>
    <x v="8"/>
    <s v="Ibico Ibimaster 300 Manual Binding System"/>
    <x v="4205"/>
    <n v="5"/>
    <n v="0.2"/>
    <n v="459.98750000000001"/>
  </r>
  <r>
    <n v="6236"/>
    <x v="220"/>
    <x v="3"/>
    <x v="8"/>
    <d v="2014-09-12T00:00:00"/>
    <n v="0"/>
    <x v="3"/>
    <s v="Jennifer Ferguson"/>
    <x v="0"/>
    <m/>
    <s v="Seattle"/>
    <s v="Washington"/>
    <s v="West"/>
    <x v="2"/>
    <x v="7"/>
    <s v="iOttie XL Car Mount"/>
    <x v="1095"/>
    <n v="5"/>
    <n v="0.2"/>
    <n v="-17.991"/>
  </r>
  <r>
    <n v="6237"/>
    <x v="1098"/>
    <x v="0"/>
    <x v="11"/>
    <d v="2013-02-27T00:00:00"/>
    <n v="4"/>
    <x v="1"/>
    <s v="Alyssa Crouse"/>
    <x v="1"/>
    <m/>
    <s v="Philadelphia"/>
    <s v="Pennsylvania"/>
    <s v="East"/>
    <x v="1"/>
    <x v="12"/>
    <s v="Recycled Interoffice Envelopes with String and Button Closure, 10 x 13"/>
    <x v="263"/>
    <n v="3"/>
    <n v="0.2"/>
    <n v="21.591000000000001"/>
  </r>
  <r>
    <n v="6238"/>
    <x v="115"/>
    <x v="0"/>
    <x v="9"/>
    <d v="2013-01-29T00:00:00"/>
    <n v="7"/>
    <x v="1"/>
    <s v="Toby Braunhardt"/>
    <x v="0"/>
    <m/>
    <s v="New York City"/>
    <s v="New York"/>
    <s v="East"/>
    <x v="1"/>
    <x v="8"/>
    <s v="Wilson Jones data.warehouse D-Ring Binders with DublLock"/>
    <x v="4206"/>
    <n v="4"/>
    <n v="0.2"/>
    <n v="9.2175999999999991"/>
  </r>
  <r>
    <n v="6239"/>
    <x v="295"/>
    <x v="1"/>
    <x v="4"/>
    <d v="2012-12-16T00:00:00"/>
    <n v="4"/>
    <x v="1"/>
    <s v="Helen Abelman"/>
    <x v="0"/>
    <m/>
    <s v="San Jose"/>
    <s v="California"/>
    <s v="West"/>
    <x v="0"/>
    <x v="5"/>
    <s v="Eldon Cleatmat Chair Mats for Medium Pile Carpets"/>
    <x v="4207"/>
    <n v="3"/>
    <n v="0"/>
    <n v="21.645"/>
  </r>
  <r>
    <n v="6240"/>
    <x v="295"/>
    <x v="1"/>
    <x v="4"/>
    <d v="2012-12-16T00:00:00"/>
    <n v="4"/>
    <x v="1"/>
    <s v="Helen Abelman"/>
    <x v="0"/>
    <m/>
    <s v="San Jose"/>
    <s v="California"/>
    <s v="West"/>
    <x v="1"/>
    <x v="4"/>
    <s v="Standard Rollaway File with Lock"/>
    <x v="2861"/>
    <n v="2"/>
    <n v="0"/>
    <n v="93.698800000000006"/>
  </r>
  <r>
    <n v="6241"/>
    <x v="517"/>
    <x v="0"/>
    <x v="2"/>
    <d v="2013-11-02T00:00:00"/>
    <n v="3"/>
    <x v="0"/>
    <s v="Logan Haushalter"/>
    <x v="0"/>
    <m/>
    <s v="Los Angeles"/>
    <s v="California"/>
    <s v="West"/>
    <x v="1"/>
    <x v="8"/>
    <s v="XtraLife ClearVue Slant-D Ring Binder, White, 3&quot;"/>
    <x v="4208"/>
    <n v="1"/>
    <n v="0.2"/>
    <n v="3.8168000000000002"/>
  </r>
  <r>
    <n v="6242"/>
    <x v="39"/>
    <x v="3"/>
    <x v="5"/>
    <d v="2014-06-01T00:00:00"/>
    <n v="3"/>
    <x v="0"/>
    <s v="Lori Olson"/>
    <x v="1"/>
    <m/>
    <s v="Concord"/>
    <s v="New Hampshire"/>
    <s v="East"/>
    <x v="0"/>
    <x v="5"/>
    <s v="Advantus Employee of the Month Certificate Frame, 11 x 13-1/2"/>
    <x v="4209"/>
    <n v="8"/>
    <n v="0"/>
    <n v="101.4504"/>
  </r>
  <r>
    <n v="6243"/>
    <x v="1059"/>
    <x v="2"/>
    <x v="4"/>
    <d v="2011-12-28T00:00:00"/>
    <n v="7"/>
    <x v="1"/>
    <s v="Dennis Pardue"/>
    <x v="2"/>
    <m/>
    <s v="Columbia"/>
    <s v="Tennessee"/>
    <s v="South"/>
    <x v="1"/>
    <x v="8"/>
    <s v="Ibico Plastic Spiral Binding Combs"/>
    <x v="2556"/>
    <n v="2"/>
    <n v="0.7"/>
    <n v="-14.592000000000001"/>
  </r>
  <r>
    <n v="6244"/>
    <x v="390"/>
    <x v="0"/>
    <x v="0"/>
    <d v="2013-11-29T00:00:00"/>
    <n v="4"/>
    <x v="1"/>
    <s v="Clay Rozendal"/>
    <x v="2"/>
    <m/>
    <s v="Bellevue"/>
    <s v="Washington"/>
    <s v="West"/>
    <x v="1"/>
    <x v="14"/>
    <s v="Elite 5&quot; Scissors"/>
    <x v="3451"/>
    <n v="3"/>
    <n v="0"/>
    <n v="7.6050000000000004"/>
  </r>
  <r>
    <n v="6245"/>
    <x v="312"/>
    <x v="1"/>
    <x v="0"/>
    <d v="2012-11-25T00:00:00"/>
    <n v="5"/>
    <x v="1"/>
    <s v="Katrina Bavinger"/>
    <x v="2"/>
    <m/>
    <s v="Seattle"/>
    <s v="Washington"/>
    <s v="West"/>
    <x v="1"/>
    <x v="6"/>
    <s v="Newell 334"/>
    <x v="4156"/>
    <n v="6"/>
    <n v="0"/>
    <n v="30.950399999999998"/>
  </r>
  <r>
    <n v="6246"/>
    <x v="312"/>
    <x v="1"/>
    <x v="0"/>
    <d v="2012-11-25T00:00:00"/>
    <n v="5"/>
    <x v="1"/>
    <s v="Katrina Bavinger"/>
    <x v="2"/>
    <m/>
    <s v="Seattle"/>
    <s v="Washington"/>
    <s v="West"/>
    <x v="0"/>
    <x v="5"/>
    <s v="Eldon Expressions Wood Desk Accessories, Oak"/>
    <x v="2997"/>
    <n v="3"/>
    <n v="0"/>
    <n v="6.4206000000000003"/>
  </r>
  <r>
    <n v="6247"/>
    <x v="312"/>
    <x v="1"/>
    <x v="0"/>
    <d v="2012-11-25T00:00:00"/>
    <n v="5"/>
    <x v="1"/>
    <s v="Katrina Bavinger"/>
    <x v="2"/>
    <m/>
    <s v="Seattle"/>
    <s v="Washington"/>
    <s v="West"/>
    <x v="2"/>
    <x v="11"/>
    <s v="AmazonBasics 3-Button USB Wired Mouse"/>
    <x v="62"/>
    <n v="2"/>
    <n v="0"/>
    <n v="6.0114000000000001"/>
  </r>
  <r>
    <n v="6248"/>
    <x v="148"/>
    <x v="3"/>
    <x v="5"/>
    <d v="2014-06-05T00:00:00"/>
    <n v="6"/>
    <x v="1"/>
    <s v="Maris LaWare"/>
    <x v="0"/>
    <m/>
    <s v="Columbus"/>
    <s v="Indiana"/>
    <s v="Central"/>
    <x v="1"/>
    <x v="8"/>
    <s v="Satellite Sectional Post Binders"/>
    <x v="4210"/>
    <n v="1"/>
    <n v="0"/>
    <n v="19.968599999999999"/>
  </r>
  <r>
    <n v="6249"/>
    <x v="148"/>
    <x v="3"/>
    <x v="5"/>
    <d v="2014-06-05T00:00:00"/>
    <n v="6"/>
    <x v="1"/>
    <s v="Maris LaWare"/>
    <x v="0"/>
    <m/>
    <s v="Columbus"/>
    <s v="Indiana"/>
    <s v="Central"/>
    <x v="0"/>
    <x v="5"/>
    <s v="Eldon Wave Desk Accessories"/>
    <x v="869"/>
    <n v="3"/>
    <n v="0"/>
    <n v="2.6208"/>
  </r>
  <r>
    <n v="6250"/>
    <x v="148"/>
    <x v="3"/>
    <x v="5"/>
    <d v="2014-06-05T00:00:00"/>
    <n v="6"/>
    <x v="1"/>
    <s v="Maris LaWare"/>
    <x v="0"/>
    <m/>
    <s v="Columbus"/>
    <s v="Indiana"/>
    <s v="Central"/>
    <x v="1"/>
    <x v="9"/>
    <s v="Hoover Commercial Lightweight Upright Vacuum with E-Z Empty Dirt Cup"/>
    <x v="4211"/>
    <n v="2"/>
    <n v="0"/>
    <n v="120.94159999999999"/>
  </r>
  <r>
    <n v="6251"/>
    <x v="148"/>
    <x v="3"/>
    <x v="5"/>
    <d v="2014-06-05T00:00:00"/>
    <n v="6"/>
    <x v="1"/>
    <s v="Maris LaWare"/>
    <x v="0"/>
    <m/>
    <s v="Columbus"/>
    <s v="Indiana"/>
    <s v="Central"/>
    <x v="1"/>
    <x v="10"/>
    <s v="Adams Telephone Message Book w/Frequently-Called Numbers Space, 400 Messages per Book"/>
    <x v="3277"/>
    <n v="1"/>
    <n v="0"/>
    <n v="3.99"/>
  </r>
  <r>
    <n v="6252"/>
    <x v="266"/>
    <x v="2"/>
    <x v="4"/>
    <d v="2011-12-04T00:00:00"/>
    <n v="2"/>
    <x v="2"/>
    <s v="Matt Collins"/>
    <x v="0"/>
    <m/>
    <s v="Chicago"/>
    <s v="Illinois"/>
    <s v="Central"/>
    <x v="1"/>
    <x v="9"/>
    <s v="Staples"/>
    <x v="4212"/>
    <n v="1"/>
    <n v="0.8"/>
    <n v="-6.3441000000000001"/>
  </r>
  <r>
    <n v="6253"/>
    <x v="884"/>
    <x v="2"/>
    <x v="3"/>
    <d v="2011-04-07T00:00:00"/>
    <n v="0"/>
    <x v="3"/>
    <s v="Valerie Mitchum"/>
    <x v="2"/>
    <m/>
    <s v="Marietta"/>
    <s v="Georgia"/>
    <s v="South"/>
    <x v="1"/>
    <x v="10"/>
    <s v="Xerox 226"/>
    <x v="707"/>
    <n v="9"/>
    <n v="0"/>
    <n v="27.993600000000001"/>
  </r>
  <r>
    <n v="6254"/>
    <x v="884"/>
    <x v="2"/>
    <x v="3"/>
    <d v="2011-04-07T00:00:00"/>
    <n v="0"/>
    <x v="3"/>
    <s v="Valerie Mitchum"/>
    <x v="2"/>
    <m/>
    <s v="Marietta"/>
    <s v="Georgia"/>
    <s v="South"/>
    <x v="2"/>
    <x v="7"/>
    <s v="RCA Visys Integrated PBX 8-Line Router"/>
    <x v="4213"/>
    <n v="3"/>
    <n v="0"/>
    <n v="50.2425"/>
  </r>
  <r>
    <n v="6255"/>
    <x v="1014"/>
    <x v="1"/>
    <x v="8"/>
    <d v="2012-09-14T00:00:00"/>
    <n v="6"/>
    <x v="1"/>
    <s v="Victoria Wilson"/>
    <x v="1"/>
    <m/>
    <s v="Montgomery"/>
    <s v="Alabama"/>
    <s v="South"/>
    <x v="0"/>
    <x v="5"/>
    <s v="Acrylic Self-Standing Desk Frames"/>
    <x v="788"/>
    <n v="8"/>
    <n v="0"/>
    <n v="8.1167999999999996"/>
  </r>
  <r>
    <n v="6256"/>
    <x v="428"/>
    <x v="3"/>
    <x v="8"/>
    <d v="2014-09-16T00:00:00"/>
    <n v="6"/>
    <x v="1"/>
    <s v="Grace Kelly"/>
    <x v="1"/>
    <m/>
    <s v="Plano"/>
    <s v="Texas"/>
    <s v="Central"/>
    <x v="1"/>
    <x v="2"/>
    <s v="Avery 511"/>
    <x v="4214"/>
    <n v="4"/>
    <n v="0.2"/>
    <n v="3.4496000000000002"/>
  </r>
  <r>
    <n v="6257"/>
    <x v="684"/>
    <x v="1"/>
    <x v="8"/>
    <d v="2012-09-08T00:00:00"/>
    <n v="2"/>
    <x v="0"/>
    <s v="Alyssa Tate"/>
    <x v="2"/>
    <m/>
    <s v="Tamarac"/>
    <s v="Florida"/>
    <s v="South"/>
    <x v="1"/>
    <x v="8"/>
    <s v="GBC Plasticlear Binding Covers"/>
    <x v="2689"/>
    <n v="1"/>
    <n v="0.7"/>
    <n v="-2.5255999999999998"/>
  </r>
  <r>
    <n v="6258"/>
    <x v="808"/>
    <x v="3"/>
    <x v="0"/>
    <d v="2014-11-07T00:00:00"/>
    <n v="4"/>
    <x v="0"/>
    <s v="Anthony Rawles"/>
    <x v="1"/>
    <m/>
    <s v="Columbus"/>
    <s v="Ohio"/>
    <s v="East"/>
    <x v="1"/>
    <x v="14"/>
    <s v="Premier Automatic Letter Opener"/>
    <x v="4215"/>
    <n v="2"/>
    <n v="0.2"/>
    <n v="-81.725800000000007"/>
  </r>
  <r>
    <n v="6259"/>
    <x v="262"/>
    <x v="1"/>
    <x v="10"/>
    <d v="2012-03-30T00:00:00"/>
    <n v="2"/>
    <x v="0"/>
    <s v="John Huston"/>
    <x v="0"/>
    <m/>
    <s v="New York City"/>
    <s v="New York"/>
    <s v="East"/>
    <x v="1"/>
    <x v="12"/>
    <s v="Security-Tint Envelopes"/>
    <x v="988"/>
    <n v="3"/>
    <n v="0"/>
    <n v="11.2308"/>
  </r>
  <r>
    <n v="6260"/>
    <x v="863"/>
    <x v="1"/>
    <x v="6"/>
    <d v="2012-08-17T00:00:00"/>
    <n v="4"/>
    <x v="0"/>
    <s v="Ralph Arnett"/>
    <x v="0"/>
    <m/>
    <s v="Richmond"/>
    <s v="Indiana"/>
    <s v="Central"/>
    <x v="1"/>
    <x v="8"/>
    <s v="Avery Round Ring Poly Binders"/>
    <x v="710"/>
    <n v="4"/>
    <n v="0"/>
    <n v="5.5663999999999998"/>
  </r>
  <r>
    <n v="6261"/>
    <x v="793"/>
    <x v="1"/>
    <x v="5"/>
    <d v="2012-05-18T00:00:00"/>
    <n v="6"/>
    <x v="1"/>
    <s v="Rose O'Brian"/>
    <x v="0"/>
    <m/>
    <s v="Seattle"/>
    <s v="Washington"/>
    <s v="West"/>
    <x v="1"/>
    <x v="8"/>
    <s v="Prestige Round Ring Binders"/>
    <x v="845"/>
    <n v="3"/>
    <n v="0.2"/>
    <n v="4.9248000000000003"/>
  </r>
  <r>
    <n v="6262"/>
    <x v="283"/>
    <x v="3"/>
    <x v="7"/>
    <d v="2014-07-28T00:00:00"/>
    <n v="4"/>
    <x v="1"/>
    <s v="Lisa Ryan"/>
    <x v="1"/>
    <m/>
    <s v="Long Beach"/>
    <s v="New York"/>
    <s v="East"/>
    <x v="1"/>
    <x v="2"/>
    <s v="Avery Address/Shipping Labels for Typewriters, 4&quot; x 2&quot;"/>
    <x v="1399"/>
    <n v="4"/>
    <n v="0"/>
    <n v="19.872"/>
  </r>
  <r>
    <n v="6263"/>
    <x v="446"/>
    <x v="0"/>
    <x v="8"/>
    <d v="2013-09-27T00:00:00"/>
    <n v="2"/>
    <x v="2"/>
    <s v="Michael Kennedy"/>
    <x v="1"/>
    <m/>
    <s v="Rockford"/>
    <s v="Illinois"/>
    <s v="Central"/>
    <x v="1"/>
    <x v="8"/>
    <s v="GBC ProClick 150 Presentation Binding System"/>
    <x v="4216"/>
    <n v="7"/>
    <n v="0.8"/>
    <n v="-729.91380000000004"/>
  </r>
  <r>
    <n v="6264"/>
    <x v="1024"/>
    <x v="3"/>
    <x v="5"/>
    <d v="2014-05-11T00:00:00"/>
    <n v="5"/>
    <x v="1"/>
    <s v="Yana Sorensen"/>
    <x v="1"/>
    <m/>
    <s v="Columbus"/>
    <s v="Georgia"/>
    <s v="South"/>
    <x v="1"/>
    <x v="8"/>
    <s v="Ibico Covers for Plastic or Wire Binding Elements"/>
    <x v="1323"/>
    <n v="3"/>
    <n v="0"/>
    <n v="15.525"/>
  </r>
  <r>
    <n v="6265"/>
    <x v="1099"/>
    <x v="0"/>
    <x v="2"/>
    <d v="2013-10-07T00:00:00"/>
    <n v="0"/>
    <x v="3"/>
    <s v="Jonathan Howell"/>
    <x v="0"/>
    <m/>
    <s v="Tulsa"/>
    <s v="Oklahoma"/>
    <s v="Central"/>
    <x v="1"/>
    <x v="8"/>
    <s v="Avery Binding System Hidden Tab Executive Style Index Sets"/>
    <x v="4217"/>
    <n v="5"/>
    <n v="0"/>
    <n v="14.425000000000001"/>
  </r>
  <r>
    <n v="6266"/>
    <x v="935"/>
    <x v="2"/>
    <x v="0"/>
    <d v="2011-11-08T00:00:00"/>
    <n v="5"/>
    <x v="1"/>
    <s v="Annie Thurman"/>
    <x v="0"/>
    <m/>
    <s v="Nashville"/>
    <s v="Tennessee"/>
    <s v="South"/>
    <x v="1"/>
    <x v="10"/>
    <s v="Ampad Evidence Wirebond Steno Books, 6&quot; x 9&quot;"/>
    <x v="4120"/>
    <n v="2"/>
    <n v="0.2"/>
    <n v="1.1772"/>
  </r>
  <r>
    <n v="6267"/>
    <x v="935"/>
    <x v="2"/>
    <x v="0"/>
    <d v="2011-11-08T00:00:00"/>
    <n v="5"/>
    <x v="1"/>
    <s v="Annie Thurman"/>
    <x v="0"/>
    <m/>
    <s v="Nashville"/>
    <s v="Tennessee"/>
    <s v="South"/>
    <x v="1"/>
    <x v="10"/>
    <s v="Xerox 1884"/>
    <x v="3774"/>
    <n v="9"/>
    <n v="0.2"/>
    <n v="48.551400000000001"/>
  </r>
  <r>
    <n v="6268"/>
    <x v="486"/>
    <x v="1"/>
    <x v="2"/>
    <d v="2012-10-04T00:00:00"/>
    <n v="3"/>
    <x v="0"/>
    <s v="Robert Marley"/>
    <x v="2"/>
    <m/>
    <s v="Cambridge"/>
    <s v="Massachusetts"/>
    <s v="East"/>
    <x v="2"/>
    <x v="7"/>
    <s v="Cisco SPA301"/>
    <x v="4218"/>
    <n v="2"/>
    <n v="0"/>
    <n v="93.593999999999994"/>
  </r>
  <r>
    <n v="6269"/>
    <x v="486"/>
    <x v="1"/>
    <x v="2"/>
    <d v="2012-10-04T00:00:00"/>
    <n v="3"/>
    <x v="0"/>
    <s v="Robert Marley"/>
    <x v="2"/>
    <m/>
    <s v="Cambridge"/>
    <s v="Massachusetts"/>
    <s v="East"/>
    <x v="1"/>
    <x v="8"/>
    <s v="Avery Non-Stick Binders"/>
    <x v="4219"/>
    <n v="5"/>
    <n v="0"/>
    <n v="10.327"/>
  </r>
  <r>
    <n v="6270"/>
    <x v="574"/>
    <x v="3"/>
    <x v="4"/>
    <d v="2014-12-07T00:00:00"/>
    <n v="4"/>
    <x v="1"/>
    <s v="Brenda Bowman"/>
    <x v="1"/>
    <m/>
    <s v="Oakland"/>
    <s v="California"/>
    <s v="West"/>
    <x v="2"/>
    <x v="7"/>
    <s v="Anker Astro 15000mAh USB Portable Charger"/>
    <x v="3067"/>
    <n v="1"/>
    <n v="0.2"/>
    <n v="-7.9984000000000002"/>
  </r>
  <r>
    <n v="6271"/>
    <x v="574"/>
    <x v="3"/>
    <x v="4"/>
    <d v="2014-12-07T00:00:00"/>
    <n v="4"/>
    <x v="1"/>
    <s v="Brenda Bowman"/>
    <x v="1"/>
    <m/>
    <s v="Oakland"/>
    <s v="California"/>
    <s v="West"/>
    <x v="0"/>
    <x v="1"/>
    <s v="Office Star - Mid Back Dual function Ergonomic High Back Chair with 2-Way Adjustable Arms"/>
    <x v="4220"/>
    <n v="9"/>
    <n v="0.2"/>
    <n v="43.464599999999997"/>
  </r>
  <r>
    <n v="6272"/>
    <x v="574"/>
    <x v="3"/>
    <x v="4"/>
    <d v="2014-12-07T00:00:00"/>
    <n v="4"/>
    <x v="1"/>
    <s v="Brenda Bowman"/>
    <x v="1"/>
    <m/>
    <s v="Oakland"/>
    <s v="California"/>
    <s v="West"/>
    <x v="1"/>
    <x v="6"/>
    <s v="Panasonic KP-380BK Classic Electric Pencil Sharpener"/>
    <x v="4221"/>
    <n v="5"/>
    <n v="0"/>
    <n v="44.975000000000001"/>
  </r>
  <r>
    <n v="6273"/>
    <x v="157"/>
    <x v="3"/>
    <x v="4"/>
    <d v="2014-12-13T00:00:00"/>
    <n v="1"/>
    <x v="2"/>
    <s v="Alejandro Savely"/>
    <x v="1"/>
    <m/>
    <s v="Palatine"/>
    <s v="Illinois"/>
    <s v="Central"/>
    <x v="2"/>
    <x v="11"/>
    <s v="Enermax Briskie RF Wireless Keyboard and Mouse Combo"/>
    <x v="4222"/>
    <n v="7"/>
    <n v="0.2"/>
    <n v="23.2624"/>
  </r>
  <r>
    <n v="6274"/>
    <x v="19"/>
    <x v="0"/>
    <x v="7"/>
    <d v="2013-07-23T00:00:00"/>
    <n v="5"/>
    <x v="0"/>
    <s v="Dennis Kane"/>
    <x v="0"/>
    <m/>
    <s v="Seattle"/>
    <s v="Washington"/>
    <s v="West"/>
    <x v="0"/>
    <x v="5"/>
    <s v="Eldon Image Series Black Desk Accessories"/>
    <x v="2122"/>
    <n v="3"/>
    <n v="0"/>
    <n v="4.4711999999999996"/>
  </r>
  <r>
    <n v="6275"/>
    <x v="19"/>
    <x v="0"/>
    <x v="7"/>
    <d v="2013-07-23T00:00:00"/>
    <n v="5"/>
    <x v="0"/>
    <s v="Dennis Kane"/>
    <x v="0"/>
    <m/>
    <s v="Seattle"/>
    <s v="Washington"/>
    <s v="West"/>
    <x v="2"/>
    <x v="11"/>
    <s v="First Data TMFD35 PIN Pad"/>
    <x v="4223"/>
    <n v="3"/>
    <n v="0"/>
    <n v="89.963999999999999"/>
  </r>
  <r>
    <n v="6276"/>
    <x v="19"/>
    <x v="0"/>
    <x v="7"/>
    <d v="2013-07-23T00:00:00"/>
    <n v="5"/>
    <x v="0"/>
    <s v="Dennis Kane"/>
    <x v="0"/>
    <m/>
    <s v="Seattle"/>
    <s v="Washington"/>
    <s v="West"/>
    <x v="0"/>
    <x v="5"/>
    <s v="Eldon 300 Class Desk Accessories, Black"/>
    <x v="4224"/>
    <n v="5"/>
    <n v="0"/>
    <n v="10.89"/>
  </r>
  <r>
    <n v="6277"/>
    <x v="19"/>
    <x v="0"/>
    <x v="7"/>
    <d v="2013-07-23T00:00:00"/>
    <n v="5"/>
    <x v="0"/>
    <s v="Dennis Kane"/>
    <x v="0"/>
    <m/>
    <s v="Seattle"/>
    <s v="Washington"/>
    <s v="West"/>
    <x v="1"/>
    <x v="2"/>
    <s v="Round Specialty Laser Printer Labels"/>
    <x v="2041"/>
    <n v="7"/>
    <n v="0"/>
    <n v="41.223700000000001"/>
  </r>
  <r>
    <n v="6278"/>
    <x v="19"/>
    <x v="0"/>
    <x v="7"/>
    <d v="2013-07-23T00:00:00"/>
    <n v="5"/>
    <x v="0"/>
    <s v="Dennis Kane"/>
    <x v="0"/>
    <m/>
    <s v="Seattle"/>
    <s v="Washington"/>
    <s v="West"/>
    <x v="1"/>
    <x v="4"/>
    <s v="Home/Office Personal File Carts"/>
    <x v="2803"/>
    <n v="2"/>
    <n v="0"/>
    <n v="17.38"/>
  </r>
  <r>
    <n v="6279"/>
    <x v="19"/>
    <x v="0"/>
    <x v="7"/>
    <d v="2013-07-23T00:00:00"/>
    <n v="5"/>
    <x v="0"/>
    <s v="Dennis Kane"/>
    <x v="0"/>
    <m/>
    <s v="Seattle"/>
    <s v="Washington"/>
    <s v="West"/>
    <x v="2"/>
    <x v="7"/>
    <s v="Cyber Acoustics AC-202b Speech Recognition Stereo Headset"/>
    <x v="4225"/>
    <n v="2"/>
    <n v="0.2"/>
    <n v="-4.6764000000000001"/>
  </r>
  <r>
    <n v="6280"/>
    <x v="19"/>
    <x v="0"/>
    <x v="7"/>
    <d v="2013-07-23T00:00:00"/>
    <n v="5"/>
    <x v="0"/>
    <s v="Dennis Kane"/>
    <x v="0"/>
    <m/>
    <s v="Seattle"/>
    <s v="Washington"/>
    <s v="West"/>
    <x v="1"/>
    <x v="8"/>
    <s v="Pressboard Data Binder, Crimson, 12&quot; X 8 1/2&quot;"/>
    <x v="2915"/>
    <n v="3"/>
    <n v="0.2"/>
    <n v="4.1651999999999996"/>
  </r>
  <r>
    <n v="6281"/>
    <x v="605"/>
    <x v="3"/>
    <x v="5"/>
    <d v="2014-05-17T00:00:00"/>
    <n v="4"/>
    <x v="1"/>
    <s v="Jonathan Howell"/>
    <x v="0"/>
    <m/>
    <s v="Cincinnati"/>
    <s v="Ohio"/>
    <s v="East"/>
    <x v="1"/>
    <x v="2"/>
    <s v="Avery 501"/>
    <x v="2144"/>
    <n v="2"/>
    <n v="0.2"/>
    <n v="1.9925999999999999"/>
  </r>
  <r>
    <n v="6282"/>
    <x v="312"/>
    <x v="1"/>
    <x v="0"/>
    <d v="2012-11-26T00:00:00"/>
    <n v="6"/>
    <x v="1"/>
    <s v="Jamie Kunitz"/>
    <x v="0"/>
    <m/>
    <s v="Marion"/>
    <s v="Ohio"/>
    <s v="East"/>
    <x v="0"/>
    <x v="5"/>
    <s v="Ultra Commercial Grade Dual Valve Door Closer"/>
    <x v="4226"/>
    <n v="2"/>
    <n v="0.2"/>
    <n v="9.5736000000000008"/>
  </r>
  <r>
    <n v="6283"/>
    <x v="312"/>
    <x v="1"/>
    <x v="0"/>
    <d v="2012-11-26T00:00:00"/>
    <n v="6"/>
    <x v="1"/>
    <s v="Jamie Kunitz"/>
    <x v="0"/>
    <m/>
    <s v="Marion"/>
    <s v="Ohio"/>
    <s v="East"/>
    <x v="1"/>
    <x v="4"/>
    <s v="Belkin 19&quot; Center-Weighted Shelf, Gray"/>
    <x v="4227"/>
    <n v="3"/>
    <n v="0.2"/>
    <n v="-26.541"/>
  </r>
  <r>
    <n v="6284"/>
    <x v="446"/>
    <x v="0"/>
    <x v="8"/>
    <d v="2013-09-29T00:00:00"/>
    <n v="4"/>
    <x v="1"/>
    <s v="Edward Hooks"/>
    <x v="1"/>
    <m/>
    <s v="Los Angeles"/>
    <s v="California"/>
    <s v="West"/>
    <x v="1"/>
    <x v="12"/>
    <s v="Tyvek Interoffice Envelopes, 9 1/2&quot; x 12 1/2&quot;, 100/Box"/>
    <x v="4015"/>
    <n v="5"/>
    <n v="0"/>
    <n v="143.303"/>
  </r>
  <r>
    <n v="6285"/>
    <x v="446"/>
    <x v="0"/>
    <x v="8"/>
    <d v="2013-09-29T00:00:00"/>
    <n v="4"/>
    <x v="1"/>
    <s v="Edward Hooks"/>
    <x v="1"/>
    <m/>
    <s v="Los Angeles"/>
    <s v="California"/>
    <s v="West"/>
    <x v="0"/>
    <x v="1"/>
    <s v="Hon Olson Stacker Stools"/>
    <x v="4228"/>
    <n v="5"/>
    <n v="0.2"/>
    <n v="56.323999999999998"/>
  </r>
  <r>
    <n v="6286"/>
    <x v="147"/>
    <x v="0"/>
    <x v="2"/>
    <d v="2013-10-27T00:00:00"/>
    <n v="5"/>
    <x v="1"/>
    <s v="Victoria Wilson"/>
    <x v="1"/>
    <m/>
    <s v="Lakewood"/>
    <s v="Ohio"/>
    <s v="East"/>
    <x v="0"/>
    <x v="3"/>
    <s v="Chromcraft Bull-Nose Wood 48&quot; x 96&quot; Rectangular Conference Tables"/>
    <x v="4229"/>
    <n v="2"/>
    <n v="0.4"/>
    <n v="-231.41159999999999"/>
  </r>
  <r>
    <n v="6287"/>
    <x v="1057"/>
    <x v="0"/>
    <x v="2"/>
    <d v="2013-11-01T00:00:00"/>
    <n v="7"/>
    <x v="1"/>
    <s v="Catherine Glotzbach"/>
    <x v="2"/>
    <m/>
    <s v="Lebanon"/>
    <s v="Tennessee"/>
    <s v="South"/>
    <x v="2"/>
    <x v="7"/>
    <s v="Apple iPhone 5C"/>
    <x v="1946"/>
    <n v="3"/>
    <n v="0.2"/>
    <n v="17.998200000000001"/>
  </r>
  <r>
    <n v="6288"/>
    <x v="1001"/>
    <x v="2"/>
    <x v="7"/>
    <d v="2011-07-12T00:00:00"/>
    <n v="4"/>
    <x v="1"/>
    <s v="Ed Braxton"/>
    <x v="1"/>
    <m/>
    <s v="San Francisco"/>
    <s v="California"/>
    <s v="West"/>
    <x v="0"/>
    <x v="3"/>
    <s v="Hon 2111 Invitation Series Corner Table"/>
    <x v="4230"/>
    <n v="3"/>
    <n v="0.2"/>
    <n v="-87.935400000000001"/>
  </r>
  <r>
    <n v="6289"/>
    <x v="1001"/>
    <x v="2"/>
    <x v="7"/>
    <d v="2011-07-12T00:00:00"/>
    <n v="4"/>
    <x v="1"/>
    <s v="Ed Braxton"/>
    <x v="1"/>
    <m/>
    <s v="San Francisco"/>
    <s v="California"/>
    <s v="West"/>
    <x v="1"/>
    <x v="8"/>
    <s v="Wilson Jones Ledger-Size, Piano-Hinge Binder, 2&quot;, Blue"/>
    <x v="4231"/>
    <n v="6"/>
    <n v="0.2"/>
    <n v="68.846400000000003"/>
  </r>
  <r>
    <n v="6290"/>
    <x v="649"/>
    <x v="1"/>
    <x v="10"/>
    <d v="2012-03-18T00:00:00"/>
    <n v="5"/>
    <x v="0"/>
    <s v="Nicole Fjeld"/>
    <x v="2"/>
    <m/>
    <s v="Chico"/>
    <s v="California"/>
    <s v="West"/>
    <x v="0"/>
    <x v="1"/>
    <s v="Global Deluxe High-Back Manager's Chair"/>
    <x v="4232"/>
    <n v="4"/>
    <n v="0.2"/>
    <n v="102.9528"/>
  </r>
  <r>
    <n v="6291"/>
    <x v="649"/>
    <x v="1"/>
    <x v="10"/>
    <d v="2012-03-18T00:00:00"/>
    <n v="5"/>
    <x v="0"/>
    <s v="Nicole Fjeld"/>
    <x v="2"/>
    <m/>
    <s v="Chico"/>
    <s v="California"/>
    <s v="West"/>
    <x v="0"/>
    <x v="5"/>
    <s v="Dana Halogen Swing-Arm Architect Lamp"/>
    <x v="564"/>
    <n v="8"/>
    <n v="0"/>
    <n v="91.772800000000004"/>
  </r>
  <r>
    <n v="6292"/>
    <x v="574"/>
    <x v="3"/>
    <x v="4"/>
    <d v="2014-12-06T00:00:00"/>
    <n v="3"/>
    <x v="2"/>
    <s v="Max Engle"/>
    <x v="0"/>
    <m/>
    <s v="Salem"/>
    <s v="Virginia"/>
    <s v="South"/>
    <x v="0"/>
    <x v="1"/>
    <s v="Office Star - Professional Matrix Back Chair with 2-to-1 Synchro Tilt and Mesh Fabric Seat"/>
    <x v="4233"/>
    <n v="2"/>
    <n v="0"/>
    <n v="168.47040000000001"/>
  </r>
  <r>
    <n v="6293"/>
    <x v="1100"/>
    <x v="1"/>
    <x v="3"/>
    <d v="2012-04-26T00:00:00"/>
    <n v="4"/>
    <x v="1"/>
    <s v="Annie Zypern"/>
    <x v="0"/>
    <m/>
    <s v="Los Angeles"/>
    <s v="California"/>
    <s v="West"/>
    <x v="2"/>
    <x v="7"/>
    <s v="Logitech B530 USB Headset - headset - Full size, Binaural"/>
    <x v="2495"/>
    <n v="3"/>
    <n v="0.2"/>
    <n v="7.7679"/>
  </r>
  <r>
    <n v="6294"/>
    <x v="1100"/>
    <x v="1"/>
    <x v="3"/>
    <d v="2012-04-26T00:00:00"/>
    <n v="4"/>
    <x v="1"/>
    <s v="Annie Zypern"/>
    <x v="0"/>
    <m/>
    <s v="Los Angeles"/>
    <s v="California"/>
    <s v="West"/>
    <x v="1"/>
    <x v="6"/>
    <s v="Boston 1730 StandUp Electric Pencil Sharpener"/>
    <x v="2161"/>
    <n v="3"/>
    <n v="0"/>
    <n v="16.676400000000001"/>
  </r>
  <r>
    <n v="6295"/>
    <x v="1101"/>
    <x v="2"/>
    <x v="8"/>
    <d v="2011-09-19T00:00:00"/>
    <n v="3"/>
    <x v="2"/>
    <s v="Randy Ferguson"/>
    <x v="1"/>
    <m/>
    <s v="New York City"/>
    <s v="New York"/>
    <s v="East"/>
    <x v="1"/>
    <x v="8"/>
    <s v="Avery Trapezoid Extra Heavy Duty 4&quot; Binders"/>
    <x v="4234"/>
    <n v="1"/>
    <n v="0.2"/>
    <n v="12.582000000000001"/>
  </r>
  <r>
    <n v="6296"/>
    <x v="129"/>
    <x v="2"/>
    <x v="4"/>
    <d v="2012-01-01T00:00:00"/>
    <n v="4"/>
    <x v="1"/>
    <s v="Anthony Jacobs"/>
    <x v="1"/>
    <m/>
    <s v="Beverly"/>
    <s v="Massachusetts"/>
    <s v="East"/>
    <x v="1"/>
    <x v="9"/>
    <s v="Hoover Upright Vacuum With Dirt Cup"/>
    <x v="4235"/>
    <n v="6"/>
    <n v="0"/>
    <n v="503.78219999999999"/>
  </r>
  <r>
    <n v="6297"/>
    <x v="129"/>
    <x v="2"/>
    <x v="4"/>
    <d v="2012-01-01T00:00:00"/>
    <n v="4"/>
    <x v="1"/>
    <s v="Anthony Jacobs"/>
    <x v="1"/>
    <m/>
    <s v="Beverly"/>
    <s v="Massachusetts"/>
    <s v="East"/>
    <x v="1"/>
    <x v="4"/>
    <s v="Fellowes Strictly Business Drawer File, Letter/Legal Size"/>
    <x v="454"/>
    <n v="5"/>
    <n v="0"/>
    <n v="84.51"/>
  </r>
  <r>
    <n v="6298"/>
    <x v="129"/>
    <x v="2"/>
    <x v="4"/>
    <d v="2012-01-01T00:00:00"/>
    <n v="4"/>
    <x v="1"/>
    <s v="Anthony Jacobs"/>
    <x v="1"/>
    <m/>
    <s v="Beverly"/>
    <s v="Massachusetts"/>
    <s v="East"/>
    <x v="1"/>
    <x v="10"/>
    <s v="Xerox 1906"/>
    <x v="274"/>
    <n v="4"/>
    <n v="0"/>
    <n v="66.627200000000002"/>
  </r>
  <r>
    <n v="6299"/>
    <x v="618"/>
    <x v="2"/>
    <x v="2"/>
    <d v="2011-10-26T00:00:00"/>
    <n v="5"/>
    <x v="1"/>
    <s v="Sylvia Foulston"/>
    <x v="1"/>
    <m/>
    <s v="San Diego"/>
    <s v="California"/>
    <s v="West"/>
    <x v="1"/>
    <x v="8"/>
    <s v="Plastic Binding Combs"/>
    <x v="4236"/>
    <n v="3"/>
    <n v="0.2"/>
    <n v="12.2715"/>
  </r>
  <r>
    <n v="6300"/>
    <x v="329"/>
    <x v="3"/>
    <x v="4"/>
    <d v="2014-12-04T00:00:00"/>
    <n v="3"/>
    <x v="2"/>
    <s v="Maria Zettner"/>
    <x v="2"/>
    <m/>
    <s v="San Francisco"/>
    <s v="California"/>
    <s v="West"/>
    <x v="0"/>
    <x v="5"/>
    <s v="Contemporary Borderless Frame"/>
    <x v="4237"/>
    <n v="3"/>
    <n v="0"/>
    <n v="9.5571000000000002"/>
  </r>
  <r>
    <n v="6301"/>
    <x v="571"/>
    <x v="2"/>
    <x v="1"/>
    <d v="2011-06-12T00:00:00"/>
    <n v="6"/>
    <x v="1"/>
    <s v="Sarah Bern"/>
    <x v="0"/>
    <m/>
    <s v="Chicago"/>
    <s v="Illinois"/>
    <s v="Central"/>
    <x v="1"/>
    <x v="8"/>
    <s v="Avery Trapezoid Ring Binder, 3&quot; Capacity, Black, 1040 sheets"/>
    <x v="4238"/>
    <n v="3"/>
    <n v="0.8"/>
    <n v="-38.111400000000003"/>
  </r>
  <r>
    <n v="6302"/>
    <x v="571"/>
    <x v="2"/>
    <x v="1"/>
    <d v="2011-06-12T00:00:00"/>
    <n v="6"/>
    <x v="1"/>
    <s v="Sarah Bern"/>
    <x v="0"/>
    <m/>
    <s v="Chicago"/>
    <s v="Illinois"/>
    <s v="Central"/>
    <x v="1"/>
    <x v="12"/>
    <s v="#10- 4 1/8&quot; x 9 1/2&quot; Recycled Envelopes"/>
    <x v="4239"/>
    <n v="2"/>
    <n v="0.2"/>
    <n v="4.7195999999999998"/>
  </r>
  <r>
    <n v="6303"/>
    <x v="51"/>
    <x v="3"/>
    <x v="0"/>
    <d v="2014-11-28T00:00:00"/>
    <n v="4"/>
    <x v="1"/>
    <s v="Alan Hwang"/>
    <x v="0"/>
    <m/>
    <s v="Dallas"/>
    <s v="Texas"/>
    <s v="Central"/>
    <x v="2"/>
    <x v="7"/>
    <s v="Panasonic KX TS208W Corded phone"/>
    <x v="4240"/>
    <n v="5"/>
    <n v="0.2"/>
    <n v="19.596"/>
  </r>
  <r>
    <n v="6304"/>
    <x v="978"/>
    <x v="3"/>
    <x v="1"/>
    <d v="2014-06-21T00:00:00"/>
    <n v="2"/>
    <x v="0"/>
    <s v="Neil Knudson"/>
    <x v="2"/>
    <m/>
    <s v="Corpus Christi"/>
    <s v="Texas"/>
    <s v="Central"/>
    <x v="1"/>
    <x v="10"/>
    <s v="Xerox 1925"/>
    <x v="1339"/>
    <n v="3"/>
    <n v="0.2"/>
    <n v="23.234999999999999"/>
  </r>
  <r>
    <n v="6305"/>
    <x v="1024"/>
    <x v="3"/>
    <x v="5"/>
    <d v="2014-05-06T00:00:00"/>
    <n v="0"/>
    <x v="3"/>
    <s v="Arianne Irving"/>
    <x v="0"/>
    <m/>
    <s v="New York City"/>
    <s v="New York"/>
    <s v="East"/>
    <x v="1"/>
    <x v="10"/>
    <s v="Xerox 1923"/>
    <x v="3763"/>
    <n v="1"/>
    <n v="0"/>
    <n v="3.2063999999999999"/>
  </r>
  <r>
    <n v="6306"/>
    <x v="254"/>
    <x v="0"/>
    <x v="0"/>
    <d v="2013-11-07T00:00:00"/>
    <n v="2"/>
    <x v="0"/>
    <s v="Tracy Poddar"/>
    <x v="1"/>
    <m/>
    <s v="Eugene"/>
    <s v="Oregon"/>
    <s v="West"/>
    <x v="1"/>
    <x v="14"/>
    <s v="Serrated Blade or Curved Handle Hand Letter Openers"/>
    <x v="4241"/>
    <n v="7"/>
    <n v="0.2"/>
    <n v="-4.1761999999999997"/>
  </r>
  <r>
    <n v="6307"/>
    <x v="254"/>
    <x v="0"/>
    <x v="0"/>
    <d v="2013-11-07T00:00:00"/>
    <n v="2"/>
    <x v="0"/>
    <s v="Tracy Poddar"/>
    <x v="1"/>
    <m/>
    <s v="Eugene"/>
    <s v="Oregon"/>
    <s v="West"/>
    <x v="0"/>
    <x v="1"/>
    <s v="Office Star - Contemporary Task Swivel chair with Loop Arms, Charcoal"/>
    <x v="4242"/>
    <n v="1"/>
    <n v="0.2"/>
    <n v="-14.4078"/>
  </r>
  <r>
    <n v="6308"/>
    <x v="254"/>
    <x v="0"/>
    <x v="0"/>
    <d v="2013-11-07T00:00:00"/>
    <n v="2"/>
    <x v="0"/>
    <s v="Tracy Poddar"/>
    <x v="1"/>
    <m/>
    <s v="Eugene"/>
    <s v="Oregon"/>
    <s v="West"/>
    <x v="1"/>
    <x v="10"/>
    <s v="Southworth 25% Cotton Premium Laser Paper and Envelopes"/>
    <x v="1097"/>
    <n v="3"/>
    <n v="0.2"/>
    <n v="16.783200000000001"/>
  </r>
  <r>
    <n v="6309"/>
    <x v="254"/>
    <x v="0"/>
    <x v="0"/>
    <d v="2013-11-07T00:00:00"/>
    <n v="2"/>
    <x v="0"/>
    <s v="Tracy Poddar"/>
    <x v="1"/>
    <m/>
    <s v="Eugene"/>
    <s v="Oregon"/>
    <s v="West"/>
    <x v="0"/>
    <x v="1"/>
    <s v="Global Enterprise Series Seating High-Back Swivel/Tilt Chairs"/>
    <x v="4243"/>
    <n v="3"/>
    <n v="0.2"/>
    <n v="-97.552800000000005"/>
  </r>
  <r>
    <n v="6310"/>
    <x v="254"/>
    <x v="0"/>
    <x v="0"/>
    <d v="2013-11-07T00:00:00"/>
    <n v="2"/>
    <x v="0"/>
    <s v="Tracy Poddar"/>
    <x v="1"/>
    <m/>
    <s v="Eugene"/>
    <s v="Oregon"/>
    <s v="West"/>
    <x v="1"/>
    <x v="2"/>
    <s v="Dot Matrix Printer Tape Reel Labels, White, 5000/Box"/>
    <x v="4244"/>
    <n v="8"/>
    <n v="0.2"/>
    <n v="228.07919999999999"/>
  </r>
  <r>
    <n v="6311"/>
    <x v="254"/>
    <x v="0"/>
    <x v="0"/>
    <d v="2013-11-07T00:00:00"/>
    <n v="2"/>
    <x v="0"/>
    <s v="Tracy Poddar"/>
    <x v="1"/>
    <m/>
    <s v="Eugene"/>
    <s v="Oregon"/>
    <s v="West"/>
    <x v="1"/>
    <x v="10"/>
    <s v="Xerox 1887"/>
    <x v="4245"/>
    <n v="1"/>
    <n v="0.2"/>
    <n v="5.3116000000000003"/>
  </r>
  <r>
    <n v="6312"/>
    <x v="1102"/>
    <x v="2"/>
    <x v="8"/>
    <d v="2011-09-16T00:00:00"/>
    <n v="5"/>
    <x v="1"/>
    <s v="Liz Willingham"/>
    <x v="0"/>
    <m/>
    <s v="Oxnard"/>
    <s v="California"/>
    <s v="West"/>
    <x v="0"/>
    <x v="5"/>
    <s v="Deflect-o DuraMat Lighweight, Studded, Beveled Mat for Low Pile Carpeting"/>
    <x v="4030"/>
    <n v="3"/>
    <n v="0"/>
    <n v="21.7515"/>
  </r>
  <r>
    <n v="6313"/>
    <x v="911"/>
    <x v="3"/>
    <x v="11"/>
    <d v="2014-02-22T00:00:00"/>
    <n v="5"/>
    <x v="1"/>
    <s v="Nat Gilpin"/>
    <x v="1"/>
    <m/>
    <s v="Fairfield"/>
    <s v="Connecticut"/>
    <s v="East"/>
    <x v="1"/>
    <x v="4"/>
    <s v="Fellowes Staxonsteel Drawer Files"/>
    <x v="4246"/>
    <n v="3"/>
    <n v="0"/>
    <n v="81.131399999999999"/>
  </r>
  <r>
    <n v="6314"/>
    <x v="911"/>
    <x v="3"/>
    <x v="11"/>
    <d v="2014-02-22T00:00:00"/>
    <n v="5"/>
    <x v="1"/>
    <s v="Nat Gilpin"/>
    <x v="1"/>
    <m/>
    <s v="Fairfield"/>
    <s v="Connecticut"/>
    <s v="East"/>
    <x v="2"/>
    <x v="7"/>
    <s v="Belkin SportFit Armband For iPhone 5s/5c, Fuchsia"/>
    <x v="4247"/>
    <n v="1"/>
    <n v="0"/>
    <n v="7.3451000000000004"/>
  </r>
  <r>
    <n v="6315"/>
    <x v="156"/>
    <x v="2"/>
    <x v="0"/>
    <d v="2011-11-29T00:00:00"/>
    <n v="5"/>
    <x v="1"/>
    <s v="Nat Gilpin"/>
    <x v="1"/>
    <m/>
    <s v="Jackson"/>
    <s v="Michigan"/>
    <s v="Central"/>
    <x v="1"/>
    <x v="6"/>
    <s v="Hunt PowerHouse Electric Pencil Sharpener, Blue"/>
    <x v="4248"/>
    <n v="4"/>
    <n v="0"/>
    <n v="45.576000000000001"/>
  </r>
  <r>
    <n v="6316"/>
    <x v="156"/>
    <x v="2"/>
    <x v="0"/>
    <d v="2011-11-29T00:00:00"/>
    <n v="5"/>
    <x v="1"/>
    <s v="Nat Gilpin"/>
    <x v="1"/>
    <m/>
    <s v="Jackson"/>
    <s v="Michigan"/>
    <s v="Central"/>
    <x v="1"/>
    <x v="2"/>
    <s v="Dot Matrix Printer Tape Reel Labels, White, 5000/Box"/>
    <x v="1440"/>
    <n v="2"/>
    <n v="0"/>
    <n v="96.343800000000002"/>
  </r>
  <r>
    <n v="6317"/>
    <x v="156"/>
    <x v="2"/>
    <x v="0"/>
    <d v="2011-11-29T00:00:00"/>
    <n v="5"/>
    <x v="1"/>
    <s v="Nat Gilpin"/>
    <x v="1"/>
    <m/>
    <s v="Jackson"/>
    <s v="Michigan"/>
    <s v="Central"/>
    <x v="1"/>
    <x v="10"/>
    <s v="Xerox 1885"/>
    <x v="3683"/>
    <n v="3"/>
    <n v="0"/>
    <n v="69.177599999999998"/>
  </r>
  <r>
    <n v="6318"/>
    <x v="156"/>
    <x v="2"/>
    <x v="0"/>
    <d v="2011-11-29T00:00:00"/>
    <n v="5"/>
    <x v="1"/>
    <s v="Nat Gilpin"/>
    <x v="1"/>
    <m/>
    <s v="Jackson"/>
    <s v="Michigan"/>
    <s v="Central"/>
    <x v="1"/>
    <x v="10"/>
    <s v="Adams Telephone Message Book w/Frequently-Called Numbers Space, 400 Messages per Book"/>
    <x v="3761"/>
    <n v="2"/>
    <n v="0"/>
    <n v="7.98"/>
  </r>
  <r>
    <n v="6319"/>
    <x v="920"/>
    <x v="3"/>
    <x v="0"/>
    <d v="2014-11-30T00:00:00"/>
    <n v="4"/>
    <x v="0"/>
    <s v="Edward Becker"/>
    <x v="1"/>
    <m/>
    <s v="Laguna Niguel"/>
    <s v="California"/>
    <s v="West"/>
    <x v="2"/>
    <x v="7"/>
    <s v="PayAnywhere Card Reader"/>
    <x v="786"/>
    <n v="5"/>
    <n v="0.2"/>
    <n v="3.4965000000000002"/>
  </r>
  <r>
    <n v="6320"/>
    <x v="920"/>
    <x v="3"/>
    <x v="0"/>
    <d v="2014-11-30T00:00:00"/>
    <n v="4"/>
    <x v="0"/>
    <s v="Edward Becker"/>
    <x v="1"/>
    <m/>
    <s v="Laguna Niguel"/>
    <s v="California"/>
    <s v="West"/>
    <x v="1"/>
    <x v="10"/>
    <s v="Adams Telephone Message Book W/Dividers/Space For Phone Numbers, 5 1/4&quot;X8 1/2&quot;, 200/Messages"/>
    <x v="3142"/>
    <n v="6"/>
    <n v="0"/>
    <n v="15.336"/>
  </r>
  <r>
    <n v="6321"/>
    <x v="394"/>
    <x v="3"/>
    <x v="8"/>
    <d v="2014-10-03T00:00:00"/>
    <n v="4"/>
    <x v="1"/>
    <s v="Sung Pak"/>
    <x v="1"/>
    <m/>
    <s v="Jacksonville"/>
    <s v="Florida"/>
    <s v="South"/>
    <x v="1"/>
    <x v="10"/>
    <s v="Xerox 220"/>
    <x v="559"/>
    <n v="2"/>
    <n v="0.2"/>
    <n v="3.6288"/>
  </r>
  <r>
    <n v="6322"/>
    <x v="303"/>
    <x v="2"/>
    <x v="2"/>
    <d v="2011-10-17T00:00:00"/>
    <n v="4"/>
    <x v="1"/>
    <s v="Sibella Parks"/>
    <x v="1"/>
    <m/>
    <s v="Mount Vernon"/>
    <s v="New York"/>
    <s v="East"/>
    <x v="1"/>
    <x v="8"/>
    <s v="Recycled Pressboard Report Cover with Reinforced Top Hinge"/>
    <x v="3203"/>
    <n v="3"/>
    <n v="0.2"/>
    <n v="2.8100999999999998"/>
  </r>
  <r>
    <n v="6323"/>
    <x v="561"/>
    <x v="2"/>
    <x v="1"/>
    <d v="2011-06-07T00:00:00"/>
    <n v="4"/>
    <x v="0"/>
    <s v="Ross Baird"/>
    <x v="2"/>
    <m/>
    <s v="Midland"/>
    <s v="Michigan"/>
    <s v="Central"/>
    <x v="1"/>
    <x v="12"/>
    <s v="Security-Tint Envelopes"/>
    <x v="764"/>
    <n v="2"/>
    <n v="0"/>
    <n v="7.4871999999999996"/>
  </r>
  <r>
    <n v="6324"/>
    <x v="1103"/>
    <x v="2"/>
    <x v="1"/>
    <d v="2011-06-23T00:00:00"/>
    <n v="6"/>
    <x v="1"/>
    <s v="Duane Benoit"/>
    <x v="0"/>
    <m/>
    <s v="Newark"/>
    <s v="Delaware"/>
    <s v="East"/>
    <x v="2"/>
    <x v="15"/>
    <s v="Texas Instruments TI-34 Scientific Calculator"/>
    <x v="4249"/>
    <n v="3"/>
    <n v="0"/>
    <n v="31.0059"/>
  </r>
  <r>
    <n v="6325"/>
    <x v="1104"/>
    <x v="1"/>
    <x v="2"/>
    <d v="2012-11-02T00:00:00"/>
    <n v="4"/>
    <x v="1"/>
    <s v="Nona Balk"/>
    <x v="1"/>
    <m/>
    <s v="San Francisco"/>
    <s v="California"/>
    <s v="West"/>
    <x v="1"/>
    <x v="10"/>
    <s v="Xerox 1898"/>
    <x v="653"/>
    <n v="5"/>
    <n v="0"/>
    <n v="16.032"/>
  </r>
  <r>
    <n v="6326"/>
    <x v="1104"/>
    <x v="1"/>
    <x v="2"/>
    <d v="2012-11-02T00:00:00"/>
    <n v="4"/>
    <x v="1"/>
    <s v="Nona Balk"/>
    <x v="1"/>
    <m/>
    <s v="San Francisco"/>
    <s v="California"/>
    <s v="West"/>
    <x v="1"/>
    <x v="12"/>
    <s v="Strathmore #10 Envelopes, Ultimate White"/>
    <x v="4250"/>
    <n v="4"/>
    <n v="0"/>
    <n v="103.3116"/>
  </r>
  <r>
    <n v="6327"/>
    <x v="407"/>
    <x v="2"/>
    <x v="9"/>
    <d v="2011-01-27T00:00:00"/>
    <n v="6"/>
    <x v="1"/>
    <s v="Xylona Preis"/>
    <x v="0"/>
    <m/>
    <s v="Westland"/>
    <s v="Michigan"/>
    <s v="Central"/>
    <x v="1"/>
    <x v="4"/>
    <s v="Eldon Fold 'N Roll Cart System"/>
    <x v="62"/>
    <n v="1"/>
    <n v="0"/>
    <n v="4.0541999999999998"/>
  </r>
  <r>
    <n v="6328"/>
    <x v="407"/>
    <x v="2"/>
    <x v="9"/>
    <d v="2011-01-27T00:00:00"/>
    <n v="6"/>
    <x v="1"/>
    <s v="Xylona Preis"/>
    <x v="0"/>
    <m/>
    <s v="Westland"/>
    <s v="Michigan"/>
    <s v="Central"/>
    <x v="0"/>
    <x v="5"/>
    <s v="Eldon ClusterMat Chair Mat with Cordless Antistatic Protection"/>
    <x v="1042"/>
    <n v="3"/>
    <n v="0"/>
    <n v="30.023399999999999"/>
  </r>
  <r>
    <n v="6329"/>
    <x v="407"/>
    <x v="2"/>
    <x v="9"/>
    <d v="2011-01-27T00:00:00"/>
    <n v="6"/>
    <x v="1"/>
    <s v="Xylona Preis"/>
    <x v="0"/>
    <m/>
    <s v="Westland"/>
    <s v="Michigan"/>
    <s v="Central"/>
    <x v="1"/>
    <x v="8"/>
    <s v="Acco Pressboard Covers with Storage Hooks, 9 1/2&quot; x 11&quot;, Executive Red"/>
    <x v="71"/>
    <n v="5"/>
    <n v="0"/>
    <n v="8.9535"/>
  </r>
  <r>
    <n v="6330"/>
    <x v="407"/>
    <x v="2"/>
    <x v="9"/>
    <d v="2011-01-27T00:00:00"/>
    <n v="6"/>
    <x v="1"/>
    <s v="Xylona Preis"/>
    <x v="0"/>
    <m/>
    <s v="Westland"/>
    <s v="Michigan"/>
    <s v="Central"/>
    <x v="1"/>
    <x v="9"/>
    <s v="Holmes Replacement Filter for HEPA Air Cleaner, Very Large Room, HEPA Filter"/>
    <x v="4251"/>
    <n v="4"/>
    <n v="0.1"/>
    <n v="93.581599999999995"/>
  </r>
  <r>
    <n v="6331"/>
    <x v="407"/>
    <x v="2"/>
    <x v="9"/>
    <d v="2011-01-27T00:00:00"/>
    <n v="6"/>
    <x v="1"/>
    <s v="Xylona Preis"/>
    <x v="0"/>
    <m/>
    <s v="Westland"/>
    <s v="Michigan"/>
    <s v="Central"/>
    <x v="1"/>
    <x v="4"/>
    <s v="Fellowes Bases and Tops For Staxonsteel/High-Stak Systems"/>
    <x v="4252"/>
    <n v="2"/>
    <n v="0"/>
    <n v="15.979200000000001"/>
  </r>
  <r>
    <n v="6332"/>
    <x v="407"/>
    <x v="2"/>
    <x v="9"/>
    <d v="2011-01-27T00:00:00"/>
    <n v="6"/>
    <x v="1"/>
    <s v="Xylona Preis"/>
    <x v="0"/>
    <m/>
    <s v="Westland"/>
    <s v="Michigan"/>
    <s v="Central"/>
    <x v="1"/>
    <x v="6"/>
    <s v="Panasonic KP-4ABK Battery-Operated Pencil Sharpener"/>
    <x v="2836"/>
    <n v="3"/>
    <n v="0"/>
    <n v="12.736800000000001"/>
  </r>
  <r>
    <n v="6333"/>
    <x v="407"/>
    <x v="2"/>
    <x v="9"/>
    <d v="2011-01-27T00:00:00"/>
    <n v="6"/>
    <x v="1"/>
    <s v="Xylona Preis"/>
    <x v="0"/>
    <m/>
    <s v="Westland"/>
    <s v="Michigan"/>
    <s v="Central"/>
    <x v="0"/>
    <x v="5"/>
    <s v="Ultra Door Push Plate"/>
    <x v="1646"/>
    <n v="3"/>
    <n v="0"/>
    <n v="4.8609"/>
  </r>
  <r>
    <n v="6334"/>
    <x v="407"/>
    <x v="2"/>
    <x v="9"/>
    <d v="2011-01-27T00:00:00"/>
    <n v="6"/>
    <x v="1"/>
    <s v="Xylona Preis"/>
    <x v="0"/>
    <m/>
    <s v="Westland"/>
    <s v="Michigan"/>
    <s v="Central"/>
    <x v="1"/>
    <x v="8"/>
    <s v="Storex Dura Pro Binders"/>
    <x v="1271"/>
    <n v="5"/>
    <n v="0"/>
    <n v="13.365"/>
  </r>
  <r>
    <n v="6335"/>
    <x v="384"/>
    <x v="2"/>
    <x v="7"/>
    <d v="2011-07-15T00:00:00"/>
    <n v="4"/>
    <x v="1"/>
    <s v="Mark Hamilton"/>
    <x v="0"/>
    <m/>
    <s v="New York City"/>
    <s v="New York"/>
    <s v="East"/>
    <x v="1"/>
    <x v="10"/>
    <s v="Xerox 1881"/>
    <x v="335"/>
    <n v="4"/>
    <n v="0"/>
    <n v="23.086400000000001"/>
  </r>
  <r>
    <n v="6336"/>
    <x v="384"/>
    <x v="2"/>
    <x v="7"/>
    <d v="2011-07-15T00:00:00"/>
    <n v="4"/>
    <x v="1"/>
    <s v="Mark Hamilton"/>
    <x v="0"/>
    <m/>
    <s v="New York City"/>
    <s v="New York"/>
    <s v="East"/>
    <x v="1"/>
    <x v="8"/>
    <s v="Newell 3-Hole Punched Plastic Slotted Magazine Holders for Binders"/>
    <x v="717"/>
    <n v="5"/>
    <n v="0.2"/>
    <n v="6.3979999999999997"/>
  </r>
  <r>
    <n v="6337"/>
    <x v="133"/>
    <x v="0"/>
    <x v="6"/>
    <d v="2013-09-07T00:00:00"/>
    <n v="7"/>
    <x v="1"/>
    <s v="Bruce Geld"/>
    <x v="0"/>
    <m/>
    <s v="Los Angeles"/>
    <s v="California"/>
    <s v="West"/>
    <x v="0"/>
    <x v="5"/>
    <s v="Executive Impressions 10&quot; Spectator Wall Clock"/>
    <x v="116"/>
    <n v="4"/>
    <n v="0"/>
    <n v="15.993600000000001"/>
  </r>
  <r>
    <n v="6338"/>
    <x v="133"/>
    <x v="0"/>
    <x v="6"/>
    <d v="2013-09-07T00:00:00"/>
    <n v="7"/>
    <x v="1"/>
    <s v="Bruce Geld"/>
    <x v="0"/>
    <m/>
    <s v="Los Angeles"/>
    <s v="California"/>
    <s v="West"/>
    <x v="2"/>
    <x v="7"/>
    <s v="Panasonic KX TS3282W Corded phone"/>
    <x v="107"/>
    <n v="5"/>
    <n v="0.2"/>
    <n v="42.494999999999997"/>
  </r>
  <r>
    <n v="6339"/>
    <x v="361"/>
    <x v="3"/>
    <x v="2"/>
    <d v="2014-10-10T00:00:00"/>
    <n v="4"/>
    <x v="1"/>
    <s v="Todd Sumrall"/>
    <x v="1"/>
    <m/>
    <s v="New York City"/>
    <s v="New York"/>
    <s v="East"/>
    <x v="2"/>
    <x v="7"/>
    <s v="Samsung HM1900 Bluetooth Headset"/>
    <x v="4253"/>
    <n v="4"/>
    <n v="0"/>
    <n v="43.9"/>
  </r>
  <r>
    <n v="6340"/>
    <x v="361"/>
    <x v="3"/>
    <x v="2"/>
    <d v="2014-10-10T00:00:00"/>
    <n v="4"/>
    <x v="1"/>
    <s v="Todd Sumrall"/>
    <x v="1"/>
    <m/>
    <s v="New York City"/>
    <s v="New York"/>
    <s v="East"/>
    <x v="0"/>
    <x v="1"/>
    <s v="Global High-Back Leather Tilter, Burgundy"/>
    <x v="4254"/>
    <n v="2"/>
    <n v="0.1"/>
    <n v="2.4598"/>
  </r>
  <r>
    <n v="6341"/>
    <x v="361"/>
    <x v="3"/>
    <x v="2"/>
    <d v="2014-10-10T00:00:00"/>
    <n v="4"/>
    <x v="1"/>
    <s v="Todd Sumrall"/>
    <x v="1"/>
    <m/>
    <s v="New York City"/>
    <s v="New York"/>
    <s v="East"/>
    <x v="2"/>
    <x v="15"/>
    <s v="3D Systems Cube Printer, 2nd Generation, Magenta"/>
    <x v="4255"/>
    <n v="4"/>
    <n v="0"/>
    <n v="1351.9896000000001"/>
  </r>
  <r>
    <n v="6342"/>
    <x v="413"/>
    <x v="3"/>
    <x v="9"/>
    <d v="2014-01-03T00:00:00"/>
    <n v="2"/>
    <x v="2"/>
    <s v="Duane Benoit"/>
    <x v="0"/>
    <m/>
    <s v="Lancaster"/>
    <s v="Ohio"/>
    <s v="East"/>
    <x v="1"/>
    <x v="4"/>
    <s v="Tennsco Industrial Shelving"/>
    <x v="4256"/>
    <n v="4"/>
    <n v="0.2"/>
    <n v="-35.215200000000003"/>
  </r>
  <r>
    <n v="6343"/>
    <x v="1105"/>
    <x v="1"/>
    <x v="10"/>
    <d v="2012-03-10T00:00:00"/>
    <n v="3"/>
    <x v="2"/>
    <s v="Eugene Moren"/>
    <x v="2"/>
    <m/>
    <s v="Newark"/>
    <s v="Delaware"/>
    <s v="East"/>
    <x v="2"/>
    <x v="11"/>
    <s v="Microsoft Sculpt Comfort Mouse"/>
    <x v="4257"/>
    <n v="3"/>
    <n v="0"/>
    <n v="52.734000000000002"/>
  </r>
  <r>
    <n v="6344"/>
    <x v="1105"/>
    <x v="1"/>
    <x v="10"/>
    <d v="2012-03-10T00:00:00"/>
    <n v="3"/>
    <x v="2"/>
    <s v="Eugene Moren"/>
    <x v="2"/>
    <m/>
    <s v="Newark"/>
    <s v="Delaware"/>
    <s v="East"/>
    <x v="1"/>
    <x v="8"/>
    <s v="GBC Twin Loop Wire Binding Elements, 9/16&quot; Spine, Black"/>
    <x v="2628"/>
    <n v="2"/>
    <n v="0"/>
    <n v="14.9156"/>
  </r>
  <r>
    <n v="6345"/>
    <x v="1105"/>
    <x v="1"/>
    <x v="10"/>
    <d v="2012-03-10T00:00:00"/>
    <n v="3"/>
    <x v="2"/>
    <s v="Eugene Moren"/>
    <x v="2"/>
    <m/>
    <s v="Newark"/>
    <s v="Delaware"/>
    <s v="East"/>
    <x v="1"/>
    <x v="8"/>
    <s v="Wilson Jones Heavy-Duty Casebound Ring Binders with Metal Hinges"/>
    <x v="4258"/>
    <n v="2"/>
    <n v="0"/>
    <n v="33.254399999999997"/>
  </r>
  <r>
    <n v="6346"/>
    <x v="1105"/>
    <x v="1"/>
    <x v="10"/>
    <d v="2012-03-10T00:00:00"/>
    <n v="3"/>
    <x v="2"/>
    <s v="Eugene Moren"/>
    <x v="2"/>
    <m/>
    <s v="Newark"/>
    <s v="Delaware"/>
    <s v="East"/>
    <x v="2"/>
    <x v="7"/>
    <s v="LG G3"/>
    <x v="2133"/>
    <n v="3"/>
    <n v="0"/>
    <n v="170.51130000000001"/>
  </r>
  <r>
    <n v="6347"/>
    <x v="179"/>
    <x v="3"/>
    <x v="2"/>
    <d v="2014-10-21T00:00:00"/>
    <n v="0"/>
    <x v="3"/>
    <s v="Rick Bensley"/>
    <x v="2"/>
    <m/>
    <s v="New York City"/>
    <s v="New York"/>
    <s v="East"/>
    <x v="1"/>
    <x v="2"/>
    <s v="Avery 478"/>
    <x v="4259"/>
    <n v="5"/>
    <n v="0"/>
    <n v="12.029500000000001"/>
  </r>
  <r>
    <n v="6348"/>
    <x v="489"/>
    <x v="1"/>
    <x v="5"/>
    <d v="2012-05-06T00:00:00"/>
    <n v="5"/>
    <x v="1"/>
    <s v="Patrick O'Brill"/>
    <x v="0"/>
    <m/>
    <s v="San Francisco"/>
    <s v="California"/>
    <s v="West"/>
    <x v="1"/>
    <x v="8"/>
    <s v="GBC Twin Loop Wire Binding Elements, 9/16&quot; Spine, Black"/>
    <x v="359"/>
    <n v="1"/>
    <n v="0.2"/>
    <n v="4.4138000000000002"/>
  </r>
  <r>
    <n v="6349"/>
    <x v="489"/>
    <x v="1"/>
    <x v="5"/>
    <d v="2012-05-06T00:00:00"/>
    <n v="5"/>
    <x v="1"/>
    <s v="Patrick O'Brill"/>
    <x v="0"/>
    <m/>
    <s v="San Francisco"/>
    <s v="California"/>
    <s v="West"/>
    <x v="1"/>
    <x v="4"/>
    <s v="Eldon Simplefile Box Office"/>
    <x v="2150"/>
    <n v="3"/>
    <n v="0"/>
    <n v="10.4496"/>
  </r>
  <r>
    <n v="6350"/>
    <x v="489"/>
    <x v="1"/>
    <x v="5"/>
    <d v="2012-05-06T00:00:00"/>
    <n v="5"/>
    <x v="1"/>
    <s v="Patrick O'Brill"/>
    <x v="0"/>
    <m/>
    <s v="San Francisco"/>
    <s v="California"/>
    <s v="West"/>
    <x v="1"/>
    <x v="14"/>
    <s v="Acme 10&quot; Easy Grip Assistive Scissors"/>
    <x v="1507"/>
    <n v="2"/>
    <n v="0"/>
    <n v="10.518000000000001"/>
  </r>
  <r>
    <n v="6351"/>
    <x v="213"/>
    <x v="3"/>
    <x v="8"/>
    <d v="2014-09-09T00:00:00"/>
    <n v="5"/>
    <x v="1"/>
    <s v="Arthur Gainer"/>
    <x v="0"/>
    <m/>
    <s v="Dallas"/>
    <s v="Texas"/>
    <s v="Central"/>
    <x v="0"/>
    <x v="5"/>
    <s v="Eldon Advantage Foldable Chair Mats for Low Pile Carpets"/>
    <x v="947"/>
    <n v="5"/>
    <n v="0.6"/>
    <n v="-105.69"/>
  </r>
  <r>
    <n v="6352"/>
    <x v="132"/>
    <x v="3"/>
    <x v="0"/>
    <d v="2014-11-09T00:00:00"/>
    <n v="5"/>
    <x v="1"/>
    <s v="Beth Fritzler"/>
    <x v="1"/>
    <m/>
    <s v="Miami"/>
    <s v="Florida"/>
    <s v="South"/>
    <x v="2"/>
    <x v="7"/>
    <s v="Polycom SoundPoint IP 450 VoIP phone"/>
    <x v="3252"/>
    <n v="2"/>
    <n v="0.2"/>
    <n v="27.103200000000001"/>
  </r>
  <r>
    <n v="6353"/>
    <x v="1023"/>
    <x v="1"/>
    <x v="8"/>
    <d v="2012-09-19T00:00:00"/>
    <n v="6"/>
    <x v="1"/>
    <s v="Harry Greene"/>
    <x v="0"/>
    <m/>
    <s v="Philadelphia"/>
    <s v="Pennsylvania"/>
    <s v="East"/>
    <x v="1"/>
    <x v="8"/>
    <s v="Fellowes Twister Kit, Gray/Clear, 3/pkg"/>
    <x v="4260"/>
    <n v="1"/>
    <n v="0.7"/>
    <n v="-2.0099999999999998"/>
  </r>
  <r>
    <n v="6354"/>
    <x v="684"/>
    <x v="1"/>
    <x v="8"/>
    <d v="2012-09-12T00:00:00"/>
    <n v="6"/>
    <x v="1"/>
    <s v="Brendan Sweed"/>
    <x v="1"/>
    <m/>
    <s v="New York City"/>
    <s v="New York"/>
    <s v="East"/>
    <x v="1"/>
    <x v="9"/>
    <s v="Black &amp; Decker Filter for Double Action Dustbuster Cordless Vac BLDV7210"/>
    <x v="4261"/>
    <n v="1"/>
    <n v="0"/>
    <n v="2.0975000000000001"/>
  </r>
  <r>
    <n v="6355"/>
    <x v="684"/>
    <x v="1"/>
    <x v="8"/>
    <d v="2012-09-12T00:00:00"/>
    <n v="6"/>
    <x v="1"/>
    <s v="Brendan Sweed"/>
    <x v="1"/>
    <m/>
    <s v="New York City"/>
    <s v="New York"/>
    <s v="East"/>
    <x v="2"/>
    <x v="7"/>
    <s v="ShoreTel ShorePhone IP 230 VoIP phone"/>
    <x v="4262"/>
    <n v="2"/>
    <n v="0"/>
    <n v="101.39400000000001"/>
  </r>
  <r>
    <n v="6356"/>
    <x v="191"/>
    <x v="2"/>
    <x v="2"/>
    <d v="2011-10-13T00:00:00"/>
    <n v="7"/>
    <x v="1"/>
    <s v="Joy Daniels"/>
    <x v="0"/>
    <m/>
    <s v="Philadelphia"/>
    <s v="Pennsylvania"/>
    <s v="East"/>
    <x v="1"/>
    <x v="4"/>
    <s v="Tennsco Lockers, Gray"/>
    <x v="202"/>
    <n v="5"/>
    <n v="0.2"/>
    <n v="-13.637"/>
  </r>
  <r>
    <n v="6357"/>
    <x v="205"/>
    <x v="3"/>
    <x v="9"/>
    <d v="2014-01-29T00:00:00"/>
    <n v="5"/>
    <x v="1"/>
    <s v="Chris Selesnick"/>
    <x v="1"/>
    <m/>
    <s v="Seattle"/>
    <s v="Washington"/>
    <s v="West"/>
    <x v="1"/>
    <x v="8"/>
    <s v="Pressboard Hanging Data Binders for Unburst Sheets"/>
    <x v="1195"/>
    <n v="5"/>
    <n v="0.2"/>
    <n v="6.8879999999999999"/>
  </r>
  <r>
    <n v="6358"/>
    <x v="205"/>
    <x v="3"/>
    <x v="9"/>
    <d v="2014-01-29T00:00:00"/>
    <n v="5"/>
    <x v="1"/>
    <s v="Chris Selesnick"/>
    <x v="1"/>
    <m/>
    <s v="Seattle"/>
    <s v="Washington"/>
    <s v="West"/>
    <x v="1"/>
    <x v="10"/>
    <s v="Xerox 212"/>
    <x v="233"/>
    <n v="4"/>
    <n v="0"/>
    <n v="12.441599999999999"/>
  </r>
  <r>
    <n v="6359"/>
    <x v="205"/>
    <x v="3"/>
    <x v="9"/>
    <d v="2014-01-29T00:00:00"/>
    <n v="5"/>
    <x v="1"/>
    <s v="Chris Selesnick"/>
    <x v="1"/>
    <m/>
    <s v="Seattle"/>
    <s v="Washington"/>
    <s v="West"/>
    <x v="1"/>
    <x v="10"/>
    <s v="Xerox 192"/>
    <x v="90"/>
    <n v="1"/>
    <n v="0"/>
    <n v="3.1103999999999998"/>
  </r>
  <r>
    <n v="6360"/>
    <x v="205"/>
    <x v="3"/>
    <x v="9"/>
    <d v="2014-01-29T00:00:00"/>
    <n v="5"/>
    <x v="1"/>
    <s v="Chris Selesnick"/>
    <x v="1"/>
    <m/>
    <s v="Seattle"/>
    <s v="Washington"/>
    <s v="West"/>
    <x v="2"/>
    <x v="7"/>
    <s v="Griffin GC17055 Auxiliary Audio Cable"/>
    <x v="1134"/>
    <n v="6"/>
    <n v="0.2"/>
    <n v="8.6351999999999993"/>
  </r>
  <r>
    <n v="6361"/>
    <x v="895"/>
    <x v="1"/>
    <x v="4"/>
    <d v="2012-12-15T00:00:00"/>
    <n v="5"/>
    <x v="1"/>
    <s v="Frank Carlisle"/>
    <x v="2"/>
    <m/>
    <s v="Los Angeles"/>
    <s v="California"/>
    <s v="West"/>
    <x v="1"/>
    <x v="6"/>
    <s v="Boston Electric Pencil Sharpener, Model 1818, Charcoal Black"/>
    <x v="2420"/>
    <n v="2"/>
    <n v="0"/>
    <n v="15.763999999999999"/>
  </r>
  <r>
    <n v="6362"/>
    <x v="641"/>
    <x v="2"/>
    <x v="0"/>
    <d v="2011-11-30T00:00:00"/>
    <n v="5"/>
    <x v="1"/>
    <s v="Sanjit Engle"/>
    <x v="0"/>
    <m/>
    <s v="Springfield"/>
    <s v="Oregon"/>
    <s v="West"/>
    <x v="1"/>
    <x v="6"/>
    <s v="Dixon Ticonderoga Core-Lock Colored Pencils"/>
    <x v="4191"/>
    <n v="7"/>
    <n v="0.2"/>
    <n v="8.2901000000000007"/>
  </r>
  <r>
    <n v="6363"/>
    <x v="610"/>
    <x v="3"/>
    <x v="0"/>
    <d v="2014-11-26T00:00:00"/>
    <n v="4"/>
    <x v="1"/>
    <s v="Chloris Kastensmidt"/>
    <x v="0"/>
    <m/>
    <s v="Renton"/>
    <s v="Washington"/>
    <s v="West"/>
    <x v="1"/>
    <x v="8"/>
    <s v="Vinyl Sectional Post Binders"/>
    <x v="4263"/>
    <n v="5"/>
    <n v="0.2"/>
    <n v="56.55"/>
  </r>
  <r>
    <n v="6364"/>
    <x v="610"/>
    <x v="3"/>
    <x v="0"/>
    <d v="2014-11-26T00:00:00"/>
    <n v="4"/>
    <x v="1"/>
    <s v="Chloris Kastensmidt"/>
    <x v="0"/>
    <m/>
    <s v="Renton"/>
    <s v="Washington"/>
    <s v="West"/>
    <x v="2"/>
    <x v="15"/>
    <s v="3D Systems Cube Printer, 2nd Generation, White"/>
    <x v="4264"/>
    <n v="1"/>
    <n v="0.2"/>
    <n v="103.9992"/>
  </r>
  <r>
    <n v="6365"/>
    <x v="610"/>
    <x v="3"/>
    <x v="0"/>
    <d v="2014-11-26T00:00:00"/>
    <n v="4"/>
    <x v="1"/>
    <s v="Chloris Kastensmidt"/>
    <x v="0"/>
    <m/>
    <s v="Renton"/>
    <s v="Washington"/>
    <s v="West"/>
    <x v="1"/>
    <x v="10"/>
    <s v="Xerox 209"/>
    <x v="187"/>
    <n v="8"/>
    <n v="0"/>
    <n v="24.883199999999999"/>
  </r>
  <r>
    <n v="6366"/>
    <x v="1095"/>
    <x v="3"/>
    <x v="3"/>
    <d v="2014-04-06T00:00:00"/>
    <n v="1"/>
    <x v="2"/>
    <s v="Darrin Sayre"/>
    <x v="2"/>
    <m/>
    <s v="New York City"/>
    <s v="New York"/>
    <s v="East"/>
    <x v="2"/>
    <x v="7"/>
    <s v="Panasonic KX - TS880B Telephone"/>
    <x v="4265"/>
    <n v="1"/>
    <n v="0"/>
    <n v="11.1294"/>
  </r>
  <r>
    <n v="6367"/>
    <x v="1095"/>
    <x v="3"/>
    <x v="3"/>
    <d v="2014-04-06T00:00:00"/>
    <n v="1"/>
    <x v="2"/>
    <s v="Darrin Sayre"/>
    <x v="2"/>
    <m/>
    <s v="New York City"/>
    <s v="New York"/>
    <s v="East"/>
    <x v="1"/>
    <x v="14"/>
    <s v="Premier Automatic Letter Opener"/>
    <x v="4266"/>
    <n v="1"/>
    <n v="0"/>
    <n v="7.2111000000000001"/>
  </r>
  <r>
    <n v="6368"/>
    <x v="1095"/>
    <x v="3"/>
    <x v="3"/>
    <d v="2014-04-06T00:00:00"/>
    <n v="1"/>
    <x v="2"/>
    <s v="Darrin Sayre"/>
    <x v="2"/>
    <m/>
    <s v="New York City"/>
    <s v="New York"/>
    <s v="East"/>
    <x v="2"/>
    <x v="7"/>
    <s v="LG Electronics Tone+ HBS-730 Bluetooth Headset"/>
    <x v="4267"/>
    <n v="2"/>
    <n v="0"/>
    <n v="33.325600000000001"/>
  </r>
  <r>
    <n v="6369"/>
    <x v="240"/>
    <x v="3"/>
    <x v="5"/>
    <d v="2014-05-25T00:00:00"/>
    <n v="5"/>
    <x v="1"/>
    <s v="Sue Ann Reed"/>
    <x v="0"/>
    <m/>
    <s v="San Jose"/>
    <s v="California"/>
    <s v="West"/>
    <x v="1"/>
    <x v="8"/>
    <s v="GBC Twin Loop Wire Binding Elements"/>
    <x v="4268"/>
    <n v="5"/>
    <n v="0.2"/>
    <n v="49.92"/>
  </r>
  <r>
    <n v="6370"/>
    <x v="339"/>
    <x v="0"/>
    <x v="2"/>
    <d v="2013-10-08T00:00:00"/>
    <n v="4"/>
    <x v="1"/>
    <s v="Tracy Poddar"/>
    <x v="1"/>
    <m/>
    <s v="Grand Prairie"/>
    <s v="Texas"/>
    <s v="Central"/>
    <x v="0"/>
    <x v="5"/>
    <s v="Eldon Expressions Desk Accessory, Wood Photo Frame, Mahogany"/>
    <x v="4269"/>
    <n v="5"/>
    <n v="0.6"/>
    <n v="-29.512"/>
  </r>
  <r>
    <n v="6371"/>
    <x v="831"/>
    <x v="0"/>
    <x v="0"/>
    <d v="2013-11-22T00:00:00"/>
    <n v="0"/>
    <x v="3"/>
    <s v="Julie Kriz"/>
    <x v="2"/>
    <m/>
    <s v="New York City"/>
    <s v="New York"/>
    <s v="East"/>
    <x v="0"/>
    <x v="0"/>
    <s v="Hon Metal Bookcases, Putty"/>
    <x v="391"/>
    <n v="2"/>
    <n v="0.2"/>
    <n v="12.776400000000001"/>
  </r>
  <r>
    <n v="6372"/>
    <x v="621"/>
    <x v="3"/>
    <x v="2"/>
    <d v="2014-10-06T00:00:00"/>
    <n v="2"/>
    <x v="0"/>
    <s v="Chuck Clark"/>
    <x v="2"/>
    <m/>
    <s v="New York City"/>
    <s v="New York"/>
    <s v="East"/>
    <x v="0"/>
    <x v="5"/>
    <s v="Magnifier Swing Arm Lamp"/>
    <x v="202"/>
    <n v="4"/>
    <n v="0"/>
    <n v="21.819199999999999"/>
  </r>
  <r>
    <n v="6373"/>
    <x v="621"/>
    <x v="3"/>
    <x v="2"/>
    <d v="2014-10-06T00:00:00"/>
    <n v="2"/>
    <x v="0"/>
    <s v="Chuck Clark"/>
    <x v="2"/>
    <m/>
    <s v="New York City"/>
    <s v="New York"/>
    <s v="East"/>
    <x v="1"/>
    <x v="6"/>
    <s v="Quartet Alpha White Chalk, 12/Pack"/>
    <x v="153"/>
    <n v="3"/>
    <n v="0"/>
    <n v="3.1160999999999999"/>
  </r>
  <r>
    <n v="6374"/>
    <x v="621"/>
    <x v="3"/>
    <x v="2"/>
    <d v="2014-10-06T00:00:00"/>
    <n v="2"/>
    <x v="0"/>
    <s v="Chuck Clark"/>
    <x v="2"/>
    <m/>
    <s v="New York City"/>
    <s v="New York"/>
    <s v="East"/>
    <x v="2"/>
    <x v="11"/>
    <s v="Logitech G19 Programmable Gaming Keyboard"/>
    <x v="804"/>
    <n v="3"/>
    <n v="0"/>
    <n v="66.954599999999999"/>
  </r>
  <r>
    <n v="6375"/>
    <x v="333"/>
    <x v="2"/>
    <x v="3"/>
    <d v="2011-05-03T00:00:00"/>
    <n v="4"/>
    <x v="1"/>
    <s v="Laura Armstrong"/>
    <x v="1"/>
    <m/>
    <s v="Memphis"/>
    <s v="Tennessee"/>
    <s v="South"/>
    <x v="0"/>
    <x v="1"/>
    <s v="Global Leather Executive Chair"/>
    <x v="4270"/>
    <n v="2"/>
    <n v="0.2"/>
    <n v="70.197999999999993"/>
  </r>
  <r>
    <n v="6376"/>
    <x v="333"/>
    <x v="2"/>
    <x v="3"/>
    <d v="2011-05-03T00:00:00"/>
    <n v="4"/>
    <x v="1"/>
    <s v="Laura Armstrong"/>
    <x v="1"/>
    <m/>
    <s v="Memphis"/>
    <s v="Tennessee"/>
    <s v="South"/>
    <x v="1"/>
    <x v="4"/>
    <s v="2300 Heavy-Duty Transfer File Systems by Perma"/>
    <x v="4271"/>
    <n v="5"/>
    <n v="0.2"/>
    <n v="-1.2490000000000001"/>
  </r>
  <r>
    <n v="6377"/>
    <x v="877"/>
    <x v="0"/>
    <x v="2"/>
    <d v="2013-10-11T00:00:00"/>
    <n v="3"/>
    <x v="2"/>
    <s v="Arthur Wiediger"/>
    <x v="2"/>
    <m/>
    <s v="Philadelphia"/>
    <s v="Pennsylvania"/>
    <s v="East"/>
    <x v="1"/>
    <x v="2"/>
    <s v="Avery 511"/>
    <x v="1253"/>
    <n v="2"/>
    <n v="0.2"/>
    <n v="1.7248000000000001"/>
  </r>
  <r>
    <n v="6378"/>
    <x v="272"/>
    <x v="0"/>
    <x v="4"/>
    <d v="2013-12-23T00:00:00"/>
    <n v="7"/>
    <x v="1"/>
    <s v="Benjamin Patterson"/>
    <x v="0"/>
    <m/>
    <s v="Los Angeles"/>
    <s v="California"/>
    <s v="West"/>
    <x v="0"/>
    <x v="5"/>
    <s v="Eldon Expressions Wood Desk Accessories, Oak"/>
    <x v="1787"/>
    <n v="2"/>
    <n v="0"/>
    <n v="4.2804000000000002"/>
  </r>
  <r>
    <n v="6379"/>
    <x v="318"/>
    <x v="3"/>
    <x v="3"/>
    <d v="2014-04-15T00:00:00"/>
    <n v="4"/>
    <x v="1"/>
    <s v="Dennis Bolton"/>
    <x v="2"/>
    <m/>
    <s v="Waterbury"/>
    <s v="Connecticut"/>
    <s v="East"/>
    <x v="2"/>
    <x v="11"/>
    <s v="Logitech G700s Rechargeable Gaming Mouse"/>
    <x v="311"/>
    <n v="1"/>
    <n v="0"/>
    <n v="41.995800000000003"/>
  </r>
  <r>
    <n v="6380"/>
    <x v="318"/>
    <x v="3"/>
    <x v="3"/>
    <d v="2014-04-15T00:00:00"/>
    <n v="4"/>
    <x v="1"/>
    <s v="Dennis Bolton"/>
    <x v="2"/>
    <m/>
    <s v="Waterbury"/>
    <s v="Connecticut"/>
    <s v="East"/>
    <x v="1"/>
    <x v="4"/>
    <s v="Recycled Steel Personal File for Hanging File Folders"/>
    <x v="4272"/>
    <n v="5"/>
    <n v="0"/>
    <n v="71.537499999999994"/>
  </r>
  <r>
    <n v="6381"/>
    <x v="918"/>
    <x v="2"/>
    <x v="3"/>
    <d v="2011-04-13T00:00:00"/>
    <n v="5"/>
    <x v="1"/>
    <s v="Pauline Chand"/>
    <x v="2"/>
    <m/>
    <s v="Chandler"/>
    <s v="Arizona"/>
    <s v="West"/>
    <x v="1"/>
    <x v="13"/>
    <s v="Alliance Super-Size Bands, Assorted Sizes"/>
    <x v="4273"/>
    <n v="8"/>
    <n v="0.2"/>
    <n v="-11.8256"/>
  </r>
  <r>
    <n v="6382"/>
    <x v="892"/>
    <x v="0"/>
    <x v="10"/>
    <d v="2013-04-03T00:00:00"/>
    <n v="4"/>
    <x v="1"/>
    <s v="Troy Blackwell"/>
    <x v="0"/>
    <m/>
    <s v="Springfield"/>
    <s v="Ohio"/>
    <s v="East"/>
    <x v="0"/>
    <x v="0"/>
    <s v="Bush Andora Bookcase, Maple/Graphite Gray Finish"/>
    <x v="4274"/>
    <n v="5"/>
    <n v="0.5"/>
    <n v="-167.98599999999999"/>
  </r>
  <r>
    <n v="6383"/>
    <x v="892"/>
    <x v="0"/>
    <x v="10"/>
    <d v="2013-04-03T00:00:00"/>
    <n v="4"/>
    <x v="1"/>
    <s v="Troy Blackwell"/>
    <x v="0"/>
    <m/>
    <s v="Springfield"/>
    <s v="Ohio"/>
    <s v="East"/>
    <x v="2"/>
    <x v="7"/>
    <s v="Clearsounds A400"/>
    <x v="3097"/>
    <n v="4"/>
    <n v="0.4"/>
    <n v="-36.9544"/>
  </r>
  <r>
    <n v="6384"/>
    <x v="787"/>
    <x v="3"/>
    <x v="9"/>
    <d v="2014-01-19T00:00:00"/>
    <n v="3"/>
    <x v="2"/>
    <s v="Tim Brockman"/>
    <x v="0"/>
    <m/>
    <s v="Austin"/>
    <s v="Texas"/>
    <s v="Central"/>
    <x v="1"/>
    <x v="8"/>
    <s v="Wilson Jones Ledger-Size, Piano-Hinge Binder, 2&quot;, Blue"/>
    <x v="2065"/>
    <n v="4"/>
    <n v="0.8"/>
    <n v="-52.4544"/>
  </r>
  <r>
    <n v="6385"/>
    <x v="787"/>
    <x v="3"/>
    <x v="9"/>
    <d v="2014-01-19T00:00:00"/>
    <n v="3"/>
    <x v="2"/>
    <s v="Tim Brockman"/>
    <x v="0"/>
    <m/>
    <s v="Austin"/>
    <s v="Texas"/>
    <s v="Central"/>
    <x v="2"/>
    <x v="11"/>
    <s v="Logitech 910-002974 M325 Wireless Mouse for Web Scrolling"/>
    <x v="730"/>
    <n v="2"/>
    <n v="0.2"/>
    <n v="14.395200000000001"/>
  </r>
  <r>
    <n v="6386"/>
    <x v="787"/>
    <x v="3"/>
    <x v="9"/>
    <d v="2014-01-19T00:00:00"/>
    <n v="3"/>
    <x v="2"/>
    <s v="Tim Brockman"/>
    <x v="0"/>
    <m/>
    <s v="Austin"/>
    <s v="Texas"/>
    <s v="Central"/>
    <x v="2"/>
    <x v="11"/>
    <s v="Maxell 74 Minute CDR, 10/Pack"/>
    <x v="4275"/>
    <n v="8"/>
    <n v="0.2"/>
    <n v="13.300800000000001"/>
  </r>
  <r>
    <n v="6387"/>
    <x v="787"/>
    <x v="3"/>
    <x v="9"/>
    <d v="2014-01-19T00:00:00"/>
    <n v="3"/>
    <x v="2"/>
    <s v="Tim Brockman"/>
    <x v="0"/>
    <m/>
    <s v="Austin"/>
    <s v="Texas"/>
    <s v="Central"/>
    <x v="1"/>
    <x v="8"/>
    <s v="Acco D-Ring Binder w/DublLock"/>
    <x v="4276"/>
    <n v="1"/>
    <n v="0.8"/>
    <n v="-6.6277999999999997"/>
  </r>
  <r>
    <n v="6388"/>
    <x v="1106"/>
    <x v="2"/>
    <x v="9"/>
    <d v="2011-02-05T00:00:00"/>
    <n v="5"/>
    <x v="1"/>
    <s v="Mike Vittorini"/>
    <x v="0"/>
    <m/>
    <s v="Detroit"/>
    <s v="Michigan"/>
    <s v="Central"/>
    <x v="1"/>
    <x v="10"/>
    <s v="Xerox 1972"/>
    <x v="232"/>
    <n v="2"/>
    <n v="0"/>
    <n v="4.7519999999999998"/>
  </r>
  <r>
    <n v="6389"/>
    <x v="1106"/>
    <x v="2"/>
    <x v="9"/>
    <d v="2011-02-05T00:00:00"/>
    <n v="5"/>
    <x v="1"/>
    <s v="Mike Vittorini"/>
    <x v="0"/>
    <m/>
    <s v="Detroit"/>
    <s v="Michigan"/>
    <s v="Central"/>
    <x v="1"/>
    <x v="4"/>
    <s v="Space Solutions HD Industrial Steel Shelving."/>
    <x v="4277"/>
    <n v="2"/>
    <n v="0"/>
    <n v="6.8982000000000001"/>
  </r>
  <r>
    <n v="6390"/>
    <x v="1107"/>
    <x v="1"/>
    <x v="11"/>
    <d v="2012-02-11T00:00:00"/>
    <n v="4"/>
    <x v="1"/>
    <s v="Damala Kotsonis"/>
    <x v="1"/>
    <m/>
    <s v="Springfield"/>
    <s v="Virginia"/>
    <s v="South"/>
    <x v="1"/>
    <x v="12"/>
    <s v="Cameo Buff Policy Envelopes"/>
    <x v="4278"/>
    <n v="5"/>
    <n v="0"/>
    <n v="146.2405"/>
  </r>
  <r>
    <n v="6391"/>
    <x v="1107"/>
    <x v="1"/>
    <x v="11"/>
    <d v="2012-02-11T00:00:00"/>
    <n v="4"/>
    <x v="1"/>
    <s v="Damala Kotsonis"/>
    <x v="1"/>
    <m/>
    <s v="Springfield"/>
    <s v="Virginia"/>
    <s v="South"/>
    <x v="1"/>
    <x v="10"/>
    <s v="Xerox 1957"/>
    <x v="91"/>
    <n v="2"/>
    <n v="0"/>
    <n v="6.3503999999999996"/>
  </r>
  <r>
    <n v="6392"/>
    <x v="882"/>
    <x v="0"/>
    <x v="4"/>
    <d v="2013-12-20T00:00:00"/>
    <n v="5"/>
    <x v="1"/>
    <s v="Pete Kriz"/>
    <x v="0"/>
    <m/>
    <s v="New York City"/>
    <s v="New York"/>
    <s v="East"/>
    <x v="1"/>
    <x v="10"/>
    <s v="Strathmore Photo Frame Cards"/>
    <x v="2"/>
    <n v="2"/>
    <n v="0"/>
    <n v="6.7252000000000001"/>
  </r>
  <r>
    <n v="6393"/>
    <x v="882"/>
    <x v="0"/>
    <x v="4"/>
    <d v="2013-12-20T00:00:00"/>
    <n v="5"/>
    <x v="1"/>
    <s v="Pete Kriz"/>
    <x v="0"/>
    <m/>
    <s v="New York City"/>
    <s v="New York"/>
    <s v="East"/>
    <x v="1"/>
    <x v="2"/>
    <s v="Avery 474"/>
    <x v="1755"/>
    <n v="2"/>
    <n v="0"/>
    <n v="2.8224"/>
  </r>
  <r>
    <n v="6394"/>
    <x v="882"/>
    <x v="0"/>
    <x v="4"/>
    <d v="2013-12-20T00:00:00"/>
    <n v="5"/>
    <x v="1"/>
    <s v="Pete Kriz"/>
    <x v="0"/>
    <m/>
    <s v="New York City"/>
    <s v="New York"/>
    <s v="East"/>
    <x v="1"/>
    <x v="13"/>
    <s v="OIC Colored Binder Clips, Assorted Sizes"/>
    <x v="1369"/>
    <n v="6"/>
    <n v="0"/>
    <n v="10.5252"/>
  </r>
  <r>
    <n v="6395"/>
    <x v="882"/>
    <x v="0"/>
    <x v="4"/>
    <d v="2013-12-20T00:00:00"/>
    <n v="5"/>
    <x v="1"/>
    <s v="Pete Kriz"/>
    <x v="0"/>
    <m/>
    <s v="New York City"/>
    <s v="New York"/>
    <s v="East"/>
    <x v="0"/>
    <x v="5"/>
    <s v="GE 48&quot; Fluorescent Tube, Cool White Energy Saver, 34 Watts, 30/Box"/>
    <x v="4279"/>
    <n v="4"/>
    <n v="0"/>
    <n v="198.46"/>
  </r>
  <r>
    <n v="6396"/>
    <x v="882"/>
    <x v="0"/>
    <x v="4"/>
    <d v="2013-12-20T00:00:00"/>
    <n v="5"/>
    <x v="1"/>
    <s v="Pete Kriz"/>
    <x v="0"/>
    <m/>
    <s v="New York City"/>
    <s v="New York"/>
    <s v="East"/>
    <x v="1"/>
    <x v="4"/>
    <s v="Advantus Rolling Storage Box"/>
    <x v="4280"/>
    <n v="1"/>
    <n v="0"/>
    <n v="4.6304999999999996"/>
  </r>
  <r>
    <n v="6397"/>
    <x v="882"/>
    <x v="0"/>
    <x v="4"/>
    <d v="2013-12-20T00:00:00"/>
    <n v="5"/>
    <x v="1"/>
    <s v="Pete Kriz"/>
    <x v="0"/>
    <m/>
    <s v="New York City"/>
    <s v="New York"/>
    <s v="East"/>
    <x v="1"/>
    <x v="8"/>
    <s v="Acco Recycled 2&quot; Capacity Laser Printer Hanging Data Binders"/>
    <x v="1062"/>
    <n v="2"/>
    <n v="0.2"/>
    <n v="7.8029999999999999"/>
  </r>
  <r>
    <n v="6398"/>
    <x v="1108"/>
    <x v="3"/>
    <x v="0"/>
    <d v="2014-11-05T00:00:00"/>
    <n v="4"/>
    <x v="1"/>
    <s v="Adrian Hane"/>
    <x v="2"/>
    <m/>
    <s v="Dallas"/>
    <s v="Texas"/>
    <s v="Central"/>
    <x v="1"/>
    <x v="6"/>
    <s v="Newell 350"/>
    <x v="791"/>
    <n v="2"/>
    <n v="0.2"/>
    <n v="0.59040000000000004"/>
  </r>
  <r>
    <n v="6399"/>
    <x v="634"/>
    <x v="3"/>
    <x v="6"/>
    <d v="2014-08-13T00:00:00"/>
    <n v="6"/>
    <x v="1"/>
    <s v="Gary Mitchum"/>
    <x v="2"/>
    <m/>
    <s v="Concord"/>
    <s v="New Hampshire"/>
    <s v="East"/>
    <x v="2"/>
    <x v="7"/>
    <s v="Ativa D5772 2-Line 5.8GHz Digital Expandable Corded/Cordless Phone System with Answering &amp; Caller ID/Call Waiting, Black/Silver"/>
    <x v="4281"/>
    <n v="5"/>
    <n v="0"/>
    <n v="247.48500000000001"/>
  </r>
  <r>
    <n v="6400"/>
    <x v="634"/>
    <x v="3"/>
    <x v="6"/>
    <d v="2014-08-13T00:00:00"/>
    <n v="6"/>
    <x v="1"/>
    <s v="Gary Mitchum"/>
    <x v="2"/>
    <m/>
    <s v="Concord"/>
    <s v="New Hampshire"/>
    <s v="East"/>
    <x v="1"/>
    <x v="2"/>
    <s v="Avery 481"/>
    <x v="4282"/>
    <n v="8"/>
    <n v="0"/>
    <n v="11.827199999999999"/>
  </r>
  <r>
    <n v="6401"/>
    <x v="634"/>
    <x v="3"/>
    <x v="6"/>
    <d v="2014-08-13T00:00:00"/>
    <n v="6"/>
    <x v="1"/>
    <s v="Gary Mitchum"/>
    <x v="2"/>
    <m/>
    <s v="Concord"/>
    <s v="New Hampshire"/>
    <s v="East"/>
    <x v="1"/>
    <x v="6"/>
    <s v="Hunt PowerHouse Electric Pencil Sharpener, Blue"/>
    <x v="4283"/>
    <n v="6"/>
    <n v="0"/>
    <n v="68.364000000000004"/>
  </r>
  <r>
    <n v="6402"/>
    <x v="1109"/>
    <x v="3"/>
    <x v="5"/>
    <d v="2014-06-01T00:00:00"/>
    <n v="1"/>
    <x v="2"/>
    <s v="Bruce Degenhardt"/>
    <x v="0"/>
    <m/>
    <s v="Lafayette"/>
    <s v="Louisiana"/>
    <s v="South"/>
    <x v="0"/>
    <x v="0"/>
    <s v="Sauder Camden County Barrister Bookcase, Planked Cherry Finish"/>
    <x v="1776"/>
    <n v="2"/>
    <n v="0"/>
    <n v="33.874400000000001"/>
  </r>
  <r>
    <n v="6403"/>
    <x v="1109"/>
    <x v="3"/>
    <x v="5"/>
    <d v="2014-06-01T00:00:00"/>
    <n v="1"/>
    <x v="2"/>
    <s v="Bruce Degenhardt"/>
    <x v="0"/>
    <m/>
    <s v="Lafayette"/>
    <s v="Louisiana"/>
    <s v="South"/>
    <x v="1"/>
    <x v="8"/>
    <s v="Avery Binder Labels"/>
    <x v="3731"/>
    <n v="1"/>
    <n v="0"/>
    <n v="1.8672"/>
  </r>
  <r>
    <n v="6404"/>
    <x v="1109"/>
    <x v="3"/>
    <x v="5"/>
    <d v="2014-06-01T00:00:00"/>
    <n v="1"/>
    <x v="2"/>
    <s v="Bruce Degenhardt"/>
    <x v="0"/>
    <m/>
    <s v="Lafayette"/>
    <s v="Louisiana"/>
    <s v="South"/>
    <x v="0"/>
    <x v="5"/>
    <s v="Acrylic Self-Standing Desk Frames"/>
    <x v="4284"/>
    <n v="3"/>
    <n v="0"/>
    <n v="3.0438000000000001"/>
  </r>
  <r>
    <n v="6405"/>
    <x v="672"/>
    <x v="1"/>
    <x v="0"/>
    <d v="2012-12-05T00:00:00"/>
    <n v="5"/>
    <x v="1"/>
    <s v="Raymond Messe"/>
    <x v="0"/>
    <m/>
    <s v="Raleigh"/>
    <s v="North Carolina"/>
    <s v="South"/>
    <x v="2"/>
    <x v="7"/>
    <s v="Avaya 4621SW VoIP phone"/>
    <x v="1637"/>
    <n v="3"/>
    <n v="0.2"/>
    <n v="19.9665"/>
  </r>
  <r>
    <n v="6406"/>
    <x v="515"/>
    <x v="3"/>
    <x v="8"/>
    <d v="2014-09-03T00:00:00"/>
    <n v="2"/>
    <x v="0"/>
    <s v="Bart Watters"/>
    <x v="1"/>
    <m/>
    <s v="Spokane"/>
    <s v="Washington"/>
    <s v="West"/>
    <x v="0"/>
    <x v="1"/>
    <s v="Hon 4700 Series Mobuis Mid-Back Task Chairs with Adjustable Arms"/>
    <x v="4285"/>
    <n v="2"/>
    <n v="0.2"/>
    <n v="7.1196000000000002"/>
  </r>
  <r>
    <n v="6407"/>
    <x v="515"/>
    <x v="3"/>
    <x v="8"/>
    <d v="2014-09-03T00:00:00"/>
    <n v="2"/>
    <x v="0"/>
    <s v="Bart Watters"/>
    <x v="1"/>
    <m/>
    <s v="Spokane"/>
    <s v="Washington"/>
    <s v="West"/>
    <x v="1"/>
    <x v="4"/>
    <s v="Sortfiler Multipurpose Personal File Organizer, Black"/>
    <x v="4286"/>
    <n v="7"/>
    <n v="0"/>
    <n v="43.421700000000001"/>
  </r>
  <r>
    <n v="6408"/>
    <x v="304"/>
    <x v="3"/>
    <x v="5"/>
    <d v="2014-05-16T00:00:00"/>
    <n v="1"/>
    <x v="2"/>
    <s v="Greg Tran"/>
    <x v="0"/>
    <m/>
    <s v="Houston"/>
    <s v="Texas"/>
    <s v="Central"/>
    <x v="0"/>
    <x v="1"/>
    <s v="Global Commerce Series Low-Back Swivel/Tilt Chairs"/>
    <x v="4287"/>
    <n v="5"/>
    <n v="0.3"/>
    <n v="-12.849"/>
  </r>
  <r>
    <n v="6409"/>
    <x v="304"/>
    <x v="3"/>
    <x v="5"/>
    <d v="2014-05-16T00:00:00"/>
    <n v="1"/>
    <x v="2"/>
    <s v="Greg Tran"/>
    <x v="0"/>
    <m/>
    <s v="Houston"/>
    <s v="Texas"/>
    <s v="Central"/>
    <x v="1"/>
    <x v="6"/>
    <s v="Newell 309"/>
    <x v="843"/>
    <n v="5"/>
    <n v="0.2"/>
    <n v="5.7750000000000004"/>
  </r>
  <r>
    <n v="6410"/>
    <x v="304"/>
    <x v="3"/>
    <x v="5"/>
    <d v="2014-05-16T00:00:00"/>
    <n v="1"/>
    <x v="2"/>
    <s v="Greg Tran"/>
    <x v="0"/>
    <m/>
    <s v="Houston"/>
    <s v="Texas"/>
    <s v="Central"/>
    <x v="1"/>
    <x v="10"/>
    <s v="Xerox 1936"/>
    <x v="1097"/>
    <n v="3"/>
    <n v="0.2"/>
    <n v="16.183800000000002"/>
  </r>
  <r>
    <n v="6411"/>
    <x v="304"/>
    <x v="3"/>
    <x v="5"/>
    <d v="2014-05-16T00:00:00"/>
    <n v="1"/>
    <x v="2"/>
    <s v="Greg Tran"/>
    <x v="0"/>
    <m/>
    <s v="Houston"/>
    <s v="Texas"/>
    <s v="Central"/>
    <x v="2"/>
    <x v="7"/>
    <s v="PayAnywhere Card Reader"/>
    <x v="462"/>
    <n v="1"/>
    <n v="0.2"/>
    <n v="0.69930000000000003"/>
  </r>
  <r>
    <n v="6412"/>
    <x v="304"/>
    <x v="3"/>
    <x v="5"/>
    <d v="2014-05-16T00:00:00"/>
    <n v="1"/>
    <x v="2"/>
    <s v="Greg Tran"/>
    <x v="0"/>
    <m/>
    <s v="Houston"/>
    <s v="Texas"/>
    <s v="Central"/>
    <x v="1"/>
    <x v="10"/>
    <s v="Xerox 1937"/>
    <x v="4288"/>
    <n v="2"/>
    <n v="0.2"/>
    <n v="26.9024"/>
  </r>
  <r>
    <n v="6413"/>
    <x v="629"/>
    <x v="3"/>
    <x v="6"/>
    <d v="2014-08-24T00:00:00"/>
    <n v="6"/>
    <x v="1"/>
    <s v="Adrian Hane"/>
    <x v="2"/>
    <m/>
    <s v="Louisville"/>
    <s v="Kentucky"/>
    <s v="South"/>
    <x v="1"/>
    <x v="8"/>
    <s v="GBC Prestige Therm-A-Bind Covers"/>
    <x v="4289"/>
    <n v="3"/>
    <n v="0"/>
    <n v="48.377099999999999"/>
  </r>
  <r>
    <n v="6414"/>
    <x v="629"/>
    <x v="3"/>
    <x v="6"/>
    <d v="2014-08-24T00:00:00"/>
    <n v="6"/>
    <x v="1"/>
    <s v="Adrian Hane"/>
    <x v="2"/>
    <m/>
    <s v="Louisville"/>
    <s v="Kentucky"/>
    <s v="South"/>
    <x v="2"/>
    <x v="11"/>
    <s v="Logitech Desktop MK120 Mouse and keyboard Combo"/>
    <x v="1524"/>
    <n v="6"/>
    <n v="0"/>
    <n v="9.8160000000000007"/>
  </r>
  <r>
    <n v="6415"/>
    <x v="468"/>
    <x v="3"/>
    <x v="0"/>
    <d v="2014-11-15T00:00:00"/>
    <n v="4"/>
    <x v="0"/>
    <s v="Daniel Raglin"/>
    <x v="2"/>
    <m/>
    <s v="Hollywood"/>
    <s v="Florida"/>
    <s v="South"/>
    <x v="1"/>
    <x v="8"/>
    <s v="GBC VeloBinder Strips"/>
    <x v="132"/>
    <n v="5"/>
    <n v="0.7"/>
    <n v="-7.68"/>
  </r>
  <r>
    <n v="6416"/>
    <x v="170"/>
    <x v="3"/>
    <x v="6"/>
    <d v="2014-08-22T00:00:00"/>
    <n v="0"/>
    <x v="3"/>
    <s v="Dionis Lloyd"/>
    <x v="1"/>
    <m/>
    <s v="Chandler"/>
    <s v="Arizona"/>
    <s v="West"/>
    <x v="1"/>
    <x v="10"/>
    <s v="Xerox 1941"/>
    <x v="1136"/>
    <n v="1"/>
    <n v="0.2"/>
    <n v="29.358000000000001"/>
  </r>
  <r>
    <n v="6417"/>
    <x v="387"/>
    <x v="0"/>
    <x v="10"/>
    <d v="2013-03-13T00:00:00"/>
    <n v="4"/>
    <x v="1"/>
    <s v="Brian DeCherney"/>
    <x v="0"/>
    <m/>
    <s v="Philadelphia"/>
    <s v="Pennsylvania"/>
    <s v="East"/>
    <x v="2"/>
    <x v="7"/>
    <s v="AT&amp;T 17929 Lendline Telephone"/>
    <x v="2197"/>
    <n v="4"/>
    <n v="0.4"/>
    <n v="-25.334399999999999"/>
  </r>
  <r>
    <n v="6418"/>
    <x v="387"/>
    <x v="0"/>
    <x v="10"/>
    <d v="2013-03-13T00:00:00"/>
    <n v="4"/>
    <x v="1"/>
    <s v="Brian DeCherney"/>
    <x v="0"/>
    <m/>
    <s v="Philadelphia"/>
    <s v="Pennsylvania"/>
    <s v="East"/>
    <x v="1"/>
    <x v="13"/>
    <s v="Rubber Band Ball"/>
    <x v="4290"/>
    <n v="2"/>
    <n v="0.2"/>
    <n v="-1.3464"/>
  </r>
  <r>
    <n v="6419"/>
    <x v="731"/>
    <x v="0"/>
    <x v="0"/>
    <d v="2013-11-06T00:00:00"/>
    <n v="5"/>
    <x v="1"/>
    <s v="Helen Wasserman"/>
    <x v="1"/>
    <m/>
    <s v="Tulsa"/>
    <s v="Oklahoma"/>
    <s v="Central"/>
    <x v="1"/>
    <x v="14"/>
    <s v="Fiskars Softgrip Scissors"/>
    <x v="2099"/>
    <n v="2"/>
    <n v="0"/>
    <n v="6.1487999999999996"/>
  </r>
  <r>
    <n v="6420"/>
    <x v="731"/>
    <x v="0"/>
    <x v="0"/>
    <d v="2013-11-06T00:00:00"/>
    <n v="5"/>
    <x v="1"/>
    <s v="Helen Wasserman"/>
    <x v="1"/>
    <m/>
    <s v="Tulsa"/>
    <s v="Oklahoma"/>
    <s v="Central"/>
    <x v="0"/>
    <x v="1"/>
    <s v="Hon Mobius Operator's Chair"/>
    <x v="2363"/>
    <n v="3"/>
    <n v="0"/>
    <n v="81.173400000000001"/>
  </r>
  <r>
    <n v="6421"/>
    <x v="731"/>
    <x v="0"/>
    <x v="0"/>
    <d v="2013-11-06T00:00:00"/>
    <n v="5"/>
    <x v="1"/>
    <s v="Helen Wasserman"/>
    <x v="1"/>
    <m/>
    <s v="Tulsa"/>
    <s v="Oklahoma"/>
    <s v="Central"/>
    <x v="1"/>
    <x v="6"/>
    <s v="Newell 31"/>
    <x v="708"/>
    <n v="3"/>
    <n v="0"/>
    <n v="3.4691999999999998"/>
  </r>
  <r>
    <n v="6422"/>
    <x v="731"/>
    <x v="0"/>
    <x v="0"/>
    <d v="2013-11-06T00:00:00"/>
    <n v="5"/>
    <x v="1"/>
    <s v="Helen Wasserman"/>
    <x v="1"/>
    <m/>
    <s v="Tulsa"/>
    <s v="Oklahoma"/>
    <s v="Central"/>
    <x v="1"/>
    <x v="4"/>
    <s v="Carina Mini System Audio Rack, Model AR050B"/>
    <x v="737"/>
    <n v="3"/>
    <n v="0"/>
    <n v="9.9882000000000009"/>
  </r>
  <r>
    <n v="6423"/>
    <x v="711"/>
    <x v="2"/>
    <x v="7"/>
    <d v="2011-08-01T00:00:00"/>
    <n v="6"/>
    <x v="1"/>
    <s v="Jack O'Briant"/>
    <x v="1"/>
    <m/>
    <s v="Draper"/>
    <s v="Utah"/>
    <s v="West"/>
    <x v="2"/>
    <x v="11"/>
    <s v="Memorex Micro Travel Drive 16 GB"/>
    <x v="4291"/>
    <n v="7"/>
    <n v="0"/>
    <n v="34.698300000000003"/>
  </r>
  <r>
    <n v="6424"/>
    <x v="1040"/>
    <x v="1"/>
    <x v="2"/>
    <d v="2012-10-27T00:00:00"/>
    <n v="3"/>
    <x v="2"/>
    <s v="Robert Dilbeck"/>
    <x v="2"/>
    <m/>
    <s v="Oakland"/>
    <s v="California"/>
    <s v="West"/>
    <x v="0"/>
    <x v="1"/>
    <s v="Novimex High-Tech Fabric Mesh Task Chair"/>
    <x v="4292"/>
    <n v="8"/>
    <n v="0.2"/>
    <n v="-73.819199999999995"/>
  </r>
  <r>
    <n v="6425"/>
    <x v="971"/>
    <x v="3"/>
    <x v="6"/>
    <d v="2014-08-25T00:00:00"/>
    <n v="5"/>
    <x v="1"/>
    <s v="Doug O'Connell"/>
    <x v="0"/>
    <m/>
    <s v="Lawrence"/>
    <s v="Massachusetts"/>
    <s v="East"/>
    <x v="1"/>
    <x v="10"/>
    <s v="Xerox 200"/>
    <x v="537"/>
    <n v="3"/>
    <n v="0"/>
    <n v="9.3312000000000008"/>
  </r>
  <r>
    <n v="6426"/>
    <x v="454"/>
    <x v="0"/>
    <x v="5"/>
    <d v="2013-05-28T00:00:00"/>
    <n v="4"/>
    <x v="1"/>
    <s v="Christopher Conant"/>
    <x v="0"/>
    <m/>
    <s v="Philadelphia"/>
    <s v="Pennsylvania"/>
    <s v="East"/>
    <x v="2"/>
    <x v="16"/>
    <s v="Canon imageCLASS 2200 Advanced Copier"/>
    <x v="4293"/>
    <n v="4"/>
    <n v="0.4"/>
    <n v="1119.9967999999999"/>
  </r>
  <r>
    <n v="6427"/>
    <x v="454"/>
    <x v="0"/>
    <x v="5"/>
    <d v="2013-05-28T00:00:00"/>
    <n v="4"/>
    <x v="1"/>
    <s v="Christopher Conant"/>
    <x v="0"/>
    <m/>
    <s v="Philadelphia"/>
    <s v="Pennsylvania"/>
    <s v="East"/>
    <x v="1"/>
    <x v="8"/>
    <s v="Avery Legal 4-Ring Binder"/>
    <x v="4294"/>
    <n v="1"/>
    <n v="0.7"/>
    <n v="-4.1959999999999997"/>
  </r>
  <r>
    <n v="6428"/>
    <x v="454"/>
    <x v="0"/>
    <x v="5"/>
    <d v="2013-05-28T00:00:00"/>
    <n v="4"/>
    <x v="1"/>
    <s v="Christopher Conant"/>
    <x v="0"/>
    <m/>
    <s v="Philadelphia"/>
    <s v="Pennsylvania"/>
    <s v="East"/>
    <x v="1"/>
    <x v="10"/>
    <s v="Xerox 224"/>
    <x v="559"/>
    <n v="2"/>
    <n v="0.2"/>
    <n v="3.6288"/>
  </r>
  <r>
    <n v="6429"/>
    <x v="454"/>
    <x v="0"/>
    <x v="5"/>
    <d v="2013-05-28T00:00:00"/>
    <n v="4"/>
    <x v="1"/>
    <s v="Christopher Conant"/>
    <x v="0"/>
    <m/>
    <s v="Philadelphia"/>
    <s v="Pennsylvania"/>
    <s v="East"/>
    <x v="2"/>
    <x v="7"/>
    <s v="Avaya 5410 Digital phone"/>
    <x v="4295"/>
    <n v="3"/>
    <n v="0.4"/>
    <n v="-24.476400000000002"/>
  </r>
  <r>
    <n v="6430"/>
    <x v="935"/>
    <x v="2"/>
    <x v="0"/>
    <d v="2011-11-07T00:00:00"/>
    <n v="4"/>
    <x v="1"/>
    <s v="Shahid Hopkins"/>
    <x v="0"/>
    <m/>
    <s v="Jacksonville"/>
    <s v="North Carolina"/>
    <s v="South"/>
    <x v="1"/>
    <x v="4"/>
    <s v="Acco Perma 4000 Stacking Storage Drawers"/>
    <x v="3250"/>
    <n v="2"/>
    <n v="0.2"/>
    <n v="-1.6240000000000001"/>
  </r>
  <r>
    <n v="6431"/>
    <x v="935"/>
    <x v="2"/>
    <x v="0"/>
    <d v="2011-11-07T00:00:00"/>
    <n v="4"/>
    <x v="1"/>
    <s v="Shahid Hopkins"/>
    <x v="0"/>
    <m/>
    <s v="Jacksonville"/>
    <s v="North Carolina"/>
    <s v="South"/>
    <x v="0"/>
    <x v="3"/>
    <s v="Hon Racetrack Conference Tables"/>
    <x v="4296"/>
    <n v="6"/>
    <n v="0.4"/>
    <n v="-299.26139999999998"/>
  </r>
  <r>
    <n v="6432"/>
    <x v="935"/>
    <x v="2"/>
    <x v="0"/>
    <d v="2011-11-07T00:00:00"/>
    <n v="4"/>
    <x v="1"/>
    <s v="Shahid Hopkins"/>
    <x v="0"/>
    <m/>
    <s v="Jacksonville"/>
    <s v="North Carolina"/>
    <s v="South"/>
    <x v="1"/>
    <x v="8"/>
    <s v="Avery Self-Adhesive Photo Pockets for Polaroid Photos"/>
    <x v="4297"/>
    <n v="7"/>
    <n v="0.7"/>
    <n v="-10.487399999999999"/>
  </r>
  <r>
    <n v="6433"/>
    <x v="935"/>
    <x v="2"/>
    <x v="0"/>
    <d v="2011-11-07T00:00:00"/>
    <n v="4"/>
    <x v="1"/>
    <s v="Shahid Hopkins"/>
    <x v="0"/>
    <m/>
    <s v="Jacksonville"/>
    <s v="North Carolina"/>
    <s v="South"/>
    <x v="0"/>
    <x v="5"/>
    <s v="Tenex Antistatic Computer Chair Mats"/>
    <x v="4298"/>
    <n v="3"/>
    <n v="0.2"/>
    <n v="-51.293999999999997"/>
  </r>
  <r>
    <n v="6434"/>
    <x v="1110"/>
    <x v="1"/>
    <x v="10"/>
    <d v="2012-04-04T00:00:00"/>
    <n v="5"/>
    <x v="1"/>
    <s v="Fred Chung"/>
    <x v="1"/>
    <m/>
    <s v="Chicago"/>
    <s v="Illinois"/>
    <s v="Central"/>
    <x v="1"/>
    <x v="10"/>
    <s v="Adams Telephone Message Book W/Dividers/Space For Phone Numbers, 5 1/4&quot;X8 1/2&quot;, 300/Messages"/>
    <x v="4299"/>
    <n v="5"/>
    <n v="0.2"/>
    <n v="8.5259999999999998"/>
  </r>
  <r>
    <n v="6435"/>
    <x v="1110"/>
    <x v="1"/>
    <x v="10"/>
    <d v="2012-04-04T00:00:00"/>
    <n v="5"/>
    <x v="1"/>
    <s v="Fred Chung"/>
    <x v="1"/>
    <m/>
    <s v="Chicago"/>
    <s v="Illinois"/>
    <s v="Central"/>
    <x v="2"/>
    <x v="7"/>
    <s v="AT&amp;T 17929 Lendline Telephone"/>
    <x v="2131"/>
    <n v="5"/>
    <n v="0.2"/>
    <n v="13.571999999999999"/>
  </r>
  <r>
    <n v="6436"/>
    <x v="837"/>
    <x v="3"/>
    <x v="5"/>
    <d v="2014-05-30T00:00:00"/>
    <n v="2"/>
    <x v="2"/>
    <s v="James Galang"/>
    <x v="0"/>
    <m/>
    <s v="Pocatello"/>
    <s v="Idaho"/>
    <s v="West"/>
    <x v="0"/>
    <x v="5"/>
    <s v="Eldon 400 Class Desk Accessories, Black Carbon"/>
    <x v="762"/>
    <n v="4"/>
    <n v="0"/>
    <n v="14.7"/>
  </r>
  <r>
    <n v="6437"/>
    <x v="837"/>
    <x v="3"/>
    <x v="5"/>
    <d v="2014-05-30T00:00:00"/>
    <n v="2"/>
    <x v="2"/>
    <s v="James Galang"/>
    <x v="0"/>
    <m/>
    <s v="Pocatello"/>
    <s v="Idaho"/>
    <s v="West"/>
    <x v="1"/>
    <x v="4"/>
    <s v="Fellowes Stor/Drawer Steel Plus Storage Drawers"/>
    <x v="4300"/>
    <n v="5"/>
    <n v="0"/>
    <n v="28.629000000000001"/>
  </r>
  <r>
    <n v="6438"/>
    <x v="837"/>
    <x v="3"/>
    <x v="5"/>
    <d v="2014-05-30T00:00:00"/>
    <n v="2"/>
    <x v="2"/>
    <s v="James Galang"/>
    <x v="0"/>
    <m/>
    <s v="Pocatello"/>
    <s v="Idaho"/>
    <s v="West"/>
    <x v="2"/>
    <x v="7"/>
    <s v="Nokia Lumia 925"/>
    <x v="214"/>
    <n v="3"/>
    <n v="0.2"/>
    <n v="22.6782"/>
  </r>
  <r>
    <n v="6439"/>
    <x v="817"/>
    <x v="3"/>
    <x v="4"/>
    <d v="2014-12-20T00:00:00"/>
    <n v="5"/>
    <x v="1"/>
    <s v="Lena Creighton"/>
    <x v="0"/>
    <m/>
    <s v="Plano"/>
    <s v="Texas"/>
    <s v="Central"/>
    <x v="0"/>
    <x v="3"/>
    <s v="Bretford CR4500 Series Slim Rectangular Table"/>
    <x v="4301"/>
    <n v="4"/>
    <n v="0.3"/>
    <n v="-97.498800000000003"/>
  </r>
  <r>
    <n v="6440"/>
    <x v="777"/>
    <x v="2"/>
    <x v="2"/>
    <d v="2011-10-06T00:00:00"/>
    <n v="2"/>
    <x v="2"/>
    <s v="Chris Cortes"/>
    <x v="0"/>
    <m/>
    <s v="New York City"/>
    <s v="New York"/>
    <s v="East"/>
    <x v="0"/>
    <x v="1"/>
    <s v="Office Star - Contemporary Task Swivel chair with Loop Arms, Charcoal"/>
    <x v="4302"/>
    <n v="5"/>
    <n v="0.1"/>
    <n v="-6.5490000000000004"/>
  </r>
  <r>
    <n v="6441"/>
    <x v="63"/>
    <x v="0"/>
    <x v="2"/>
    <d v="2013-10-21T00:00:00"/>
    <n v="7"/>
    <x v="1"/>
    <s v="Bart Watters"/>
    <x v="1"/>
    <m/>
    <s v="New York City"/>
    <s v="New York"/>
    <s v="East"/>
    <x v="1"/>
    <x v="6"/>
    <s v="BIC Liqua Brite Liner"/>
    <x v="2817"/>
    <n v="5"/>
    <n v="0"/>
    <n v="12.492000000000001"/>
  </r>
  <r>
    <n v="6442"/>
    <x v="63"/>
    <x v="0"/>
    <x v="2"/>
    <d v="2013-10-21T00:00:00"/>
    <n v="7"/>
    <x v="1"/>
    <s v="Bart Watters"/>
    <x v="1"/>
    <m/>
    <s v="New York City"/>
    <s v="New York"/>
    <s v="East"/>
    <x v="1"/>
    <x v="4"/>
    <s v="Fellowes Bases and Tops For Staxonsteel/High-Stak Systems"/>
    <x v="4041"/>
    <n v="3"/>
    <n v="0"/>
    <n v="23.968800000000002"/>
  </r>
  <r>
    <n v="6443"/>
    <x v="63"/>
    <x v="0"/>
    <x v="2"/>
    <d v="2013-10-21T00:00:00"/>
    <n v="7"/>
    <x v="1"/>
    <s v="Bart Watters"/>
    <x v="1"/>
    <m/>
    <s v="New York City"/>
    <s v="New York"/>
    <s v="East"/>
    <x v="1"/>
    <x v="10"/>
    <s v="Computer Printout Paper with Letter-Trim Perforations"/>
    <x v="2428"/>
    <n v="2"/>
    <n v="0"/>
    <n v="18.211200000000002"/>
  </r>
  <r>
    <n v="6444"/>
    <x v="63"/>
    <x v="0"/>
    <x v="2"/>
    <d v="2013-10-21T00:00:00"/>
    <n v="7"/>
    <x v="1"/>
    <s v="Bart Watters"/>
    <x v="1"/>
    <m/>
    <s v="New York City"/>
    <s v="New York"/>
    <s v="East"/>
    <x v="1"/>
    <x v="2"/>
    <s v="Avery White Multi-Purpose Labels"/>
    <x v="1663"/>
    <n v="5"/>
    <n v="0"/>
    <n v="11.454000000000001"/>
  </r>
  <r>
    <n v="6445"/>
    <x v="63"/>
    <x v="0"/>
    <x v="2"/>
    <d v="2013-10-21T00:00:00"/>
    <n v="7"/>
    <x v="1"/>
    <s v="Bart Watters"/>
    <x v="1"/>
    <m/>
    <s v="New York City"/>
    <s v="New York"/>
    <s v="East"/>
    <x v="0"/>
    <x v="5"/>
    <s v="Howard Miller Distant Time Traveler Alarm Clock"/>
    <x v="4303"/>
    <n v="3"/>
    <n v="0"/>
    <n v="33.726599999999998"/>
  </r>
  <r>
    <n v="6446"/>
    <x v="616"/>
    <x v="1"/>
    <x v="10"/>
    <d v="2012-03-10T00:00:00"/>
    <n v="5"/>
    <x v="1"/>
    <s v="Jennifer Jackson"/>
    <x v="0"/>
    <m/>
    <s v="Chicago"/>
    <s v="Illinois"/>
    <s v="Central"/>
    <x v="1"/>
    <x v="13"/>
    <s v="Binder Clips by OIC"/>
    <x v="1604"/>
    <n v="6"/>
    <n v="0.2"/>
    <n v="2.4864000000000002"/>
  </r>
  <r>
    <n v="6447"/>
    <x v="168"/>
    <x v="3"/>
    <x v="10"/>
    <d v="2014-03-07T00:00:00"/>
    <n v="2"/>
    <x v="0"/>
    <s v="Tonja Turnell"/>
    <x v="2"/>
    <m/>
    <s v="Houston"/>
    <s v="Texas"/>
    <s v="Central"/>
    <x v="0"/>
    <x v="5"/>
    <s v="Howard Miller 13-3/4&quot; Diameter Brushed Chrome Round Wall Clock"/>
    <x v="4304"/>
    <n v="5"/>
    <n v="0.6"/>
    <n v="-77.625"/>
  </r>
  <r>
    <n v="6448"/>
    <x v="168"/>
    <x v="3"/>
    <x v="10"/>
    <d v="2014-03-07T00:00:00"/>
    <n v="2"/>
    <x v="0"/>
    <s v="Tonja Turnell"/>
    <x v="2"/>
    <m/>
    <s v="Houston"/>
    <s v="Texas"/>
    <s v="Central"/>
    <x v="1"/>
    <x v="2"/>
    <s v="Avery 497"/>
    <x v="4305"/>
    <n v="1"/>
    <n v="0.2"/>
    <n v="0.86240000000000006"/>
  </r>
  <r>
    <n v="6449"/>
    <x v="168"/>
    <x v="3"/>
    <x v="10"/>
    <d v="2014-03-07T00:00:00"/>
    <n v="2"/>
    <x v="0"/>
    <s v="Tonja Turnell"/>
    <x v="2"/>
    <m/>
    <s v="Houston"/>
    <s v="Texas"/>
    <s v="Central"/>
    <x v="1"/>
    <x v="4"/>
    <s v="Crate-A-Files"/>
    <x v="521"/>
    <n v="1"/>
    <n v="0.2"/>
    <n v="0.65400000000000003"/>
  </r>
  <r>
    <n v="6450"/>
    <x v="12"/>
    <x v="1"/>
    <x v="8"/>
    <d v="2012-09-29T00:00:00"/>
    <n v="4"/>
    <x v="1"/>
    <s v="Erica Hackney"/>
    <x v="0"/>
    <m/>
    <s v="Meriden"/>
    <s v="Connecticut"/>
    <s v="East"/>
    <x v="1"/>
    <x v="8"/>
    <s v="Acco PRESSTEX Data Binder with Storage Hooks, Light Blue, 9 1/2&quot; X 11&quot;"/>
    <x v="4306"/>
    <n v="2"/>
    <n v="0"/>
    <n v="5.1647999999999996"/>
  </r>
  <r>
    <n v="6451"/>
    <x v="12"/>
    <x v="1"/>
    <x v="8"/>
    <d v="2012-09-29T00:00:00"/>
    <n v="4"/>
    <x v="1"/>
    <s v="Erica Hackney"/>
    <x v="0"/>
    <m/>
    <s v="Meriden"/>
    <s v="Connecticut"/>
    <s v="East"/>
    <x v="1"/>
    <x v="10"/>
    <s v="Xerox Color Copier Paper, 11&quot; x 17&quot;, Ream"/>
    <x v="1816"/>
    <n v="2"/>
    <n v="0"/>
    <n v="21.012799999999999"/>
  </r>
  <r>
    <n v="6452"/>
    <x v="12"/>
    <x v="1"/>
    <x v="8"/>
    <d v="2012-09-29T00:00:00"/>
    <n v="4"/>
    <x v="1"/>
    <s v="Erica Hackney"/>
    <x v="0"/>
    <m/>
    <s v="Meriden"/>
    <s v="Connecticut"/>
    <s v="East"/>
    <x v="1"/>
    <x v="6"/>
    <s v="Turquoise Lead Holder with Pocket Clip"/>
    <x v="4307"/>
    <n v="1"/>
    <n v="0"/>
    <n v="2.2109999999999999"/>
  </r>
  <r>
    <n v="6453"/>
    <x v="546"/>
    <x v="1"/>
    <x v="4"/>
    <d v="2012-12-23T00:00:00"/>
    <n v="4"/>
    <x v="0"/>
    <s v="Patrick Ryan"/>
    <x v="0"/>
    <m/>
    <s v="Glenview"/>
    <s v="Illinois"/>
    <s v="Central"/>
    <x v="2"/>
    <x v="7"/>
    <s v="Samsung Rugby III"/>
    <x v="3097"/>
    <n v="3"/>
    <n v="0.2"/>
    <n v="13.857900000000001"/>
  </r>
  <r>
    <n v="6454"/>
    <x v="1049"/>
    <x v="1"/>
    <x v="2"/>
    <d v="2012-10-13T00:00:00"/>
    <n v="5"/>
    <x v="1"/>
    <s v="Brian Thompson"/>
    <x v="0"/>
    <m/>
    <s v="Houston"/>
    <s v="Texas"/>
    <s v="Central"/>
    <x v="1"/>
    <x v="6"/>
    <s v="Binney &amp; Smith inkTank Desk Highlighter, Chisel Tip, Yellow, 12/Box"/>
    <x v="4308"/>
    <n v="2"/>
    <n v="0.2"/>
    <n v="0.55900000000000005"/>
  </r>
  <r>
    <n v="6455"/>
    <x v="689"/>
    <x v="3"/>
    <x v="6"/>
    <d v="2014-08-04T00:00:00"/>
    <n v="3"/>
    <x v="2"/>
    <s v="Erin Creighton"/>
    <x v="0"/>
    <m/>
    <s v="San Francisco"/>
    <s v="California"/>
    <s v="West"/>
    <x v="1"/>
    <x v="4"/>
    <s v="Eldon Portable Mobile Manager"/>
    <x v="400"/>
    <n v="2"/>
    <n v="0"/>
    <n v="15.2712"/>
  </r>
  <r>
    <n v="6456"/>
    <x v="689"/>
    <x v="3"/>
    <x v="6"/>
    <d v="2014-08-04T00:00:00"/>
    <n v="3"/>
    <x v="2"/>
    <s v="Erin Creighton"/>
    <x v="0"/>
    <m/>
    <s v="San Francisco"/>
    <s v="California"/>
    <s v="West"/>
    <x v="0"/>
    <x v="5"/>
    <s v="Master Big Foot Doorstop, Beige"/>
    <x v="3228"/>
    <n v="7"/>
    <n v="0"/>
    <n v="11.457599999999999"/>
  </r>
  <r>
    <n v="6457"/>
    <x v="79"/>
    <x v="2"/>
    <x v="6"/>
    <d v="2011-08-11T00:00:00"/>
    <n v="6"/>
    <x v="1"/>
    <s v="Stephanie Phelps"/>
    <x v="1"/>
    <m/>
    <s v="New York City"/>
    <s v="New York"/>
    <s v="East"/>
    <x v="2"/>
    <x v="7"/>
    <s v="Plantronics CS 50-USB - headset - Convertible, Monaural"/>
    <x v="4309"/>
    <n v="1"/>
    <n v="0"/>
    <n v="36.717300000000002"/>
  </r>
  <r>
    <n v="6458"/>
    <x v="79"/>
    <x v="2"/>
    <x v="6"/>
    <d v="2011-08-11T00:00:00"/>
    <n v="6"/>
    <x v="1"/>
    <s v="Stephanie Phelps"/>
    <x v="1"/>
    <m/>
    <s v="New York City"/>
    <s v="New York"/>
    <s v="East"/>
    <x v="1"/>
    <x v="6"/>
    <s v="Binney &amp; Smith inkTank Erasable Pocket Highlighter, Chisel Tip, Yellow"/>
    <x v="3761"/>
    <n v="7"/>
    <n v="0"/>
    <n v="7.0224000000000002"/>
  </r>
  <r>
    <n v="6459"/>
    <x v="304"/>
    <x v="3"/>
    <x v="5"/>
    <d v="2014-05-18T00:00:00"/>
    <n v="3"/>
    <x v="2"/>
    <s v="Anthony Jacobs"/>
    <x v="1"/>
    <m/>
    <s v="Baltimore"/>
    <s v="Maryland"/>
    <s v="East"/>
    <x v="1"/>
    <x v="6"/>
    <s v="OIC #2 Pencils, Medium Soft"/>
    <x v="1053"/>
    <n v="2"/>
    <n v="0"/>
    <n v="1.0904"/>
  </r>
  <r>
    <n v="6460"/>
    <x v="304"/>
    <x v="3"/>
    <x v="5"/>
    <d v="2014-05-18T00:00:00"/>
    <n v="3"/>
    <x v="2"/>
    <s v="Anthony Jacobs"/>
    <x v="1"/>
    <m/>
    <s v="Baltimore"/>
    <s v="Maryland"/>
    <s v="East"/>
    <x v="1"/>
    <x v="6"/>
    <s v="Prang Colored Pencils"/>
    <x v="453"/>
    <n v="5"/>
    <n v="0"/>
    <n v="6.6150000000000002"/>
  </r>
  <r>
    <n v="6461"/>
    <x v="304"/>
    <x v="3"/>
    <x v="5"/>
    <d v="2014-05-18T00:00:00"/>
    <n v="3"/>
    <x v="2"/>
    <s v="Anthony Jacobs"/>
    <x v="1"/>
    <m/>
    <s v="Baltimore"/>
    <s v="Maryland"/>
    <s v="East"/>
    <x v="1"/>
    <x v="6"/>
    <s v="Eberhard Faber 3 1/2&quot; Golf Pencils"/>
    <x v="4310"/>
    <n v="5"/>
    <n v="0"/>
    <n v="9.3000000000000007"/>
  </r>
  <r>
    <n v="6462"/>
    <x v="304"/>
    <x v="3"/>
    <x v="5"/>
    <d v="2014-05-18T00:00:00"/>
    <n v="3"/>
    <x v="2"/>
    <s v="Anthony Jacobs"/>
    <x v="1"/>
    <m/>
    <s v="Baltimore"/>
    <s v="Maryland"/>
    <s v="East"/>
    <x v="2"/>
    <x v="11"/>
    <s v="Belkin F8E887 USB Wired Ergonomic Keyboard"/>
    <x v="1309"/>
    <n v="3"/>
    <n v="0"/>
    <n v="18.893699999999999"/>
  </r>
  <r>
    <n v="6463"/>
    <x v="304"/>
    <x v="3"/>
    <x v="5"/>
    <d v="2014-05-18T00:00:00"/>
    <n v="3"/>
    <x v="2"/>
    <s v="Anthony Jacobs"/>
    <x v="1"/>
    <m/>
    <s v="Baltimore"/>
    <s v="Maryland"/>
    <s v="East"/>
    <x v="0"/>
    <x v="1"/>
    <s v="Office Star - Contemporary Task Swivel chair with Loop Arms, Charcoal"/>
    <x v="0"/>
    <n v="2"/>
    <n v="0"/>
    <n v="23.5764"/>
  </r>
  <r>
    <n v="6464"/>
    <x v="304"/>
    <x v="3"/>
    <x v="5"/>
    <d v="2014-05-18T00:00:00"/>
    <n v="3"/>
    <x v="2"/>
    <s v="Anthony Jacobs"/>
    <x v="1"/>
    <m/>
    <s v="Baltimore"/>
    <s v="Maryland"/>
    <s v="East"/>
    <x v="1"/>
    <x v="2"/>
    <s v="Avery 505"/>
    <x v="2986"/>
    <n v="5"/>
    <n v="0"/>
    <n v="37"/>
  </r>
  <r>
    <n v="6465"/>
    <x v="897"/>
    <x v="0"/>
    <x v="8"/>
    <d v="2013-09-29T00:00:00"/>
    <n v="6"/>
    <x v="1"/>
    <s v="Ann Steele"/>
    <x v="2"/>
    <m/>
    <s v="Louisville"/>
    <s v="Kentucky"/>
    <s v="South"/>
    <x v="0"/>
    <x v="5"/>
    <s v="G.E. Longer-Life Indoor Recessed Floodlight Bulbs"/>
    <x v="2484"/>
    <n v="2"/>
    <n v="0"/>
    <n v="6.3743999999999996"/>
  </r>
  <r>
    <n v="6466"/>
    <x v="50"/>
    <x v="1"/>
    <x v="0"/>
    <d v="2012-11-17T00:00:00"/>
    <n v="4"/>
    <x v="1"/>
    <s v="Allen Armold"/>
    <x v="0"/>
    <m/>
    <s v="Lebanon"/>
    <s v="Tennessee"/>
    <s v="South"/>
    <x v="1"/>
    <x v="4"/>
    <s v="Portfile Personal File Boxes"/>
    <x v="4311"/>
    <n v="6"/>
    <n v="0.2"/>
    <n v="6.3719999999999999"/>
  </r>
  <r>
    <n v="6467"/>
    <x v="1053"/>
    <x v="3"/>
    <x v="5"/>
    <d v="2014-05-26T00:00:00"/>
    <n v="3"/>
    <x v="0"/>
    <s v="Eric Hoffmann"/>
    <x v="0"/>
    <m/>
    <s v="Los Angeles"/>
    <s v="California"/>
    <s v="West"/>
    <x v="2"/>
    <x v="11"/>
    <s v="Maxell 74 Minute CDR, 10/Pack"/>
    <x v="3658"/>
    <n v="7"/>
    <n v="0"/>
    <n v="25.330200000000001"/>
  </r>
  <r>
    <n v="6468"/>
    <x v="499"/>
    <x v="0"/>
    <x v="4"/>
    <d v="2013-12-09T00:00:00"/>
    <n v="6"/>
    <x v="1"/>
    <s v="Deborah Brumfield"/>
    <x v="2"/>
    <m/>
    <s v="Providence"/>
    <s v="Rhode Island"/>
    <s v="East"/>
    <x v="1"/>
    <x v="4"/>
    <s v="Deluxe Rollaway Locking File with Drawer"/>
    <x v="4312"/>
    <n v="5"/>
    <n v="0"/>
    <n v="582.23199999999997"/>
  </r>
  <r>
    <n v="6469"/>
    <x v="499"/>
    <x v="0"/>
    <x v="4"/>
    <d v="2013-12-09T00:00:00"/>
    <n v="6"/>
    <x v="1"/>
    <s v="Deborah Brumfield"/>
    <x v="2"/>
    <m/>
    <s v="Providence"/>
    <s v="Rhode Island"/>
    <s v="East"/>
    <x v="2"/>
    <x v="7"/>
    <s v="VTech DS6151"/>
    <x v="3125"/>
    <n v="5"/>
    <n v="0"/>
    <n v="176.386"/>
  </r>
  <r>
    <n v="6470"/>
    <x v="499"/>
    <x v="0"/>
    <x v="4"/>
    <d v="2013-12-09T00:00:00"/>
    <n v="6"/>
    <x v="1"/>
    <s v="Deborah Brumfield"/>
    <x v="2"/>
    <m/>
    <s v="Providence"/>
    <s v="Rhode Island"/>
    <s v="East"/>
    <x v="0"/>
    <x v="5"/>
    <s v="Eldon 500 Class Desk Accessories"/>
    <x v="4313"/>
    <n v="6"/>
    <n v="0"/>
    <n v="23.898599999999998"/>
  </r>
  <r>
    <n v="6471"/>
    <x v="1111"/>
    <x v="1"/>
    <x v="6"/>
    <d v="2012-09-02T00:00:00"/>
    <n v="4"/>
    <x v="1"/>
    <s v="Chad Cunningham"/>
    <x v="2"/>
    <m/>
    <s v="Detroit"/>
    <s v="Michigan"/>
    <s v="Central"/>
    <x v="2"/>
    <x v="7"/>
    <s v="Samsung Rugby III"/>
    <x v="203"/>
    <n v="2"/>
    <n v="0"/>
    <n v="35.634599999999999"/>
  </r>
  <r>
    <n v="6472"/>
    <x v="1111"/>
    <x v="1"/>
    <x v="6"/>
    <d v="2012-09-02T00:00:00"/>
    <n v="4"/>
    <x v="1"/>
    <s v="Chad Cunningham"/>
    <x v="2"/>
    <m/>
    <s v="Detroit"/>
    <s v="Michigan"/>
    <s v="Central"/>
    <x v="2"/>
    <x v="11"/>
    <s v="Logitech Desktop MK120 Mouse and keyboard Combo"/>
    <x v="4314"/>
    <n v="7"/>
    <n v="0"/>
    <n v="11.452"/>
  </r>
  <r>
    <n v="6473"/>
    <x v="571"/>
    <x v="2"/>
    <x v="1"/>
    <d v="2011-06-10T00:00:00"/>
    <n v="4"/>
    <x v="1"/>
    <s v="Valerie Takahito"/>
    <x v="2"/>
    <m/>
    <s v="Houston"/>
    <s v="Texas"/>
    <s v="Central"/>
    <x v="1"/>
    <x v="2"/>
    <s v="Round Specialty Laser Printer Labels"/>
    <x v="316"/>
    <n v="10"/>
    <n v="0.2"/>
    <n v="33.831000000000003"/>
  </r>
  <r>
    <n v="6474"/>
    <x v="196"/>
    <x v="0"/>
    <x v="10"/>
    <d v="2013-03-21T00:00:00"/>
    <n v="2"/>
    <x v="0"/>
    <s v="Dave Brooks"/>
    <x v="0"/>
    <m/>
    <s v="Columbia"/>
    <s v="Tennessee"/>
    <s v="South"/>
    <x v="1"/>
    <x v="9"/>
    <s v="Hoover WindTunnel Plus Canister Vacuum"/>
    <x v="4315"/>
    <n v="3"/>
    <n v="0.2"/>
    <n v="87.18"/>
  </r>
  <r>
    <n v="6475"/>
    <x v="1112"/>
    <x v="2"/>
    <x v="9"/>
    <d v="2011-01-16T00:00:00"/>
    <n v="1"/>
    <x v="2"/>
    <s v="Brendan Sweed"/>
    <x v="1"/>
    <m/>
    <s v="Philadelphia"/>
    <s v="Pennsylvania"/>
    <s v="East"/>
    <x v="0"/>
    <x v="0"/>
    <s v="Sauder Cornerstone Collection Library"/>
    <x v="1156"/>
    <n v="4"/>
    <n v="0.5"/>
    <n v="-53.285600000000002"/>
  </r>
  <r>
    <n v="6476"/>
    <x v="95"/>
    <x v="3"/>
    <x v="1"/>
    <d v="2014-06-11T00:00:00"/>
    <n v="7"/>
    <x v="1"/>
    <s v="Nick Radford"/>
    <x v="0"/>
    <m/>
    <s v="Pembroke Pines"/>
    <s v="Florida"/>
    <s v="South"/>
    <x v="1"/>
    <x v="8"/>
    <s v="Wilson Jones Standard D-Ring Binders"/>
    <x v="4316"/>
    <n v="3"/>
    <n v="0.7"/>
    <n v="-3.4914000000000001"/>
  </r>
  <r>
    <n v="6477"/>
    <x v="95"/>
    <x v="3"/>
    <x v="1"/>
    <d v="2014-06-11T00:00:00"/>
    <n v="7"/>
    <x v="1"/>
    <s v="Nick Radford"/>
    <x v="0"/>
    <m/>
    <s v="Pembroke Pines"/>
    <s v="Florida"/>
    <s v="South"/>
    <x v="1"/>
    <x v="9"/>
    <s v="Bravo II Megaboss 12-Amp Hard Body Upright, Replacement Belts, 2 Belts per Pack"/>
    <x v="4317"/>
    <n v="2"/>
    <n v="0.2"/>
    <n v="0.58499999999999996"/>
  </r>
  <r>
    <n v="6478"/>
    <x v="95"/>
    <x v="3"/>
    <x v="1"/>
    <d v="2014-06-11T00:00:00"/>
    <n v="7"/>
    <x v="1"/>
    <s v="Nick Radford"/>
    <x v="0"/>
    <m/>
    <s v="Pembroke Pines"/>
    <s v="Florida"/>
    <s v="South"/>
    <x v="2"/>
    <x v="11"/>
    <s v="Logitech P710e Mobile Speakerphone"/>
    <x v="4318"/>
    <n v="1"/>
    <n v="0.2"/>
    <n v="-2.5749"/>
  </r>
  <r>
    <n v="6479"/>
    <x v="95"/>
    <x v="3"/>
    <x v="1"/>
    <d v="2014-06-11T00:00:00"/>
    <n v="7"/>
    <x v="1"/>
    <s v="Nick Radford"/>
    <x v="0"/>
    <m/>
    <s v="Pembroke Pines"/>
    <s v="Florida"/>
    <s v="South"/>
    <x v="1"/>
    <x v="10"/>
    <s v="Xerox 206"/>
    <x v="12"/>
    <n v="3"/>
    <n v="0.2"/>
    <n v="5.4432"/>
  </r>
  <r>
    <n v="6480"/>
    <x v="95"/>
    <x v="3"/>
    <x v="1"/>
    <d v="2014-06-11T00:00:00"/>
    <n v="7"/>
    <x v="1"/>
    <s v="Nick Radford"/>
    <x v="0"/>
    <m/>
    <s v="Pembroke Pines"/>
    <s v="Florida"/>
    <s v="South"/>
    <x v="2"/>
    <x v="7"/>
    <s v="VTech DS6151"/>
    <x v="178"/>
    <n v="5"/>
    <n v="0.2"/>
    <n v="50.396000000000001"/>
  </r>
  <r>
    <n v="6481"/>
    <x v="95"/>
    <x v="3"/>
    <x v="1"/>
    <d v="2014-06-11T00:00:00"/>
    <n v="7"/>
    <x v="1"/>
    <s v="Nick Radford"/>
    <x v="0"/>
    <m/>
    <s v="Pembroke Pines"/>
    <s v="Florida"/>
    <s v="South"/>
    <x v="1"/>
    <x v="9"/>
    <s v="Eureka Sanitaire  Multi-Pro Heavy-Duty Upright, Disposable Bags"/>
    <x v="4319"/>
    <n v="7"/>
    <n v="0.2"/>
    <n v="1.8353999999999999"/>
  </r>
  <r>
    <n v="6482"/>
    <x v="95"/>
    <x v="3"/>
    <x v="1"/>
    <d v="2014-06-11T00:00:00"/>
    <n v="7"/>
    <x v="1"/>
    <s v="Nick Radford"/>
    <x v="0"/>
    <m/>
    <s v="Pembroke Pines"/>
    <s v="Florida"/>
    <s v="South"/>
    <x v="0"/>
    <x v="0"/>
    <s v="Bush Mission Pointe Library"/>
    <x v="472"/>
    <n v="2"/>
    <n v="0.2"/>
    <n v="0"/>
  </r>
  <r>
    <n v="6483"/>
    <x v="95"/>
    <x v="3"/>
    <x v="1"/>
    <d v="2014-06-11T00:00:00"/>
    <n v="7"/>
    <x v="1"/>
    <s v="Nick Radford"/>
    <x v="0"/>
    <m/>
    <s v="Pembroke Pines"/>
    <s v="Florida"/>
    <s v="South"/>
    <x v="2"/>
    <x v="11"/>
    <s v="WD My Passport Ultra 1TB Portable External Hard Drive"/>
    <x v="4320"/>
    <n v="2"/>
    <n v="0.2"/>
    <n v="-4.1399999999999997"/>
  </r>
  <r>
    <n v="6484"/>
    <x v="95"/>
    <x v="3"/>
    <x v="1"/>
    <d v="2014-06-10T00:00:00"/>
    <n v="6"/>
    <x v="1"/>
    <s v="Katherine Nockton"/>
    <x v="1"/>
    <m/>
    <s v="New York City"/>
    <s v="New York"/>
    <s v="East"/>
    <x v="0"/>
    <x v="3"/>
    <s v="Chromcraft 48&quot; x 96&quot; Racetrack Double Pedestal Table"/>
    <x v="4321"/>
    <n v="2"/>
    <n v="0.4"/>
    <n v="-115.43040000000001"/>
  </r>
  <r>
    <n v="6485"/>
    <x v="95"/>
    <x v="3"/>
    <x v="1"/>
    <d v="2014-06-10T00:00:00"/>
    <n v="6"/>
    <x v="1"/>
    <s v="Katherine Nockton"/>
    <x v="1"/>
    <m/>
    <s v="New York City"/>
    <s v="New York"/>
    <s v="East"/>
    <x v="2"/>
    <x v="15"/>
    <s v="Hewlett-Packard 300S Scientific Calculator"/>
    <x v="4322"/>
    <n v="6"/>
    <n v="0"/>
    <n v="36.183599999999998"/>
  </r>
  <r>
    <n v="6486"/>
    <x v="95"/>
    <x v="3"/>
    <x v="1"/>
    <d v="2014-06-10T00:00:00"/>
    <n v="6"/>
    <x v="1"/>
    <s v="Katherine Nockton"/>
    <x v="1"/>
    <m/>
    <s v="New York City"/>
    <s v="New York"/>
    <s v="East"/>
    <x v="1"/>
    <x v="10"/>
    <s v="Xerox 188"/>
    <x v="1544"/>
    <n v="4"/>
    <n v="0"/>
    <n v="22.226400000000002"/>
  </r>
  <r>
    <n v="6487"/>
    <x v="1113"/>
    <x v="1"/>
    <x v="10"/>
    <d v="2012-03-26T00:00:00"/>
    <n v="5"/>
    <x v="1"/>
    <s v="Julia West"/>
    <x v="0"/>
    <m/>
    <s v="Jacksonville"/>
    <s v="North Carolina"/>
    <s v="South"/>
    <x v="1"/>
    <x v="9"/>
    <s v="Honeywell Enviracaire Portable HEPA Air Cleaner for 17' x 22' Room"/>
    <x v="4323"/>
    <n v="4"/>
    <n v="0.2"/>
    <n v="156.33799999999999"/>
  </r>
  <r>
    <n v="6488"/>
    <x v="1113"/>
    <x v="1"/>
    <x v="10"/>
    <d v="2012-03-26T00:00:00"/>
    <n v="5"/>
    <x v="1"/>
    <s v="Julia West"/>
    <x v="0"/>
    <m/>
    <s v="Jacksonville"/>
    <s v="North Carolina"/>
    <s v="South"/>
    <x v="1"/>
    <x v="8"/>
    <s v="GBC Laser Imprintable Binding System Covers, Desert Sand"/>
    <x v="4324"/>
    <n v="3"/>
    <n v="0.7"/>
    <n v="-9.8462999999999994"/>
  </r>
  <r>
    <n v="6489"/>
    <x v="1113"/>
    <x v="1"/>
    <x v="10"/>
    <d v="2012-03-26T00:00:00"/>
    <n v="5"/>
    <x v="1"/>
    <s v="Julia West"/>
    <x v="0"/>
    <m/>
    <s v="Jacksonville"/>
    <s v="North Carolina"/>
    <s v="South"/>
    <x v="1"/>
    <x v="10"/>
    <s v="Xerox 1883"/>
    <x v="4325"/>
    <n v="14"/>
    <n v="0.2"/>
    <n v="96.023200000000003"/>
  </r>
  <r>
    <n v="6490"/>
    <x v="20"/>
    <x v="3"/>
    <x v="8"/>
    <d v="2014-09-25T00:00:00"/>
    <n v="5"/>
    <x v="1"/>
    <s v="Jessica Myrick"/>
    <x v="0"/>
    <m/>
    <s v="New York City"/>
    <s v="New York"/>
    <s v="East"/>
    <x v="1"/>
    <x v="10"/>
    <s v="Xerox 228"/>
    <x v="56"/>
    <n v="5"/>
    <n v="0"/>
    <n v="15.552"/>
  </r>
  <r>
    <n v="6491"/>
    <x v="1114"/>
    <x v="2"/>
    <x v="8"/>
    <d v="2011-09-19T00:00:00"/>
    <n v="4"/>
    <x v="1"/>
    <s v="Monica Federle"/>
    <x v="1"/>
    <m/>
    <s v="Philadelphia"/>
    <s v="Pennsylvania"/>
    <s v="East"/>
    <x v="0"/>
    <x v="5"/>
    <s v="Seth Thomas 16&quot; Steel Case Clock"/>
    <x v="4326"/>
    <n v="4"/>
    <n v="0.2"/>
    <n v="16.889600000000002"/>
  </r>
  <r>
    <n v="6492"/>
    <x v="73"/>
    <x v="0"/>
    <x v="0"/>
    <d v="2013-11-26T00:00:00"/>
    <n v="5"/>
    <x v="1"/>
    <s v="Frank Atkinson"/>
    <x v="1"/>
    <m/>
    <s v="Orlando"/>
    <s v="Florida"/>
    <s v="South"/>
    <x v="0"/>
    <x v="0"/>
    <s v="O'Sullivan 2-Door Barrister Bookcase in Odessa Pine"/>
    <x v="4327"/>
    <n v="2"/>
    <n v="0.2"/>
    <n v="10.8588"/>
  </r>
  <r>
    <n v="6493"/>
    <x v="73"/>
    <x v="0"/>
    <x v="0"/>
    <d v="2013-11-26T00:00:00"/>
    <n v="5"/>
    <x v="1"/>
    <s v="Frank Atkinson"/>
    <x v="1"/>
    <m/>
    <s v="Orlando"/>
    <s v="Florida"/>
    <s v="South"/>
    <x v="1"/>
    <x v="4"/>
    <s v="Akro-Mils 12-Gallon Tote"/>
    <x v="4328"/>
    <n v="5"/>
    <n v="0.2"/>
    <n v="4.4684999999999997"/>
  </r>
  <r>
    <n v="6494"/>
    <x v="73"/>
    <x v="0"/>
    <x v="0"/>
    <d v="2013-11-26T00:00:00"/>
    <n v="5"/>
    <x v="1"/>
    <s v="Frank Atkinson"/>
    <x v="1"/>
    <m/>
    <s v="Orlando"/>
    <s v="Florida"/>
    <s v="South"/>
    <x v="2"/>
    <x v="7"/>
    <s v="Grandstream GXP2100 Mainstream Business Phone"/>
    <x v="4329"/>
    <n v="4"/>
    <n v="0.2"/>
    <n v="24.476800000000001"/>
  </r>
  <r>
    <n v="6495"/>
    <x v="960"/>
    <x v="3"/>
    <x v="2"/>
    <d v="2014-11-02T00:00:00"/>
    <n v="4"/>
    <x v="0"/>
    <s v="Keith Herrera"/>
    <x v="0"/>
    <m/>
    <s v="Houston"/>
    <s v="Texas"/>
    <s v="Central"/>
    <x v="2"/>
    <x v="11"/>
    <s v="Imation 8gb Micro Traveldrive Usb 2.0 Flash Drive"/>
    <x v="728"/>
    <n v="2"/>
    <n v="0.2"/>
    <n v="-2.7"/>
  </r>
  <r>
    <n v="6496"/>
    <x v="960"/>
    <x v="3"/>
    <x v="2"/>
    <d v="2014-11-02T00:00:00"/>
    <n v="4"/>
    <x v="0"/>
    <s v="Keith Herrera"/>
    <x v="0"/>
    <m/>
    <s v="Houston"/>
    <s v="Texas"/>
    <s v="Central"/>
    <x v="1"/>
    <x v="10"/>
    <s v="Xerox 21"/>
    <x v="12"/>
    <n v="3"/>
    <n v="0.2"/>
    <n v="5.4432"/>
  </r>
  <r>
    <n v="6497"/>
    <x v="960"/>
    <x v="3"/>
    <x v="2"/>
    <d v="2014-11-02T00:00:00"/>
    <n v="4"/>
    <x v="0"/>
    <s v="Keith Herrera"/>
    <x v="0"/>
    <m/>
    <s v="Houston"/>
    <s v="Texas"/>
    <s v="Central"/>
    <x v="2"/>
    <x v="11"/>
    <s v="Logitech Desktop MK120 Mouse and keyboard Combo"/>
    <x v="2627"/>
    <n v="2"/>
    <n v="0.2"/>
    <n v="-3.2719999999999998"/>
  </r>
  <r>
    <n v="6498"/>
    <x v="1115"/>
    <x v="1"/>
    <x v="7"/>
    <d v="2012-07-28T00:00:00"/>
    <n v="4"/>
    <x v="1"/>
    <s v="Shirley Schmidt"/>
    <x v="2"/>
    <m/>
    <s v="Louisville"/>
    <s v="Kentucky"/>
    <s v="South"/>
    <x v="0"/>
    <x v="5"/>
    <s v="Eldon Expressions Wood and Plastic Desk Accessories, Cherry Wood"/>
    <x v="167"/>
    <n v="3"/>
    <n v="0"/>
    <n v="6.0726000000000004"/>
  </r>
  <r>
    <n v="6499"/>
    <x v="1115"/>
    <x v="1"/>
    <x v="7"/>
    <d v="2012-07-28T00:00:00"/>
    <n v="4"/>
    <x v="1"/>
    <s v="Shirley Schmidt"/>
    <x v="2"/>
    <m/>
    <s v="Louisville"/>
    <s v="Kentucky"/>
    <s v="South"/>
    <x v="1"/>
    <x v="8"/>
    <s v="GBC Prepunched Paper, 19-Hole, for Binding Systems, 24-lb"/>
    <x v="4330"/>
    <n v="9"/>
    <n v="0"/>
    <n v="62.141399999999997"/>
  </r>
  <r>
    <n v="6500"/>
    <x v="1115"/>
    <x v="1"/>
    <x v="7"/>
    <d v="2012-07-28T00:00:00"/>
    <n v="4"/>
    <x v="1"/>
    <s v="Shirley Schmidt"/>
    <x v="2"/>
    <m/>
    <s v="Louisville"/>
    <s v="Kentucky"/>
    <s v="South"/>
    <x v="2"/>
    <x v="11"/>
    <s v="Anker Ultra-Slim Mini Bluetooth 3.0 Wireless Keyboard"/>
    <x v="4331"/>
    <n v="14"/>
    <n v="0"/>
    <n v="64.367800000000003"/>
  </r>
  <r>
    <n v="6501"/>
    <x v="1115"/>
    <x v="1"/>
    <x v="7"/>
    <d v="2012-07-28T00:00:00"/>
    <n v="4"/>
    <x v="1"/>
    <s v="Shirley Schmidt"/>
    <x v="2"/>
    <m/>
    <s v="Louisville"/>
    <s v="Kentucky"/>
    <s v="South"/>
    <x v="1"/>
    <x v="8"/>
    <s v="GBC Prepunched Paper, 19-Hole, for Binding Systems, 24-lb"/>
    <x v="4332"/>
    <n v="6"/>
    <n v="0"/>
    <n v="41.427599999999998"/>
  </r>
  <r>
    <n v="6502"/>
    <x v="981"/>
    <x v="2"/>
    <x v="0"/>
    <d v="2011-11-06T00:00:00"/>
    <n v="4"/>
    <x v="1"/>
    <s v="Liz Carlisle"/>
    <x v="0"/>
    <m/>
    <s v="Medina"/>
    <s v="Ohio"/>
    <s v="East"/>
    <x v="2"/>
    <x v="7"/>
    <s v="Polycom CX300 Desktop Phone USB VoIP phone"/>
    <x v="2590"/>
    <n v="6"/>
    <n v="0.4"/>
    <n v="-107.9928"/>
  </r>
  <r>
    <n v="6503"/>
    <x v="981"/>
    <x v="2"/>
    <x v="0"/>
    <d v="2011-11-06T00:00:00"/>
    <n v="4"/>
    <x v="1"/>
    <s v="Liz Carlisle"/>
    <x v="0"/>
    <m/>
    <s v="Medina"/>
    <s v="Ohio"/>
    <s v="East"/>
    <x v="2"/>
    <x v="7"/>
    <s v="I Need's 3d Hello Kitty Hybrid Silicone Case Cover for HTC One X 4g with 3d Hello Kitty Stylus Pen Green/pink"/>
    <x v="4333"/>
    <n v="7"/>
    <n v="0.4"/>
    <n v="-10.0464"/>
  </r>
  <r>
    <n v="6504"/>
    <x v="981"/>
    <x v="2"/>
    <x v="0"/>
    <d v="2011-11-06T00:00:00"/>
    <n v="4"/>
    <x v="1"/>
    <s v="Liz Carlisle"/>
    <x v="0"/>
    <m/>
    <s v="Medina"/>
    <s v="Ohio"/>
    <s v="East"/>
    <x v="1"/>
    <x v="8"/>
    <s v="Acco D-Ring Binder w/DublLock"/>
    <x v="4334"/>
    <n v="3"/>
    <n v="0.7"/>
    <n v="-13.4694"/>
  </r>
  <r>
    <n v="6505"/>
    <x v="701"/>
    <x v="3"/>
    <x v="0"/>
    <d v="2014-11-23T00:00:00"/>
    <n v="5"/>
    <x v="0"/>
    <s v="Victoria Wilson"/>
    <x v="1"/>
    <m/>
    <s v="New York City"/>
    <s v="New York"/>
    <s v="East"/>
    <x v="1"/>
    <x v="4"/>
    <s v="Deluxe Rollaway Locking File with Drawer"/>
    <x v="1421"/>
    <n v="3"/>
    <n v="0"/>
    <n v="349.33920000000001"/>
  </r>
  <r>
    <n v="6506"/>
    <x v="190"/>
    <x v="0"/>
    <x v="1"/>
    <d v="2013-07-01T00:00:00"/>
    <n v="4"/>
    <x v="1"/>
    <s v="Lela Donovan"/>
    <x v="1"/>
    <m/>
    <s v="Chicago"/>
    <s v="Illinois"/>
    <s v="Central"/>
    <x v="1"/>
    <x v="6"/>
    <s v="Newell 311"/>
    <x v="4335"/>
    <n v="3"/>
    <n v="0.2"/>
    <n v="0.46410000000000001"/>
  </r>
  <r>
    <n v="6507"/>
    <x v="790"/>
    <x v="0"/>
    <x v="2"/>
    <d v="2013-10-12T00:00:00"/>
    <n v="2"/>
    <x v="0"/>
    <s v="Sibella Parks"/>
    <x v="1"/>
    <m/>
    <s v="Philadelphia"/>
    <s v="Pennsylvania"/>
    <s v="East"/>
    <x v="1"/>
    <x v="10"/>
    <s v="Xerox 1947"/>
    <x v="4336"/>
    <n v="4"/>
    <n v="0.2"/>
    <n v="5.98"/>
  </r>
  <r>
    <n v="6508"/>
    <x v="790"/>
    <x v="0"/>
    <x v="2"/>
    <d v="2013-10-12T00:00:00"/>
    <n v="2"/>
    <x v="0"/>
    <s v="Sibella Parks"/>
    <x v="1"/>
    <m/>
    <s v="Philadelphia"/>
    <s v="Pennsylvania"/>
    <s v="East"/>
    <x v="0"/>
    <x v="5"/>
    <s v="Luxo Professional Magnifying Clamp-On Fluorescent Lamps"/>
    <x v="4337"/>
    <n v="4"/>
    <n v="0.2"/>
    <n v="-24.962399999999999"/>
  </r>
  <r>
    <n v="6509"/>
    <x v="698"/>
    <x v="3"/>
    <x v="4"/>
    <d v="2014-12-27T00:00:00"/>
    <n v="6"/>
    <x v="1"/>
    <s v="David Kendrick"/>
    <x v="1"/>
    <m/>
    <s v="New York City"/>
    <s v="New York"/>
    <s v="East"/>
    <x v="1"/>
    <x v="10"/>
    <s v="Xerox 1908"/>
    <x v="999"/>
    <n v="5"/>
    <n v="0"/>
    <n v="137.15100000000001"/>
  </r>
  <r>
    <n v="6510"/>
    <x v="698"/>
    <x v="3"/>
    <x v="4"/>
    <d v="2014-12-27T00:00:00"/>
    <n v="6"/>
    <x v="1"/>
    <s v="David Kendrick"/>
    <x v="1"/>
    <m/>
    <s v="New York City"/>
    <s v="New York"/>
    <s v="East"/>
    <x v="1"/>
    <x v="8"/>
    <s v="GBC Premium Transparent Covers with Diagonal Lined Pattern"/>
    <x v="4338"/>
    <n v="3"/>
    <n v="0.2"/>
    <n v="17.623200000000001"/>
  </r>
  <r>
    <n v="6511"/>
    <x v="698"/>
    <x v="3"/>
    <x v="4"/>
    <d v="2014-12-27T00:00:00"/>
    <n v="6"/>
    <x v="1"/>
    <s v="David Kendrick"/>
    <x v="1"/>
    <m/>
    <s v="New York City"/>
    <s v="New York"/>
    <s v="East"/>
    <x v="1"/>
    <x v="10"/>
    <s v="Xerox 188"/>
    <x v="880"/>
    <n v="3"/>
    <n v="0"/>
    <n v="16.669799999999999"/>
  </r>
  <r>
    <n v="6512"/>
    <x v="904"/>
    <x v="3"/>
    <x v="10"/>
    <d v="2014-03-11T00:00:00"/>
    <n v="4"/>
    <x v="1"/>
    <s v="Frank Carlisle"/>
    <x v="2"/>
    <m/>
    <s v="San Francisco"/>
    <s v="California"/>
    <s v="West"/>
    <x v="1"/>
    <x v="6"/>
    <s v="Fluorescent Highlighters by Dixon"/>
    <x v="1680"/>
    <n v="6"/>
    <n v="0"/>
    <n v="8.1191999999999993"/>
  </r>
  <r>
    <n v="6513"/>
    <x v="904"/>
    <x v="3"/>
    <x v="10"/>
    <d v="2014-03-11T00:00:00"/>
    <n v="4"/>
    <x v="1"/>
    <s v="Frank Carlisle"/>
    <x v="2"/>
    <m/>
    <s v="San Francisco"/>
    <s v="California"/>
    <s v="West"/>
    <x v="1"/>
    <x v="2"/>
    <s v="Avery 49"/>
    <x v="132"/>
    <n v="4"/>
    <n v="0"/>
    <n v="5.6448"/>
  </r>
  <r>
    <n v="6514"/>
    <x v="904"/>
    <x v="3"/>
    <x v="10"/>
    <d v="2014-03-11T00:00:00"/>
    <n v="4"/>
    <x v="1"/>
    <s v="Frank Carlisle"/>
    <x v="2"/>
    <m/>
    <s v="San Francisco"/>
    <s v="California"/>
    <s v="West"/>
    <x v="1"/>
    <x v="10"/>
    <s v="Xerox 1893"/>
    <x v="2313"/>
    <n v="7"/>
    <n v="0"/>
    <n v="140.59569999999999"/>
  </r>
  <r>
    <n v="6515"/>
    <x v="904"/>
    <x v="3"/>
    <x v="10"/>
    <d v="2014-03-11T00:00:00"/>
    <n v="4"/>
    <x v="1"/>
    <s v="Frank Carlisle"/>
    <x v="2"/>
    <m/>
    <s v="San Francisco"/>
    <s v="California"/>
    <s v="West"/>
    <x v="2"/>
    <x v="7"/>
    <s v="Digium D40 VoIP phone"/>
    <x v="4339"/>
    <n v="2"/>
    <n v="0.2"/>
    <n v="23.2182"/>
  </r>
  <r>
    <n v="6516"/>
    <x v="175"/>
    <x v="3"/>
    <x v="8"/>
    <d v="2014-09-20T00:00:00"/>
    <n v="4"/>
    <x v="1"/>
    <s v="Rick Duston"/>
    <x v="0"/>
    <m/>
    <s v="San Francisco"/>
    <s v="California"/>
    <s v="West"/>
    <x v="0"/>
    <x v="1"/>
    <s v="Leather Task Chair, Black"/>
    <x v="286"/>
    <n v="3"/>
    <n v="0.2"/>
    <n v="0"/>
  </r>
  <r>
    <n v="6517"/>
    <x v="175"/>
    <x v="3"/>
    <x v="8"/>
    <d v="2014-09-20T00:00:00"/>
    <n v="4"/>
    <x v="1"/>
    <s v="Rick Duston"/>
    <x v="0"/>
    <m/>
    <s v="San Francisco"/>
    <s v="California"/>
    <s v="West"/>
    <x v="0"/>
    <x v="5"/>
    <s v="Tenex 46&quot; x 60&quot; Computer Anti-Static Chairmat, Rectangular Shaped"/>
    <x v="4340"/>
    <n v="5"/>
    <n v="0"/>
    <n v="105.98"/>
  </r>
  <r>
    <n v="6518"/>
    <x v="175"/>
    <x v="3"/>
    <x v="8"/>
    <d v="2014-09-20T00:00:00"/>
    <n v="4"/>
    <x v="1"/>
    <s v="Rick Duston"/>
    <x v="0"/>
    <m/>
    <s v="San Francisco"/>
    <s v="California"/>
    <s v="West"/>
    <x v="1"/>
    <x v="6"/>
    <s v="Peel-Off China Markers"/>
    <x v="4341"/>
    <n v="10"/>
    <n v="0"/>
    <n v="41.706000000000003"/>
  </r>
  <r>
    <n v="6519"/>
    <x v="175"/>
    <x v="3"/>
    <x v="8"/>
    <d v="2014-09-20T00:00:00"/>
    <n v="4"/>
    <x v="1"/>
    <s v="Rick Duston"/>
    <x v="0"/>
    <m/>
    <s v="San Francisco"/>
    <s v="California"/>
    <s v="West"/>
    <x v="1"/>
    <x v="9"/>
    <s v="Belkin 5 Outlet SurgeMaster Power Centers"/>
    <x v="4342"/>
    <n v="2"/>
    <n v="0"/>
    <n v="30.508800000000001"/>
  </r>
  <r>
    <n v="6520"/>
    <x v="175"/>
    <x v="3"/>
    <x v="8"/>
    <d v="2014-09-20T00:00:00"/>
    <n v="4"/>
    <x v="1"/>
    <s v="Rick Duston"/>
    <x v="0"/>
    <m/>
    <s v="San Francisco"/>
    <s v="California"/>
    <s v="West"/>
    <x v="1"/>
    <x v="8"/>
    <s v="Cardinal Poly Pocket Divider Pockets for Ring Binders"/>
    <x v="638"/>
    <n v="1"/>
    <n v="0.2"/>
    <n v="0.84"/>
  </r>
  <r>
    <n v="6521"/>
    <x v="1034"/>
    <x v="3"/>
    <x v="9"/>
    <d v="2014-01-19T00:00:00"/>
    <n v="2"/>
    <x v="0"/>
    <s v="Andy Reiter"/>
    <x v="0"/>
    <m/>
    <s v="Jackson"/>
    <s v="Michigan"/>
    <s v="Central"/>
    <x v="1"/>
    <x v="8"/>
    <s v="GBC DocuBind P400 Electric Binding System"/>
    <x v="4343"/>
    <n v="4"/>
    <n v="0"/>
    <n v="2504.2215999999999"/>
  </r>
  <r>
    <n v="6522"/>
    <x v="1034"/>
    <x v="3"/>
    <x v="9"/>
    <d v="2014-01-19T00:00:00"/>
    <n v="2"/>
    <x v="0"/>
    <s v="Andy Reiter"/>
    <x v="0"/>
    <m/>
    <s v="Jackson"/>
    <s v="Michigan"/>
    <s v="Central"/>
    <x v="0"/>
    <x v="1"/>
    <s v="Office Star Flex Back Scooter Chair with Aluminum Finish Frame"/>
    <x v="3607"/>
    <n v="3"/>
    <n v="0"/>
    <n v="72.640799999999999"/>
  </r>
  <r>
    <n v="6523"/>
    <x v="1034"/>
    <x v="3"/>
    <x v="9"/>
    <d v="2014-01-19T00:00:00"/>
    <n v="2"/>
    <x v="0"/>
    <s v="Andy Reiter"/>
    <x v="0"/>
    <m/>
    <s v="Jackson"/>
    <s v="Michigan"/>
    <s v="Central"/>
    <x v="1"/>
    <x v="10"/>
    <s v="TOPS Money Receipt Book, Consecutively Numbered in Red,"/>
    <x v="4344"/>
    <n v="7"/>
    <n v="0"/>
    <n v="25.2315"/>
  </r>
  <r>
    <n v="6524"/>
    <x v="274"/>
    <x v="0"/>
    <x v="7"/>
    <d v="2013-07-14T00:00:00"/>
    <n v="6"/>
    <x v="1"/>
    <s v="Chad Cunningham"/>
    <x v="2"/>
    <m/>
    <s v="Philadelphia"/>
    <s v="Pennsylvania"/>
    <s v="East"/>
    <x v="1"/>
    <x v="2"/>
    <s v="Permanent Self-Adhesive File Folder Labels for Typewriters, 1 1/8 x 3 1/2, White"/>
    <x v="1942"/>
    <n v="2"/>
    <n v="0.2"/>
    <n v="3.2759999999999998"/>
  </r>
  <r>
    <n v="6525"/>
    <x v="274"/>
    <x v="0"/>
    <x v="7"/>
    <d v="2013-07-14T00:00:00"/>
    <n v="6"/>
    <x v="1"/>
    <s v="Chad Cunningham"/>
    <x v="2"/>
    <m/>
    <s v="Philadelphia"/>
    <s v="Pennsylvania"/>
    <s v="East"/>
    <x v="2"/>
    <x v="7"/>
    <s v="Panasonic KX T7731-B Digital phone"/>
    <x v="2837"/>
    <n v="1"/>
    <n v="0.4"/>
    <n v="-12.998699999999999"/>
  </r>
  <r>
    <n v="6526"/>
    <x v="274"/>
    <x v="0"/>
    <x v="7"/>
    <d v="2013-07-14T00:00:00"/>
    <n v="6"/>
    <x v="1"/>
    <s v="Chad Cunningham"/>
    <x v="2"/>
    <m/>
    <s v="Philadelphia"/>
    <s v="Pennsylvania"/>
    <s v="East"/>
    <x v="1"/>
    <x v="8"/>
    <s v="Acco Pressboard Covers with Storage Hooks, 14 7/8&quot; x 11&quot;, Executive Red"/>
    <x v="3416"/>
    <n v="5"/>
    <n v="0.7"/>
    <n v="-4.7625000000000002"/>
  </r>
  <r>
    <n v="6527"/>
    <x v="274"/>
    <x v="0"/>
    <x v="7"/>
    <d v="2013-07-14T00:00:00"/>
    <n v="6"/>
    <x v="1"/>
    <s v="Chad Cunningham"/>
    <x v="2"/>
    <m/>
    <s v="Philadelphia"/>
    <s v="Pennsylvania"/>
    <s v="East"/>
    <x v="1"/>
    <x v="8"/>
    <s v="GBC Standard Plastic Binding Systems' Combs"/>
    <x v="2276"/>
    <n v="5"/>
    <n v="0.7"/>
    <n v="-7.85"/>
  </r>
  <r>
    <n v="6528"/>
    <x v="443"/>
    <x v="0"/>
    <x v="4"/>
    <d v="2013-12-29T00:00:00"/>
    <n v="5"/>
    <x v="0"/>
    <s v="Carol Adams"/>
    <x v="1"/>
    <m/>
    <s v="Warwick"/>
    <s v="Rhode Island"/>
    <s v="East"/>
    <x v="2"/>
    <x v="16"/>
    <s v="Hewlett Packard 610 Color Digital Copier / Printer"/>
    <x v="3969"/>
    <n v="4"/>
    <n v="0"/>
    <n v="899.98199999999997"/>
  </r>
  <r>
    <n v="6529"/>
    <x v="1091"/>
    <x v="2"/>
    <x v="4"/>
    <d v="2011-12-26T00:00:00"/>
    <n v="4"/>
    <x v="1"/>
    <s v="Bradley Talbott"/>
    <x v="2"/>
    <m/>
    <s v="New York City"/>
    <s v="New York"/>
    <s v="East"/>
    <x v="1"/>
    <x v="4"/>
    <s v="Desktop 3-Pocket Hot File"/>
    <x v="4345"/>
    <n v="4"/>
    <n v="0"/>
    <n v="56.264000000000003"/>
  </r>
  <r>
    <n v="6530"/>
    <x v="1116"/>
    <x v="2"/>
    <x v="11"/>
    <d v="2011-02-28T00:00:00"/>
    <n v="4"/>
    <x v="1"/>
    <s v="Michael Grace"/>
    <x v="2"/>
    <m/>
    <s v="El Paso"/>
    <s v="Texas"/>
    <s v="Central"/>
    <x v="1"/>
    <x v="2"/>
    <s v="Staples"/>
    <x v="4346"/>
    <n v="3"/>
    <n v="0.2"/>
    <n v="2.3409"/>
  </r>
  <r>
    <n v="6531"/>
    <x v="1116"/>
    <x v="2"/>
    <x v="11"/>
    <d v="2011-02-28T00:00:00"/>
    <n v="4"/>
    <x v="1"/>
    <s v="Michael Grace"/>
    <x v="2"/>
    <m/>
    <s v="El Paso"/>
    <s v="Texas"/>
    <s v="Central"/>
    <x v="1"/>
    <x v="8"/>
    <s v="GBC Plastic Binding Combs"/>
    <x v="4347"/>
    <n v="3"/>
    <n v="0.8"/>
    <n v="-6.8634000000000004"/>
  </r>
  <r>
    <n v="6532"/>
    <x v="769"/>
    <x v="3"/>
    <x v="4"/>
    <d v="2014-12-09T00:00:00"/>
    <n v="4"/>
    <x v="1"/>
    <s v="Theone Pippenger"/>
    <x v="0"/>
    <m/>
    <s v="Rochester"/>
    <s v="Minnesota"/>
    <s v="Central"/>
    <x v="1"/>
    <x v="6"/>
    <s v="Newell 310"/>
    <x v="3355"/>
    <n v="5"/>
    <n v="0"/>
    <n v="2.552"/>
  </r>
  <r>
    <n v="6533"/>
    <x v="769"/>
    <x v="3"/>
    <x v="4"/>
    <d v="2014-12-09T00:00:00"/>
    <n v="4"/>
    <x v="1"/>
    <s v="Theone Pippenger"/>
    <x v="0"/>
    <m/>
    <s v="Rochester"/>
    <s v="Minnesota"/>
    <s v="Central"/>
    <x v="2"/>
    <x v="11"/>
    <s v="First Data TMFD35 PIN Pad"/>
    <x v="4348"/>
    <n v="1"/>
    <n v="0"/>
    <n v="29.988"/>
  </r>
  <r>
    <n v="6534"/>
    <x v="769"/>
    <x v="3"/>
    <x v="4"/>
    <d v="2014-12-09T00:00:00"/>
    <n v="4"/>
    <x v="1"/>
    <s v="Theone Pippenger"/>
    <x v="0"/>
    <m/>
    <s v="Rochester"/>
    <s v="Minnesota"/>
    <s v="Central"/>
    <x v="2"/>
    <x v="11"/>
    <s v="Logitech G430 Surround Sound Gaming Headset with Dolby 7.1 Technology"/>
    <x v="4349"/>
    <n v="5"/>
    <n v="0"/>
    <n v="143.982"/>
  </r>
  <r>
    <n v="6535"/>
    <x v="664"/>
    <x v="2"/>
    <x v="0"/>
    <d v="2011-11-22T00:00:00"/>
    <n v="5"/>
    <x v="1"/>
    <s v="Greg Tran"/>
    <x v="0"/>
    <m/>
    <s v="Buffalo"/>
    <s v="New York"/>
    <s v="East"/>
    <x v="1"/>
    <x v="8"/>
    <s v="GBC DocuBind TL300 Electric Binding System"/>
    <x v="4350"/>
    <n v="3"/>
    <n v="0.2"/>
    <n v="726.56190000000004"/>
  </r>
  <r>
    <n v="6536"/>
    <x v="664"/>
    <x v="2"/>
    <x v="0"/>
    <d v="2011-11-22T00:00:00"/>
    <n v="5"/>
    <x v="1"/>
    <s v="Greg Tran"/>
    <x v="0"/>
    <m/>
    <s v="Buffalo"/>
    <s v="New York"/>
    <s v="East"/>
    <x v="0"/>
    <x v="0"/>
    <s v="DMI Eclipse Executive Suite Bookcases"/>
    <x v="4351"/>
    <n v="10"/>
    <n v="0.2"/>
    <n v="-50.097999999999999"/>
  </r>
  <r>
    <n v="6537"/>
    <x v="22"/>
    <x v="2"/>
    <x v="2"/>
    <d v="2011-10-23T00:00:00"/>
    <n v="3"/>
    <x v="2"/>
    <s v="Fred Hopkins"/>
    <x v="1"/>
    <m/>
    <s v="Knoxville"/>
    <s v="Tennessee"/>
    <s v="South"/>
    <x v="0"/>
    <x v="3"/>
    <s v="Lesro Round Back Collection Coffee Table, End Table"/>
    <x v="4088"/>
    <n v="3"/>
    <n v="0.4"/>
    <n v="-147.8655"/>
  </r>
  <r>
    <n v="6538"/>
    <x v="22"/>
    <x v="2"/>
    <x v="2"/>
    <d v="2011-10-23T00:00:00"/>
    <n v="3"/>
    <x v="2"/>
    <s v="Fred Hopkins"/>
    <x v="1"/>
    <m/>
    <s v="Knoxville"/>
    <s v="Tennessee"/>
    <s v="South"/>
    <x v="1"/>
    <x v="4"/>
    <s v="Contico 72&quot;H Heavy-Duty Storage System"/>
    <x v="2031"/>
    <n v="3"/>
    <n v="0.2"/>
    <n v="-24.588000000000001"/>
  </r>
  <r>
    <n v="6539"/>
    <x v="969"/>
    <x v="1"/>
    <x v="2"/>
    <d v="2012-10-30T00:00:00"/>
    <n v="5"/>
    <x v="1"/>
    <s v="Heather Kirkland"/>
    <x v="1"/>
    <m/>
    <s v="Newark"/>
    <s v="Delaware"/>
    <s v="East"/>
    <x v="2"/>
    <x v="7"/>
    <s v="ClearOne Communications CHAT 70 OC Speaker Phone"/>
    <x v="4352"/>
    <n v="1"/>
    <n v="0"/>
    <n v="41.337400000000002"/>
  </r>
  <r>
    <n v="6540"/>
    <x v="969"/>
    <x v="1"/>
    <x v="2"/>
    <d v="2012-10-30T00:00:00"/>
    <n v="5"/>
    <x v="1"/>
    <s v="Heather Kirkland"/>
    <x v="1"/>
    <m/>
    <s v="Newark"/>
    <s v="Delaware"/>
    <s v="East"/>
    <x v="0"/>
    <x v="1"/>
    <s v="Iceberg Nesting Folding Chair, 19w x 6d x 43h"/>
    <x v="4353"/>
    <n v="5"/>
    <n v="0"/>
    <n v="75.686000000000007"/>
  </r>
  <r>
    <n v="6541"/>
    <x v="673"/>
    <x v="3"/>
    <x v="0"/>
    <d v="2014-11-20T00:00:00"/>
    <n v="3"/>
    <x v="2"/>
    <s v="Chris Cortes"/>
    <x v="0"/>
    <m/>
    <s v="Seattle"/>
    <s v="Washington"/>
    <s v="West"/>
    <x v="1"/>
    <x v="10"/>
    <s v="Xerox 1933"/>
    <x v="4354"/>
    <n v="6"/>
    <n v="0"/>
    <n v="34.629600000000003"/>
  </r>
  <r>
    <n v="6542"/>
    <x v="673"/>
    <x v="3"/>
    <x v="0"/>
    <d v="2014-11-20T00:00:00"/>
    <n v="3"/>
    <x v="2"/>
    <s v="Chris Cortes"/>
    <x v="0"/>
    <m/>
    <s v="Seattle"/>
    <s v="Washington"/>
    <s v="West"/>
    <x v="0"/>
    <x v="5"/>
    <s v="Tenex &quot;The Solids&quot; Textured Chair Mats"/>
    <x v="1809"/>
    <n v="2"/>
    <n v="0"/>
    <n v="23.7864"/>
  </r>
  <r>
    <n v="6543"/>
    <x v="673"/>
    <x v="3"/>
    <x v="0"/>
    <d v="2014-11-20T00:00:00"/>
    <n v="3"/>
    <x v="2"/>
    <s v="Chris Cortes"/>
    <x v="0"/>
    <m/>
    <s v="Seattle"/>
    <s v="Washington"/>
    <s v="West"/>
    <x v="2"/>
    <x v="7"/>
    <s v="Plantronics Encore H101 Dual Earpieces Headset"/>
    <x v="4070"/>
    <n v="3"/>
    <n v="0.2"/>
    <n v="10.788"/>
  </r>
  <r>
    <n v="6544"/>
    <x v="673"/>
    <x v="3"/>
    <x v="0"/>
    <d v="2014-11-20T00:00:00"/>
    <n v="3"/>
    <x v="2"/>
    <s v="Chris Cortes"/>
    <x v="0"/>
    <m/>
    <s v="Seattle"/>
    <s v="Washington"/>
    <s v="West"/>
    <x v="1"/>
    <x v="4"/>
    <s v="Fellowes Bases and Tops For Staxonsteel/High-Stak Systems"/>
    <x v="3212"/>
    <n v="1"/>
    <n v="0"/>
    <n v="7.9896000000000003"/>
  </r>
  <r>
    <n v="6545"/>
    <x v="304"/>
    <x v="3"/>
    <x v="5"/>
    <d v="2014-05-19T00:00:00"/>
    <n v="4"/>
    <x v="1"/>
    <s v="Darren Powers"/>
    <x v="0"/>
    <m/>
    <s v="Cleveland"/>
    <s v="Ohio"/>
    <s v="East"/>
    <x v="1"/>
    <x v="8"/>
    <s v="Premium Transparent Presentation Covers, No Pattern/Clear, 8 1/2&quot; x 11&quot;"/>
    <x v="4355"/>
    <n v="5"/>
    <n v="0.7"/>
    <n v="-46.536000000000001"/>
  </r>
  <r>
    <n v="6546"/>
    <x v="304"/>
    <x v="3"/>
    <x v="5"/>
    <d v="2014-05-19T00:00:00"/>
    <n v="4"/>
    <x v="1"/>
    <s v="Darren Powers"/>
    <x v="0"/>
    <m/>
    <s v="Cleveland"/>
    <s v="Ohio"/>
    <s v="East"/>
    <x v="1"/>
    <x v="2"/>
    <s v="Avery 502"/>
    <x v="1310"/>
    <n v="2"/>
    <n v="0.2"/>
    <n v="1.764"/>
  </r>
  <r>
    <n v="6547"/>
    <x v="304"/>
    <x v="3"/>
    <x v="5"/>
    <d v="2014-05-19T00:00:00"/>
    <n v="4"/>
    <x v="1"/>
    <s v="Darren Powers"/>
    <x v="0"/>
    <m/>
    <s v="Cleveland"/>
    <s v="Ohio"/>
    <s v="East"/>
    <x v="1"/>
    <x v="10"/>
    <s v="Xerox 19"/>
    <x v="1609"/>
    <n v="1"/>
    <n v="0.2"/>
    <n v="7.7450000000000001"/>
  </r>
  <r>
    <n v="6548"/>
    <x v="72"/>
    <x v="2"/>
    <x v="10"/>
    <d v="2011-03-05T00:00:00"/>
    <n v="4"/>
    <x v="1"/>
    <s v="Vicky Freymann"/>
    <x v="2"/>
    <m/>
    <s v="Elmhurst"/>
    <s v="Illinois"/>
    <s v="Central"/>
    <x v="0"/>
    <x v="1"/>
    <s v="Novimex Swivel Fabric Task Chair"/>
    <x v="4356"/>
    <n v="6"/>
    <n v="0.3"/>
    <n v="-172.1172"/>
  </r>
  <r>
    <n v="6549"/>
    <x v="72"/>
    <x v="2"/>
    <x v="10"/>
    <d v="2011-03-05T00:00:00"/>
    <n v="4"/>
    <x v="1"/>
    <s v="Vicky Freymann"/>
    <x v="2"/>
    <m/>
    <s v="Elmhurst"/>
    <s v="Illinois"/>
    <s v="Central"/>
    <x v="1"/>
    <x v="10"/>
    <s v="Black Print Carbonless 8 1/2&quot; x 8 1/4&quot; Rapid Memo Book"/>
    <x v="1121"/>
    <n v="3"/>
    <n v="0.2"/>
    <n v="5.6783999999999999"/>
  </r>
  <r>
    <n v="6550"/>
    <x v="117"/>
    <x v="1"/>
    <x v="7"/>
    <d v="2012-08-01T00:00:00"/>
    <n v="2"/>
    <x v="2"/>
    <s v="Gary Hansen"/>
    <x v="2"/>
    <m/>
    <s v="Lakeville"/>
    <s v="Minnesota"/>
    <s v="Central"/>
    <x v="0"/>
    <x v="1"/>
    <s v="Global Stack Chair without Arms, Black"/>
    <x v="4357"/>
    <n v="6"/>
    <n v="0"/>
    <n v="38.97"/>
  </r>
  <r>
    <n v="6551"/>
    <x v="549"/>
    <x v="1"/>
    <x v="0"/>
    <d v="2012-11-03T00:00:00"/>
    <n v="2"/>
    <x v="0"/>
    <s v="Justin Hirsh"/>
    <x v="0"/>
    <m/>
    <s v="New York City"/>
    <s v="New York"/>
    <s v="East"/>
    <x v="0"/>
    <x v="1"/>
    <s v="Global Highback Leather Tilter in Burgundy"/>
    <x v="4358"/>
    <n v="4"/>
    <n v="0.1"/>
    <n v="21.837599999999998"/>
  </r>
  <r>
    <n v="6552"/>
    <x v="819"/>
    <x v="3"/>
    <x v="4"/>
    <d v="2014-12-22T00:00:00"/>
    <n v="5"/>
    <x v="0"/>
    <s v="Rick Bensley"/>
    <x v="2"/>
    <m/>
    <s v="Los Angeles"/>
    <s v="California"/>
    <s v="West"/>
    <x v="1"/>
    <x v="10"/>
    <s v="Xerox 1898"/>
    <x v="518"/>
    <n v="2"/>
    <n v="0"/>
    <n v="6.4127999999999998"/>
  </r>
  <r>
    <n v="6553"/>
    <x v="819"/>
    <x v="3"/>
    <x v="4"/>
    <d v="2014-12-22T00:00:00"/>
    <n v="5"/>
    <x v="0"/>
    <s v="Rick Bensley"/>
    <x v="2"/>
    <m/>
    <s v="Los Angeles"/>
    <s v="California"/>
    <s v="West"/>
    <x v="1"/>
    <x v="4"/>
    <s v="Safco Wire Cube Shelving System, For Use as 4 or 5 14&quot; Cubes, Black"/>
    <x v="1222"/>
    <n v="5"/>
    <n v="0"/>
    <n v="7.9450000000000003"/>
  </r>
  <r>
    <n v="6554"/>
    <x v="22"/>
    <x v="2"/>
    <x v="2"/>
    <d v="2011-10-22T00:00:00"/>
    <n v="2"/>
    <x v="0"/>
    <s v="Lindsay Shagiari"/>
    <x v="2"/>
    <m/>
    <s v="Chicago"/>
    <s v="Illinois"/>
    <s v="Central"/>
    <x v="2"/>
    <x v="11"/>
    <s v="Logitech Wireless Performance Mouse MX for PC and Mac"/>
    <x v="1864"/>
    <n v="4"/>
    <n v="0.2"/>
    <n v="71.992800000000003"/>
  </r>
  <r>
    <n v="6555"/>
    <x v="22"/>
    <x v="2"/>
    <x v="2"/>
    <d v="2011-10-22T00:00:00"/>
    <n v="2"/>
    <x v="0"/>
    <s v="Lindsay Shagiari"/>
    <x v="2"/>
    <m/>
    <s v="Chicago"/>
    <s v="Illinois"/>
    <s v="Central"/>
    <x v="1"/>
    <x v="4"/>
    <s v="24 Capacity Maxi Data Binder Racks, Pearl"/>
    <x v="4359"/>
    <n v="3"/>
    <n v="0.2"/>
    <n v="31.5825"/>
  </r>
  <r>
    <n v="6556"/>
    <x v="22"/>
    <x v="2"/>
    <x v="2"/>
    <d v="2011-10-22T00:00:00"/>
    <n v="2"/>
    <x v="0"/>
    <s v="Lindsay Shagiari"/>
    <x v="2"/>
    <m/>
    <s v="Chicago"/>
    <s v="Illinois"/>
    <s v="Central"/>
    <x v="1"/>
    <x v="10"/>
    <s v="Wirebound Voice Message Log Book"/>
    <x v="4360"/>
    <n v="1"/>
    <n v="0.2"/>
    <n v="1.2376"/>
  </r>
  <r>
    <n v="6557"/>
    <x v="22"/>
    <x v="2"/>
    <x v="2"/>
    <d v="2011-10-22T00:00:00"/>
    <n v="2"/>
    <x v="0"/>
    <s v="Lindsay Shagiari"/>
    <x v="2"/>
    <m/>
    <s v="Chicago"/>
    <s v="Illinois"/>
    <s v="Central"/>
    <x v="1"/>
    <x v="8"/>
    <s v="Satellite Sectional Post Binders"/>
    <x v="4361"/>
    <n v="1"/>
    <n v="0.8"/>
    <n v="-14.759399999999999"/>
  </r>
  <r>
    <n v="6558"/>
    <x v="22"/>
    <x v="2"/>
    <x v="2"/>
    <d v="2011-10-22T00:00:00"/>
    <n v="2"/>
    <x v="0"/>
    <s v="Lindsay Shagiari"/>
    <x v="2"/>
    <m/>
    <s v="Chicago"/>
    <s v="Illinois"/>
    <s v="Central"/>
    <x v="1"/>
    <x v="2"/>
    <s v="Avery 4027 File Folder Labels for Dot Matrix Printers, 5000 Labels per Box, White"/>
    <x v="4362"/>
    <n v="1"/>
    <n v="0.2"/>
    <n v="7.9378000000000002"/>
  </r>
  <r>
    <n v="6559"/>
    <x v="1117"/>
    <x v="1"/>
    <x v="1"/>
    <d v="2012-06-10T00:00:00"/>
    <n v="5"/>
    <x v="1"/>
    <s v="Edward Becker"/>
    <x v="1"/>
    <m/>
    <s v="Buffalo"/>
    <s v="New York"/>
    <s v="East"/>
    <x v="0"/>
    <x v="1"/>
    <s v="Hon Every-Day Series Multi-Task Chairs"/>
    <x v="4363"/>
    <n v="9"/>
    <n v="0.1"/>
    <n v="169.18199999999999"/>
  </r>
  <r>
    <n v="6560"/>
    <x v="658"/>
    <x v="0"/>
    <x v="7"/>
    <d v="2013-07-27T00:00:00"/>
    <n v="5"/>
    <x v="1"/>
    <s v="Damala Kotsonis"/>
    <x v="1"/>
    <m/>
    <s v="Roseville"/>
    <s v="California"/>
    <s v="West"/>
    <x v="1"/>
    <x v="12"/>
    <s v="Ames Color-File Green Diamond Border X-ray Mailers"/>
    <x v="4364"/>
    <n v="5"/>
    <n v="0"/>
    <n v="197.35300000000001"/>
  </r>
  <r>
    <n v="6561"/>
    <x v="658"/>
    <x v="0"/>
    <x v="7"/>
    <d v="2013-07-27T00:00:00"/>
    <n v="5"/>
    <x v="1"/>
    <s v="Damala Kotsonis"/>
    <x v="1"/>
    <m/>
    <s v="Roseville"/>
    <s v="California"/>
    <s v="West"/>
    <x v="1"/>
    <x v="2"/>
    <s v="Self-Adhesive Removable Labels"/>
    <x v="974"/>
    <n v="1"/>
    <n v="0"/>
    <n v="1.512"/>
  </r>
  <r>
    <n v="6562"/>
    <x v="185"/>
    <x v="3"/>
    <x v="3"/>
    <d v="2014-04-03T00:00:00"/>
    <n v="2"/>
    <x v="2"/>
    <s v="Scott Cohen"/>
    <x v="1"/>
    <m/>
    <s v="Arlington"/>
    <s v="Texas"/>
    <s v="Central"/>
    <x v="1"/>
    <x v="9"/>
    <s v="Fellowes 8 Outlet Superior Workstation Surge Protector w/o Phone/Fax/Modem Protection"/>
    <x v="4365"/>
    <n v="5"/>
    <n v="0.8"/>
    <n v="-90.774000000000001"/>
  </r>
  <r>
    <n v="6563"/>
    <x v="1118"/>
    <x v="2"/>
    <x v="5"/>
    <d v="2011-05-12T00:00:00"/>
    <n v="5"/>
    <x v="1"/>
    <s v="Carol Triggs"/>
    <x v="0"/>
    <m/>
    <s v="Lawrence"/>
    <s v="Massachusetts"/>
    <s v="East"/>
    <x v="1"/>
    <x v="8"/>
    <s v="Acco PRESSTEX Data Binder with Storage Hooks, Dark Blue, 14 7/8&quot; X 11&quot;"/>
    <x v="4366"/>
    <n v="3"/>
    <n v="0"/>
    <n v="7.9085999999999999"/>
  </r>
  <r>
    <n v="6564"/>
    <x v="1118"/>
    <x v="2"/>
    <x v="5"/>
    <d v="2011-05-12T00:00:00"/>
    <n v="5"/>
    <x v="1"/>
    <s v="Carol Triggs"/>
    <x v="0"/>
    <m/>
    <s v="Lawrence"/>
    <s v="Massachusetts"/>
    <s v="East"/>
    <x v="0"/>
    <x v="3"/>
    <s v="Balt Split Level Computer Training Table"/>
    <x v="4367"/>
    <n v="2"/>
    <n v="0.3"/>
    <n v="-38.85"/>
  </r>
  <r>
    <n v="6565"/>
    <x v="1118"/>
    <x v="2"/>
    <x v="5"/>
    <d v="2011-05-12T00:00:00"/>
    <n v="5"/>
    <x v="1"/>
    <s v="Carol Triggs"/>
    <x v="0"/>
    <m/>
    <s v="Lawrence"/>
    <s v="Massachusetts"/>
    <s v="East"/>
    <x v="1"/>
    <x v="6"/>
    <s v="Newell 335"/>
    <x v="874"/>
    <n v="3"/>
    <n v="0"/>
    <n v="2.5055999999999998"/>
  </r>
  <r>
    <n v="6566"/>
    <x v="1118"/>
    <x v="2"/>
    <x v="5"/>
    <d v="2011-05-12T00:00:00"/>
    <n v="5"/>
    <x v="1"/>
    <s v="Carol Triggs"/>
    <x v="0"/>
    <m/>
    <s v="Lawrence"/>
    <s v="Massachusetts"/>
    <s v="East"/>
    <x v="0"/>
    <x v="1"/>
    <s v="Lifetime Advantage Folding Chairs, 4/Carton"/>
    <x v="1711"/>
    <n v="4"/>
    <n v="0"/>
    <n v="244.24959999999999"/>
  </r>
  <r>
    <n v="6567"/>
    <x v="1119"/>
    <x v="3"/>
    <x v="11"/>
    <d v="2014-02-09T00:00:00"/>
    <n v="3"/>
    <x v="0"/>
    <s v="Cassandra Brandow"/>
    <x v="0"/>
    <m/>
    <s v="Waco"/>
    <s v="Texas"/>
    <s v="Central"/>
    <x v="1"/>
    <x v="8"/>
    <s v="Ibico Hi-Tech Manual Binding System"/>
    <x v="124"/>
    <n v="4"/>
    <n v="0.8"/>
    <n v="-426.98599999999999"/>
  </r>
  <r>
    <n v="6568"/>
    <x v="1119"/>
    <x v="3"/>
    <x v="11"/>
    <d v="2014-02-09T00:00:00"/>
    <n v="3"/>
    <x v="0"/>
    <s v="Cassandra Brandow"/>
    <x v="0"/>
    <m/>
    <s v="Waco"/>
    <s v="Texas"/>
    <s v="Central"/>
    <x v="1"/>
    <x v="6"/>
    <s v="Staples"/>
    <x v="4368"/>
    <n v="5"/>
    <n v="0.2"/>
    <n v="0.71199999999999997"/>
  </r>
  <r>
    <n v="6569"/>
    <x v="891"/>
    <x v="2"/>
    <x v="3"/>
    <d v="2011-04-22T00:00:00"/>
    <n v="4"/>
    <x v="1"/>
    <s v="Kunst Miller"/>
    <x v="0"/>
    <m/>
    <s v="Houston"/>
    <s v="Texas"/>
    <s v="Central"/>
    <x v="1"/>
    <x v="6"/>
    <s v="Prang Dustless Chalk Sticks"/>
    <x v="638"/>
    <n v="2"/>
    <n v="0.2"/>
    <n v="1.008"/>
  </r>
  <r>
    <n v="6570"/>
    <x v="891"/>
    <x v="2"/>
    <x v="3"/>
    <d v="2011-04-22T00:00:00"/>
    <n v="4"/>
    <x v="1"/>
    <s v="Kunst Miller"/>
    <x v="0"/>
    <m/>
    <s v="Houston"/>
    <s v="Texas"/>
    <s v="Central"/>
    <x v="0"/>
    <x v="1"/>
    <s v="DMI Arturo Collection Mission-style Design Wood Chair"/>
    <x v="2555"/>
    <n v="3"/>
    <n v="0.3"/>
    <n v="-18.117599999999999"/>
  </r>
  <r>
    <n v="6571"/>
    <x v="891"/>
    <x v="2"/>
    <x v="3"/>
    <d v="2011-04-22T00:00:00"/>
    <n v="4"/>
    <x v="1"/>
    <s v="Kunst Miller"/>
    <x v="0"/>
    <m/>
    <s v="Houston"/>
    <s v="Texas"/>
    <s v="Central"/>
    <x v="1"/>
    <x v="12"/>
    <s v="Cameo Buff Policy Envelopes"/>
    <x v="836"/>
    <n v="3"/>
    <n v="0.2"/>
    <n v="50.406300000000002"/>
  </r>
  <r>
    <n v="6572"/>
    <x v="891"/>
    <x v="2"/>
    <x v="3"/>
    <d v="2011-04-22T00:00:00"/>
    <n v="4"/>
    <x v="1"/>
    <s v="Kunst Miller"/>
    <x v="0"/>
    <m/>
    <s v="Houston"/>
    <s v="Texas"/>
    <s v="Central"/>
    <x v="2"/>
    <x v="11"/>
    <s v="Kensington Expert Mouse Optical USB Trackball for PC or Mac"/>
    <x v="2609"/>
    <n v="3"/>
    <n v="0.2"/>
    <n v="28.497"/>
  </r>
  <r>
    <n v="6573"/>
    <x v="1120"/>
    <x v="0"/>
    <x v="5"/>
    <d v="2013-05-17T00:00:00"/>
    <n v="6"/>
    <x v="1"/>
    <s v="Roger Demir"/>
    <x v="0"/>
    <m/>
    <s v="Seattle"/>
    <s v="Washington"/>
    <s v="West"/>
    <x v="1"/>
    <x v="10"/>
    <s v="Xerox 1965"/>
    <x v="489"/>
    <n v="2"/>
    <n v="0"/>
    <n v="5.8604000000000003"/>
  </r>
  <r>
    <n v="6574"/>
    <x v="881"/>
    <x v="0"/>
    <x v="0"/>
    <d v="2013-12-01T00:00:00"/>
    <n v="5"/>
    <x v="1"/>
    <s v="Barry Pond"/>
    <x v="1"/>
    <m/>
    <s v="Plainfield"/>
    <s v="New Jersey"/>
    <s v="East"/>
    <x v="1"/>
    <x v="4"/>
    <s v="Fellowes Strictly Business Drawer File, Letter/Legal Size"/>
    <x v="1601"/>
    <n v="4"/>
    <n v="0"/>
    <n v="67.608000000000004"/>
  </r>
  <r>
    <n v="6575"/>
    <x v="881"/>
    <x v="0"/>
    <x v="0"/>
    <d v="2013-12-01T00:00:00"/>
    <n v="5"/>
    <x v="1"/>
    <s v="Barry Pond"/>
    <x v="1"/>
    <m/>
    <s v="Plainfield"/>
    <s v="New Jersey"/>
    <s v="East"/>
    <x v="2"/>
    <x v="15"/>
    <s v="Konica Minolta magicolor 1690MF Multifunction Printer"/>
    <x v="4369"/>
    <n v="8"/>
    <n v="0"/>
    <n v="118.3704"/>
  </r>
  <r>
    <n v="6576"/>
    <x v="448"/>
    <x v="3"/>
    <x v="10"/>
    <d v="2014-03-09T00:00:00"/>
    <n v="5"/>
    <x v="1"/>
    <s v="Ed Jacobs"/>
    <x v="0"/>
    <m/>
    <s v="Los Angeles"/>
    <s v="California"/>
    <s v="West"/>
    <x v="2"/>
    <x v="11"/>
    <s v="Imation Bio 2GB USB Flash Drive Imation Corp"/>
    <x v="4370"/>
    <n v="8"/>
    <n v="0"/>
    <n v="440.76479999999998"/>
  </r>
  <r>
    <n v="6577"/>
    <x v="448"/>
    <x v="3"/>
    <x v="10"/>
    <d v="2014-03-09T00:00:00"/>
    <n v="5"/>
    <x v="1"/>
    <s v="Ed Jacobs"/>
    <x v="0"/>
    <m/>
    <s v="Los Angeles"/>
    <s v="California"/>
    <s v="West"/>
    <x v="0"/>
    <x v="1"/>
    <s v="Novimex Turbo Task Chair"/>
    <x v="2932"/>
    <n v="3"/>
    <n v="0.2"/>
    <n v="-17.0352"/>
  </r>
  <r>
    <n v="6578"/>
    <x v="401"/>
    <x v="1"/>
    <x v="4"/>
    <d v="2012-12-11T00:00:00"/>
    <n v="5"/>
    <x v="0"/>
    <s v="Rose O'Brian"/>
    <x v="0"/>
    <m/>
    <s v="Arlington"/>
    <s v="Virginia"/>
    <s v="South"/>
    <x v="2"/>
    <x v="7"/>
    <s v="AT&amp;T CL82213"/>
    <x v="2093"/>
    <n v="6"/>
    <n v="0"/>
    <n v="50.442599999999999"/>
  </r>
  <r>
    <n v="6579"/>
    <x v="55"/>
    <x v="2"/>
    <x v="6"/>
    <d v="2011-08-30T00:00:00"/>
    <n v="5"/>
    <x v="1"/>
    <s v="Mitch Webber"/>
    <x v="0"/>
    <m/>
    <s v="Seattle"/>
    <s v="Washington"/>
    <s v="West"/>
    <x v="2"/>
    <x v="7"/>
    <s v="Polycom VVX 310 VoIP phone"/>
    <x v="4371"/>
    <n v="7"/>
    <n v="0.2"/>
    <n v="75.595799999999997"/>
  </r>
  <r>
    <n v="6580"/>
    <x v="332"/>
    <x v="0"/>
    <x v="2"/>
    <d v="2013-10-23T00:00:00"/>
    <n v="0"/>
    <x v="3"/>
    <s v="MaryBeth Skach"/>
    <x v="0"/>
    <m/>
    <s v="Seattle"/>
    <s v="Washington"/>
    <s v="West"/>
    <x v="1"/>
    <x v="10"/>
    <s v="Xerox 1986"/>
    <x v="3763"/>
    <n v="1"/>
    <n v="0"/>
    <n v="3.2063999999999999"/>
  </r>
  <r>
    <n v="6581"/>
    <x v="332"/>
    <x v="0"/>
    <x v="2"/>
    <d v="2013-10-23T00:00:00"/>
    <n v="0"/>
    <x v="3"/>
    <s v="MaryBeth Skach"/>
    <x v="0"/>
    <m/>
    <s v="Seattle"/>
    <s v="Washington"/>
    <s v="West"/>
    <x v="1"/>
    <x v="6"/>
    <s v="Prang Drawing Pencil Set"/>
    <x v="480"/>
    <n v="3"/>
    <n v="0"/>
    <n v="2.2517999999999998"/>
  </r>
  <r>
    <n v="6582"/>
    <x v="332"/>
    <x v="0"/>
    <x v="2"/>
    <d v="2013-10-23T00:00:00"/>
    <n v="0"/>
    <x v="3"/>
    <s v="MaryBeth Skach"/>
    <x v="0"/>
    <m/>
    <s v="Seattle"/>
    <s v="Washington"/>
    <s v="West"/>
    <x v="0"/>
    <x v="5"/>
    <s v="Linden 12&quot; Wall Clock With Oak Frame"/>
    <x v="3033"/>
    <n v="3"/>
    <n v="0"/>
    <n v="30.582000000000001"/>
  </r>
  <r>
    <n v="6583"/>
    <x v="1121"/>
    <x v="0"/>
    <x v="6"/>
    <d v="2013-08-12T00:00:00"/>
    <n v="4"/>
    <x v="1"/>
    <s v="Dorothy Wardle"/>
    <x v="1"/>
    <m/>
    <s v="Edmonds"/>
    <s v="Washington"/>
    <s v="West"/>
    <x v="2"/>
    <x v="11"/>
    <s v="Logitech Illuminated - Keyboard"/>
    <x v="686"/>
    <n v="3"/>
    <n v="0"/>
    <n v="86.385599999999997"/>
  </r>
  <r>
    <n v="6584"/>
    <x v="246"/>
    <x v="3"/>
    <x v="7"/>
    <d v="2014-07-28T00:00:00"/>
    <n v="6"/>
    <x v="1"/>
    <s v="Anne McFarland"/>
    <x v="0"/>
    <m/>
    <s v="Salem"/>
    <s v="Virginia"/>
    <s v="South"/>
    <x v="1"/>
    <x v="6"/>
    <s v="Berol Giant Pencil Sharpener"/>
    <x v="3033"/>
    <n v="6"/>
    <n v="0"/>
    <n v="29.5626"/>
  </r>
  <r>
    <n v="6585"/>
    <x v="246"/>
    <x v="3"/>
    <x v="7"/>
    <d v="2014-07-28T00:00:00"/>
    <n v="6"/>
    <x v="1"/>
    <s v="Anne McFarland"/>
    <x v="0"/>
    <m/>
    <s v="Salem"/>
    <s v="Virginia"/>
    <s v="South"/>
    <x v="2"/>
    <x v="7"/>
    <s v="Nortel Networks T7316 E Nt8 B27"/>
    <x v="1071"/>
    <n v="4"/>
    <n v="0"/>
    <n v="67.989999999999995"/>
  </r>
  <r>
    <n v="6586"/>
    <x v="246"/>
    <x v="3"/>
    <x v="7"/>
    <d v="2014-07-28T00:00:00"/>
    <n v="6"/>
    <x v="1"/>
    <s v="Anne McFarland"/>
    <x v="0"/>
    <m/>
    <s v="Salem"/>
    <s v="Virginia"/>
    <s v="South"/>
    <x v="0"/>
    <x v="5"/>
    <s v="Regeneration Desk Collection"/>
    <x v="3355"/>
    <n v="5"/>
    <n v="0"/>
    <n v="3.8719999999999999"/>
  </r>
  <r>
    <n v="6587"/>
    <x v="246"/>
    <x v="3"/>
    <x v="7"/>
    <d v="2014-07-28T00:00:00"/>
    <n v="6"/>
    <x v="1"/>
    <s v="Anne McFarland"/>
    <x v="0"/>
    <m/>
    <s v="Salem"/>
    <s v="Virginia"/>
    <s v="South"/>
    <x v="1"/>
    <x v="6"/>
    <s v="Newell 35"/>
    <x v="1195"/>
    <n v="6"/>
    <n v="0"/>
    <n v="5.7072000000000003"/>
  </r>
  <r>
    <n v="6588"/>
    <x v="246"/>
    <x v="3"/>
    <x v="7"/>
    <d v="2014-07-28T00:00:00"/>
    <n v="6"/>
    <x v="1"/>
    <s v="Anne McFarland"/>
    <x v="0"/>
    <m/>
    <s v="Salem"/>
    <s v="Virginia"/>
    <s v="South"/>
    <x v="0"/>
    <x v="0"/>
    <s v="Bush Westfield Collection Bookcases, Fully Assembled"/>
    <x v="3271"/>
    <n v="3"/>
    <n v="0"/>
    <n v="69.676199999999994"/>
  </r>
  <r>
    <n v="6589"/>
    <x v="246"/>
    <x v="3"/>
    <x v="7"/>
    <d v="2014-07-28T00:00:00"/>
    <n v="6"/>
    <x v="1"/>
    <s v="Anne McFarland"/>
    <x v="0"/>
    <m/>
    <s v="Salem"/>
    <s v="Virginia"/>
    <s v="South"/>
    <x v="1"/>
    <x v="8"/>
    <s v="Cardinal Holdit Business Card Pockets"/>
    <x v="1801"/>
    <n v="3"/>
    <n v="0"/>
    <n v="7.1711999999999998"/>
  </r>
  <r>
    <n v="6590"/>
    <x v="246"/>
    <x v="3"/>
    <x v="7"/>
    <d v="2014-07-28T00:00:00"/>
    <n v="6"/>
    <x v="1"/>
    <s v="Anne McFarland"/>
    <x v="0"/>
    <m/>
    <s v="Salem"/>
    <s v="Virginia"/>
    <s v="South"/>
    <x v="1"/>
    <x v="14"/>
    <s v="Premier Electric Letter Opener"/>
    <x v="4372"/>
    <n v="2"/>
    <n v="0"/>
    <n v="11.586"/>
  </r>
  <r>
    <n v="6591"/>
    <x v="893"/>
    <x v="2"/>
    <x v="10"/>
    <d v="2011-03-26T00:00:00"/>
    <n v="3"/>
    <x v="2"/>
    <s v="Bruce Geld"/>
    <x v="0"/>
    <m/>
    <s v="Delray Beach"/>
    <s v="Florida"/>
    <s v="South"/>
    <x v="1"/>
    <x v="2"/>
    <s v="Avery 476"/>
    <x v="4373"/>
    <n v="3"/>
    <n v="0.2"/>
    <n v="3.2214"/>
  </r>
  <r>
    <n v="6592"/>
    <x v="28"/>
    <x v="1"/>
    <x v="3"/>
    <d v="2012-05-06T00:00:00"/>
    <n v="6"/>
    <x v="1"/>
    <s v="Ken Black"/>
    <x v="1"/>
    <m/>
    <s v="San Francisco"/>
    <s v="California"/>
    <s v="West"/>
    <x v="1"/>
    <x v="6"/>
    <s v="Newell 324"/>
    <x v="1610"/>
    <n v="3"/>
    <n v="0"/>
    <n v="9.702"/>
  </r>
  <r>
    <n v="6593"/>
    <x v="28"/>
    <x v="1"/>
    <x v="3"/>
    <d v="2012-05-06T00:00:00"/>
    <n v="6"/>
    <x v="1"/>
    <s v="Ken Black"/>
    <x v="1"/>
    <m/>
    <s v="San Francisco"/>
    <s v="California"/>
    <s v="West"/>
    <x v="2"/>
    <x v="7"/>
    <s v="Cush Cases Heavy Duty Rugged Cover Case for Samsung Galaxy S5 - Purple"/>
    <x v="4374"/>
    <n v="5"/>
    <n v="0.2"/>
    <n v="1.7324999999999999"/>
  </r>
  <r>
    <n v="6594"/>
    <x v="900"/>
    <x v="0"/>
    <x v="1"/>
    <d v="2013-06-17T00:00:00"/>
    <n v="3"/>
    <x v="0"/>
    <s v="Greg Tran"/>
    <x v="0"/>
    <m/>
    <s v="New York City"/>
    <s v="New York"/>
    <s v="East"/>
    <x v="1"/>
    <x v="8"/>
    <s v="Premium Transparent Presentation Covers by GBC"/>
    <x v="2939"/>
    <n v="2"/>
    <n v="0.2"/>
    <n v="11.748799999999999"/>
  </r>
  <r>
    <n v="6595"/>
    <x v="124"/>
    <x v="1"/>
    <x v="5"/>
    <d v="2012-05-11T00:00:00"/>
    <n v="7"/>
    <x v="1"/>
    <s v="Stuart Van"/>
    <x v="1"/>
    <m/>
    <s v="Indianapolis"/>
    <s v="Indiana"/>
    <s v="Central"/>
    <x v="1"/>
    <x v="6"/>
    <s v="Model L Table or Wall-Mount Pencil Sharpener"/>
    <x v="4375"/>
    <n v="7"/>
    <n v="0"/>
    <n v="35.260399999999997"/>
  </r>
  <r>
    <n v="6596"/>
    <x v="756"/>
    <x v="3"/>
    <x v="3"/>
    <d v="2014-04-27T00:00:00"/>
    <n v="3"/>
    <x v="2"/>
    <s v="Greg Guthrie"/>
    <x v="1"/>
    <m/>
    <s v="Columbus"/>
    <s v="Ohio"/>
    <s v="East"/>
    <x v="1"/>
    <x v="8"/>
    <s v="XtraLife ClearVue Slant-D Ring Binders by Cardinal"/>
    <x v="2660"/>
    <n v="5"/>
    <n v="0.7"/>
    <n v="-7.84"/>
  </r>
  <r>
    <n v="6597"/>
    <x v="756"/>
    <x v="3"/>
    <x v="3"/>
    <d v="2014-04-27T00:00:00"/>
    <n v="3"/>
    <x v="2"/>
    <s v="Greg Guthrie"/>
    <x v="1"/>
    <m/>
    <s v="Columbus"/>
    <s v="Ohio"/>
    <s v="East"/>
    <x v="1"/>
    <x v="10"/>
    <s v="Xerox 195"/>
    <x v="752"/>
    <n v="1"/>
    <n v="0.2"/>
    <n v="1.8704000000000001"/>
  </r>
  <r>
    <n v="6598"/>
    <x v="571"/>
    <x v="2"/>
    <x v="1"/>
    <d v="2011-06-12T00:00:00"/>
    <n v="6"/>
    <x v="1"/>
    <s v="Stewart Visinsky"/>
    <x v="0"/>
    <m/>
    <s v="Jacksonville"/>
    <s v="Florida"/>
    <s v="South"/>
    <x v="1"/>
    <x v="8"/>
    <s v="Presstex Flexible Ring Binders"/>
    <x v="4376"/>
    <n v="1"/>
    <n v="0.7"/>
    <n v="-0.91"/>
  </r>
  <r>
    <n v="6599"/>
    <x v="571"/>
    <x v="2"/>
    <x v="1"/>
    <d v="2011-06-12T00:00:00"/>
    <n v="6"/>
    <x v="1"/>
    <s v="Stewart Visinsky"/>
    <x v="0"/>
    <m/>
    <s v="Jacksonville"/>
    <s v="Florida"/>
    <s v="South"/>
    <x v="1"/>
    <x v="10"/>
    <s v="Xerox 1944"/>
    <x v="4377"/>
    <n v="2"/>
    <n v="0.2"/>
    <n v="22.480799999999999"/>
  </r>
  <r>
    <n v="6600"/>
    <x v="266"/>
    <x v="2"/>
    <x v="4"/>
    <d v="2011-12-07T00:00:00"/>
    <n v="5"/>
    <x v="1"/>
    <s v="Odella Nelson"/>
    <x v="1"/>
    <m/>
    <s v="Clinton"/>
    <s v="Maryland"/>
    <s v="East"/>
    <x v="0"/>
    <x v="5"/>
    <s v="DAX Metal Frame, Desktop, Stepped-Edge"/>
    <x v="3224"/>
    <n v="3"/>
    <n v="0"/>
    <n v="23.680800000000001"/>
  </r>
  <r>
    <n v="6601"/>
    <x v="266"/>
    <x v="2"/>
    <x v="4"/>
    <d v="2011-12-07T00:00:00"/>
    <n v="5"/>
    <x v="1"/>
    <s v="Odella Nelson"/>
    <x v="1"/>
    <m/>
    <s v="Clinton"/>
    <s v="Maryland"/>
    <s v="East"/>
    <x v="1"/>
    <x v="10"/>
    <s v="Xerox 1942"/>
    <x v="674"/>
    <n v="3"/>
    <n v="0"/>
    <n v="73.41"/>
  </r>
  <r>
    <n v="6602"/>
    <x v="266"/>
    <x v="2"/>
    <x v="4"/>
    <d v="2011-12-07T00:00:00"/>
    <n v="5"/>
    <x v="1"/>
    <s v="Odella Nelson"/>
    <x v="1"/>
    <m/>
    <s v="Clinton"/>
    <s v="Maryland"/>
    <s v="East"/>
    <x v="0"/>
    <x v="1"/>
    <s v="Global Stack Chair with Arms, Black"/>
    <x v="4378"/>
    <n v="8"/>
    <n v="0"/>
    <n v="64.756799999999998"/>
  </r>
  <r>
    <n v="6603"/>
    <x v="266"/>
    <x v="2"/>
    <x v="4"/>
    <d v="2011-12-07T00:00:00"/>
    <n v="5"/>
    <x v="1"/>
    <s v="Odella Nelson"/>
    <x v="1"/>
    <m/>
    <s v="Clinton"/>
    <s v="Maryland"/>
    <s v="East"/>
    <x v="1"/>
    <x v="2"/>
    <s v="Avery 509"/>
    <x v="1189"/>
    <n v="6"/>
    <n v="0"/>
    <n v="7.2035999999999998"/>
  </r>
  <r>
    <n v="6604"/>
    <x v="46"/>
    <x v="3"/>
    <x v="1"/>
    <d v="2014-06-21T00:00:00"/>
    <n v="3"/>
    <x v="2"/>
    <s v="Ryan Akin"/>
    <x v="0"/>
    <m/>
    <s v="Commerce City"/>
    <s v="Colorado"/>
    <s v="West"/>
    <x v="1"/>
    <x v="4"/>
    <s v="Carina Media Storage Towers in Natural &amp; Black"/>
    <x v="1741"/>
    <n v="3"/>
    <n v="0.2"/>
    <n v="-32.929200000000002"/>
  </r>
  <r>
    <n v="6605"/>
    <x v="439"/>
    <x v="0"/>
    <x v="5"/>
    <d v="2013-06-01T00:00:00"/>
    <n v="5"/>
    <x v="1"/>
    <s v="Stewart Visinsky"/>
    <x v="0"/>
    <m/>
    <s v="Santa Ana"/>
    <s v="California"/>
    <s v="West"/>
    <x v="1"/>
    <x v="13"/>
    <s v="Alliance Big Bands Rubber Bands, 12/Pack"/>
    <x v="3949"/>
    <n v="3"/>
    <n v="0"/>
    <n v="0"/>
  </r>
  <r>
    <n v="6606"/>
    <x v="439"/>
    <x v="0"/>
    <x v="5"/>
    <d v="2013-06-01T00:00:00"/>
    <n v="5"/>
    <x v="1"/>
    <s v="Stewart Visinsky"/>
    <x v="0"/>
    <m/>
    <s v="Santa Ana"/>
    <s v="California"/>
    <s v="West"/>
    <x v="1"/>
    <x v="10"/>
    <s v="Xerox 1946"/>
    <x v="1544"/>
    <n v="7"/>
    <n v="0"/>
    <n v="21.7728"/>
  </r>
  <r>
    <n v="6607"/>
    <x v="439"/>
    <x v="0"/>
    <x v="5"/>
    <d v="2013-06-01T00:00:00"/>
    <n v="5"/>
    <x v="1"/>
    <s v="Stewart Visinsky"/>
    <x v="0"/>
    <m/>
    <s v="Santa Ana"/>
    <s v="California"/>
    <s v="West"/>
    <x v="2"/>
    <x v="7"/>
    <s v="Cisco SPA508G"/>
    <x v="1972"/>
    <n v="4"/>
    <n v="0.2"/>
    <n v="23.756399999999999"/>
  </r>
  <r>
    <n v="6608"/>
    <x v="439"/>
    <x v="0"/>
    <x v="5"/>
    <d v="2013-06-01T00:00:00"/>
    <n v="5"/>
    <x v="1"/>
    <s v="Stewart Visinsky"/>
    <x v="0"/>
    <m/>
    <s v="Santa Ana"/>
    <s v="California"/>
    <s v="West"/>
    <x v="0"/>
    <x v="1"/>
    <s v="Global Low Back Tilter Chair"/>
    <x v="4379"/>
    <n v="6"/>
    <n v="0.2"/>
    <n v="-84.8232"/>
  </r>
  <r>
    <n v="6609"/>
    <x v="439"/>
    <x v="0"/>
    <x v="5"/>
    <d v="2013-06-01T00:00:00"/>
    <n v="5"/>
    <x v="1"/>
    <s v="Stewart Visinsky"/>
    <x v="0"/>
    <m/>
    <s v="Santa Ana"/>
    <s v="California"/>
    <s v="West"/>
    <x v="2"/>
    <x v="15"/>
    <s v="Fellowes Powershred HS-440 4-Sheet High Security Shredder"/>
    <x v="4380"/>
    <n v="3"/>
    <n v="0.2"/>
    <n v="116.24250000000001"/>
  </r>
  <r>
    <n v="6610"/>
    <x v="366"/>
    <x v="1"/>
    <x v="10"/>
    <d v="2012-03-10T00:00:00"/>
    <n v="0"/>
    <x v="3"/>
    <s v="Ken Black"/>
    <x v="1"/>
    <m/>
    <s v="Clinton"/>
    <s v="Maryland"/>
    <s v="East"/>
    <x v="1"/>
    <x v="4"/>
    <s v="Pizazz Global Quick File"/>
    <x v="4381"/>
    <n v="6"/>
    <n v="0"/>
    <n v="25.1496"/>
  </r>
  <r>
    <n v="6611"/>
    <x v="201"/>
    <x v="0"/>
    <x v="2"/>
    <d v="2013-10-23T00:00:00"/>
    <n v="2"/>
    <x v="2"/>
    <s v="Andrew Gjertsen"/>
    <x v="1"/>
    <m/>
    <s v="Los Angeles"/>
    <s v="California"/>
    <s v="West"/>
    <x v="1"/>
    <x v="8"/>
    <s v="Fellowes Twister Kit, Gray/Clear, 3/pkg"/>
    <x v="1739"/>
    <n v="3"/>
    <n v="0.2"/>
    <n v="6.03"/>
  </r>
  <r>
    <n v="6612"/>
    <x v="1122"/>
    <x v="1"/>
    <x v="3"/>
    <d v="2012-04-28T00:00:00"/>
    <n v="7"/>
    <x v="1"/>
    <s v="Juliana Krohn"/>
    <x v="0"/>
    <m/>
    <s v="Louisville"/>
    <s v="Kentucky"/>
    <s v="South"/>
    <x v="0"/>
    <x v="1"/>
    <s v="Global Deluxe Office Fabric Chairs"/>
    <x v="2771"/>
    <n v="2"/>
    <n v="0"/>
    <n v="51.8292"/>
  </r>
  <r>
    <n v="6613"/>
    <x v="1122"/>
    <x v="1"/>
    <x v="3"/>
    <d v="2012-04-28T00:00:00"/>
    <n v="7"/>
    <x v="1"/>
    <s v="Juliana Krohn"/>
    <x v="0"/>
    <m/>
    <s v="Louisville"/>
    <s v="Kentucky"/>
    <s v="South"/>
    <x v="1"/>
    <x v="8"/>
    <s v="Wilson Jones Hanging View Binder, White, 1&quot;"/>
    <x v="3895"/>
    <n v="3"/>
    <n v="0"/>
    <n v="9.798"/>
  </r>
  <r>
    <n v="6614"/>
    <x v="1122"/>
    <x v="1"/>
    <x v="3"/>
    <d v="2012-04-28T00:00:00"/>
    <n v="7"/>
    <x v="1"/>
    <s v="Juliana Krohn"/>
    <x v="0"/>
    <m/>
    <s v="Louisville"/>
    <s v="Kentucky"/>
    <s v="South"/>
    <x v="2"/>
    <x v="7"/>
    <s v="Jabra SPEAK 410"/>
    <x v="4382"/>
    <n v="5"/>
    <n v="0"/>
    <n v="131.58600000000001"/>
  </r>
  <r>
    <n v="6615"/>
    <x v="1122"/>
    <x v="1"/>
    <x v="3"/>
    <d v="2012-04-28T00:00:00"/>
    <n v="7"/>
    <x v="1"/>
    <s v="Juliana Krohn"/>
    <x v="0"/>
    <m/>
    <s v="Louisville"/>
    <s v="Kentucky"/>
    <s v="South"/>
    <x v="0"/>
    <x v="5"/>
    <s v="Tenex &quot;The Solids&quot; Textured Chair Mats"/>
    <x v="660"/>
    <n v="3"/>
    <n v="0"/>
    <n v="35.679600000000001"/>
  </r>
  <r>
    <n v="6616"/>
    <x v="26"/>
    <x v="0"/>
    <x v="1"/>
    <d v="2013-06-20T00:00:00"/>
    <n v="2"/>
    <x v="2"/>
    <s v="Mike Vittorini"/>
    <x v="0"/>
    <m/>
    <s v="Los Angeles"/>
    <s v="California"/>
    <s v="West"/>
    <x v="0"/>
    <x v="0"/>
    <s v="Bush Heritage Pine Collection 5-Shelf Bookcase, Albany Pine Finish, *Special Order"/>
    <x v="4025"/>
    <n v="2"/>
    <n v="0.15"/>
    <n v="14.098000000000001"/>
  </r>
  <r>
    <n v="6617"/>
    <x v="26"/>
    <x v="0"/>
    <x v="1"/>
    <d v="2013-06-20T00:00:00"/>
    <n v="2"/>
    <x v="2"/>
    <s v="Mike Vittorini"/>
    <x v="0"/>
    <m/>
    <s v="Los Angeles"/>
    <s v="California"/>
    <s v="West"/>
    <x v="1"/>
    <x v="2"/>
    <s v="Avery 496"/>
    <x v="3795"/>
    <n v="6"/>
    <n v="0"/>
    <n v="10.8"/>
  </r>
  <r>
    <n v="6618"/>
    <x v="26"/>
    <x v="0"/>
    <x v="1"/>
    <d v="2013-06-20T00:00:00"/>
    <n v="2"/>
    <x v="2"/>
    <s v="Mike Vittorini"/>
    <x v="0"/>
    <m/>
    <s v="Los Angeles"/>
    <s v="California"/>
    <s v="West"/>
    <x v="1"/>
    <x v="10"/>
    <s v="Xerox 1914"/>
    <x v="1523"/>
    <n v="4"/>
    <n v="0"/>
    <n v="107.7216"/>
  </r>
  <r>
    <n v="6619"/>
    <x v="1123"/>
    <x v="3"/>
    <x v="9"/>
    <d v="2014-01-19T00:00:00"/>
    <n v="5"/>
    <x v="0"/>
    <s v="Cathy Prescott"/>
    <x v="1"/>
    <m/>
    <s v="Springfield"/>
    <s v="Missouri"/>
    <s v="Central"/>
    <x v="1"/>
    <x v="10"/>
    <s v="Xerox 23"/>
    <x v="56"/>
    <n v="5"/>
    <n v="0"/>
    <n v="15.552"/>
  </r>
  <r>
    <n v="6620"/>
    <x v="1123"/>
    <x v="3"/>
    <x v="9"/>
    <d v="2014-01-19T00:00:00"/>
    <n v="5"/>
    <x v="0"/>
    <s v="Cathy Prescott"/>
    <x v="1"/>
    <m/>
    <s v="Springfield"/>
    <s v="Missouri"/>
    <s v="Central"/>
    <x v="1"/>
    <x v="6"/>
    <s v="Hunt Boston Vacuum Mount KS Pencil Sharpener"/>
    <x v="4383"/>
    <n v="6"/>
    <n v="0"/>
    <n v="54.584400000000002"/>
  </r>
  <r>
    <n v="6621"/>
    <x v="1123"/>
    <x v="3"/>
    <x v="9"/>
    <d v="2014-01-19T00:00:00"/>
    <n v="5"/>
    <x v="0"/>
    <s v="Cathy Prescott"/>
    <x v="1"/>
    <m/>
    <s v="Springfield"/>
    <s v="Missouri"/>
    <s v="Central"/>
    <x v="1"/>
    <x v="14"/>
    <s v="Martin Yale Chadless Opener Electric Letter Opener"/>
    <x v="2576"/>
    <n v="5"/>
    <n v="0"/>
    <n v="83.281000000000006"/>
  </r>
  <r>
    <n v="6622"/>
    <x v="1123"/>
    <x v="3"/>
    <x v="9"/>
    <d v="2014-01-19T00:00:00"/>
    <n v="5"/>
    <x v="0"/>
    <s v="Cathy Prescott"/>
    <x v="1"/>
    <m/>
    <s v="Springfield"/>
    <s v="Missouri"/>
    <s v="Central"/>
    <x v="0"/>
    <x v="0"/>
    <s v="Hon Metal Bookcases, Black"/>
    <x v="3609"/>
    <n v="3"/>
    <n v="0"/>
    <n v="53.234999999999999"/>
  </r>
  <r>
    <n v="6623"/>
    <x v="1124"/>
    <x v="2"/>
    <x v="8"/>
    <d v="2011-09-09T00:00:00"/>
    <n v="3"/>
    <x v="2"/>
    <s v="Victoria Pisteka"/>
    <x v="1"/>
    <m/>
    <s v="San Francisco"/>
    <s v="California"/>
    <s v="West"/>
    <x v="0"/>
    <x v="5"/>
    <s v="Eldon Expressions Wood and Plastic Desk Accessories, Cherry Wood"/>
    <x v="3623"/>
    <n v="6"/>
    <n v="0"/>
    <n v="12.145200000000001"/>
  </r>
  <r>
    <n v="6624"/>
    <x v="1124"/>
    <x v="2"/>
    <x v="8"/>
    <d v="2011-09-09T00:00:00"/>
    <n v="3"/>
    <x v="2"/>
    <s v="Victoria Pisteka"/>
    <x v="1"/>
    <m/>
    <s v="San Francisco"/>
    <s v="California"/>
    <s v="West"/>
    <x v="1"/>
    <x v="2"/>
    <s v="Avery 516"/>
    <x v="2003"/>
    <n v="8"/>
    <n v="0"/>
    <n v="27.485600000000002"/>
  </r>
  <r>
    <n v="6625"/>
    <x v="1125"/>
    <x v="1"/>
    <x v="9"/>
    <d v="2012-01-23T00:00:00"/>
    <n v="4"/>
    <x v="1"/>
    <s v="Paul MacIntyre"/>
    <x v="0"/>
    <m/>
    <s v="Texas City"/>
    <s v="Texas"/>
    <s v="Central"/>
    <x v="0"/>
    <x v="3"/>
    <s v="Bevis Round Conference Table Top &amp; Single Column Base"/>
    <x v="4384"/>
    <n v="1"/>
    <n v="0.3"/>
    <n v="-13.1706"/>
  </r>
  <r>
    <n v="6626"/>
    <x v="1125"/>
    <x v="1"/>
    <x v="9"/>
    <d v="2012-01-23T00:00:00"/>
    <n v="4"/>
    <x v="1"/>
    <s v="Paul MacIntyre"/>
    <x v="0"/>
    <m/>
    <s v="Texas City"/>
    <s v="Texas"/>
    <s v="Central"/>
    <x v="0"/>
    <x v="1"/>
    <s v="Harbour Creations 67200 Series Stacking Chairs"/>
    <x v="4385"/>
    <n v="4"/>
    <n v="0.3"/>
    <n v="-8.5416000000000007"/>
  </r>
  <r>
    <n v="6627"/>
    <x v="637"/>
    <x v="2"/>
    <x v="4"/>
    <d v="2011-12-21T00:00:00"/>
    <n v="7"/>
    <x v="1"/>
    <s v="Tom Boeckenhauer"/>
    <x v="0"/>
    <m/>
    <s v="New York City"/>
    <s v="New York"/>
    <s v="East"/>
    <x v="2"/>
    <x v="15"/>
    <s v="HP Designjet T520 Inkjet Large Format Printer - 24&quot; Color"/>
    <x v="4386"/>
    <n v="4"/>
    <n v="0"/>
    <n v="2239.9872"/>
  </r>
  <r>
    <n v="6628"/>
    <x v="235"/>
    <x v="2"/>
    <x v="5"/>
    <d v="2011-05-27T00:00:00"/>
    <n v="4"/>
    <x v="1"/>
    <s v="Erica Hackney"/>
    <x v="0"/>
    <m/>
    <s v="Bellevue"/>
    <s v="Washington"/>
    <s v="West"/>
    <x v="1"/>
    <x v="10"/>
    <s v="Xerox 1999"/>
    <x v="91"/>
    <n v="2"/>
    <n v="0"/>
    <n v="6.2207999999999997"/>
  </r>
  <r>
    <n v="6629"/>
    <x v="444"/>
    <x v="1"/>
    <x v="8"/>
    <d v="2012-09-22T00:00:00"/>
    <n v="3"/>
    <x v="0"/>
    <s v="Giulietta Weimer"/>
    <x v="0"/>
    <m/>
    <s v="New York City"/>
    <s v="New York"/>
    <s v="East"/>
    <x v="2"/>
    <x v="7"/>
    <s v="PureGear Roll-On Screen Protector"/>
    <x v="4331"/>
    <n v="14"/>
    <n v="0"/>
    <n v="134.33279999999999"/>
  </r>
  <r>
    <n v="6630"/>
    <x v="653"/>
    <x v="1"/>
    <x v="2"/>
    <d v="2012-10-06T00:00:00"/>
    <n v="4"/>
    <x v="1"/>
    <s v="Nora Pelletier"/>
    <x v="2"/>
    <m/>
    <s v="Wilson"/>
    <s v="North Carolina"/>
    <s v="South"/>
    <x v="1"/>
    <x v="8"/>
    <s v="Pressboard Hanging Data Binders for Unburst Sheets"/>
    <x v="1552"/>
    <n v="5"/>
    <n v="0.7"/>
    <n v="-5.4119999999999999"/>
  </r>
  <r>
    <n v="6631"/>
    <x v="591"/>
    <x v="0"/>
    <x v="4"/>
    <d v="2013-12-31T00:00:00"/>
    <n v="5"/>
    <x v="1"/>
    <s v="Joe Elijah"/>
    <x v="0"/>
    <m/>
    <s v="Seattle"/>
    <s v="Washington"/>
    <s v="West"/>
    <x v="0"/>
    <x v="1"/>
    <s v="Global Executive Mid-Back Manager's Chair"/>
    <x v="324"/>
    <n v="3"/>
    <n v="0.2"/>
    <n v="52.376399999999997"/>
  </r>
  <r>
    <n v="6632"/>
    <x v="591"/>
    <x v="0"/>
    <x v="4"/>
    <d v="2013-12-31T00:00:00"/>
    <n v="5"/>
    <x v="1"/>
    <s v="Joe Elijah"/>
    <x v="0"/>
    <m/>
    <s v="Seattle"/>
    <s v="Washington"/>
    <s v="West"/>
    <x v="0"/>
    <x v="3"/>
    <s v="SAFCO PlanMaster Heigh-Adjustable Drafting Table Base, 43w x 30d x 30-37h, Black"/>
    <x v="4387"/>
    <n v="5"/>
    <n v="0"/>
    <n v="629.01"/>
  </r>
  <r>
    <n v="6633"/>
    <x v="715"/>
    <x v="0"/>
    <x v="5"/>
    <d v="2013-05-09T00:00:00"/>
    <n v="2"/>
    <x v="0"/>
    <s v="Brad Eason"/>
    <x v="2"/>
    <m/>
    <s v="Springfield"/>
    <s v="Missouri"/>
    <s v="Central"/>
    <x v="1"/>
    <x v="9"/>
    <s v="Belkin 5 Outlet SurgeMaster Power Centers"/>
    <x v="4388"/>
    <n v="1"/>
    <n v="0"/>
    <n v="15.2544"/>
  </r>
  <r>
    <n v="6634"/>
    <x v="1057"/>
    <x v="0"/>
    <x v="2"/>
    <d v="2013-10-25T00:00:00"/>
    <n v="0"/>
    <x v="3"/>
    <s v="Sonia Sunley"/>
    <x v="0"/>
    <m/>
    <s v="San Francisco"/>
    <s v="California"/>
    <s v="West"/>
    <x v="2"/>
    <x v="11"/>
    <s v="Razer Tiamat Over Ear 7.1 Surround Sound PC Gaming Headset"/>
    <x v="4389"/>
    <n v="1"/>
    <n v="0"/>
    <n v="85.995699999999999"/>
  </r>
  <r>
    <n v="6635"/>
    <x v="636"/>
    <x v="3"/>
    <x v="5"/>
    <d v="2014-05-07T00:00:00"/>
    <n v="0"/>
    <x v="3"/>
    <s v="Mick Brown"/>
    <x v="0"/>
    <m/>
    <s v="Charlotte"/>
    <s v="North Carolina"/>
    <s v="South"/>
    <x v="1"/>
    <x v="8"/>
    <s v="Wilson Jones Century Plastic Molded Ring Binders"/>
    <x v="4390"/>
    <n v="11"/>
    <n v="0.7"/>
    <n v="-52.548099999999998"/>
  </r>
  <r>
    <n v="6636"/>
    <x v="636"/>
    <x v="3"/>
    <x v="5"/>
    <d v="2014-05-07T00:00:00"/>
    <n v="0"/>
    <x v="3"/>
    <s v="Mick Brown"/>
    <x v="0"/>
    <m/>
    <s v="Charlotte"/>
    <s v="North Carolina"/>
    <s v="South"/>
    <x v="2"/>
    <x v="7"/>
    <s v="GE 30524EE4"/>
    <x v="2483"/>
    <n v="4"/>
    <n v="0.2"/>
    <n v="70.556399999999996"/>
  </r>
  <r>
    <n v="6637"/>
    <x v="636"/>
    <x v="3"/>
    <x v="5"/>
    <d v="2014-05-07T00:00:00"/>
    <n v="0"/>
    <x v="3"/>
    <s v="Mick Brown"/>
    <x v="0"/>
    <m/>
    <s v="Charlotte"/>
    <s v="North Carolina"/>
    <s v="South"/>
    <x v="1"/>
    <x v="2"/>
    <s v="Avery 4027 File Folder Labels for Dot Matrix Printers, 5000 Labels per Box, White"/>
    <x v="1164"/>
    <n v="5"/>
    <n v="0.2"/>
    <n v="39.689"/>
  </r>
  <r>
    <n v="6638"/>
    <x v="344"/>
    <x v="3"/>
    <x v="0"/>
    <d v="2014-12-01T00:00:00"/>
    <n v="3"/>
    <x v="0"/>
    <s v="Resi Pölking"/>
    <x v="0"/>
    <m/>
    <s v="New York City"/>
    <s v="New York"/>
    <s v="East"/>
    <x v="1"/>
    <x v="6"/>
    <s v="American Pencil"/>
    <x v="4391"/>
    <n v="3"/>
    <n v="0"/>
    <n v="2.0270999999999999"/>
  </r>
  <r>
    <n v="6639"/>
    <x v="344"/>
    <x v="3"/>
    <x v="0"/>
    <d v="2014-12-01T00:00:00"/>
    <n v="3"/>
    <x v="0"/>
    <s v="Resi Pölking"/>
    <x v="0"/>
    <m/>
    <s v="New York City"/>
    <s v="New York"/>
    <s v="East"/>
    <x v="1"/>
    <x v="8"/>
    <s v="Avery Flip-Chart Easel Binder, Black"/>
    <x v="584"/>
    <n v="6"/>
    <n v="0.2"/>
    <n v="36.255600000000001"/>
  </r>
  <r>
    <n v="6640"/>
    <x v="656"/>
    <x v="2"/>
    <x v="2"/>
    <d v="2011-11-02T00:00:00"/>
    <n v="2"/>
    <x v="0"/>
    <s v="Anthony Jacobs"/>
    <x v="1"/>
    <m/>
    <s v="Lorain"/>
    <s v="Ohio"/>
    <s v="East"/>
    <x v="0"/>
    <x v="3"/>
    <s v="Hon 94000 Series Round Tables"/>
    <x v="2702"/>
    <n v="8"/>
    <n v="0.4"/>
    <n v="-734.52639999999997"/>
  </r>
  <r>
    <n v="6641"/>
    <x v="485"/>
    <x v="3"/>
    <x v="6"/>
    <d v="2014-08-10T00:00:00"/>
    <n v="4"/>
    <x v="1"/>
    <s v="Patrick O'Donnell"/>
    <x v="0"/>
    <m/>
    <s v="Indianapolis"/>
    <s v="Indiana"/>
    <s v="Central"/>
    <x v="1"/>
    <x v="8"/>
    <s v="Premium Transparent Presentation Covers by GBC"/>
    <x v="4392"/>
    <n v="6"/>
    <n v="0"/>
    <n v="60.422400000000003"/>
  </r>
  <r>
    <n v="6642"/>
    <x v="485"/>
    <x v="3"/>
    <x v="6"/>
    <d v="2014-08-10T00:00:00"/>
    <n v="4"/>
    <x v="1"/>
    <s v="Patrick O'Donnell"/>
    <x v="0"/>
    <m/>
    <s v="Indianapolis"/>
    <s v="Indiana"/>
    <s v="Central"/>
    <x v="2"/>
    <x v="11"/>
    <s v="Logitech MX Performance Wireless Mouse"/>
    <x v="4393"/>
    <n v="2"/>
    <n v="0"/>
    <n v="29.518599999999999"/>
  </r>
  <r>
    <n v="6643"/>
    <x v="485"/>
    <x v="3"/>
    <x v="6"/>
    <d v="2014-08-10T00:00:00"/>
    <n v="4"/>
    <x v="1"/>
    <s v="Patrick O'Donnell"/>
    <x v="0"/>
    <m/>
    <s v="Indianapolis"/>
    <s v="Indiana"/>
    <s v="Central"/>
    <x v="1"/>
    <x v="2"/>
    <s v="Avery 475"/>
    <x v="4394"/>
    <n v="9"/>
    <n v="0"/>
    <n v="66.599999999999994"/>
  </r>
  <r>
    <n v="6644"/>
    <x v="544"/>
    <x v="1"/>
    <x v="6"/>
    <d v="2012-08-16T00:00:00"/>
    <n v="6"/>
    <x v="1"/>
    <s v="William Brown"/>
    <x v="0"/>
    <m/>
    <s v="Redmond"/>
    <s v="Oregon"/>
    <s v="West"/>
    <x v="2"/>
    <x v="7"/>
    <s v="AT&amp;T 1080 Corded phone"/>
    <x v="2269"/>
    <n v="4"/>
    <n v="0.2"/>
    <n v="38.357199999999999"/>
  </r>
  <r>
    <n v="6645"/>
    <x v="544"/>
    <x v="1"/>
    <x v="6"/>
    <d v="2012-08-16T00:00:00"/>
    <n v="6"/>
    <x v="1"/>
    <s v="William Brown"/>
    <x v="0"/>
    <m/>
    <s v="Redmond"/>
    <s v="Oregon"/>
    <s v="West"/>
    <x v="2"/>
    <x v="7"/>
    <s v="OtterBox Commuter Series Case - Samsung Galaxy S4"/>
    <x v="4395"/>
    <n v="7"/>
    <n v="0.2"/>
    <n v="-31.487400000000001"/>
  </r>
  <r>
    <n v="6646"/>
    <x v="544"/>
    <x v="1"/>
    <x v="6"/>
    <d v="2012-08-16T00:00:00"/>
    <n v="6"/>
    <x v="1"/>
    <s v="William Brown"/>
    <x v="0"/>
    <m/>
    <s v="Redmond"/>
    <s v="Oregon"/>
    <s v="West"/>
    <x v="1"/>
    <x v="9"/>
    <s v="Fellowes 8 Outlet Superior Workstation Surge Protector"/>
    <x v="4396"/>
    <n v="4"/>
    <n v="0.2"/>
    <n v="15.015599999999999"/>
  </r>
  <r>
    <n v="6647"/>
    <x v="272"/>
    <x v="0"/>
    <x v="4"/>
    <d v="2013-12-22T00:00:00"/>
    <n v="6"/>
    <x v="1"/>
    <s v="Mike Pelletier"/>
    <x v="2"/>
    <m/>
    <s v="Springfield"/>
    <s v="Oregon"/>
    <s v="West"/>
    <x v="0"/>
    <x v="3"/>
    <s v="Bretford Rectangular Conference Table Tops"/>
    <x v="4397"/>
    <n v="3"/>
    <n v="0.5"/>
    <n v="-304.6653"/>
  </r>
  <r>
    <n v="6648"/>
    <x v="272"/>
    <x v="0"/>
    <x v="4"/>
    <d v="2013-12-22T00:00:00"/>
    <n v="6"/>
    <x v="1"/>
    <s v="Mike Pelletier"/>
    <x v="2"/>
    <m/>
    <s v="Springfield"/>
    <s v="Oregon"/>
    <s v="West"/>
    <x v="1"/>
    <x v="9"/>
    <s v="Belkin 5 Outlet SurgeMaster Power Centers"/>
    <x v="2734"/>
    <n v="2"/>
    <n v="0.2"/>
    <n v="8.7167999999999992"/>
  </r>
  <r>
    <n v="6649"/>
    <x v="565"/>
    <x v="3"/>
    <x v="8"/>
    <d v="2014-09-12T00:00:00"/>
    <n v="3"/>
    <x v="2"/>
    <s v="Barry Französisch"/>
    <x v="1"/>
    <m/>
    <s v="Arlington"/>
    <s v="Texas"/>
    <s v="Central"/>
    <x v="1"/>
    <x v="8"/>
    <s v="Premier Elliptical Ring Binder, Black"/>
    <x v="507"/>
    <n v="7"/>
    <n v="0.8"/>
    <n v="-68.185599999999994"/>
  </r>
  <r>
    <n v="6650"/>
    <x v="565"/>
    <x v="3"/>
    <x v="8"/>
    <d v="2014-09-12T00:00:00"/>
    <n v="3"/>
    <x v="2"/>
    <s v="Barry Französisch"/>
    <x v="1"/>
    <m/>
    <s v="Arlington"/>
    <s v="Texas"/>
    <s v="Central"/>
    <x v="2"/>
    <x v="16"/>
    <s v="Canon PC-428 Personal Copier"/>
    <x v="4398"/>
    <n v="2"/>
    <n v="0.2"/>
    <n v="107.99460000000001"/>
  </r>
  <r>
    <n v="6651"/>
    <x v="565"/>
    <x v="3"/>
    <x v="8"/>
    <d v="2014-09-12T00:00:00"/>
    <n v="3"/>
    <x v="2"/>
    <s v="Barry Französisch"/>
    <x v="1"/>
    <m/>
    <s v="Arlington"/>
    <s v="Texas"/>
    <s v="Central"/>
    <x v="1"/>
    <x v="13"/>
    <s v="Vinyl Coated Wire Paper Clips in Organizer Box, 800/Box"/>
    <x v="1931"/>
    <n v="5"/>
    <n v="0.2"/>
    <n v="15.497999999999999"/>
  </r>
  <r>
    <n v="6652"/>
    <x v="565"/>
    <x v="3"/>
    <x v="8"/>
    <d v="2014-09-12T00:00:00"/>
    <n v="3"/>
    <x v="2"/>
    <s v="Barry Französisch"/>
    <x v="1"/>
    <m/>
    <s v="Arlington"/>
    <s v="Texas"/>
    <s v="Central"/>
    <x v="0"/>
    <x v="5"/>
    <s v="DAX Black Cherry Wood-Tone Poster Frame"/>
    <x v="4399"/>
    <n v="2"/>
    <n v="0.6"/>
    <n v="-11.651199999999999"/>
  </r>
  <r>
    <n v="6653"/>
    <x v="565"/>
    <x v="3"/>
    <x v="8"/>
    <d v="2014-09-12T00:00:00"/>
    <n v="3"/>
    <x v="2"/>
    <s v="Barry Französisch"/>
    <x v="1"/>
    <m/>
    <s v="Arlington"/>
    <s v="Texas"/>
    <s v="Central"/>
    <x v="1"/>
    <x v="10"/>
    <s v="Xerox 205"/>
    <x v="557"/>
    <n v="4"/>
    <n v="0.2"/>
    <n v="7.2576000000000001"/>
  </r>
  <r>
    <n v="6654"/>
    <x v="565"/>
    <x v="3"/>
    <x v="8"/>
    <d v="2014-09-12T00:00:00"/>
    <n v="3"/>
    <x v="2"/>
    <s v="Barry Französisch"/>
    <x v="1"/>
    <m/>
    <s v="Arlington"/>
    <s v="Texas"/>
    <s v="Central"/>
    <x v="0"/>
    <x v="1"/>
    <s v="Global Armless Task Chair, Royal Blue"/>
    <x v="4400"/>
    <n v="5"/>
    <n v="0.3"/>
    <n v="-39.637"/>
  </r>
  <r>
    <n v="6655"/>
    <x v="297"/>
    <x v="3"/>
    <x v="11"/>
    <d v="2014-02-28T00:00:00"/>
    <n v="7"/>
    <x v="1"/>
    <s v="Katherine Murray"/>
    <x v="2"/>
    <m/>
    <s v="Gilbert"/>
    <s v="Arizona"/>
    <s v="West"/>
    <x v="2"/>
    <x v="7"/>
    <s v="Toshiba IPT2010-SD IP Telephone"/>
    <x v="3720"/>
    <n v="3"/>
    <n v="0.2"/>
    <n v="25.0182"/>
  </r>
  <r>
    <n v="6656"/>
    <x v="297"/>
    <x v="3"/>
    <x v="11"/>
    <d v="2014-02-28T00:00:00"/>
    <n v="7"/>
    <x v="1"/>
    <s v="Katherine Murray"/>
    <x v="2"/>
    <m/>
    <s v="Gilbert"/>
    <s v="Arizona"/>
    <s v="West"/>
    <x v="2"/>
    <x v="11"/>
    <s v="Microsoft Wireless Mobile Mouse 4000"/>
    <x v="4401"/>
    <n v="1"/>
    <n v="0.2"/>
    <n v="4.7988"/>
  </r>
  <r>
    <n v="6657"/>
    <x v="297"/>
    <x v="3"/>
    <x v="11"/>
    <d v="2014-02-28T00:00:00"/>
    <n v="7"/>
    <x v="1"/>
    <s v="Katherine Murray"/>
    <x v="2"/>
    <m/>
    <s v="Gilbert"/>
    <s v="Arizona"/>
    <s v="West"/>
    <x v="1"/>
    <x v="4"/>
    <s v="Fellowes Bankers Box Stor/Drawer Steel Plus"/>
    <x v="4194"/>
    <n v="2"/>
    <n v="0.2"/>
    <n v="-6.3959999999999999"/>
  </r>
  <r>
    <n v="6658"/>
    <x v="297"/>
    <x v="3"/>
    <x v="11"/>
    <d v="2014-02-28T00:00:00"/>
    <n v="7"/>
    <x v="1"/>
    <s v="Katherine Murray"/>
    <x v="2"/>
    <m/>
    <s v="Gilbert"/>
    <s v="Arizona"/>
    <s v="West"/>
    <x v="1"/>
    <x v="12"/>
    <s v="Letter or Legal Size Expandable Poly String Tie Envelopes"/>
    <x v="2945"/>
    <n v="5"/>
    <n v="0.2"/>
    <n v="3.8570000000000002"/>
  </r>
  <r>
    <n v="6659"/>
    <x v="297"/>
    <x v="3"/>
    <x v="11"/>
    <d v="2014-02-28T00:00:00"/>
    <n v="7"/>
    <x v="1"/>
    <s v="Katherine Murray"/>
    <x v="2"/>
    <m/>
    <s v="Gilbert"/>
    <s v="Arizona"/>
    <s v="West"/>
    <x v="0"/>
    <x v="5"/>
    <s v="Howard Miller 13&quot; Diameter Pewter Finish Round Wall Clock"/>
    <x v="4402"/>
    <n v="2"/>
    <n v="0.2"/>
    <n v="16.3172"/>
  </r>
  <r>
    <n v="6660"/>
    <x v="297"/>
    <x v="3"/>
    <x v="11"/>
    <d v="2014-02-28T00:00:00"/>
    <n v="7"/>
    <x v="1"/>
    <s v="Katherine Murray"/>
    <x v="2"/>
    <m/>
    <s v="Gilbert"/>
    <s v="Arizona"/>
    <s v="West"/>
    <x v="0"/>
    <x v="3"/>
    <s v="KI Adjustable-Height Table"/>
    <x v="4403"/>
    <n v="9"/>
    <n v="0.5"/>
    <n v="-185.71680000000001"/>
  </r>
  <r>
    <n v="6661"/>
    <x v="816"/>
    <x v="1"/>
    <x v="6"/>
    <d v="2012-08-10T00:00:00"/>
    <n v="2"/>
    <x v="0"/>
    <s v="Denny Blanton"/>
    <x v="0"/>
    <m/>
    <s v="Lawrence"/>
    <s v="Massachusetts"/>
    <s v="East"/>
    <x v="1"/>
    <x v="6"/>
    <s v="Boston 1827 Commercial Additional Cutter, Drive Gear &amp; Gear Rack for 1606"/>
    <x v="4404"/>
    <n v="2"/>
    <n v="0"/>
    <n v="11.898"/>
  </r>
  <r>
    <n v="6662"/>
    <x v="816"/>
    <x v="1"/>
    <x v="6"/>
    <d v="2012-08-10T00:00:00"/>
    <n v="2"/>
    <x v="0"/>
    <s v="Denny Blanton"/>
    <x v="0"/>
    <m/>
    <s v="Lawrence"/>
    <s v="Massachusetts"/>
    <s v="East"/>
    <x v="1"/>
    <x v="9"/>
    <s v="Conquest 14 Commercial Heavy-Duty Upright Vacuum, Collection System, Accessory Kit"/>
    <x v="1976"/>
    <n v="2"/>
    <n v="0"/>
    <n v="33.036799999999999"/>
  </r>
  <r>
    <n v="6663"/>
    <x v="816"/>
    <x v="1"/>
    <x v="6"/>
    <d v="2012-08-10T00:00:00"/>
    <n v="2"/>
    <x v="0"/>
    <s v="Denny Blanton"/>
    <x v="0"/>
    <m/>
    <s v="Lawrence"/>
    <s v="Massachusetts"/>
    <s v="East"/>
    <x v="1"/>
    <x v="8"/>
    <s v="GBC DocuBind P50 Personal Binding Machine"/>
    <x v="2456"/>
    <n v="7"/>
    <n v="0"/>
    <n v="210.49420000000001"/>
  </r>
  <r>
    <n v="6664"/>
    <x v="40"/>
    <x v="3"/>
    <x v="2"/>
    <d v="2014-11-02T00:00:00"/>
    <n v="6"/>
    <x v="1"/>
    <s v="Olvera Toch"/>
    <x v="0"/>
    <m/>
    <s v="Virginia Beach"/>
    <s v="Virginia"/>
    <s v="South"/>
    <x v="0"/>
    <x v="3"/>
    <s v="Lesro Sheffield Collection Coffee Table, End Table, Center Table, Corner Table"/>
    <x v="4405"/>
    <n v="5"/>
    <n v="0"/>
    <n v="60.664499999999997"/>
  </r>
  <r>
    <n v="6665"/>
    <x v="40"/>
    <x v="3"/>
    <x v="2"/>
    <d v="2014-11-02T00:00:00"/>
    <n v="6"/>
    <x v="1"/>
    <s v="Olvera Toch"/>
    <x v="0"/>
    <m/>
    <s v="Virginia Beach"/>
    <s v="Virginia"/>
    <s v="South"/>
    <x v="1"/>
    <x v="12"/>
    <s v="Tyvek  Top-Opening Peel &amp; Seel  Envelopes, Gray"/>
    <x v="4406"/>
    <n v="7"/>
    <n v="0"/>
    <n v="113.211"/>
  </r>
  <r>
    <n v="6666"/>
    <x v="216"/>
    <x v="0"/>
    <x v="7"/>
    <d v="2013-07-19T00:00:00"/>
    <n v="4"/>
    <x v="0"/>
    <s v="John Stevenson"/>
    <x v="0"/>
    <m/>
    <s v="Irving"/>
    <s v="Texas"/>
    <s v="Central"/>
    <x v="1"/>
    <x v="10"/>
    <s v="Xerox 1914"/>
    <x v="1523"/>
    <n v="5"/>
    <n v="0.2"/>
    <n v="79.691999999999993"/>
  </r>
  <r>
    <n v="6667"/>
    <x v="605"/>
    <x v="3"/>
    <x v="5"/>
    <d v="2014-05-15T00:00:00"/>
    <n v="2"/>
    <x v="0"/>
    <s v="Cynthia Arntzen"/>
    <x v="0"/>
    <m/>
    <s v="Vineland"/>
    <s v="New Jersey"/>
    <s v="East"/>
    <x v="0"/>
    <x v="5"/>
    <s v="DAX Cubicle Frames, 8-1/2 x 11"/>
    <x v="4407"/>
    <n v="5"/>
    <n v="0"/>
    <n v="15.426"/>
  </r>
  <r>
    <n v="6668"/>
    <x v="605"/>
    <x v="3"/>
    <x v="5"/>
    <d v="2014-05-15T00:00:00"/>
    <n v="2"/>
    <x v="0"/>
    <s v="Cynthia Arntzen"/>
    <x v="0"/>
    <m/>
    <s v="Vineland"/>
    <s v="New Jersey"/>
    <s v="East"/>
    <x v="1"/>
    <x v="2"/>
    <s v="Smead Alpha-Z Color-Coded Second Alphabetical Labels and Starter Set"/>
    <x v="51"/>
    <n v="2"/>
    <n v="0"/>
    <n v="2.9567999999999999"/>
  </r>
  <r>
    <n v="6669"/>
    <x v="605"/>
    <x v="3"/>
    <x v="5"/>
    <d v="2014-05-15T00:00:00"/>
    <n v="2"/>
    <x v="0"/>
    <s v="Cynthia Arntzen"/>
    <x v="0"/>
    <m/>
    <s v="Vineland"/>
    <s v="New Jersey"/>
    <s v="East"/>
    <x v="1"/>
    <x v="14"/>
    <s v="Acme Titanium Bonded Scissors"/>
    <x v="4408"/>
    <n v="2"/>
    <n v="0"/>
    <n v="4.42"/>
  </r>
  <r>
    <n v="6670"/>
    <x v="605"/>
    <x v="3"/>
    <x v="5"/>
    <d v="2014-05-15T00:00:00"/>
    <n v="2"/>
    <x v="0"/>
    <s v="Cynthia Arntzen"/>
    <x v="0"/>
    <m/>
    <s v="Vineland"/>
    <s v="New Jersey"/>
    <s v="East"/>
    <x v="2"/>
    <x v="11"/>
    <s v="Maxell Pro 80 Minute CD-R, 10/Pack"/>
    <x v="4409"/>
    <n v="5"/>
    <n v="0"/>
    <n v="34.96"/>
  </r>
  <r>
    <n v="6671"/>
    <x v="1126"/>
    <x v="3"/>
    <x v="5"/>
    <d v="2014-05-30T00:00:00"/>
    <n v="4"/>
    <x v="1"/>
    <s v="Mick Hernandez"/>
    <x v="2"/>
    <m/>
    <s v="Columbus"/>
    <s v="Georgia"/>
    <s v="South"/>
    <x v="1"/>
    <x v="8"/>
    <s v="Recycled Easel Ring Binders"/>
    <x v="3445"/>
    <n v="2"/>
    <n v="0"/>
    <n v="13.428000000000001"/>
  </r>
  <r>
    <n v="6672"/>
    <x v="709"/>
    <x v="2"/>
    <x v="6"/>
    <d v="2011-08-27T00:00:00"/>
    <n v="4"/>
    <x v="0"/>
    <s v="Robert Barroso"/>
    <x v="1"/>
    <m/>
    <s v="Los Angeles"/>
    <s v="California"/>
    <s v="West"/>
    <x v="1"/>
    <x v="8"/>
    <s v="GBC Linen Binding Covers"/>
    <x v="1967"/>
    <n v="2"/>
    <n v="0.2"/>
    <n v="17.348800000000001"/>
  </r>
  <r>
    <n v="6673"/>
    <x v="861"/>
    <x v="1"/>
    <x v="8"/>
    <d v="2012-09-16T00:00:00"/>
    <n v="5"/>
    <x v="1"/>
    <s v="Sean Braxton"/>
    <x v="1"/>
    <m/>
    <s v="San Diego"/>
    <s v="California"/>
    <s v="West"/>
    <x v="1"/>
    <x v="6"/>
    <s v="Hunt PowerHouse Electric Pencil Sharpener, Blue"/>
    <x v="4410"/>
    <n v="7"/>
    <n v="0"/>
    <n v="79.757999999999996"/>
  </r>
  <r>
    <n v="6674"/>
    <x v="577"/>
    <x v="1"/>
    <x v="8"/>
    <d v="2012-09-12T00:00:00"/>
    <n v="7"/>
    <x v="1"/>
    <s v="Tamara Willingham"/>
    <x v="2"/>
    <m/>
    <s v="Charlottesville"/>
    <s v="Virginia"/>
    <s v="South"/>
    <x v="0"/>
    <x v="5"/>
    <s v="Tensor Brushed Steel Torchiere Floor Lamp"/>
    <x v="4411"/>
    <n v="4"/>
    <n v="0"/>
    <n v="12.232799999999999"/>
  </r>
  <r>
    <n v="6675"/>
    <x v="82"/>
    <x v="1"/>
    <x v="0"/>
    <d v="2012-11-23T00:00:00"/>
    <n v="2"/>
    <x v="0"/>
    <s v="Denise Leinenbach"/>
    <x v="0"/>
    <m/>
    <s v="Lawrence"/>
    <s v="Indiana"/>
    <s v="Central"/>
    <x v="1"/>
    <x v="6"/>
    <s v="Crayola Anti Dust Chalk, 12/Pack"/>
    <x v="267"/>
    <n v="6"/>
    <n v="0"/>
    <n v="4.9139999999999997"/>
  </r>
  <r>
    <n v="6676"/>
    <x v="82"/>
    <x v="1"/>
    <x v="0"/>
    <d v="2012-11-23T00:00:00"/>
    <n v="2"/>
    <x v="0"/>
    <s v="Denise Leinenbach"/>
    <x v="0"/>
    <m/>
    <s v="Lawrence"/>
    <s v="Indiana"/>
    <s v="Central"/>
    <x v="2"/>
    <x v="15"/>
    <s v="Ricoh - Ink Collector Unit for GX3000 Series Printers"/>
    <x v="4412"/>
    <n v="2"/>
    <n v="0"/>
    <n v="22.652999999999999"/>
  </r>
  <r>
    <n v="6677"/>
    <x v="82"/>
    <x v="1"/>
    <x v="0"/>
    <d v="2012-11-23T00:00:00"/>
    <n v="2"/>
    <x v="0"/>
    <s v="Denise Leinenbach"/>
    <x v="0"/>
    <m/>
    <s v="Lawrence"/>
    <s v="Indiana"/>
    <s v="Central"/>
    <x v="1"/>
    <x v="9"/>
    <s v="Hoover Replacement Belts For Soft Guard &amp; Commercial Ltweight Upright Vacs, 2/Pk"/>
    <x v="4413"/>
    <n v="5"/>
    <n v="0"/>
    <n v="5.1349999999999998"/>
  </r>
  <r>
    <n v="6678"/>
    <x v="82"/>
    <x v="1"/>
    <x v="0"/>
    <d v="2012-11-23T00:00:00"/>
    <n v="2"/>
    <x v="0"/>
    <s v="Denise Leinenbach"/>
    <x v="0"/>
    <m/>
    <s v="Lawrence"/>
    <s v="Indiana"/>
    <s v="Central"/>
    <x v="2"/>
    <x v="11"/>
    <s v="Imation Bio 2GB USB Flash Drive Imation Corp"/>
    <x v="4414"/>
    <n v="3"/>
    <n v="0"/>
    <n v="165.2868"/>
  </r>
  <r>
    <n v="6679"/>
    <x v="982"/>
    <x v="2"/>
    <x v="2"/>
    <d v="2011-10-14T00:00:00"/>
    <n v="4"/>
    <x v="1"/>
    <s v="Shirley Daniels"/>
    <x v="2"/>
    <m/>
    <s v="Phoenix"/>
    <s v="Arizona"/>
    <s v="West"/>
    <x v="0"/>
    <x v="5"/>
    <s v="Westinghouse Clip-On Gooseneck Lamps"/>
    <x v="4415"/>
    <n v="7"/>
    <n v="0.2"/>
    <n v="3.5154000000000001"/>
  </r>
  <r>
    <n v="6680"/>
    <x v="264"/>
    <x v="3"/>
    <x v="8"/>
    <d v="2014-09-08T00:00:00"/>
    <n v="5"/>
    <x v="0"/>
    <s v="Ted Butterfield"/>
    <x v="0"/>
    <m/>
    <s v="Meriden"/>
    <s v="Connecticut"/>
    <s v="East"/>
    <x v="1"/>
    <x v="4"/>
    <s v="Crate-A-Files"/>
    <x v="2868"/>
    <n v="1"/>
    <n v="0"/>
    <n v="2.8340000000000001"/>
  </r>
  <r>
    <n v="6681"/>
    <x v="264"/>
    <x v="3"/>
    <x v="8"/>
    <d v="2014-09-08T00:00:00"/>
    <n v="5"/>
    <x v="0"/>
    <s v="Ted Butterfield"/>
    <x v="0"/>
    <m/>
    <s v="Meriden"/>
    <s v="Connecticut"/>
    <s v="East"/>
    <x v="1"/>
    <x v="10"/>
    <s v="Xerox 191"/>
    <x v="705"/>
    <n v="4"/>
    <n v="0"/>
    <n v="37.562399999999997"/>
  </r>
  <r>
    <n v="6682"/>
    <x v="264"/>
    <x v="3"/>
    <x v="8"/>
    <d v="2014-09-08T00:00:00"/>
    <n v="5"/>
    <x v="0"/>
    <s v="Ted Butterfield"/>
    <x v="0"/>
    <m/>
    <s v="Meriden"/>
    <s v="Connecticut"/>
    <s v="East"/>
    <x v="1"/>
    <x v="10"/>
    <s v="Xerox 1890"/>
    <x v="674"/>
    <n v="3"/>
    <n v="0"/>
    <n v="73.41"/>
  </r>
  <r>
    <n v="6683"/>
    <x v="314"/>
    <x v="3"/>
    <x v="9"/>
    <d v="2014-01-03T00:00:00"/>
    <n v="1"/>
    <x v="2"/>
    <s v="Dennis Pardue"/>
    <x v="2"/>
    <m/>
    <s v="Franklin"/>
    <s v="Wisconsin"/>
    <s v="Central"/>
    <x v="1"/>
    <x v="8"/>
    <s v="Wilson Jones Easy Flow II Sheet Lifters"/>
    <x v="4416"/>
    <n v="2"/>
    <n v="0"/>
    <n v="1.728"/>
  </r>
  <r>
    <n v="6684"/>
    <x v="1127"/>
    <x v="2"/>
    <x v="0"/>
    <d v="2011-11-10T00:00:00"/>
    <n v="5"/>
    <x v="1"/>
    <s v="Deanra Eno"/>
    <x v="2"/>
    <m/>
    <s v="Los Angeles"/>
    <s v="California"/>
    <s v="West"/>
    <x v="0"/>
    <x v="5"/>
    <s v="OIC Stacking Trays"/>
    <x v="130"/>
    <n v="6"/>
    <n v="0"/>
    <n v="8.8176000000000005"/>
  </r>
  <r>
    <n v="6685"/>
    <x v="997"/>
    <x v="1"/>
    <x v="4"/>
    <d v="2012-12-22T00:00:00"/>
    <n v="5"/>
    <x v="1"/>
    <s v="Mick Crebagga"/>
    <x v="0"/>
    <m/>
    <s v="Bloomington"/>
    <s v="Illinois"/>
    <s v="Central"/>
    <x v="1"/>
    <x v="4"/>
    <s v="Tennsco Double-Tier Lockers"/>
    <x v="4417"/>
    <n v="1"/>
    <n v="0.2"/>
    <n v="-15.7514"/>
  </r>
  <r>
    <n v="6686"/>
    <x v="997"/>
    <x v="1"/>
    <x v="4"/>
    <d v="2012-12-22T00:00:00"/>
    <n v="5"/>
    <x v="1"/>
    <s v="Mick Crebagga"/>
    <x v="0"/>
    <m/>
    <s v="Bloomington"/>
    <s v="Illinois"/>
    <s v="Central"/>
    <x v="0"/>
    <x v="5"/>
    <s v="Howard Miller 11-1/2&quot; Diameter Ridgewood Wall Clock"/>
    <x v="4418"/>
    <n v="2"/>
    <n v="0.6"/>
    <n v="-19.737200000000001"/>
  </r>
  <r>
    <n v="6687"/>
    <x v="997"/>
    <x v="1"/>
    <x v="4"/>
    <d v="2012-12-22T00:00:00"/>
    <n v="5"/>
    <x v="1"/>
    <s v="Mick Crebagga"/>
    <x v="0"/>
    <m/>
    <s v="Bloomington"/>
    <s v="Illinois"/>
    <s v="Central"/>
    <x v="1"/>
    <x v="6"/>
    <s v="Newell 35"/>
    <x v="1317"/>
    <n v="5"/>
    <n v="0.2"/>
    <n v="1.476"/>
  </r>
  <r>
    <n v="6688"/>
    <x v="263"/>
    <x v="1"/>
    <x v="5"/>
    <d v="2012-05-21T00:00:00"/>
    <n v="7"/>
    <x v="1"/>
    <s v="Hunter Glantz"/>
    <x v="0"/>
    <m/>
    <s v="Los Angeles"/>
    <s v="California"/>
    <s v="West"/>
    <x v="1"/>
    <x v="4"/>
    <s v="Tennsco Snap-Together Open Shelving Units, Starter Sets and Add-On Units"/>
    <x v="2068"/>
    <n v="4"/>
    <n v="0"/>
    <n v="55.896000000000001"/>
  </r>
  <r>
    <n v="6689"/>
    <x v="434"/>
    <x v="3"/>
    <x v="10"/>
    <d v="2014-03-16T00:00:00"/>
    <n v="5"/>
    <x v="0"/>
    <s v="Candace McMahon"/>
    <x v="1"/>
    <m/>
    <s v="San Francisco"/>
    <s v="California"/>
    <s v="West"/>
    <x v="2"/>
    <x v="11"/>
    <s v="Maxell LTO Ultrium - 800 GB"/>
    <x v="1359"/>
    <n v="4"/>
    <n v="0"/>
    <n v="21.272400000000001"/>
  </r>
  <r>
    <n v="6690"/>
    <x v="574"/>
    <x v="3"/>
    <x v="4"/>
    <d v="2014-12-10T00:00:00"/>
    <n v="7"/>
    <x v="1"/>
    <s v="Roy Phan"/>
    <x v="1"/>
    <m/>
    <s v="Houston"/>
    <s v="Texas"/>
    <s v="Central"/>
    <x v="1"/>
    <x v="6"/>
    <s v="Manco Dry-Lighter Erasable Highlighter"/>
    <x v="4419"/>
    <n v="5"/>
    <n v="0.2"/>
    <n v="2.1280000000000001"/>
  </r>
  <r>
    <n v="6691"/>
    <x v="689"/>
    <x v="3"/>
    <x v="6"/>
    <d v="2014-08-06T00:00:00"/>
    <n v="5"/>
    <x v="1"/>
    <s v="Luke Schmidt"/>
    <x v="1"/>
    <m/>
    <s v="Milwaukee"/>
    <s v="Wisconsin"/>
    <s v="Central"/>
    <x v="1"/>
    <x v="8"/>
    <s v="Acco 3-Hole Punch"/>
    <x v="254"/>
    <n v="4"/>
    <n v="0"/>
    <n v="8.4095999999999993"/>
  </r>
  <r>
    <n v="6692"/>
    <x v="689"/>
    <x v="3"/>
    <x v="6"/>
    <d v="2014-08-06T00:00:00"/>
    <n v="5"/>
    <x v="1"/>
    <s v="Luke Schmidt"/>
    <x v="1"/>
    <m/>
    <s v="Milwaukee"/>
    <s v="Wisconsin"/>
    <s v="Central"/>
    <x v="1"/>
    <x v="9"/>
    <s v="3M Office Air Cleaner"/>
    <x v="4357"/>
    <n v="6"/>
    <n v="0"/>
    <n v="54.558"/>
  </r>
  <r>
    <n v="6693"/>
    <x v="938"/>
    <x v="3"/>
    <x v="6"/>
    <d v="2014-08-14T00:00:00"/>
    <n v="2"/>
    <x v="0"/>
    <s v="Daniel Raglin"/>
    <x v="2"/>
    <m/>
    <s v="Lake Charles"/>
    <s v="Louisiana"/>
    <s v="South"/>
    <x v="1"/>
    <x v="8"/>
    <s v="Satellite Sectional Post Binders"/>
    <x v="4420"/>
    <n v="11"/>
    <n v="0"/>
    <n v="219.65459999999999"/>
  </r>
  <r>
    <n v="6694"/>
    <x v="1033"/>
    <x v="3"/>
    <x v="2"/>
    <d v="2014-10-03T00:00:00"/>
    <n v="2"/>
    <x v="0"/>
    <s v="Cindy Chapman"/>
    <x v="0"/>
    <m/>
    <s v="Baltimore"/>
    <s v="Maryland"/>
    <s v="East"/>
    <x v="1"/>
    <x v="10"/>
    <s v="Green Bar Computer Printout Paper"/>
    <x v="2169"/>
    <n v="3"/>
    <n v="0"/>
    <n v="80.791200000000003"/>
  </r>
  <r>
    <n v="6695"/>
    <x v="370"/>
    <x v="0"/>
    <x v="6"/>
    <d v="2013-08-31T00:00:00"/>
    <n v="4"/>
    <x v="1"/>
    <s v="Shirley Schmidt"/>
    <x v="2"/>
    <m/>
    <s v="Franklin"/>
    <s v="Wisconsin"/>
    <s v="Central"/>
    <x v="2"/>
    <x v="11"/>
    <s v="Memorex Micro Travel Drive 16 GB"/>
    <x v="4421"/>
    <n v="3"/>
    <n v="0"/>
    <n v="14.870699999999999"/>
  </r>
  <r>
    <n v="6696"/>
    <x v="499"/>
    <x v="0"/>
    <x v="4"/>
    <d v="2013-12-08T00:00:00"/>
    <n v="5"/>
    <x v="1"/>
    <s v="Jamie Frazer"/>
    <x v="0"/>
    <m/>
    <s v="New York City"/>
    <s v="New York"/>
    <s v="East"/>
    <x v="1"/>
    <x v="8"/>
    <s v="Ibico EB-19 Dual Function Manual Binding System"/>
    <x v="4422"/>
    <n v="3"/>
    <n v="0.2"/>
    <n v="134.93219999999999"/>
  </r>
  <r>
    <n v="6697"/>
    <x v="499"/>
    <x v="0"/>
    <x v="4"/>
    <d v="2013-12-08T00:00:00"/>
    <n v="5"/>
    <x v="1"/>
    <s v="Jamie Frazer"/>
    <x v="0"/>
    <m/>
    <s v="New York City"/>
    <s v="New York"/>
    <s v="East"/>
    <x v="1"/>
    <x v="8"/>
    <s v="XtraLife ClearVue Slant-D Ring Binder, White, 3&quot;"/>
    <x v="4423"/>
    <n v="3"/>
    <n v="0.2"/>
    <n v="11.4504"/>
  </r>
  <r>
    <n v="6698"/>
    <x v="499"/>
    <x v="0"/>
    <x v="4"/>
    <d v="2013-12-08T00:00:00"/>
    <n v="5"/>
    <x v="1"/>
    <s v="Jamie Frazer"/>
    <x v="0"/>
    <m/>
    <s v="New York City"/>
    <s v="New York"/>
    <s v="East"/>
    <x v="1"/>
    <x v="10"/>
    <s v="Green Bar Computer Printout Paper"/>
    <x v="3715"/>
    <n v="1"/>
    <n v="0"/>
    <n v="26.930399999999999"/>
  </r>
  <r>
    <n v="6699"/>
    <x v="246"/>
    <x v="3"/>
    <x v="7"/>
    <d v="2014-07-26T00:00:00"/>
    <n v="4"/>
    <x v="1"/>
    <s v="Shaun Weien"/>
    <x v="0"/>
    <m/>
    <s v="San Diego"/>
    <s v="California"/>
    <s v="West"/>
    <x v="1"/>
    <x v="10"/>
    <s v="Wirebound Message Forms, Four 2 3/4 x 5 Forms per Page, Pink Paper"/>
    <x v="4424"/>
    <n v="2"/>
    <n v="0"/>
    <n v="7.6798000000000002"/>
  </r>
  <r>
    <n v="6700"/>
    <x v="246"/>
    <x v="3"/>
    <x v="7"/>
    <d v="2014-07-26T00:00:00"/>
    <n v="4"/>
    <x v="1"/>
    <s v="Shaun Weien"/>
    <x v="0"/>
    <m/>
    <s v="San Diego"/>
    <s v="California"/>
    <s v="West"/>
    <x v="0"/>
    <x v="1"/>
    <s v="Hon Olson Stacker Stools"/>
    <x v="2241"/>
    <n v="2"/>
    <n v="0.2"/>
    <n v="22.529599999999999"/>
  </r>
  <r>
    <n v="6701"/>
    <x v="246"/>
    <x v="3"/>
    <x v="7"/>
    <d v="2014-07-26T00:00:00"/>
    <n v="4"/>
    <x v="1"/>
    <s v="Shaun Weien"/>
    <x v="0"/>
    <m/>
    <s v="San Diego"/>
    <s v="California"/>
    <s v="West"/>
    <x v="1"/>
    <x v="8"/>
    <s v="GBC Premium Transparent Covers with Diagonal Lined Pattern"/>
    <x v="4338"/>
    <n v="3"/>
    <n v="0.2"/>
    <n v="17.623200000000001"/>
  </r>
  <r>
    <n v="6702"/>
    <x v="1128"/>
    <x v="1"/>
    <x v="5"/>
    <d v="2012-05-24T00:00:00"/>
    <n v="4"/>
    <x v="1"/>
    <s v="Sheri Gordon"/>
    <x v="0"/>
    <m/>
    <s v="Wilson"/>
    <s v="North Carolina"/>
    <s v="South"/>
    <x v="0"/>
    <x v="5"/>
    <s v="Dana Fluorescent Magnifying Lamp, White, 36&quot;"/>
    <x v="4425"/>
    <n v="4"/>
    <n v="0.2"/>
    <n v="20.391999999999999"/>
  </r>
  <r>
    <n v="6703"/>
    <x v="1128"/>
    <x v="1"/>
    <x v="5"/>
    <d v="2012-05-24T00:00:00"/>
    <n v="4"/>
    <x v="1"/>
    <s v="Sheri Gordon"/>
    <x v="0"/>
    <m/>
    <s v="Wilson"/>
    <s v="North Carolina"/>
    <s v="South"/>
    <x v="1"/>
    <x v="8"/>
    <s v="Pressboard Data Binders by Wilson Jones"/>
    <x v="1669"/>
    <n v="4"/>
    <n v="0.7"/>
    <n v="-4.9127999999999998"/>
  </r>
  <r>
    <n v="6704"/>
    <x v="537"/>
    <x v="1"/>
    <x v="1"/>
    <d v="2012-06-28T00:00:00"/>
    <n v="5"/>
    <x v="1"/>
    <s v="Christine Sundaresam"/>
    <x v="0"/>
    <m/>
    <s v="Long Beach"/>
    <s v="California"/>
    <s v="West"/>
    <x v="2"/>
    <x v="7"/>
    <s v="Plantronics CS 50-USB - headset - Convertible, Monaural"/>
    <x v="2039"/>
    <n v="2"/>
    <n v="0.2"/>
    <n v="19.038599999999999"/>
  </r>
  <r>
    <n v="6705"/>
    <x v="537"/>
    <x v="1"/>
    <x v="1"/>
    <d v="2012-06-28T00:00:00"/>
    <n v="5"/>
    <x v="1"/>
    <s v="Christine Sundaresam"/>
    <x v="0"/>
    <m/>
    <s v="Long Beach"/>
    <s v="California"/>
    <s v="West"/>
    <x v="1"/>
    <x v="13"/>
    <s v="Assorted Color Push Pins"/>
    <x v="4426"/>
    <n v="3"/>
    <n v="0"/>
    <n v="1.7919"/>
  </r>
  <r>
    <n v="6706"/>
    <x v="537"/>
    <x v="1"/>
    <x v="1"/>
    <d v="2012-06-28T00:00:00"/>
    <n v="5"/>
    <x v="1"/>
    <s v="Christine Sundaresam"/>
    <x v="0"/>
    <m/>
    <s v="Long Beach"/>
    <s v="California"/>
    <s v="West"/>
    <x v="2"/>
    <x v="7"/>
    <s v="JBL Micro Wireless Portable Bluetooth Speaker"/>
    <x v="166"/>
    <n v="3"/>
    <n v="0.2"/>
    <n v="8.9984999999999999"/>
  </r>
  <r>
    <n v="6707"/>
    <x v="545"/>
    <x v="0"/>
    <x v="8"/>
    <d v="2013-09-16T00:00:00"/>
    <n v="5"/>
    <x v="1"/>
    <s v="Steve Chapman"/>
    <x v="1"/>
    <m/>
    <s v="Fort Lauderdale"/>
    <s v="Florida"/>
    <s v="South"/>
    <x v="2"/>
    <x v="7"/>
    <s v="Geemarc AmpliPOWER60"/>
    <x v="4427"/>
    <n v="7"/>
    <n v="0.2"/>
    <n v="58.463999999999999"/>
  </r>
  <r>
    <n v="6708"/>
    <x v="138"/>
    <x v="2"/>
    <x v="3"/>
    <d v="2011-04-18T00:00:00"/>
    <n v="5"/>
    <x v="1"/>
    <s v="Ben Ferrer"/>
    <x v="2"/>
    <m/>
    <s v="Baltimore"/>
    <s v="Maryland"/>
    <s v="East"/>
    <x v="1"/>
    <x v="2"/>
    <s v="Avery 479"/>
    <x v="1484"/>
    <n v="3"/>
    <n v="0"/>
    <n v="3.6017999999999999"/>
  </r>
  <r>
    <n v="6709"/>
    <x v="717"/>
    <x v="1"/>
    <x v="0"/>
    <d v="2012-11-19T00:00:00"/>
    <n v="5"/>
    <x v="1"/>
    <s v="Gary Zandusky"/>
    <x v="0"/>
    <m/>
    <s v="Rio Rancho"/>
    <s v="New Mexico"/>
    <s v="West"/>
    <x v="0"/>
    <x v="1"/>
    <s v="SAFCO Arco Folding Chair"/>
    <x v="2173"/>
    <n v="4"/>
    <n v="0.2"/>
    <n v="99.432000000000002"/>
  </r>
  <r>
    <n v="6710"/>
    <x v="717"/>
    <x v="1"/>
    <x v="0"/>
    <d v="2012-11-19T00:00:00"/>
    <n v="5"/>
    <x v="1"/>
    <s v="Gary Zandusky"/>
    <x v="0"/>
    <m/>
    <s v="Rio Rancho"/>
    <s v="New Mexico"/>
    <s v="West"/>
    <x v="0"/>
    <x v="1"/>
    <s v="Global Deluxe Office Fabric Chairs"/>
    <x v="285"/>
    <n v="3"/>
    <n v="0.2"/>
    <n v="20.155799999999999"/>
  </r>
  <r>
    <n v="6711"/>
    <x v="10"/>
    <x v="0"/>
    <x v="4"/>
    <d v="2013-12-13T00:00:00"/>
    <n v="3"/>
    <x v="2"/>
    <s v="Stephanie Phelps"/>
    <x v="1"/>
    <m/>
    <s v="Stockton"/>
    <s v="California"/>
    <s v="West"/>
    <x v="1"/>
    <x v="8"/>
    <s v="Wilson Jones Elliptical Ring 3 1/2&quot; Capacity Binders, 800 sheets"/>
    <x v="4428"/>
    <n v="8"/>
    <n v="0.2"/>
    <n v="99.296000000000006"/>
  </r>
  <r>
    <n v="6712"/>
    <x v="238"/>
    <x v="3"/>
    <x v="6"/>
    <d v="2014-08-22T00:00:00"/>
    <n v="3"/>
    <x v="0"/>
    <s v="Pauline Johnson"/>
    <x v="0"/>
    <m/>
    <s v="Columbus"/>
    <s v="Ohio"/>
    <s v="East"/>
    <x v="1"/>
    <x v="6"/>
    <s v="Newell 325"/>
    <x v="4373"/>
    <n v="3"/>
    <n v="0.2"/>
    <n v="1.2390000000000001"/>
  </r>
  <r>
    <n v="6713"/>
    <x v="817"/>
    <x v="3"/>
    <x v="4"/>
    <d v="2014-12-15T00:00:00"/>
    <n v="0"/>
    <x v="3"/>
    <s v="Dave Brooks"/>
    <x v="0"/>
    <m/>
    <s v="Skokie"/>
    <s v="Illinois"/>
    <s v="Central"/>
    <x v="0"/>
    <x v="5"/>
    <s v="Rubbermaid ClusterMat Chairmats, Mat Size- 66&quot; x 60&quot;, Lip 20&quot; x 11&quot; -90 Degree Angle"/>
    <x v="4429"/>
    <n v="6"/>
    <n v="0.6"/>
    <n v="-292.98719999999997"/>
  </r>
  <r>
    <n v="6714"/>
    <x v="817"/>
    <x v="3"/>
    <x v="4"/>
    <d v="2014-12-15T00:00:00"/>
    <n v="0"/>
    <x v="3"/>
    <s v="Dave Brooks"/>
    <x v="0"/>
    <m/>
    <s v="Skokie"/>
    <s v="Illinois"/>
    <s v="Central"/>
    <x v="0"/>
    <x v="5"/>
    <s v="Howard Miller 13&quot; Diameter Goldtone Round Wall Clock"/>
    <x v="4430"/>
    <n v="3"/>
    <n v="0.6"/>
    <n v="-26.755800000000001"/>
  </r>
  <r>
    <n v="6715"/>
    <x v="817"/>
    <x v="3"/>
    <x v="4"/>
    <d v="2014-12-15T00:00:00"/>
    <n v="0"/>
    <x v="3"/>
    <s v="Dave Brooks"/>
    <x v="0"/>
    <m/>
    <s v="Skokie"/>
    <s v="Illinois"/>
    <s v="Central"/>
    <x v="2"/>
    <x v="11"/>
    <s v="Logitech Desktop MK120 Mouse and keyboard Combo"/>
    <x v="4431"/>
    <n v="3"/>
    <n v="0.2"/>
    <n v="-4.9080000000000004"/>
  </r>
  <r>
    <n v="6716"/>
    <x v="817"/>
    <x v="3"/>
    <x v="4"/>
    <d v="2014-12-15T00:00:00"/>
    <n v="0"/>
    <x v="3"/>
    <s v="Dave Brooks"/>
    <x v="0"/>
    <m/>
    <s v="Skokie"/>
    <s v="Illinois"/>
    <s v="Central"/>
    <x v="1"/>
    <x v="6"/>
    <s v="Prismacolor Color Pencil Set"/>
    <x v="4432"/>
    <n v="6"/>
    <n v="0.2"/>
    <n v="24.9984"/>
  </r>
  <r>
    <n v="6717"/>
    <x v="143"/>
    <x v="0"/>
    <x v="3"/>
    <d v="2013-04-16T00:00:00"/>
    <n v="7"/>
    <x v="1"/>
    <s v="Christine Kargatis"/>
    <x v="2"/>
    <m/>
    <s v="Hot Springs"/>
    <s v="Arkansas"/>
    <s v="South"/>
    <x v="1"/>
    <x v="13"/>
    <s v="Advantus Plastic Paper Clips"/>
    <x v="59"/>
    <n v="6"/>
    <n v="0"/>
    <n v="14.4"/>
  </r>
  <r>
    <n v="6718"/>
    <x v="143"/>
    <x v="0"/>
    <x v="3"/>
    <d v="2013-04-16T00:00:00"/>
    <n v="7"/>
    <x v="1"/>
    <s v="Christine Kargatis"/>
    <x v="2"/>
    <m/>
    <s v="Hot Springs"/>
    <s v="Arkansas"/>
    <s v="South"/>
    <x v="1"/>
    <x v="10"/>
    <s v="Xerox 1993"/>
    <x v="233"/>
    <n v="4"/>
    <n v="0"/>
    <n v="12.700799999999999"/>
  </r>
  <r>
    <n v="6719"/>
    <x v="143"/>
    <x v="0"/>
    <x v="3"/>
    <d v="2013-04-16T00:00:00"/>
    <n v="7"/>
    <x v="1"/>
    <s v="Christine Kargatis"/>
    <x v="2"/>
    <m/>
    <s v="Hot Springs"/>
    <s v="Arkansas"/>
    <s v="South"/>
    <x v="0"/>
    <x v="5"/>
    <s v="Eldon Radial Chair Mat for Low to Medium Pile Carpets"/>
    <x v="4433"/>
    <n v="4"/>
    <n v="0"/>
    <n v="31.984000000000002"/>
  </r>
  <r>
    <n v="6720"/>
    <x v="186"/>
    <x v="0"/>
    <x v="4"/>
    <d v="2013-12-20T00:00:00"/>
    <n v="3"/>
    <x v="2"/>
    <s v="Sandra Flanagan"/>
    <x v="0"/>
    <m/>
    <s v="Goldsboro"/>
    <s v="North Carolina"/>
    <s v="South"/>
    <x v="1"/>
    <x v="9"/>
    <s v="Acco 6 Outlet Guardian Premium Surge Suppressor"/>
    <x v="4180"/>
    <n v="3"/>
    <n v="0.2"/>
    <n v="3.0575999999999999"/>
  </r>
  <r>
    <n v="6721"/>
    <x v="20"/>
    <x v="3"/>
    <x v="8"/>
    <d v="2014-09-25T00:00:00"/>
    <n v="5"/>
    <x v="1"/>
    <s v="Dave Poirier"/>
    <x v="1"/>
    <m/>
    <s v="Los Angeles"/>
    <s v="California"/>
    <s v="West"/>
    <x v="2"/>
    <x v="11"/>
    <s v="Microsoft Natural Ergonomic Keyboard 4000"/>
    <x v="179"/>
    <n v="5"/>
    <n v="0"/>
    <n v="31.4895"/>
  </r>
  <r>
    <n v="6722"/>
    <x v="20"/>
    <x v="3"/>
    <x v="8"/>
    <d v="2014-09-25T00:00:00"/>
    <n v="5"/>
    <x v="1"/>
    <s v="Dave Poirier"/>
    <x v="1"/>
    <m/>
    <s v="Los Angeles"/>
    <s v="California"/>
    <s v="West"/>
    <x v="1"/>
    <x v="6"/>
    <s v="Boston 16765 Mini Stand Up Battery Pencil Sharpener"/>
    <x v="4434"/>
    <n v="2"/>
    <n v="0"/>
    <n v="6.0632000000000001"/>
  </r>
  <r>
    <n v="6723"/>
    <x v="20"/>
    <x v="3"/>
    <x v="8"/>
    <d v="2014-09-25T00:00:00"/>
    <n v="5"/>
    <x v="1"/>
    <s v="Dave Poirier"/>
    <x v="1"/>
    <m/>
    <s v="Los Angeles"/>
    <s v="California"/>
    <s v="West"/>
    <x v="1"/>
    <x v="6"/>
    <s v="Newell 33"/>
    <x v="80"/>
    <n v="3"/>
    <n v="0"/>
    <n v="4.8545999999999996"/>
  </r>
  <r>
    <n v="6724"/>
    <x v="507"/>
    <x v="3"/>
    <x v="8"/>
    <d v="2014-09-07T00:00:00"/>
    <n v="2"/>
    <x v="0"/>
    <s v="Vivian Mathis"/>
    <x v="0"/>
    <m/>
    <s v="Nashua"/>
    <s v="New Hampshire"/>
    <s v="East"/>
    <x v="1"/>
    <x v="13"/>
    <s v="Staples"/>
    <x v="1450"/>
    <n v="6"/>
    <n v="0"/>
    <n v="6.9653999999999998"/>
  </r>
  <r>
    <n v="6725"/>
    <x v="126"/>
    <x v="0"/>
    <x v="8"/>
    <d v="2013-09-17T00:00:00"/>
    <n v="4"/>
    <x v="1"/>
    <s v="Sarah Foster"/>
    <x v="0"/>
    <m/>
    <s v="Seattle"/>
    <s v="Washington"/>
    <s v="West"/>
    <x v="1"/>
    <x v="13"/>
    <s v="OIC Bulk Pack Metal Binder Clips"/>
    <x v="4435"/>
    <n v="3"/>
    <n v="0"/>
    <n v="4.8162000000000003"/>
  </r>
  <r>
    <n v="6726"/>
    <x v="126"/>
    <x v="0"/>
    <x v="8"/>
    <d v="2013-09-17T00:00:00"/>
    <n v="4"/>
    <x v="1"/>
    <s v="Sarah Foster"/>
    <x v="0"/>
    <m/>
    <s v="Seattle"/>
    <s v="Washington"/>
    <s v="West"/>
    <x v="1"/>
    <x v="2"/>
    <s v="Avery 487"/>
    <x v="466"/>
    <n v="3"/>
    <n v="0"/>
    <n v="5.2028999999999996"/>
  </r>
  <r>
    <n v="6727"/>
    <x v="126"/>
    <x v="0"/>
    <x v="8"/>
    <d v="2013-09-17T00:00:00"/>
    <n v="4"/>
    <x v="1"/>
    <s v="Sarah Foster"/>
    <x v="0"/>
    <m/>
    <s v="Seattle"/>
    <s v="Washington"/>
    <s v="West"/>
    <x v="1"/>
    <x v="8"/>
    <s v="GBC Instant Report Kit"/>
    <x v="4436"/>
    <n v="4"/>
    <n v="0.2"/>
    <n v="7.7640000000000002"/>
  </r>
  <r>
    <n v="6728"/>
    <x v="682"/>
    <x v="3"/>
    <x v="6"/>
    <d v="2014-08-16T00:00:00"/>
    <n v="5"/>
    <x v="0"/>
    <s v="Steve Chapman"/>
    <x v="1"/>
    <m/>
    <s v="Richmond"/>
    <s v="Indiana"/>
    <s v="Central"/>
    <x v="1"/>
    <x v="10"/>
    <s v="Xerox 1906"/>
    <x v="924"/>
    <n v="5"/>
    <n v="0"/>
    <n v="83.284000000000006"/>
  </r>
  <r>
    <n v="6729"/>
    <x v="254"/>
    <x v="0"/>
    <x v="0"/>
    <d v="2013-11-10T00:00:00"/>
    <n v="5"/>
    <x v="1"/>
    <s v="Maureen Fritzler"/>
    <x v="1"/>
    <m/>
    <s v="Miami"/>
    <s v="Florida"/>
    <s v="South"/>
    <x v="0"/>
    <x v="5"/>
    <s v="Ultra Door Pull Handle"/>
    <x v="4437"/>
    <n v="6"/>
    <n v="0.2"/>
    <n v="8.2056000000000004"/>
  </r>
  <r>
    <n v="6730"/>
    <x v="652"/>
    <x v="1"/>
    <x v="1"/>
    <d v="2012-06-20T00:00:00"/>
    <n v="2"/>
    <x v="2"/>
    <s v="Benjamin Venier"/>
    <x v="1"/>
    <m/>
    <s v="Smyrna"/>
    <s v="Tennessee"/>
    <s v="South"/>
    <x v="1"/>
    <x v="8"/>
    <s v="Avery Self-Adhesive Photo Pockets for Polaroid Photos"/>
    <x v="4438"/>
    <n v="3"/>
    <n v="0.7"/>
    <n v="-4.4946000000000002"/>
  </r>
  <r>
    <n v="6731"/>
    <x v="652"/>
    <x v="1"/>
    <x v="1"/>
    <d v="2012-06-20T00:00:00"/>
    <n v="2"/>
    <x v="2"/>
    <s v="Benjamin Venier"/>
    <x v="1"/>
    <m/>
    <s v="Smyrna"/>
    <s v="Tennessee"/>
    <s v="South"/>
    <x v="0"/>
    <x v="1"/>
    <s v="Global Leather Highback Executive Chair with Pneumatic Height Adjustment, Black"/>
    <x v="4439"/>
    <n v="4"/>
    <n v="0.2"/>
    <n v="56.2744"/>
  </r>
  <r>
    <n v="6732"/>
    <x v="652"/>
    <x v="1"/>
    <x v="1"/>
    <d v="2012-06-20T00:00:00"/>
    <n v="2"/>
    <x v="2"/>
    <s v="Benjamin Venier"/>
    <x v="1"/>
    <m/>
    <s v="Smyrna"/>
    <s v="Tennessee"/>
    <s v="South"/>
    <x v="1"/>
    <x v="10"/>
    <s v="Xerox 21"/>
    <x v="557"/>
    <n v="4"/>
    <n v="0.2"/>
    <n v="7.2576000000000001"/>
  </r>
  <r>
    <n v="6733"/>
    <x v="1129"/>
    <x v="2"/>
    <x v="7"/>
    <d v="2011-07-07T00:00:00"/>
    <n v="3"/>
    <x v="2"/>
    <s v="Katrina Edelman"/>
    <x v="1"/>
    <m/>
    <s v="Aurora"/>
    <s v="Colorado"/>
    <s v="West"/>
    <x v="1"/>
    <x v="10"/>
    <s v="Xerox 194"/>
    <x v="3380"/>
    <n v="4"/>
    <n v="0.2"/>
    <n v="62.137599999999999"/>
  </r>
  <r>
    <n v="6734"/>
    <x v="1129"/>
    <x v="2"/>
    <x v="7"/>
    <d v="2011-07-07T00:00:00"/>
    <n v="3"/>
    <x v="2"/>
    <s v="Katrina Edelman"/>
    <x v="1"/>
    <m/>
    <s v="Aurora"/>
    <s v="Colorado"/>
    <s v="West"/>
    <x v="1"/>
    <x v="9"/>
    <s v="Fellowes Mighty 8 Compact Surge Protector"/>
    <x v="4440"/>
    <n v="2"/>
    <n v="0.2"/>
    <n v="3.2431999999999999"/>
  </r>
  <r>
    <n v="6735"/>
    <x v="139"/>
    <x v="1"/>
    <x v="4"/>
    <d v="2012-12-25T00:00:00"/>
    <n v="5"/>
    <x v="1"/>
    <s v="Evan Minnotte"/>
    <x v="2"/>
    <m/>
    <s v="Miami"/>
    <s v="Florida"/>
    <s v="South"/>
    <x v="1"/>
    <x v="2"/>
    <s v="Avery 486"/>
    <x v="3190"/>
    <n v="2"/>
    <n v="0.2"/>
    <n v="3.9474"/>
  </r>
  <r>
    <n v="6736"/>
    <x v="342"/>
    <x v="0"/>
    <x v="3"/>
    <d v="2013-04-18T00:00:00"/>
    <n v="7"/>
    <x v="1"/>
    <s v="Brian Thompson"/>
    <x v="0"/>
    <m/>
    <s v="San Francisco"/>
    <s v="California"/>
    <s v="West"/>
    <x v="1"/>
    <x v="9"/>
    <s v="3M Replacement Filter for Office Air Cleaner for 20' x 33' Room"/>
    <x v="4441"/>
    <n v="3"/>
    <n v="0"/>
    <n v="44.366399999999999"/>
  </r>
  <r>
    <n v="6737"/>
    <x v="342"/>
    <x v="0"/>
    <x v="3"/>
    <d v="2013-04-18T00:00:00"/>
    <n v="7"/>
    <x v="1"/>
    <s v="Brian Thompson"/>
    <x v="0"/>
    <m/>
    <s v="San Francisco"/>
    <s v="California"/>
    <s v="West"/>
    <x v="1"/>
    <x v="4"/>
    <s v="Fellowes Staxonsteel Drawer Files"/>
    <x v="4246"/>
    <n v="3"/>
    <n v="0"/>
    <n v="81.131399999999999"/>
  </r>
  <r>
    <n v="6738"/>
    <x v="342"/>
    <x v="0"/>
    <x v="3"/>
    <d v="2013-04-18T00:00:00"/>
    <n v="7"/>
    <x v="1"/>
    <s v="Brian Thompson"/>
    <x v="0"/>
    <m/>
    <s v="San Francisco"/>
    <s v="California"/>
    <s v="West"/>
    <x v="1"/>
    <x v="4"/>
    <s v="Rogers Profile Extra Capacity Storage Tub"/>
    <x v="4442"/>
    <n v="9"/>
    <n v="0"/>
    <n v="6.0263999999999998"/>
  </r>
  <r>
    <n v="6739"/>
    <x v="342"/>
    <x v="0"/>
    <x v="3"/>
    <d v="2013-04-18T00:00:00"/>
    <n v="7"/>
    <x v="1"/>
    <s v="Brian Thompson"/>
    <x v="0"/>
    <m/>
    <s v="San Francisco"/>
    <s v="California"/>
    <s v="West"/>
    <x v="1"/>
    <x v="8"/>
    <s v="GBC Prepunched Paper, 19-Hole, for Binding Systems, 24-lb"/>
    <x v="4443"/>
    <n v="4"/>
    <n v="0.2"/>
    <n v="15.6104"/>
  </r>
  <r>
    <n v="6740"/>
    <x v="542"/>
    <x v="2"/>
    <x v="5"/>
    <d v="2011-05-31T00:00:00"/>
    <n v="5"/>
    <x v="1"/>
    <s v="Michelle Moray"/>
    <x v="0"/>
    <m/>
    <s v="Chicago"/>
    <s v="Illinois"/>
    <s v="Central"/>
    <x v="1"/>
    <x v="4"/>
    <s v="SAFCO Mobile Desk Side File, Wire Frame"/>
    <x v="4444"/>
    <n v="3"/>
    <n v="0.2"/>
    <n v="7.6967999999999996"/>
  </r>
  <r>
    <n v="6741"/>
    <x v="542"/>
    <x v="2"/>
    <x v="5"/>
    <d v="2011-05-31T00:00:00"/>
    <n v="5"/>
    <x v="1"/>
    <s v="Michelle Moray"/>
    <x v="0"/>
    <m/>
    <s v="Chicago"/>
    <s v="Illinois"/>
    <s v="Central"/>
    <x v="0"/>
    <x v="1"/>
    <s v="Global Commerce Series Low-Back Swivel/Tilt Chairs"/>
    <x v="4445"/>
    <n v="2"/>
    <n v="0.3"/>
    <n v="-5.1395999999999997"/>
  </r>
  <r>
    <n v="6742"/>
    <x v="542"/>
    <x v="2"/>
    <x v="5"/>
    <d v="2011-05-31T00:00:00"/>
    <n v="5"/>
    <x v="1"/>
    <s v="Michelle Moray"/>
    <x v="0"/>
    <m/>
    <s v="Chicago"/>
    <s v="Illinois"/>
    <s v="Central"/>
    <x v="1"/>
    <x v="6"/>
    <s v="DIXON Ticonderoga Erasable Checking Pencils"/>
    <x v="2513"/>
    <n v="3"/>
    <n v="0.2"/>
    <n v="3.1806000000000001"/>
  </r>
  <r>
    <n v="6743"/>
    <x v="91"/>
    <x v="3"/>
    <x v="7"/>
    <d v="2014-07-12T00:00:00"/>
    <n v="5"/>
    <x v="1"/>
    <s v="Patrick O'Brill"/>
    <x v="0"/>
    <m/>
    <s v="Los Angeles"/>
    <s v="California"/>
    <s v="West"/>
    <x v="0"/>
    <x v="1"/>
    <s v="Global Task Chair, Black"/>
    <x v="4446"/>
    <n v="3"/>
    <n v="0.2"/>
    <n v="-13.7403"/>
  </r>
  <r>
    <n v="6744"/>
    <x v="1130"/>
    <x v="1"/>
    <x v="11"/>
    <d v="2012-02-20T00:00:00"/>
    <n v="4"/>
    <x v="1"/>
    <s v="Sung Pak"/>
    <x v="1"/>
    <m/>
    <s v="Dover"/>
    <s v="New Hampshire"/>
    <s v="East"/>
    <x v="1"/>
    <x v="10"/>
    <s v="Xerox 1920"/>
    <x v="1197"/>
    <n v="6"/>
    <n v="0"/>
    <n v="16.146000000000001"/>
  </r>
  <r>
    <n v="6745"/>
    <x v="114"/>
    <x v="3"/>
    <x v="1"/>
    <d v="2014-06-19T00:00:00"/>
    <n v="2"/>
    <x v="0"/>
    <s v="Christine Sundaresam"/>
    <x v="0"/>
    <m/>
    <s v="Dublin"/>
    <s v="Ohio"/>
    <s v="East"/>
    <x v="2"/>
    <x v="11"/>
    <s v="Logitech Wireless Performance Mouse MX for PC and Mac"/>
    <x v="4447"/>
    <n v="6"/>
    <n v="0.2"/>
    <n v="107.9892"/>
  </r>
  <r>
    <n v="6746"/>
    <x v="114"/>
    <x v="3"/>
    <x v="1"/>
    <d v="2014-06-19T00:00:00"/>
    <n v="2"/>
    <x v="0"/>
    <s v="Christine Sundaresam"/>
    <x v="0"/>
    <m/>
    <s v="Dublin"/>
    <s v="Ohio"/>
    <s v="East"/>
    <x v="1"/>
    <x v="6"/>
    <s v="Newell 330"/>
    <x v="100"/>
    <n v="5"/>
    <n v="0.2"/>
    <n v="1.794"/>
  </r>
  <r>
    <n v="6747"/>
    <x v="38"/>
    <x v="3"/>
    <x v="0"/>
    <d v="2014-11-17T00:00:00"/>
    <n v="3"/>
    <x v="2"/>
    <s v="Ken Brennan"/>
    <x v="1"/>
    <m/>
    <s v="New York City"/>
    <s v="New York"/>
    <s v="East"/>
    <x v="2"/>
    <x v="7"/>
    <s v="Nokia Lumia 925"/>
    <x v="3125"/>
    <n v="5"/>
    <n v="0"/>
    <n v="163.78700000000001"/>
  </r>
  <r>
    <n v="6748"/>
    <x v="157"/>
    <x v="3"/>
    <x v="4"/>
    <d v="2014-12-16T00:00:00"/>
    <n v="4"/>
    <x v="1"/>
    <s v="Allen Armold"/>
    <x v="0"/>
    <m/>
    <s v="New York City"/>
    <s v="New York"/>
    <s v="East"/>
    <x v="1"/>
    <x v="8"/>
    <s v="Clear Mylar Reinforcing Strips"/>
    <x v="475"/>
    <n v="1"/>
    <n v="0.2"/>
    <n v="5.0462999999999996"/>
  </r>
  <r>
    <n v="6749"/>
    <x v="157"/>
    <x v="3"/>
    <x v="4"/>
    <d v="2014-12-16T00:00:00"/>
    <n v="4"/>
    <x v="1"/>
    <s v="Allen Armold"/>
    <x v="0"/>
    <m/>
    <s v="New York City"/>
    <s v="New York"/>
    <s v="East"/>
    <x v="1"/>
    <x v="10"/>
    <s v="Xerox 1895"/>
    <x v="1444"/>
    <n v="3"/>
    <n v="0"/>
    <n v="8.0730000000000004"/>
  </r>
  <r>
    <n v="6750"/>
    <x v="157"/>
    <x v="3"/>
    <x v="4"/>
    <d v="2014-12-16T00:00:00"/>
    <n v="4"/>
    <x v="1"/>
    <s v="Allen Armold"/>
    <x v="0"/>
    <m/>
    <s v="New York City"/>
    <s v="New York"/>
    <s v="East"/>
    <x v="2"/>
    <x v="7"/>
    <s v="Dexim XPower Skin Super-Thin Power Case for iPhone 5 - Black"/>
    <x v="4448"/>
    <n v="2"/>
    <n v="0"/>
    <n v="29.245000000000001"/>
  </r>
  <r>
    <n v="6751"/>
    <x v="931"/>
    <x v="0"/>
    <x v="1"/>
    <d v="2013-07-01T00:00:00"/>
    <n v="2"/>
    <x v="0"/>
    <s v="Becky Pak"/>
    <x v="0"/>
    <m/>
    <s v="Paterson"/>
    <s v="New Jersey"/>
    <s v="East"/>
    <x v="0"/>
    <x v="1"/>
    <s v="Global Armless Task Chair, Royal Blue"/>
    <x v="4174"/>
    <n v="2"/>
    <n v="0"/>
    <n v="20.7332"/>
  </r>
  <r>
    <n v="6752"/>
    <x v="931"/>
    <x v="0"/>
    <x v="1"/>
    <d v="2013-07-01T00:00:00"/>
    <n v="2"/>
    <x v="0"/>
    <s v="Becky Pak"/>
    <x v="0"/>
    <m/>
    <s v="Paterson"/>
    <s v="New Jersey"/>
    <s v="East"/>
    <x v="1"/>
    <x v="9"/>
    <s v="Disposable Triple-Filter Dust Bags"/>
    <x v="4449"/>
    <n v="2"/>
    <n v="0"/>
    <n v="2.2724000000000002"/>
  </r>
  <r>
    <n v="6753"/>
    <x v="931"/>
    <x v="0"/>
    <x v="1"/>
    <d v="2013-07-01T00:00:00"/>
    <n v="2"/>
    <x v="0"/>
    <s v="Becky Pak"/>
    <x v="0"/>
    <m/>
    <s v="Paterson"/>
    <s v="New Jersey"/>
    <s v="East"/>
    <x v="1"/>
    <x v="10"/>
    <s v="Xerox 1960"/>
    <x v="1156"/>
    <n v="2"/>
    <n v="0"/>
    <n v="27.882000000000001"/>
  </r>
  <r>
    <n v="6754"/>
    <x v="931"/>
    <x v="0"/>
    <x v="1"/>
    <d v="2013-07-01T00:00:00"/>
    <n v="2"/>
    <x v="0"/>
    <s v="Becky Pak"/>
    <x v="0"/>
    <m/>
    <s v="Paterson"/>
    <s v="New Jersey"/>
    <s v="East"/>
    <x v="1"/>
    <x v="8"/>
    <s v="Ibico Presentation Index for Binding Systems"/>
    <x v="1181"/>
    <n v="2"/>
    <n v="0"/>
    <n v="3.7412000000000001"/>
  </r>
  <r>
    <n v="6755"/>
    <x v="931"/>
    <x v="0"/>
    <x v="1"/>
    <d v="2013-07-01T00:00:00"/>
    <n v="2"/>
    <x v="0"/>
    <s v="Becky Pak"/>
    <x v="0"/>
    <m/>
    <s v="Paterson"/>
    <s v="New Jersey"/>
    <s v="East"/>
    <x v="1"/>
    <x v="9"/>
    <s v="Holmes Replacement Filter for HEPA Air Cleaner, Very Large Room, HEPA Filter"/>
    <x v="4450"/>
    <n v="4"/>
    <n v="0"/>
    <n v="121.1056"/>
  </r>
  <r>
    <n v="6756"/>
    <x v="175"/>
    <x v="3"/>
    <x v="8"/>
    <d v="2014-09-20T00:00:00"/>
    <n v="4"/>
    <x v="1"/>
    <s v="Theresa Coyne"/>
    <x v="1"/>
    <m/>
    <s v="Lakewood"/>
    <s v="New Jersey"/>
    <s v="East"/>
    <x v="0"/>
    <x v="5"/>
    <s v="DAX Two-Tone Rosewood/Black Document Frame, Desktop, 5 x 7"/>
    <x v="4451"/>
    <n v="5"/>
    <n v="0"/>
    <n v="18.96"/>
  </r>
  <r>
    <n v="6757"/>
    <x v="175"/>
    <x v="3"/>
    <x v="8"/>
    <d v="2014-09-20T00:00:00"/>
    <n v="4"/>
    <x v="1"/>
    <s v="Theresa Coyne"/>
    <x v="1"/>
    <m/>
    <s v="Lakewood"/>
    <s v="New Jersey"/>
    <s v="East"/>
    <x v="0"/>
    <x v="1"/>
    <s v="SAFCO Folding Chair Trolley"/>
    <x v="4452"/>
    <n v="4"/>
    <n v="0"/>
    <n v="143.62880000000001"/>
  </r>
  <r>
    <n v="6758"/>
    <x v="175"/>
    <x v="3"/>
    <x v="8"/>
    <d v="2014-09-20T00:00:00"/>
    <n v="4"/>
    <x v="1"/>
    <s v="Theresa Coyne"/>
    <x v="1"/>
    <m/>
    <s v="Lakewood"/>
    <s v="New Jersey"/>
    <s v="East"/>
    <x v="2"/>
    <x v="7"/>
    <s v="Plantronics 81402"/>
    <x v="4453"/>
    <n v="6"/>
    <n v="0"/>
    <n v="102.9444"/>
  </r>
  <r>
    <n v="6759"/>
    <x v="175"/>
    <x v="3"/>
    <x v="8"/>
    <d v="2014-09-20T00:00:00"/>
    <n v="4"/>
    <x v="1"/>
    <s v="Theresa Coyne"/>
    <x v="1"/>
    <m/>
    <s v="Lakewood"/>
    <s v="New Jersey"/>
    <s v="East"/>
    <x v="1"/>
    <x v="4"/>
    <s v="Contico 72&quot;H Heavy-Duty Storage System"/>
    <x v="3314"/>
    <n v="2"/>
    <n v="0"/>
    <n v="0"/>
  </r>
  <r>
    <n v="6760"/>
    <x v="574"/>
    <x v="3"/>
    <x v="4"/>
    <d v="2014-12-09T00:00:00"/>
    <n v="6"/>
    <x v="1"/>
    <s v="Barry Gonzalez"/>
    <x v="0"/>
    <m/>
    <s v="Greensboro"/>
    <s v="North Carolina"/>
    <s v="South"/>
    <x v="1"/>
    <x v="6"/>
    <s v="Sanford 52201 APSCO Electric Pencil Sharpener"/>
    <x v="3291"/>
    <n v="1"/>
    <n v="0.2"/>
    <n v="2.4582000000000002"/>
  </r>
  <r>
    <n v="6761"/>
    <x v="335"/>
    <x v="3"/>
    <x v="1"/>
    <d v="2014-07-01T00:00:00"/>
    <n v="4"/>
    <x v="1"/>
    <s v="Denny Ordway"/>
    <x v="0"/>
    <m/>
    <s v="New York City"/>
    <s v="New York"/>
    <s v="East"/>
    <x v="1"/>
    <x v="4"/>
    <s v="Safco Industrial Wire Shelving System"/>
    <x v="1042"/>
    <n v="3"/>
    <n v="0"/>
    <n v="0"/>
  </r>
  <r>
    <n v="6762"/>
    <x v="1131"/>
    <x v="0"/>
    <x v="7"/>
    <d v="2013-07-27T00:00:00"/>
    <n v="2"/>
    <x v="0"/>
    <s v="Darren Budd"/>
    <x v="1"/>
    <m/>
    <s v="New York City"/>
    <s v="New York"/>
    <s v="East"/>
    <x v="0"/>
    <x v="1"/>
    <s v="Office Star - Contemporary Swivel Chair with Padded Adjustable Arms and Flex Back"/>
    <x v="4454"/>
    <n v="2"/>
    <n v="0.1"/>
    <n v="31.015599999999999"/>
  </r>
  <r>
    <n v="6763"/>
    <x v="476"/>
    <x v="0"/>
    <x v="8"/>
    <d v="2013-09-09T00:00:00"/>
    <n v="6"/>
    <x v="1"/>
    <s v="Rob Lucas"/>
    <x v="0"/>
    <m/>
    <s v="Chicago"/>
    <s v="Illinois"/>
    <s v="Central"/>
    <x v="1"/>
    <x v="2"/>
    <s v="Self-Adhesive Address Labels for Typewriters by Universal"/>
    <x v="3119"/>
    <n v="5"/>
    <n v="0.2"/>
    <n v="9.8684999999999992"/>
  </r>
  <r>
    <n v="6764"/>
    <x v="476"/>
    <x v="0"/>
    <x v="8"/>
    <d v="2013-09-09T00:00:00"/>
    <n v="6"/>
    <x v="1"/>
    <s v="Rob Lucas"/>
    <x v="0"/>
    <m/>
    <s v="Chicago"/>
    <s v="Illinois"/>
    <s v="Central"/>
    <x v="1"/>
    <x v="4"/>
    <s v="Rogers Deluxe File Chest"/>
    <x v="200"/>
    <n v="2"/>
    <n v="0.2"/>
    <n v="-8.3523999999999994"/>
  </r>
  <r>
    <n v="6765"/>
    <x v="476"/>
    <x v="0"/>
    <x v="8"/>
    <d v="2013-09-09T00:00:00"/>
    <n v="6"/>
    <x v="1"/>
    <s v="Rob Lucas"/>
    <x v="0"/>
    <m/>
    <s v="Chicago"/>
    <s v="Illinois"/>
    <s v="Central"/>
    <x v="2"/>
    <x v="15"/>
    <s v="Okidata C610n Printer"/>
    <x v="4455"/>
    <n v="3"/>
    <n v="0.3"/>
    <n v="-19.47"/>
  </r>
  <r>
    <n v="6766"/>
    <x v="693"/>
    <x v="3"/>
    <x v="3"/>
    <d v="2014-04-25T00:00:00"/>
    <n v="4"/>
    <x v="1"/>
    <s v="Sarah Jordon"/>
    <x v="0"/>
    <m/>
    <s v="Chicago"/>
    <s v="Illinois"/>
    <s v="Central"/>
    <x v="0"/>
    <x v="1"/>
    <s v="DMI Arturo Collection Mission-style Design Wood Chair"/>
    <x v="2555"/>
    <n v="3"/>
    <n v="0.3"/>
    <n v="-18.117599999999999"/>
  </r>
  <r>
    <n v="6767"/>
    <x v="693"/>
    <x v="3"/>
    <x v="3"/>
    <d v="2014-04-25T00:00:00"/>
    <n v="4"/>
    <x v="1"/>
    <s v="Sarah Jordon"/>
    <x v="0"/>
    <m/>
    <s v="Chicago"/>
    <s v="Illinois"/>
    <s v="Central"/>
    <x v="1"/>
    <x v="6"/>
    <s v="Lumber Crayons"/>
    <x v="33"/>
    <n v="2"/>
    <n v="0.2"/>
    <n v="3.5459999999999998"/>
  </r>
  <r>
    <n v="6768"/>
    <x v="693"/>
    <x v="3"/>
    <x v="3"/>
    <d v="2014-04-25T00:00:00"/>
    <n v="4"/>
    <x v="1"/>
    <s v="Sarah Jordon"/>
    <x v="0"/>
    <m/>
    <s v="Chicago"/>
    <s v="Illinois"/>
    <s v="Central"/>
    <x v="0"/>
    <x v="5"/>
    <s v="Master Caster Door Stop, Large Neon Orange"/>
    <x v="58"/>
    <n v="5"/>
    <n v="0.6"/>
    <n v="-6.1879999999999997"/>
  </r>
  <r>
    <n v="6769"/>
    <x v="1132"/>
    <x v="2"/>
    <x v="6"/>
    <d v="2011-08-16T00:00:00"/>
    <n v="4"/>
    <x v="1"/>
    <s v="Charles Sheldon"/>
    <x v="1"/>
    <m/>
    <s v="Lakewood"/>
    <s v="New Jersey"/>
    <s v="East"/>
    <x v="1"/>
    <x v="8"/>
    <s v="Performers Binder/Pad Holder, Black"/>
    <x v="4456"/>
    <n v="7"/>
    <n v="0"/>
    <n v="98.105000000000004"/>
  </r>
  <r>
    <n v="6770"/>
    <x v="20"/>
    <x v="3"/>
    <x v="8"/>
    <d v="2014-09-24T00:00:00"/>
    <n v="4"/>
    <x v="1"/>
    <s v="Julie Prescott"/>
    <x v="2"/>
    <m/>
    <s v="Columbus"/>
    <s v="Georgia"/>
    <s v="South"/>
    <x v="1"/>
    <x v="6"/>
    <s v="SANFORD Major Accent Highlighters"/>
    <x v="3704"/>
    <n v="5"/>
    <n v="0"/>
    <n v="13.452"/>
  </r>
  <r>
    <n v="6771"/>
    <x v="34"/>
    <x v="3"/>
    <x v="4"/>
    <d v="2014-12-14T00:00:00"/>
    <n v="4"/>
    <x v="1"/>
    <s v="Nick Crebassa"/>
    <x v="1"/>
    <m/>
    <s v="Phoenix"/>
    <s v="Arizona"/>
    <s v="West"/>
    <x v="1"/>
    <x v="10"/>
    <s v="Multicolor Computer Printout Paper"/>
    <x v="1242"/>
    <n v="5"/>
    <n v="0.2"/>
    <n v="146.79"/>
  </r>
  <r>
    <n v="6772"/>
    <x v="34"/>
    <x v="3"/>
    <x v="4"/>
    <d v="2014-12-14T00:00:00"/>
    <n v="4"/>
    <x v="1"/>
    <s v="Nick Crebassa"/>
    <x v="1"/>
    <m/>
    <s v="Phoenix"/>
    <s v="Arizona"/>
    <s v="West"/>
    <x v="1"/>
    <x v="8"/>
    <s v="Acco Recycled 2&quot; Capacity Laser Printer Hanging Data Binders"/>
    <x v="4457"/>
    <n v="3"/>
    <n v="0.7"/>
    <n v="-9.9704999999999995"/>
  </r>
  <r>
    <n v="6773"/>
    <x v="254"/>
    <x v="0"/>
    <x v="0"/>
    <d v="2013-11-09T00:00:00"/>
    <n v="4"/>
    <x v="1"/>
    <s v="Carl Weiss"/>
    <x v="2"/>
    <m/>
    <s v="Los Angeles"/>
    <s v="California"/>
    <s v="West"/>
    <x v="1"/>
    <x v="8"/>
    <s v="Tuff Stuff Recycled Round Ring Binders"/>
    <x v="323"/>
    <n v="2"/>
    <n v="0.2"/>
    <n v="2.7955999999999999"/>
  </r>
  <r>
    <n v="6774"/>
    <x v="254"/>
    <x v="0"/>
    <x v="0"/>
    <d v="2013-11-09T00:00:00"/>
    <n v="4"/>
    <x v="1"/>
    <s v="Carl Weiss"/>
    <x v="2"/>
    <m/>
    <s v="Los Angeles"/>
    <s v="California"/>
    <s v="West"/>
    <x v="1"/>
    <x v="8"/>
    <s v="Acco Economy Flexible Poly Round Ring Binder"/>
    <x v="4458"/>
    <n v="1"/>
    <n v="0.2"/>
    <n v="1.3049999999999999"/>
  </r>
  <r>
    <n v="6775"/>
    <x v="254"/>
    <x v="0"/>
    <x v="0"/>
    <d v="2013-11-09T00:00:00"/>
    <n v="4"/>
    <x v="1"/>
    <s v="Carl Weiss"/>
    <x v="2"/>
    <m/>
    <s v="Los Angeles"/>
    <s v="California"/>
    <s v="West"/>
    <x v="1"/>
    <x v="10"/>
    <s v="Xerox 229"/>
    <x v="783"/>
    <n v="6"/>
    <n v="0"/>
    <n v="18.662400000000002"/>
  </r>
  <r>
    <n v="6776"/>
    <x v="368"/>
    <x v="1"/>
    <x v="10"/>
    <d v="2012-04-04T00:00:00"/>
    <n v="6"/>
    <x v="1"/>
    <s v="Chad McGuire"/>
    <x v="0"/>
    <m/>
    <s v="New York City"/>
    <s v="New York"/>
    <s v="East"/>
    <x v="1"/>
    <x v="10"/>
    <s v="Ampad Gold Fibre Wirebound Steno Books, 6&quot; x 9&quot;, Gregg Ruled"/>
    <x v="4459"/>
    <n v="4"/>
    <n v="0"/>
    <n v="8.1143999999999998"/>
  </r>
  <r>
    <n v="6777"/>
    <x v="64"/>
    <x v="0"/>
    <x v="8"/>
    <d v="2013-09-12T00:00:00"/>
    <n v="6"/>
    <x v="1"/>
    <s v="Pete Takahito"/>
    <x v="0"/>
    <m/>
    <s v="San Antonio"/>
    <s v="Texas"/>
    <s v="Central"/>
    <x v="1"/>
    <x v="4"/>
    <s v="Eldon Base for stackable storage shelf, platinum"/>
    <x v="4460"/>
    <n v="3"/>
    <n v="0.2"/>
    <n v="-17.523"/>
  </r>
  <r>
    <n v="6778"/>
    <x v="480"/>
    <x v="3"/>
    <x v="9"/>
    <d v="2014-02-02T00:00:00"/>
    <n v="4"/>
    <x v="1"/>
    <s v="Craig Leslie"/>
    <x v="2"/>
    <m/>
    <s v="New York City"/>
    <s v="New York"/>
    <s v="East"/>
    <x v="2"/>
    <x v="11"/>
    <s v="Plantronics Audio 478 Stereo USB Headset"/>
    <x v="4461"/>
    <n v="9"/>
    <n v="0"/>
    <n v="157.46850000000001"/>
  </r>
  <r>
    <n v="6779"/>
    <x v="323"/>
    <x v="0"/>
    <x v="8"/>
    <d v="2013-09-09T00:00:00"/>
    <n v="5"/>
    <x v="0"/>
    <s v="Herbert Flentye"/>
    <x v="0"/>
    <m/>
    <s v="Baltimore"/>
    <s v="Maryland"/>
    <s v="East"/>
    <x v="0"/>
    <x v="0"/>
    <s v="Sauder Camden County Collection Libraries, Planked Cherry Finish"/>
    <x v="4462"/>
    <n v="3"/>
    <n v="0"/>
    <n v="31.044599999999999"/>
  </r>
  <r>
    <n v="6780"/>
    <x v="323"/>
    <x v="0"/>
    <x v="8"/>
    <d v="2013-09-09T00:00:00"/>
    <n v="5"/>
    <x v="0"/>
    <s v="Herbert Flentye"/>
    <x v="0"/>
    <m/>
    <s v="Baltimore"/>
    <s v="Maryland"/>
    <s v="East"/>
    <x v="0"/>
    <x v="5"/>
    <s v="Eldon Expressions Wood Desk Accessories, Oak"/>
    <x v="1787"/>
    <n v="2"/>
    <n v="0"/>
    <n v="4.2804000000000002"/>
  </r>
  <r>
    <n v="6781"/>
    <x v="323"/>
    <x v="0"/>
    <x v="8"/>
    <d v="2013-09-09T00:00:00"/>
    <n v="5"/>
    <x v="0"/>
    <s v="Herbert Flentye"/>
    <x v="0"/>
    <m/>
    <s v="Baltimore"/>
    <s v="Maryland"/>
    <s v="East"/>
    <x v="1"/>
    <x v="8"/>
    <s v="Acco Expandable Hanging Binders"/>
    <x v="1022"/>
    <n v="2"/>
    <n v="0"/>
    <n v="5.8696000000000002"/>
  </r>
  <r>
    <n v="6782"/>
    <x v="323"/>
    <x v="0"/>
    <x v="8"/>
    <d v="2013-09-09T00:00:00"/>
    <n v="5"/>
    <x v="0"/>
    <s v="Herbert Flentye"/>
    <x v="0"/>
    <m/>
    <s v="Baltimore"/>
    <s v="Maryland"/>
    <s v="East"/>
    <x v="1"/>
    <x v="2"/>
    <s v="Avery 486"/>
    <x v="2003"/>
    <n v="8"/>
    <n v="0"/>
    <n v="27.485600000000002"/>
  </r>
  <r>
    <n v="6783"/>
    <x v="800"/>
    <x v="3"/>
    <x v="7"/>
    <d v="2014-07-29T00:00:00"/>
    <n v="3"/>
    <x v="0"/>
    <s v="John Castell"/>
    <x v="0"/>
    <m/>
    <s v="Philadelphia"/>
    <s v="Pennsylvania"/>
    <s v="East"/>
    <x v="0"/>
    <x v="5"/>
    <s v="Eldon 200 Class Desk Accessories"/>
    <x v="4463"/>
    <n v="4"/>
    <n v="0.2"/>
    <n v="3.0144000000000002"/>
  </r>
  <r>
    <n v="6784"/>
    <x v="800"/>
    <x v="3"/>
    <x v="7"/>
    <d v="2014-07-29T00:00:00"/>
    <n v="3"/>
    <x v="0"/>
    <s v="John Castell"/>
    <x v="0"/>
    <m/>
    <s v="Philadelphia"/>
    <s v="Pennsylvania"/>
    <s v="East"/>
    <x v="1"/>
    <x v="14"/>
    <s v="Acme Galleria Hot Forged Steel Scissors with Colored Handles"/>
    <x v="4464"/>
    <n v="3"/>
    <n v="0.2"/>
    <n v="4.2470999999999997"/>
  </r>
  <r>
    <n v="6785"/>
    <x v="800"/>
    <x v="3"/>
    <x v="7"/>
    <d v="2014-07-29T00:00:00"/>
    <n v="3"/>
    <x v="0"/>
    <s v="John Castell"/>
    <x v="0"/>
    <m/>
    <s v="Philadelphia"/>
    <s v="Pennsylvania"/>
    <s v="East"/>
    <x v="0"/>
    <x v="3"/>
    <s v="Bush Cubix Conference Tables, Fully Assembled"/>
    <x v="4465"/>
    <n v="1"/>
    <n v="0.4"/>
    <n v="-34.646999999999998"/>
  </r>
  <r>
    <n v="6786"/>
    <x v="800"/>
    <x v="3"/>
    <x v="7"/>
    <d v="2014-07-29T00:00:00"/>
    <n v="3"/>
    <x v="0"/>
    <s v="John Castell"/>
    <x v="0"/>
    <m/>
    <s v="Philadelphia"/>
    <s v="Pennsylvania"/>
    <s v="East"/>
    <x v="1"/>
    <x v="4"/>
    <s v="Fellowes Bankers Box Staxonsteel Drawer File/Stacking System"/>
    <x v="4466"/>
    <n v="5"/>
    <n v="0.2"/>
    <n v="-25.992000000000001"/>
  </r>
  <r>
    <n v="6787"/>
    <x v="800"/>
    <x v="3"/>
    <x v="7"/>
    <d v="2014-07-29T00:00:00"/>
    <n v="3"/>
    <x v="0"/>
    <s v="John Castell"/>
    <x v="0"/>
    <m/>
    <s v="Philadelphia"/>
    <s v="Pennsylvania"/>
    <s v="East"/>
    <x v="1"/>
    <x v="10"/>
    <s v="Xerox 216"/>
    <x v="557"/>
    <n v="4"/>
    <n v="0.2"/>
    <n v="7.2576000000000001"/>
  </r>
  <r>
    <n v="6788"/>
    <x v="1023"/>
    <x v="1"/>
    <x v="8"/>
    <d v="2012-09-20T00:00:00"/>
    <n v="7"/>
    <x v="1"/>
    <s v="Jonathan Howell"/>
    <x v="0"/>
    <m/>
    <s v="Atlanta"/>
    <s v="Georgia"/>
    <s v="South"/>
    <x v="0"/>
    <x v="5"/>
    <s v="Eldon Advantage Chair Mats for Low to Medium Pile Carpets"/>
    <x v="2073"/>
    <n v="3"/>
    <n v="0"/>
    <n v="12.993"/>
  </r>
  <r>
    <n v="6789"/>
    <x v="1023"/>
    <x v="1"/>
    <x v="8"/>
    <d v="2012-09-20T00:00:00"/>
    <n v="7"/>
    <x v="1"/>
    <s v="Jonathan Howell"/>
    <x v="0"/>
    <m/>
    <s v="Atlanta"/>
    <s v="Georgia"/>
    <s v="South"/>
    <x v="1"/>
    <x v="10"/>
    <s v="Xerox 1948"/>
    <x v="1546"/>
    <n v="7"/>
    <n v="0"/>
    <n v="31.468499999999999"/>
  </r>
  <r>
    <n v="6790"/>
    <x v="67"/>
    <x v="1"/>
    <x v="8"/>
    <d v="2012-09-09T00:00:00"/>
    <n v="2"/>
    <x v="0"/>
    <s v="Corey Catlett"/>
    <x v="1"/>
    <m/>
    <s v="Durham"/>
    <s v="North Carolina"/>
    <s v="South"/>
    <x v="1"/>
    <x v="6"/>
    <s v="Boston 1645 Deluxe Heavier-Duty Electric Pencil Sharpener"/>
    <x v="1182"/>
    <n v="4"/>
    <n v="0.2"/>
    <n v="12.314399999999999"/>
  </r>
  <r>
    <n v="6791"/>
    <x v="76"/>
    <x v="0"/>
    <x v="0"/>
    <d v="2013-11-18T00:00:00"/>
    <n v="1"/>
    <x v="2"/>
    <s v="Ionia McGrath"/>
    <x v="0"/>
    <m/>
    <s v="Roseville"/>
    <s v="California"/>
    <s v="West"/>
    <x v="1"/>
    <x v="8"/>
    <s v="Round Ring Binders"/>
    <x v="1350"/>
    <n v="5"/>
    <n v="0.2"/>
    <n v="2.8079999999999998"/>
  </r>
  <r>
    <n v="6792"/>
    <x v="338"/>
    <x v="0"/>
    <x v="0"/>
    <d v="2013-11-16T00:00:00"/>
    <n v="5"/>
    <x v="1"/>
    <s v="Ben Ferrer"/>
    <x v="2"/>
    <m/>
    <s v="Sacramento"/>
    <s v="California"/>
    <s v="West"/>
    <x v="0"/>
    <x v="5"/>
    <s v="Eldon Expressions Wood and Plastic Desk Accessories, Oak"/>
    <x v="2966"/>
    <n v="1"/>
    <n v="0"/>
    <n v="2.7944"/>
  </r>
  <r>
    <n v="6793"/>
    <x v="860"/>
    <x v="2"/>
    <x v="6"/>
    <d v="2011-08-18T00:00:00"/>
    <n v="3"/>
    <x v="2"/>
    <s v="Christine Sundaresam"/>
    <x v="0"/>
    <m/>
    <s v="Fairfield"/>
    <s v="Connecticut"/>
    <s v="East"/>
    <x v="1"/>
    <x v="8"/>
    <s v="Premium Transparent Presentation Covers by GBC"/>
    <x v="2714"/>
    <n v="3"/>
    <n v="0"/>
    <n v="30.211200000000002"/>
  </r>
  <r>
    <n v="6794"/>
    <x v="547"/>
    <x v="1"/>
    <x v="0"/>
    <d v="2012-11-20T00:00:00"/>
    <n v="4"/>
    <x v="1"/>
    <s v="Matt Connell"/>
    <x v="1"/>
    <m/>
    <s v="Chicago"/>
    <s v="Illinois"/>
    <s v="Central"/>
    <x v="1"/>
    <x v="4"/>
    <s v="Neat Ideas Personal Hanging Folder Files, Black"/>
    <x v="4467"/>
    <n v="2"/>
    <n v="0.2"/>
    <n v="1.6115999999999999"/>
  </r>
  <r>
    <n v="6795"/>
    <x v="547"/>
    <x v="1"/>
    <x v="0"/>
    <d v="2012-11-20T00:00:00"/>
    <n v="4"/>
    <x v="1"/>
    <s v="Matt Connell"/>
    <x v="1"/>
    <m/>
    <s v="Chicago"/>
    <s v="Illinois"/>
    <s v="Central"/>
    <x v="2"/>
    <x v="7"/>
    <s v="HTC One"/>
    <x v="1946"/>
    <n v="3"/>
    <n v="0.2"/>
    <n v="26.997299999999999"/>
  </r>
  <r>
    <n v="6796"/>
    <x v="547"/>
    <x v="1"/>
    <x v="0"/>
    <d v="2012-11-20T00:00:00"/>
    <n v="4"/>
    <x v="1"/>
    <s v="Matt Connell"/>
    <x v="1"/>
    <m/>
    <s v="Chicago"/>
    <s v="Illinois"/>
    <s v="Central"/>
    <x v="0"/>
    <x v="5"/>
    <s v="Howard Miller 11-1/2&quot; Diameter Brentwood Wall Clock"/>
    <x v="523"/>
    <n v="2"/>
    <n v="0.6"/>
    <n v="-15.5268"/>
  </r>
  <r>
    <n v="6797"/>
    <x v="767"/>
    <x v="1"/>
    <x v="6"/>
    <d v="2012-08-25T00:00:00"/>
    <n v="0"/>
    <x v="3"/>
    <s v="Mick Crebagga"/>
    <x v="0"/>
    <m/>
    <s v="Houston"/>
    <s v="Texas"/>
    <s v="Central"/>
    <x v="0"/>
    <x v="5"/>
    <s v="Eldon Executive Woodline II Desk Accessories, Mahogany"/>
    <x v="1839"/>
    <n v="2"/>
    <n v="0.6"/>
    <n v="-16.585799999999999"/>
  </r>
  <r>
    <n v="6798"/>
    <x v="767"/>
    <x v="1"/>
    <x v="6"/>
    <d v="2012-08-25T00:00:00"/>
    <n v="0"/>
    <x v="3"/>
    <s v="Mick Crebagga"/>
    <x v="0"/>
    <m/>
    <s v="Houston"/>
    <s v="Texas"/>
    <s v="Central"/>
    <x v="1"/>
    <x v="8"/>
    <s v="Poly Designer Cover &amp; Back"/>
    <x v="3497"/>
    <n v="1"/>
    <n v="0.8"/>
    <n v="-6.0768000000000004"/>
  </r>
  <r>
    <n v="6799"/>
    <x v="767"/>
    <x v="1"/>
    <x v="6"/>
    <d v="2012-08-25T00:00:00"/>
    <n v="0"/>
    <x v="3"/>
    <s v="Mick Crebagga"/>
    <x v="0"/>
    <m/>
    <s v="Houston"/>
    <s v="Texas"/>
    <s v="Central"/>
    <x v="0"/>
    <x v="5"/>
    <s v="Nu-Dell EZ-Mount Plastic Wall Frames"/>
    <x v="2273"/>
    <n v="5"/>
    <n v="0.6"/>
    <n v="-3.94"/>
  </r>
  <r>
    <n v="6800"/>
    <x v="591"/>
    <x v="0"/>
    <x v="4"/>
    <d v="2014-01-02T00:00:00"/>
    <n v="7"/>
    <x v="1"/>
    <s v="Laurel Workman"/>
    <x v="1"/>
    <m/>
    <s v="Phoenix"/>
    <s v="Arizona"/>
    <s v="West"/>
    <x v="0"/>
    <x v="3"/>
    <s v="KI Conference Tables"/>
    <x v="4468"/>
    <n v="1"/>
    <n v="0.5"/>
    <n v="-24.102599999999999"/>
  </r>
  <r>
    <n v="6801"/>
    <x v="591"/>
    <x v="0"/>
    <x v="4"/>
    <d v="2014-01-02T00:00:00"/>
    <n v="7"/>
    <x v="1"/>
    <s v="Laurel Workman"/>
    <x v="1"/>
    <m/>
    <s v="Phoenix"/>
    <s v="Arizona"/>
    <s v="West"/>
    <x v="2"/>
    <x v="15"/>
    <s v="Panasonic KX MC6040 Color Laser Multifunction Printer"/>
    <x v="1720"/>
    <n v="2"/>
    <n v="0.7"/>
    <n v="-386.95699999999999"/>
  </r>
  <r>
    <n v="6802"/>
    <x v="591"/>
    <x v="0"/>
    <x v="4"/>
    <d v="2014-01-02T00:00:00"/>
    <n v="7"/>
    <x v="1"/>
    <s v="Laurel Workman"/>
    <x v="1"/>
    <m/>
    <s v="Phoenix"/>
    <s v="Arizona"/>
    <s v="West"/>
    <x v="2"/>
    <x v="11"/>
    <s v="Imation Clip USB flash drive - 8 GB"/>
    <x v="4469"/>
    <n v="3"/>
    <n v="0.2"/>
    <n v="-7.8959999999999999"/>
  </r>
  <r>
    <n v="6803"/>
    <x v="591"/>
    <x v="0"/>
    <x v="4"/>
    <d v="2014-01-02T00:00:00"/>
    <n v="7"/>
    <x v="1"/>
    <s v="Laurel Workman"/>
    <x v="1"/>
    <m/>
    <s v="Phoenix"/>
    <s v="Arizona"/>
    <s v="West"/>
    <x v="2"/>
    <x v="11"/>
    <s v="Hypercom P1300 Pinpad"/>
    <x v="4470"/>
    <n v="2"/>
    <n v="0.2"/>
    <n v="21.42"/>
  </r>
  <r>
    <n v="6804"/>
    <x v="591"/>
    <x v="0"/>
    <x v="4"/>
    <d v="2014-01-02T00:00:00"/>
    <n v="7"/>
    <x v="1"/>
    <s v="Laurel Workman"/>
    <x v="1"/>
    <m/>
    <s v="Phoenix"/>
    <s v="Arizona"/>
    <s v="West"/>
    <x v="0"/>
    <x v="1"/>
    <s v="Global Stack Chair with Arms, Black"/>
    <x v="4471"/>
    <n v="2"/>
    <n v="0.2"/>
    <n v="4.1971999999999996"/>
  </r>
  <r>
    <n v="6805"/>
    <x v="1082"/>
    <x v="2"/>
    <x v="2"/>
    <d v="2011-10-06T00:00:00"/>
    <n v="1"/>
    <x v="2"/>
    <s v="Keith Herrera"/>
    <x v="0"/>
    <m/>
    <s v="Pomona"/>
    <s v="California"/>
    <s v="West"/>
    <x v="2"/>
    <x v="11"/>
    <s v="Plantronics Audio 478 Stereo USB Headset"/>
    <x v="2564"/>
    <n v="2"/>
    <n v="0"/>
    <n v="34.993000000000002"/>
  </r>
  <r>
    <n v="6806"/>
    <x v="754"/>
    <x v="2"/>
    <x v="0"/>
    <d v="2011-11-25T00:00:00"/>
    <n v="3"/>
    <x v="2"/>
    <s v="Robert Barroso"/>
    <x v="1"/>
    <m/>
    <s v="Atlanta"/>
    <s v="Georgia"/>
    <s v="South"/>
    <x v="1"/>
    <x v="10"/>
    <s v="Hammermill CopyPlus Copy Paper (20Lb. and 84 Bright)"/>
    <x v="739"/>
    <n v="2"/>
    <n v="0"/>
    <n v="4.8803999999999998"/>
  </r>
  <r>
    <n v="6807"/>
    <x v="53"/>
    <x v="3"/>
    <x v="4"/>
    <d v="2014-12-30T00:00:00"/>
    <n v="4"/>
    <x v="1"/>
    <s v="Giulietta Dortch"/>
    <x v="1"/>
    <m/>
    <s v="Everett"/>
    <s v="Washington"/>
    <s v="West"/>
    <x v="1"/>
    <x v="8"/>
    <s v="Tuff Stuff Recycled Round Ring Binders"/>
    <x v="4472"/>
    <n v="1"/>
    <n v="0.2"/>
    <n v="1.3977999999999999"/>
  </r>
  <r>
    <n v="6808"/>
    <x v="1052"/>
    <x v="1"/>
    <x v="10"/>
    <d v="2012-04-05T00:00:00"/>
    <n v="5"/>
    <x v="1"/>
    <s v="Ed Braxton"/>
    <x v="1"/>
    <m/>
    <s v="Houston"/>
    <s v="Texas"/>
    <s v="Central"/>
    <x v="1"/>
    <x v="10"/>
    <s v="White Dual Perf Computer Printout Paper, 2700 Sheets, 1 Part, Heavyweight, 20 lbs., 14 7/8 x 11"/>
    <x v="3874"/>
    <n v="3"/>
    <n v="0.2"/>
    <n v="35.661299999999997"/>
  </r>
  <r>
    <n v="6809"/>
    <x v="1052"/>
    <x v="1"/>
    <x v="10"/>
    <d v="2012-04-05T00:00:00"/>
    <n v="5"/>
    <x v="1"/>
    <s v="Ed Braxton"/>
    <x v="1"/>
    <m/>
    <s v="Houston"/>
    <s v="Texas"/>
    <s v="Central"/>
    <x v="0"/>
    <x v="5"/>
    <s v="3M Polarizing Light Filter Sleeves"/>
    <x v="1044"/>
    <n v="3"/>
    <n v="0.6"/>
    <n v="-7.8330000000000002"/>
  </r>
  <r>
    <n v="6810"/>
    <x v="32"/>
    <x v="3"/>
    <x v="8"/>
    <d v="2014-09-16T00:00:00"/>
    <n v="1"/>
    <x v="2"/>
    <s v="Pamela Stobb"/>
    <x v="0"/>
    <m/>
    <s v="Philadelphia"/>
    <s v="Pennsylvania"/>
    <s v="East"/>
    <x v="1"/>
    <x v="8"/>
    <s v="GBC Instant Report Kit"/>
    <x v="2350"/>
    <n v="2"/>
    <n v="0.7"/>
    <n v="-2.5880000000000001"/>
  </r>
  <r>
    <n v="6811"/>
    <x v="32"/>
    <x v="3"/>
    <x v="8"/>
    <d v="2014-09-16T00:00:00"/>
    <n v="1"/>
    <x v="2"/>
    <s v="Pamela Stobb"/>
    <x v="0"/>
    <m/>
    <s v="Philadelphia"/>
    <s v="Pennsylvania"/>
    <s v="East"/>
    <x v="2"/>
    <x v="15"/>
    <s v="Ricoh - Ink Collector Unit for GX3000 Series Printers"/>
    <x v="4473"/>
    <n v="1"/>
    <n v="0.7"/>
    <n v="-18.038499999999999"/>
  </r>
  <r>
    <n v="6812"/>
    <x v="32"/>
    <x v="3"/>
    <x v="8"/>
    <d v="2014-09-16T00:00:00"/>
    <n v="1"/>
    <x v="2"/>
    <s v="Pamela Stobb"/>
    <x v="0"/>
    <m/>
    <s v="Philadelphia"/>
    <s v="Pennsylvania"/>
    <s v="East"/>
    <x v="0"/>
    <x v="1"/>
    <s v="Office Star - Ergonomically Designed Knee Chair"/>
    <x v="4474"/>
    <n v="2"/>
    <n v="0.3"/>
    <n v="-29.152799999999999"/>
  </r>
  <r>
    <n v="6813"/>
    <x v="32"/>
    <x v="3"/>
    <x v="8"/>
    <d v="2014-09-16T00:00:00"/>
    <n v="1"/>
    <x v="2"/>
    <s v="Pamela Stobb"/>
    <x v="0"/>
    <m/>
    <s v="Philadelphia"/>
    <s v="Pennsylvania"/>
    <s v="East"/>
    <x v="1"/>
    <x v="8"/>
    <s v="Aluminum Screw Posts"/>
    <x v="4475"/>
    <n v="4"/>
    <n v="0.7"/>
    <n v="-12.208"/>
  </r>
  <r>
    <n v="6814"/>
    <x v="32"/>
    <x v="3"/>
    <x v="8"/>
    <d v="2014-09-16T00:00:00"/>
    <n v="1"/>
    <x v="2"/>
    <s v="Pamela Stobb"/>
    <x v="0"/>
    <m/>
    <s v="Philadelphia"/>
    <s v="Pennsylvania"/>
    <s v="East"/>
    <x v="0"/>
    <x v="5"/>
    <s v="Tensor Track Tree Floor Lamp"/>
    <x v="4476"/>
    <n v="8"/>
    <n v="0.2"/>
    <n v="4.7976000000000001"/>
  </r>
  <r>
    <n v="6815"/>
    <x v="32"/>
    <x v="3"/>
    <x v="8"/>
    <d v="2014-09-16T00:00:00"/>
    <n v="1"/>
    <x v="2"/>
    <s v="Pamela Stobb"/>
    <x v="0"/>
    <m/>
    <s v="Philadelphia"/>
    <s v="Pennsylvania"/>
    <s v="East"/>
    <x v="2"/>
    <x v="15"/>
    <s v="Lexmark MarkNet N8150 Wireless Print Server"/>
    <x v="4477"/>
    <n v="2"/>
    <n v="0.7"/>
    <n v="-168.81899999999999"/>
  </r>
  <r>
    <n v="6816"/>
    <x v="1103"/>
    <x v="2"/>
    <x v="1"/>
    <d v="2011-06-21T00:00:00"/>
    <n v="4"/>
    <x v="1"/>
    <s v="Gary Hwang"/>
    <x v="0"/>
    <m/>
    <s v="Seattle"/>
    <s v="Washington"/>
    <s v="West"/>
    <x v="0"/>
    <x v="5"/>
    <s v="Eldon Wave Desk Accessories"/>
    <x v="869"/>
    <n v="3"/>
    <n v="0"/>
    <n v="2.6208"/>
  </r>
  <r>
    <n v="6817"/>
    <x v="1103"/>
    <x v="2"/>
    <x v="1"/>
    <d v="2011-06-21T00:00:00"/>
    <n v="4"/>
    <x v="1"/>
    <s v="Gary Hwang"/>
    <x v="0"/>
    <m/>
    <s v="Seattle"/>
    <s v="Washington"/>
    <s v="West"/>
    <x v="1"/>
    <x v="13"/>
    <s v="OIC Binder Clips"/>
    <x v="1488"/>
    <n v="5"/>
    <n v="0"/>
    <n v="8.9499999999999993"/>
  </r>
  <r>
    <n v="6818"/>
    <x v="1103"/>
    <x v="2"/>
    <x v="1"/>
    <d v="2011-06-21T00:00:00"/>
    <n v="4"/>
    <x v="1"/>
    <s v="Gary Hwang"/>
    <x v="0"/>
    <m/>
    <s v="Seattle"/>
    <s v="Washington"/>
    <s v="West"/>
    <x v="1"/>
    <x v="8"/>
    <s v="GBC DocuBind P400 Electric Binding System"/>
    <x v="4478"/>
    <n v="3"/>
    <n v="0.2"/>
    <n v="1061.5722000000001"/>
  </r>
  <r>
    <n v="6819"/>
    <x v="116"/>
    <x v="3"/>
    <x v="4"/>
    <d v="2015-01-02T00:00:00"/>
    <n v="4"/>
    <x v="1"/>
    <s v="Lori Olson"/>
    <x v="1"/>
    <m/>
    <s v="Peoria"/>
    <s v="Illinois"/>
    <s v="Central"/>
    <x v="1"/>
    <x v="8"/>
    <s v="Computer Printout Index Tabs"/>
    <x v="61"/>
    <n v="5"/>
    <n v="0.8"/>
    <n v="-2.6880000000000002"/>
  </r>
  <r>
    <n v="6820"/>
    <x v="116"/>
    <x v="3"/>
    <x v="4"/>
    <d v="2015-01-02T00:00:00"/>
    <n v="4"/>
    <x v="1"/>
    <s v="Lori Olson"/>
    <x v="1"/>
    <m/>
    <s v="Peoria"/>
    <s v="Illinois"/>
    <s v="Central"/>
    <x v="0"/>
    <x v="5"/>
    <s v="G.E. Longer-Life Indoor Recessed Floodlight Bulbs"/>
    <x v="885"/>
    <n v="3"/>
    <n v="0.6"/>
    <n v="-2.3904000000000001"/>
  </r>
  <r>
    <n v="6821"/>
    <x v="116"/>
    <x v="3"/>
    <x v="4"/>
    <d v="2015-01-02T00:00:00"/>
    <n v="4"/>
    <x v="1"/>
    <s v="Lori Olson"/>
    <x v="1"/>
    <m/>
    <s v="Peoria"/>
    <s v="Illinois"/>
    <s v="Central"/>
    <x v="0"/>
    <x v="1"/>
    <s v="Padded Folding Chairs, Black, 4/Carton"/>
    <x v="4474"/>
    <n v="2"/>
    <n v="0.3"/>
    <n v="-3.2391999999999999"/>
  </r>
  <r>
    <n v="6822"/>
    <x v="116"/>
    <x v="3"/>
    <x v="4"/>
    <d v="2015-01-02T00:00:00"/>
    <n v="4"/>
    <x v="1"/>
    <s v="Lori Olson"/>
    <x v="1"/>
    <m/>
    <s v="Peoria"/>
    <s v="Illinois"/>
    <s v="Central"/>
    <x v="0"/>
    <x v="5"/>
    <s v="3M Hangers With Command Adhesive"/>
    <x v="366"/>
    <n v="2"/>
    <n v="0.6"/>
    <n v="-1.4059999999999999"/>
  </r>
  <r>
    <n v="6823"/>
    <x v="808"/>
    <x v="3"/>
    <x v="0"/>
    <d v="2014-11-08T00:00:00"/>
    <n v="5"/>
    <x v="1"/>
    <s v="Cindy Stewart"/>
    <x v="0"/>
    <m/>
    <s v="Los Angeles"/>
    <s v="California"/>
    <s v="West"/>
    <x v="1"/>
    <x v="9"/>
    <s v="Fellowes 8 Outlet Superior Workstation Surge Protector w/o Phone/Fax/Modem Protection"/>
    <x v="4479"/>
    <n v="5"/>
    <n v="0"/>
    <n v="43.706000000000003"/>
  </r>
  <r>
    <n v="6824"/>
    <x v="395"/>
    <x v="1"/>
    <x v="7"/>
    <d v="2012-07-29T00:00:00"/>
    <n v="4"/>
    <x v="1"/>
    <s v="Yana Sorensen"/>
    <x v="1"/>
    <m/>
    <s v="Montgomery"/>
    <s v="Alabama"/>
    <s v="South"/>
    <x v="1"/>
    <x v="12"/>
    <s v="White Business Envelopes with Contemporary Seam, Recycled White Business Envelopes"/>
    <x v="4480"/>
    <n v="9"/>
    <n v="0"/>
    <n v="49.23"/>
  </r>
  <r>
    <n v="6825"/>
    <x v="395"/>
    <x v="1"/>
    <x v="7"/>
    <d v="2012-07-29T00:00:00"/>
    <n v="4"/>
    <x v="1"/>
    <s v="Yana Sorensen"/>
    <x v="1"/>
    <m/>
    <s v="Montgomery"/>
    <s v="Alabama"/>
    <s v="South"/>
    <x v="0"/>
    <x v="3"/>
    <s v="Bevis Round Conference Table Top, X-Base"/>
    <x v="4481"/>
    <n v="2"/>
    <n v="0"/>
    <n v="39.443800000000003"/>
  </r>
  <r>
    <n v="6826"/>
    <x v="824"/>
    <x v="0"/>
    <x v="2"/>
    <d v="2013-10-10T00:00:00"/>
    <n v="7"/>
    <x v="1"/>
    <s v="Tamara Chand"/>
    <x v="1"/>
    <m/>
    <s v="Lafayette"/>
    <s v="Indiana"/>
    <s v="Central"/>
    <x v="1"/>
    <x v="4"/>
    <s v="Acco Perma 4000 Stacking Storage Drawers"/>
    <x v="4482"/>
    <n v="2"/>
    <n v="0"/>
    <n v="4.8719999999999999"/>
  </r>
  <r>
    <n v="6827"/>
    <x v="824"/>
    <x v="0"/>
    <x v="2"/>
    <d v="2013-10-10T00:00:00"/>
    <n v="7"/>
    <x v="1"/>
    <s v="Tamara Chand"/>
    <x v="1"/>
    <m/>
    <s v="Lafayette"/>
    <s v="Indiana"/>
    <s v="Central"/>
    <x v="2"/>
    <x v="16"/>
    <s v="Canon imageCLASS 2200 Advanced Copier"/>
    <x v="4483"/>
    <n v="5"/>
    <n v="0"/>
    <n v="8399.9760000000006"/>
  </r>
  <r>
    <n v="6828"/>
    <x v="824"/>
    <x v="0"/>
    <x v="2"/>
    <d v="2013-10-10T00:00:00"/>
    <n v="7"/>
    <x v="1"/>
    <s v="Tamara Chand"/>
    <x v="1"/>
    <m/>
    <s v="Lafayette"/>
    <s v="Indiana"/>
    <s v="Central"/>
    <x v="1"/>
    <x v="8"/>
    <s v="Ibico Ibimaster 300 Manual Binding System"/>
    <x v="2501"/>
    <n v="2"/>
    <n v="0"/>
    <n v="331.19099999999997"/>
  </r>
  <r>
    <n v="6829"/>
    <x v="824"/>
    <x v="0"/>
    <x v="2"/>
    <d v="2013-10-10T00:00:00"/>
    <n v="7"/>
    <x v="1"/>
    <s v="Tamara Chand"/>
    <x v="1"/>
    <m/>
    <s v="Lafayette"/>
    <s v="Indiana"/>
    <s v="Central"/>
    <x v="1"/>
    <x v="8"/>
    <s v="Acco Pressboard Covers with Storage Hooks, 14 7/8&quot; x 11&quot;, Light Blue"/>
    <x v="4484"/>
    <n v="7"/>
    <n v="0"/>
    <n v="16.8413"/>
  </r>
  <r>
    <n v="6830"/>
    <x v="824"/>
    <x v="0"/>
    <x v="2"/>
    <d v="2013-10-10T00:00:00"/>
    <n v="7"/>
    <x v="1"/>
    <s v="Tamara Chand"/>
    <x v="1"/>
    <m/>
    <s v="Lafayette"/>
    <s v="Indiana"/>
    <s v="Central"/>
    <x v="1"/>
    <x v="6"/>
    <s v="Stanley Bostitch Contemporary Electric Pencil Sharpeners"/>
    <x v="2007"/>
    <n v="2"/>
    <n v="0"/>
    <n v="9.5088000000000008"/>
  </r>
  <r>
    <n v="6831"/>
    <x v="435"/>
    <x v="0"/>
    <x v="4"/>
    <d v="2013-12-28T00:00:00"/>
    <n v="3"/>
    <x v="0"/>
    <s v="Pauline Webber"/>
    <x v="1"/>
    <m/>
    <s v="New York City"/>
    <s v="New York"/>
    <s v="East"/>
    <x v="2"/>
    <x v="7"/>
    <s v="Samsung Rugby III"/>
    <x v="925"/>
    <n v="3"/>
    <n v="0"/>
    <n v="53.451900000000002"/>
  </r>
  <r>
    <n v="6832"/>
    <x v="246"/>
    <x v="3"/>
    <x v="7"/>
    <d v="2014-07-28T00:00:00"/>
    <n v="6"/>
    <x v="1"/>
    <s v="Cari Schnelling"/>
    <x v="0"/>
    <m/>
    <s v="New York City"/>
    <s v="New York"/>
    <s v="East"/>
    <x v="1"/>
    <x v="9"/>
    <s v="Eureka Sanitaire  Multi-Pro Heavy-Duty Upright, Disposable Bags"/>
    <x v="1897"/>
    <n v="4"/>
    <n v="0"/>
    <n v="4.5448000000000004"/>
  </r>
  <r>
    <n v="6833"/>
    <x v="998"/>
    <x v="1"/>
    <x v="2"/>
    <d v="2012-10-17T00:00:00"/>
    <n v="7"/>
    <x v="1"/>
    <s v="David Philippe"/>
    <x v="0"/>
    <m/>
    <s v="Chicago"/>
    <s v="Illinois"/>
    <s v="Central"/>
    <x v="1"/>
    <x v="6"/>
    <s v="Avery Fluorescent Highlighter Four-Color Set"/>
    <x v="2204"/>
    <n v="3"/>
    <n v="0.2"/>
    <n v="1.002"/>
  </r>
  <r>
    <n v="6834"/>
    <x v="162"/>
    <x v="0"/>
    <x v="8"/>
    <d v="2013-09-09T00:00:00"/>
    <n v="0"/>
    <x v="3"/>
    <s v="Pauline Johnson"/>
    <x v="0"/>
    <m/>
    <s v="Santa Ana"/>
    <s v="California"/>
    <s v="West"/>
    <x v="0"/>
    <x v="3"/>
    <s v="Lesro Round Back Collection Coffee Table, End Table"/>
    <x v="4485"/>
    <n v="1"/>
    <n v="0.2"/>
    <n v="-12.778499999999999"/>
  </r>
  <r>
    <n v="6835"/>
    <x v="73"/>
    <x v="0"/>
    <x v="0"/>
    <d v="2013-11-25T00:00:00"/>
    <n v="4"/>
    <x v="1"/>
    <s v="Brendan Murry"/>
    <x v="1"/>
    <m/>
    <s v="Montebello"/>
    <s v="California"/>
    <s v="West"/>
    <x v="2"/>
    <x v="11"/>
    <s v="Sony Micro Vault Click 4 GB USB 2.0 Flash Drive"/>
    <x v="4486"/>
    <n v="2"/>
    <n v="0"/>
    <n v="3.9032"/>
  </r>
  <r>
    <n v="6836"/>
    <x v="453"/>
    <x v="3"/>
    <x v="2"/>
    <d v="2014-10-21T00:00:00"/>
    <n v="5"/>
    <x v="1"/>
    <s v="Dionis Lloyd"/>
    <x v="1"/>
    <m/>
    <s v="Thousand Oaks"/>
    <s v="California"/>
    <s v="West"/>
    <x v="1"/>
    <x v="2"/>
    <s v="Avery 4027 File Folder Labels for Dot Matrix Printers, 5000 Labels per Box, White"/>
    <x v="4487"/>
    <n v="5"/>
    <n v="0"/>
    <n v="70.218999999999994"/>
  </r>
  <r>
    <n v="6837"/>
    <x v="453"/>
    <x v="3"/>
    <x v="2"/>
    <d v="2014-10-21T00:00:00"/>
    <n v="5"/>
    <x v="1"/>
    <s v="Dionis Lloyd"/>
    <x v="1"/>
    <m/>
    <s v="Thousand Oaks"/>
    <s v="California"/>
    <s v="West"/>
    <x v="0"/>
    <x v="5"/>
    <s v="Executive Impressions 14&quot; Two-Color Numerals Wall Clock"/>
    <x v="20"/>
    <n v="1"/>
    <n v="0"/>
    <n v="9.3152000000000008"/>
  </r>
  <r>
    <n v="6838"/>
    <x v="380"/>
    <x v="1"/>
    <x v="7"/>
    <d v="2012-07-12T00:00:00"/>
    <n v="6"/>
    <x v="1"/>
    <s v="Barbara Fisher"/>
    <x v="1"/>
    <m/>
    <s v="Vineland"/>
    <s v="New Jersey"/>
    <s v="East"/>
    <x v="1"/>
    <x v="6"/>
    <s v="Newell 333"/>
    <x v="1731"/>
    <n v="4"/>
    <n v="0"/>
    <n v="2.8912"/>
  </r>
  <r>
    <n v="6839"/>
    <x v="1119"/>
    <x v="3"/>
    <x v="11"/>
    <d v="2014-02-10T00:00:00"/>
    <n v="4"/>
    <x v="1"/>
    <s v="Fred Chung"/>
    <x v="1"/>
    <m/>
    <s v="Torrance"/>
    <s v="California"/>
    <s v="West"/>
    <x v="1"/>
    <x v="9"/>
    <s v="Sanyo Counter Height Refrigerator with Crisper, 3.6 Cubic Foot, Stainless Steel/Black"/>
    <x v="3814"/>
    <n v="5"/>
    <n v="0"/>
    <n v="459.39600000000002"/>
  </r>
  <r>
    <n v="6840"/>
    <x v="1119"/>
    <x v="3"/>
    <x v="11"/>
    <d v="2014-02-10T00:00:00"/>
    <n v="4"/>
    <x v="1"/>
    <s v="Fred Chung"/>
    <x v="1"/>
    <m/>
    <s v="Torrance"/>
    <s v="California"/>
    <s v="West"/>
    <x v="2"/>
    <x v="7"/>
    <s v="Geemarc AmpliPOWER60"/>
    <x v="4488"/>
    <n v="5"/>
    <n v="0.2"/>
    <n v="41.76"/>
  </r>
  <r>
    <n v="6841"/>
    <x v="401"/>
    <x v="1"/>
    <x v="4"/>
    <d v="2012-12-07T00:00:00"/>
    <n v="1"/>
    <x v="2"/>
    <s v="Mike Pelletier"/>
    <x v="2"/>
    <m/>
    <s v="Troy"/>
    <s v="Ohio"/>
    <s v="East"/>
    <x v="1"/>
    <x v="8"/>
    <s v="Ibico Standard Transparent Covers"/>
    <x v="4489"/>
    <n v="3"/>
    <n v="0.7"/>
    <n v="-10.382400000000001"/>
  </r>
  <r>
    <n v="6842"/>
    <x v="126"/>
    <x v="0"/>
    <x v="8"/>
    <d v="2013-09-18T00:00:00"/>
    <n v="5"/>
    <x v="1"/>
    <s v="Anthony Johnson"/>
    <x v="1"/>
    <m/>
    <s v="Springfield"/>
    <s v="Virginia"/>
    <s v="South"/>
    <x v="2"/>
    <x v="11"/>
    <s v="Imation 30456 USB Flash Drive 8GB"/>
    <x v="343"/>
    <n v="3"/>
    <n v="0"/>
    <n v="1.6559999999999999"/>
  </r>
  <r>
    <n v="6843"/>
    <x v="126"/>
    <x v="0"/>
    <x v="8"/>
    <d v="2013-09-18T00:00:00"/>
    <n v="5"/>
    <x v="1"/>
    <s v="Anthony Johnson"/>
    <x v="1"/>
    <m/>
    <s v="Springfield"/>
    <s v="Virginia"/>
    <s v="South"/>
    <x v="1"/>
    <x v="13"/>
    <s v="Staples"/>
    <x v="1176"/>
    <n v="3"/>
    <n v="0"/>
    <n v="5.2164000000000001"/>
  </r>
  <r>
    <n v="6844"/>
    <x v="126"/>
    <x v="0"/>
    <x v="8"/>
    <d v="2013-09-18T00:00:00"/>
    <n v="5"/>
    <x v="1"/>
    <s v="Anthony Johnson"/>
    <x v="1"/>
    <m/>
    <s v="Springfield"/>
    <s v="Virginia"/>
    <s v="South"/>
    <x v="1"/>
    <x v="4"/>
    <s v="Rogers Jumbo File, Granite"/>
    <x v="4490"/>
    <n v="5"/>
    <n v="0"/>
    <n v="0.67900000000000005"/>
  </r>
  <r>
    <n v="6845"/>
    <x v="126"/>
    <x v="0"/>
    <x v="8"/>
    <d v="2013-09-18T00:00:00"/>
    <n v="5"/>
    <x v="1"/>
    <s v="Anthony Johnson"/>
    <x v="1"/>
    <m/>
    <s v="Springfield"/>
    <s v="Virginia"/>
    <s v="South"/>
    <x v="0"/>
    <x v="1"/>
    <s v="Hon Olson Stacker Chairs"/>
    <x v="4491"/>
    <n v="4"/>
    <n v="0"/>
    <n v="307.14479999999998"/>
  </r>
  <r>
    <n v="6846"/>
    <x v="522"/>
    <x v="2"/>
    <x v="7"/>
    <d v="2011-07-12T00:00:00"/>
    <n v="6"/>
    <x v="1"/>
    <s v="Becky Castell"/>
    <x v="2"/>
    <m/>
    <s v="El Cajon"/>
    <s v="California"/>
    <s v="West"/>
    <x v="0"/>
    <x v="1"/>
    <s v="Global Comet Stacking Armless Chair"/>
    <x v="1618"/>
    <n v="2"/>
    <n v="0.2"/>
    <n v="47.847999999999999"/>
  </r>
  <r>
    <n v="6847"/>
    <x v="195"/>
    <x v="0"/>
    <x v="5"/>
    <d v="2013-05-15T00:00:00"/>
    <n v="5"/>
    <x v="1"/>
    <s v="Ricardo Sperren"/>
    <x v="1"/>
    <m/>
    <s v="Los Angeles"/>
    <s v="California"/>
    <s v="West"/>
    <x v="1"/>
    <x v="10"/>
    <s v="TOPS Money Receipt Book, Consecutively Numbered in Red,"/>
    <x v="4492"/>
    <n v="4"/>
    <n v="0"/>
    <n v="14.417999999999999"/>
  </r>
  <r>
    <n v="6848"/>
    <x v="427"/>
    <x v="0"/>
    <x v="7"/>
    <d v="2013-07-23T00:00:00"/>
    <n v="4"/>
    <x v="1"/>
    <s v="Nora Paige"/>
    <x v="0"/>
    <m/>
    <s v="Phoenix"/>
    <s v="Arizona"/>
    <s v="West"/>
    <x v="2"/>
    <x v="7"/>
    <s v="iHome FM Clock Radio with Lightning Dock"/>
    <x v="680"/>
    <n v="1"/>
    <n v="0.2"/>
    <n v="3.4994999999999998"/>
  </r>
  <r>
    <n v="6849"/>
    <x v="1133"/>
    <x v="0"/>
    <x v="1"/>
    <d v="2013-06-22T00:00:00"/>
    <n v="3"/>
    <x v="2"/>
    <s v="Bobby Trafton"/>
    <x v="0"/>
    <m/>
    <s v="Frankfort"/>
    <s v="Illinois"/>
    <s v="Central"/>
    <x v="1"/>
    <x v="10"/>
    <s v="Xerox 1937"/>
    <x v="4288"/>
    <n v="2"/>
    <n v="0.2"/>
    <n v="26.9024"/>
  </r>
  <r>
    <n v="6850"/>
    <x v="1017"/>
    <x v="2"/>
    <x v="3"/>
    <d v="2011-04-25T00:00:00"/>
    <n v="5"/>
    <x v="1"/>
    <s v="Benjamin Patterson"/>
    <x v="0"/>
    <m/>
    <s v="Los Angeles"/>
    <s v="California"/>
    <s v="West"/>
    <x v="0"/>
    <x v="5"/>
    <s v="GE 4 Foot Flourescent Tube, 40 Watt"/>
    <x v="3523"/>
    <n v="4"/>
    <n v="0"/>
    <n v="27.563199999999998"/>
  </r>
  <r>
    <n v="6851"/>
    <x v="1134"/>
    <x v="0"/>
    <x v="9"/>
    <d v="2013-01-12T00:00:00"/>
    <n v="4"/>
    <x v="1"/>
    <s v="Jack O'Briant"/>
    <x v="1"/>
    <m/>
    <s v="Franklin"/>
    <s v="Wisconsin"/>
    <s v="Central"/>
    <x v="0"/>
    <x v="0"/>
    <s v="Atlantic Metals Mobile 3-Shelf Bookcases, Custom Colors"/>
    <x v="4493"/>
    <n v="6"/>
    <n v="0"/>
    <n v="407.12880000000001"/>
  </r>
  <r>
    <n v="6852"/>
    <x v="1134"/>
    <x v="0"/>
    <x v="9"/>
    <d v="2013-01-12T00:00:00"/>
    <n v="4"/>
    <x v="1"/>
    <s v="Jack O'Briant"/>
    <x v="1"/>
    <m/>
    <s v="Franklin"/>
    <s v="Wisconsin"/>
    <s v="Central"/>
    <x v="1"/>
    <x v="8"/>
    <s v="Plastic Binding Combs"/>
    <x v="4494"/>
    <n v="7"/>
    <n v="0"/>
    <n v="49.843499999999999"/>
  </r>
  <r>
    <n v="6853"/>
    <x v="331"/>
    <x v="3"/>
    <x v="4"/>
    <d v="2014-12-29T00:00:00"/>
    <n v="5"/>
    <x v="0"/>
    <s v="Monica Federle"/>
    <x v="1"/>
    <m/>
    <s v="Little Rock"/>
    <s v="Arkansas"/>
    <s v="South"/>
    <x v="1"/>
    <x v="4"/>
    <s v="Personal Filing Tote with Lid, Black/Gray"/>
    <x v="4495"/>
    <n v="4"/>
    <n v="0"/>
    <n v="17.371200000000002"/>
  </r>
  <r>
    <n v="6854"/>
    <x v="331"/>
    <x v="3"/>
    <x v="4"/>
    <d v="2014-12-29T00:00:00"/>
    <n v="5"/>
    <x v="0"/>
    <s v="Monica Federle"/>
    <x v="1"/>
    <m/>
    <s v="Little Rock"/>
    <s v="Arkansas"/>
    <s v="South"/>
    <x v="2"/>
    <x v="7"/>
    <s v="Ativa D5772 2-Line 5.8GHz Digital Expandable Corded/Cordless Phone System with Answering &amp; Caller ID/Call Waiting, Black/Silver"/>
    <x v="4496"/>
    <n v="3"/>
    <n v="0"/>
    <n v="148.49100000000001"/>
  </r>
  <r>
    <n v="6855"/>
    <x v="331"/>
    <x v="3"/>
    <x v="4"/>
    <d v="2014-12-29T00:00:00"/>
    <n v="5"/>
    <x v="0"/>
    <s v="Monica Federle"/>
    <x v="1"/>
    <m/>
    <s v="Little Rock"/>
    <s v="Arkansas"/>
    <s v="South"/>
    <x v="1"/>
    <x v="4"/>
    <s v="Gould Plastics 18-Pocket Panel Bin, 34w x 5-1/4d x 20-1/2h"/>
    <x v="4497"/>
    <n v="4"/>
    <n v="0"/>
    <n v="14.718400000000001"/>
  </r>
  <r>
    <n v="6856"/>
    <x v="331"/>
    <x v="3"/>
    <x v="4"/>
    <d v="2014-12-29T00:00:00"/>
    <n v="5"/>
    <x v="0"/>
    <s v="Monica Federle"/>
    <x v="1"/>
    <m/>
    <s v="Little Rock"/>
    <s v="Arkansas"/>
    <s v="South"/>
    <x v="1"/>
    <x v="10"/>
    <s v="Ink Jet Note and Greeting Cards, 8-1/2&quot; x 5-1/2&quot; Card Size"/>
    <x v="4498"/>
    <n v="2"/>
    <n v="0"/>
    <n v="20.6816"/>
  </r>
  <r>
    <n v="6857"/>
    <x v="331"/>
    <x v="3"/>
    <x v="4"/>
    <d v="2014-12-29T00:00:00"/>
    <n v="5"/>
    <x v="0"/>
    <s v="Monica Federle"/>
    <x v="1"/>
    <m/>
    <s v="Little Rock"/>
    <s v="Arkansas"/>
    <s v="South"/>
    <x v="1"/>
    <x v="12"/>
    <s v="Tyvek Interoffice Envelopes, 9 1/2&quot; x 12 1/2&quot;, 100/Box"/>
    <x v="1091"/>
    <n v="3"/>
    <n v="0"/>
    <n v="85.981800000000007"/>
  </r>
  <r>
    <n v="6858"/>
    <x v="827"/>
    <x v="3"/>
    <x v="3"/>
    <d v="2014-04-23T00:00:00"/>
    <n v="5"/>
    <x v="1"/>
    <s v="Pamela Stobb"/>
    <x v="0"/>
    <m/>
    <s v="Los Angeles"/>
    <s v="California"/>
    <s v="West"/>
    <x v="1"/>
    <x v="10"/>
    <s v="Rediform S.O.S. 1-Up Phone Message Bk, 4-1/4x3-1/16 Bk, 1 Form/Pg, 40 Messages/Bk, 3/Pk"/>
    <x v="4499"/>
    <n v="3"/>
    <n v="0"/>
    <n v="13.507199999999999"/>
  </r>
  <r>
    <n v="6859"/>
    <x v="827"/>
    <x v="3"/>
    <x v="3"/>
    <d v="2014-04-23T00:00:00"/>
    <n v="5"/>
    <x v="1"/>
    <s v="Pamela Stobb"/>
    <x v="0"/>
    <m/>
    <s v="Los Angeles"/>
    <s v="California"/>
    <s v="West"/>
    <x v="1"/>
    <x v="2"/>
    <s v="Avery 517"/>
    <x v="1552"/>
    <n v="2"/>
    <n v="0"/>
    <n v="3.4685999999999999"/>
  </r>
  <r>
    <n v="6860"/>
    <x v="827"/>
    <x v="3"/>
    <x v="3"/>
    <d v="2014-04-23T00:00:00"/>
    <n v="5"/>
    <x v="1"/>
    <s v="Pamela Stobb"/>
    <x v="0"/>
    <m/>
    <s v="Los Angeles"/>
    <s v="California"/>
    <s v="West"/>
    <x v="1"/>
    <x v="13"/>
    <s v="Stockwell Push Pins"/>
    <x v="2868"/>
    <n v="5"/>
    <n v="0"/>
    <n v="3.597"/>
  </r>
  <r>
    <n v="6861"/>
    <x v="827"/>
    <x v="3"/>
    <x v="3"/>
    <d v="2014-04-23T00:00:00"/>
    <n v="5"/>
    <x v="1"/>
    <s v="Pamela Stobb"/>
    <x v="0"/>
    <m/>
    <s v="Los Angeles"/>
    <s v="California"/>
    <s v="West"/>
    <x v="2"/>
    <x v="11"/>
    <s v="Logitech Wireless Touch Keyboard K400"/>
    <x v="4500"/>
    <n v="11"/>
    <n v="0"/>
    <n v="46.731299999999997"/>
  </r>
  <r>
    <n v="6862"/>
    <x v="827"/>
    <x v="3"/>
    <x v="3"/>
    <d v="2014-04-23T00:00:00"/>
    <n v="5"/>
    <x v="1"/>
    <s v="Pamela Stobb"/>
    <x v="0"/>
    <m/>
    <s v="Los Angeles"/>
    <s v="California"/>
    <s v="West"/>
    <x v="1"/>
    <x v="2"/>
    <s v="Avery 474"/>
    <x v="4023"/>
    <n v="8"/>
    <n v="0"/>
    <n v="11.2896"/>
  </r>
  <r>
    <n v="6863"/>
    <x v="827"/>
    <x v="3"/>
    <x v="3"/>
    <d v="2014-04-23T00:00:00"/>
    <n v="5"/>
    <x v="1"/>
    <s v="Pamela Stobb"/>
    <x v="0"/>
    <m/>
    <s v="Los Angeles"/>
    <s v="California"/>
    <s v="West"/>
    <x v="0"/>
    <x v="1"/>
    <s v="Global Wood Trimmed Manager's Task Chair, Khaki"/>
    <x v="286"/>
    <n v="3"/>
    <n v="0.2"/>
    <n v="-19.105799999999999"/>
  </r>
  <r>
    <n v="6864"/>
    <x v="96"/>
    <x v="3"/>
    <x v="4"/>
    <d v="2014-12-09T00:00:00"/>
    <n v="7"/>
    <x v="1"/>
    <s v="Maribeth Yedwab"/>
    <x v="1"/>
    <m/>
    <s v="San Antonio"/>
    <s v="Texas"/>
    <s v="Central"/>
    <x v="1"/>
    <x v="10"/>
    <s v="Xerox 201"/>
    <x v="559"/>
    <n v="2"/>
    <n v="0.2"/>
    <n v="3.6288"/>
  </r>
  <r>
    <n v="6865"/>
    <x v="1036"/>
    <x v="0"/>
    <x v="6"/>
    <d v="2013-08-29T00:00:00"/>
    <n v="7"/>
    <x v="1"/>
    <s v="Scot Coram"/>
    <x v="1"/>
    <m/>
    <s v="Los Angeles"/>
    <s v="California"/>
    <s v="West"/>
    <x v="1"/>
    <x v="8"/>
    <s v="Avery Durable Slant Ring Binders"/>
    <x v="2485"/>
    <n v="2"/>
    <n v="0.2"/>
    <n v="4.7519999999999998"/>
  </r>
  <r>
    <n v="6866"/>
    <x v="1036"/>
    <x v="0"/>
    <x v="6"/>
    <d v="2013-08-29T00:00:00"/>
    <n v="7"/>
    <x v="1"/>
    <s v="Scot Coram"/>
    <x v="1"/>
    <m/>
    <s v="Los Angeles"/>
    <s v="California"/>
    <s v="West"/>
    <x v="2"/>
    <x v="7"/>
    <s v="Motorola HK250 Universal Bluetooth Headset"/>
    <x v="1361"/>
    <n v="5"/>
    <n v="0.2"/>
    <n v="-20.690999999999999"/>
  </r>
  <r>
    <n v="6867"/>
    <x v="1036"/>
    <x v="0"/>
    <x v="6"/>
    <d v="2013-08-29T00:00:00"/>
    <n v="7"/>
    <x v="1"/>
    <s v="Scot Coram"/>
    <x v="1"/>
    <m/>
    <s v="Los Angeles"/>
    <s v="California"/>
    <s v="West"/>
    <x v="2"/>
    <x v="11"/>
    <s v="Logitech Gaming G510s - Keyboard"/>
    <x v="2325"/>
    <n v="3"/>
    <n v="0"/>
    <n v="91.789199999999994"/>
  </r>
  <r>
    <n v="6868"/>
    <x v="1036"/>
    <x v="0"/>
    <x v="6"/>
    <d v="2013-08-29T00:00:00"/>
    <n v="7"/>
    <x v="1"/>
    <s v="Scot Coram"/>
    <x v="1"/>
    <m/>
    <s v="Los Angeles"/>
    <s v="California"/>
    <s v="West"/>
    <x v="2"/>
    <x v="7"/>
    <s v="Anker Astro Mini 3000mAh Ultra-Compact Portable Charger"/>
    <x v="236"/>
    <n v="2"/>
    <n v="0.2"/>
    <n v="-7.9960000000000004"/>
  </r>
  <r>
    <n v="6869"/>
    <x v="1036"/>
    <x v="0"/>
    <x v="6"/>
    <d v="2013-08-29T00:00:00"/>
    <n v="7"/>
    <x v="1"/>
    <s v="Scot Coram"/>
    <x v="1"/>
    <m/>
    <s v="Los Angeles"/>
    <s v="California"/>
    <s v="West"/>
    <x v="0"/>
    <x v="3"/>
    <s v="Bretford CR8500 Series Meeting Room Furniture"/>
    <x v="4501"/>
    <n v="9"/>
    <n v="0.2"/>
    <n v="180.441"/>
  </r>
  <r>
    <n v="6870"/>
    <x v="1036"/>
    <x v="0"/>
    <x v="6"/>
    <d v="2013-08-29T00:00:00"/>
    <n v="7"/>
    <x v="1"/>
    <s v="Scot Coram"/>
    <x v="1"/>
    <m/>
    <s v="Los Angeles"/>
    <s v="California"/>
    <s v="West"/>
    <x v="1"/>
    <x v="10"/>
    <s v="Xerox 1997"/>
    <x v="91"/>
    <n v="2"/>
    <n v="0"/>
    <n v="6.2207999999999997"/>
  </r>
  <r>
    <n v="6871"/>
    <x v="1036"/>
    <x v="0"/>
    <x v="6"/>
    <d v="2013-08-29T00:00:00"/>
    <n v="7"/>
    <x v="1"/>
    <s v="Scot Coram"/>
    <x v="1"/>
    <m/>
    <s v="Los Angeles"/>
    <s v="California"/>
    <s v="West"/>
    <x v="1"/>
    <x v="10"/>
    <s v="Xerox 1928"/>
    <x v="3878"/>
    <n v="9"/>
    <n v="0"/>
    <n v="21.384"/>
  </r>
  <r>
    <n v="6872"/>
    <x v="5"/>
    <x v="0"/>
    <x v="4"/>
    <d v="2013-12-09T00:00:00"/>
    <n v="3"/>
    <x v="0"/>
    <s v="Randy Ferguson"/>
    <x v="1"/>
    <m/>
    <s v="Chicago"/>
    <s v="Illinois"/>
    <s v="Central"/>
    <x v="1"/>
    <x v="2"/>
    <s v="Avery 483"/>
    <x v="1627"/>
    <n v="3"/>
    <n v="0.2"/>
    <n v="3.8843999999999999"/>
  </r>
  <r>
    <n v="6873"/>
    <x v="1135"/>
    <x v="1"/>
    <x v="4"/>
    <d v="2012-12-19T00:00:00"/>
    <n v="3"/>
    <x v="2"/>
    <s v="Sandra Glassco"/>
    <x v="0"/>
    <m/>
    <s v="Seattle"/>
    <s v="Washington"/>
    <s v="West"/>
    <x v="1"/>
    <x v="10"/>
    <s v="Xerox 190"/>
    <x v="1377"/>
    <n v="1"/>
    <n v="0"/>
    <n v="2.3405999999999998"/>
  </r>
  <r>
    <n v="6874"/>
    <x v="1136"/>
    <x v="2"/>
    <x v="2"/>
    <d v="2011-10-22T00:00:00"/>
    <n v="5"/>
    <x v="0"/>
    <s v="Tracy Blumstein"/>
    <x v="0"/>
    <m/>
    <s v="Beaumont"/>
    <s v="Texas"/>
    <s v="Central"/>
    <x v="1"/>
    <x v="8"/>
    <s v="GBC Standard Recycled Report Covers, Clear Plastic Sheets"/>
    <x v="991"/>
    <n v="5"/>
    <n v="0.8"/>
    <n v="-17.248000000000001"/>
  </r>
  <r>
    <n v="6875"/>
    <x v="1136"/>
    <x v="2"/>
    <x v="2"/>
    <d v="2011-10-22T00:00:00"/>
    <n v="5"/>
    <x v="0"/>
    <s v="Tracy Blumstein"/>
    <x v="0"/>
    <m/>
    <s v="Beaumont"/>
    <s v="Texas"/>
    <s v="Central"/>
    <x v="2"/>
    <x v="11"/>
    <s v="Case Logic 2.4GHz Wireless Keyboard"/>
    <x v="2435"/>
    <n v="3"/>
    <n v="0.2"/>
    <n v="-17.996400000000001"/>
  </r>
  <r>
    <n v="6876"/>
    <x v="64"/>
    <x v="0"/>
    <x v="8"/>
    <d v="2013-09-11T00:00:00"/>
    <n v="5"/>
    <x v="1"/>
    <s v="Michael Moore"/>
    <x v="0"/>
    <m/>
    <s v="Chesapeake"/>
    <s v="Virginia"/>
    <s v="South"/>
    <x v="1"/>
    <x v="2"/>
    <s v="Avery 50"/>
    <x v="2910"/>
    <n v="2"/>
    <n v="0"/>
    <n v="11.7782"/>
  </r>
  <r>
    <n v="6877"/>
    <x v="64"/>
    <x v="0"/>
    <x v="8"/>
    <d v="2013-09-11T00:00:00"/>
    <n v="5"/>
    <x v="1"/>
    <s v="Michael Moore"/>
    <x v="0"/>
    <m/>
    <s v="Chesapeake"/>
    <s v="Virginia"/>
    <s v="South"/>
    <x v="0"/>
    <x v="3"/>
    <s v="Chromcraft Bull-Nose Wood 48&quot; x 96&quot; Rectangular Conference Tables"/>
    <x v="675"/>
    <n v="3"/>
    <n v="0"/>
    <n v="314.05860000000001"/>
  </r>
  <r>
    <n v="6878"/>
    <x v="52"/>
    <x v="1"/>
    <x v="2"/>
    <d v="2012-10-15T00:00:00"/>
    <n v="0"/>
    <x v="3"/>
    <s v="Claire Gute"/>
    <x v="0"/>
    <m/>
    <s v="Dallas"/>
    <s v="Texas"/>
    <s v="Central"/>
    <x v="0"/>
    <x v="5"/>
    <s v="C-Line Cubicle Keepers Polyproplyene Holder w/Velcro Back, 8-1/2x11, 25/Bx"/>
    <x v="4502"/>
    <n v="6"/>
    <n v="0.6"/>
    <n v="-95.247600000000006"/>
  </r>
  <r>
    <n v="6879"/>
    <x v="52"/>
    <x v="1"/>
    <x v="2"/>
    <d v="2012-10-15T00:00:00"/>
    <n v="0"/>
    <x v="3"/>
    <s v="Claire Gute"/>
    <x v="0"/>
    <m/>
    <s v="Dallas"/>
    <s v="Texas"/>
    <s v="Central"/>
    <x v="1"/>
    <x v="10"/>
    <s v="Xerox 1986"/>
    <x v="752"/>
    <n v="1"/>
    <n v="0.2"/>
    <n v="1.8704000000000001"/>
  </r>
  <r>
    <n v="6880"/>
    <x v="494"/>
    <x v="1"/>
    <x v="4"/>
    <d v="2012-12-05T00:00:00"/>
    <n v="4"/>
    <x v="0"/>
    <s v="Tamara Willingham"/>
    <x v="2"/>
    <m/>
    <s v="Seattle"/>
    <s v="Washington"/>
    <s v="West"/>
    <x v="0"/>
    <x v="1"/>
    <s v="Global Troy Executive Leather Low-Back Tilter"/>
    <x v="4052"/>
    <n v="5"/>
    <n v="0.2"/>
    <n v="125.245"/>
  </r>
  <r>
    <n v="6881"/>
    <x v="494"/>
    <x v="1"/>
    <x v="4"/>
    <d v="2012-12-05T00:00:00"/>
    <n v="4"/>
    <x v="0"/>
    <s v="Tamara Willingham"/>
    <x v="2"/>
    <m/>
    <s v="Seattle"/>
    <s v="Washington"/>
    <s v="West"/>
    <x v="1"/>
    <x v="10"/>
    <s v="Xerox 219"/>
    <x v="56"/>
    <n v="5"/>
    <n v="0"/>
    <n v="15.552"/>
  </r>
  <r>
    <n v="6882"/>
    <x v="494"/>
    <x v="1"/>
    <x v="4"/>
    <d v="2012-12-05T00:00:00"/>
    <n v="4"/>
    <x v="0"/>
    <s v="Tamara Willingham"/>
    <x v="2"/>
    <m/>
    <s v="Seattle"/>
    <s v="Washington"/>
    <s v="West"/>
    <x v="0"/>
    <x v="3"/>
    <s v="Bush Advantage Collection Round Conference Table"/>
    <x v="4503"/>
    <n v="9"/>
    <n v="0"/>
    <n v="401.81400000000002"/>
  </r>
  <r>
    <n v="6883"/>
    <x v="494"/>
    <x v="1"/>
    <x v="4"/>
    <d v="2012-12-05T00:00:00"/>
    <n v="4"/>
    <x v="0"/>
    <s v="Tamara Willingham"/>
    <x v="2"/>
    <m/>
    <s v="Seattle"/>
    <s v="Washington"/>
    <s v="West"/>
    <x v="1"/>
    <x v="4"/>
    <s v="Tennsco Industrial Shelving"/>
    <x v="64"/>
    <n v="3"/>
    <n v="0"/>
    <n v="2.9346000000000001"/>
  </r>
  <r>
    <n v="6884"/>
    <x v="494"/>
    <x v="1"/>
    <x v="4"/>
    <d v="2012-12-05T00:00:00"/>
    <n v="4"/>
    <x v="0"/>
    <s v="Tamara Willingham"/>
    <x v="2"/>
    <m/>
    <s v="Seattle"/>
    <s v="Washington"/>
    <s v="West"/>
    <x v="1"/>
    <x v="10"/>
    <s v="Xerox Color Copier Paper, 11&quot; x 17&quot;, Ream"/>
    <x v="1147"/>
    <n v="5"/>
    <n v="0"/>
    <n v="52.531999999999996"/>
  </r>
  <r>
    <n v="6885"/>
    <x v="70"/>
    <x v="1"/>
    <x v="5"/>
    <d v="2012-06-04T00:00:00"/>
    <n v="4"/>
    <x v="1"/>
    <s v="Bill Donatelli"/>
    <x v="0"/>
    <m/>
    <s v="Minneapolis"/>
    <s v="Minnesota"/>
    <s v="Central"/>
    <x v="0"/>
    <x v="1"/>
    <s v="Hon Pagoda Stacking Chairs"/>
    <x v="4504"/>
    <n v="8"/>
    <n v="0"/>
    <n v="770.35199999999998"/>
  </r>
  <r>
    <n v="6886"/>
    <x v="18"/>
    <x v="3"/>
    <x v="8"/>
    <d v="2014-09-18T00:00:00"/>
    <n v="7"/>
    <x v="1"/>
    <s v="Helen Abelman"/>
    <x v="0"/>
    <m/>
    <s v="Springfield"/>
    <s v="Ohio"/>
    <s v="East"/>
    <x v="2"/>
    <x v="11"/>
    <s v="Memorex Mini Travel Drive 8 GB USB 2.0 Flash Drive"/>
    <x v="4505"/>
    <n v="4"/>
    <n v="0.2"/>
    <n v="8.8008000000000006"/>
  </r>
  <r>
    <n v="6887"/>
    <x v="18"/>
    <x v="3"/>
    <x v="8"/>
    <d v="2014-09-18T00:00:00"/>
    <n v="7"/>
    <x v="1"/>
    <s v="Helen Abelman"/>
    <x v="0"/>
    <m/>
    <s v="Springfield"/>
    <s v="Ohio"/>
    <s v="East"/>
    <x v="2"/>
    <x v="7"/>
    <s v="Cisco IP Phone 7961G-GE VoIP phone"/>
    <x v="4506"/>
    <n v="2"/>
    <n v="0.4"/>
    <n v="-56.3108"/>
  </r>
  <r>
    <n v="6888"/>
    <x v="1016"/>
    <x v="3"/>
    <x v="3"/>
    <d v="2014-05-03T00:00:00"/>
    <n v="7"/>
    <x v="1"/>
    <s v="Lauren Leatherbury"/>
    <x v="0"/>
    <m/>
    <s v="Los Angeles"/>
    <s v="California"/>
    <s v="West"/>
    <x v="1"/>
    <x v="10"/>
    <s v="Telephone Message Books with Fax/Mobile Section, 5 1/2&quot; x 3 3/16&quot;"/>
    <x v="71"/>
    <n v="3"/>
    <n v="0"/>
    <n v="8.7629999999999999"/>
  </r>
  <r>
    <n v="6889"/>
    <x v="1016"/>
    <x v="3"/>
    <x v="3"/>
    <d v="2014-05-03T00:00:00"/>
    <n v="7"/>
    <x v="1"/>
    <s v="Lauren Leatherbury"/>
    <x v="0"/>
    <m/>
    <s v="Los Angeles"/>
    <s v="California"/>
    <s v="West"/>
    <x v="1"/>
    <x v="8"/>
    <s v="Surelock Post Binders"/>
    <x v="4507"/>
    <n v="3"/>
    <n v="0.2"/>
    <n v="27.504000000000001"/>
  </r>
  <r>
    <n v="6890"/>
    <x v="65"/>
    <x v="3"/>
    <x v="8"/>
    <d v="2014-09-23T00:00:00"/>
    <n v="4"/>
    <x v="1"/>
    <s v="Saphhira Shifley"/>
    <x v="1"/>
    <m/>
    <s v="Columbus"/>
    <s v="Georgia"/>
    <s v="South"/>
    <x v="2"/>
    <x v="7"/>
    <s v="I Need's 3d Hello Kitty Hybrid Silicone Case Cover for HTC One X 4g with 3d Hello Kitty Stylus Pen Green/pink"/>
    <x v="4508"/>
    <n v="8"/>
    <n v="0"/>
    <n v="26.790400000000002"/>
  </r>
  <r>
    <n v="6891"/>
    <x v="65"/>
    <x v="3"/>
    <x v="8"/>
    <d v="2014-09-23T00:00:00"/>
    <n v="4"/>
    <x v="1"/>
    <s v="Saphhira Shifley"/>
    <x v="1"/>
    <m/>
    <s v="Columbus"/>
    <s v="Georgia"/>
    <s v="South"/>
    <x v="1"/>
    <x v="10"/>
    <s v="Post-it “Important Message” Note Pad, Neon Colors, 50 Sheets/Pad"/>
    <x v="360"/>
    <n v="7"/>
    <n v="0"/>
    <n v="24.460799999999999"/>
  </r>
  <r>
    <n v="6892"/>
    <x v="65"/>
    <x v="3"/>
    <x v="8"/>
    <d v="2014-09-23T00:00:00"/>
    <n v="4"/>
    <x v="1"/>
    <s v="Saphhira Shifley"/>
    <x v="1"/>
    <m/>
    <s v="Columbus"/>
    <s v="Georgia"/>
    <s v="South"/>
    <x v="1"/>
    <x v="6"/>
    <s v="Hunt PowerHouse Electric Pencil Sharpener, Blue"/>
    <x v="3273"/>
    <n v="3"/>
    <n v="0"/>
    <n v="34.182000000000002"/>
  </r>
  <r>
    <n v="6893"/>
    <x v="65"/>
    <x v="3"/>
    <x v="8"/>
    <d v="2014-09-23T00:00:00"/>
    <n v="4"/>
    <x v="1"/>
    <s v="Saphhira Shifley"/>
    <x v="1"/>
    <m/>
    <s v="Columbus"/>
    <s v="Georgia"/>
    <s v="South"/>
    <x v="1"/>
    <x v="10"/>
    <s v="Xerox 1997"/>
    <x v="233"/>
    <n v="4"/>
    <n v="0"/>
    <n v="12.441599999999999"/>
  </r>
  <r>
    <n v="6894"/>
    <x v="65"/>
    <x v="3"/>
    <x v="8"/>
    <d v="2014-09-23T00:00:00"/>
    <n v="4"/>
    <x v="1"/>
    <s v="Saphhira Shifley"/>
    <x v="1"/>
    <m/>
    <s v="Columbus"/>
    <s v="Georgia"/>
    <s v="South"/>
    <x v="0"/>
    <x v="5"/>
    <s v="Master Caster Door Stop, Gray"/>
    <x v="2308"/>
    <n v="4"/>
    <n v="0"/>
    <n v="6.9088000000000003"/>
  </r>
  <r>
    <n v="6895"/>
    <x v="65"/>
    <x v="3"/>
    <x v="8"/>
    <d v="2014-09-23T00:00:00"/>
    <n v="4"/>
    <x v="1"/>
    <s v="Saphhira Shifley"/>
    <x v="1"/>
    <m/>
    <s v="Columbus"/>
    <s v="Georgia"/>
    <s v="South"/>
    <x v="2"/>
    <x v="7"/>
    <s v="AT&amp;T CL83451 4-Handset Telephone"/>
    <x v="4509"/>
    <n v="2"/>
    <n v="0"/>
    <n v="119.4742"/>
  </r>
  <r>
    <n v="6896"/>
    <x v="65"/>
    <x v="3"/>
    <x v="8"/>
    <d v="2014-09-23T00:00:00"/>
    <n v="4"/>
    <x v="1"/>
    <s v="Saphhira Shifley"/>
    <x v="1"/>
    <m/>
    <s v="Columbus"/>
    <s v="Georgia"/>
    <s v="South"/>
    <x v="1"/>
    <x v="14"/>
    <s v="Fiskars 8&quot; Scissors, 2/Pack"/>
    <x v="4510"/>
    <n v="2"/>
    <n v="0"/>
    <n v="9.9992000000000001"/>
  </r>
  <r>
    <n v="6897"/>
    <x v="65"/>
    <x v="3"/>
    <x v="8"/>
    <d v="2014-09-23T00:00:00"/>
    <n v="4"/>
    <x v="1"/>
    <s v="Saphhira Shifley"/>
    <x v="1"/>
    <m/>
    <s v="Columbus"/>
    <s v="Georgia"/>
    <s v="South"/>
    <x v="1"/>
    <x v="10"/>
    <s v="Xerox 1917"/>
    <x v="1644"/>
    <n v="5"/>
    <n v="0"/>
    <n v="114.9385"/>
  </r>
  <r>
    <n v="6898"/>
    <x v="238"/>
    <x v="3"/>
    <x v="6"/>
    <d v="2014-08-26T00:00:00"/>
    <n v="7"/>
    <x v="1"/>
    <s v="Chloris Kastensmidt"/>
    <x v="0"/>
    <m/>
    <s v="Lakewood"/>
    <s v="Ohio"/>
    <s v="East"/>
    <x v="1"/>
    <x v="8"/>
    <s v="GBC Personal VeloBind Strips"/>
    <x v="4511"/>
    <n v="3"/>
    <n v="0.7"/>
    <n v="-7.9067999999999996"/>
  </r>
  <r>
    <n v="6899"/>
    <x v="1137"/>
    <x v="1"/>
    <x v="5"/>
    <d v="2012-05-26T00:00:00"/>
    <n v="2"/>
    <x v="0"/>
    <s v="Vivek Sundaresam"/>
    <x v="0"/>
    <m/>
    <s v="Naperville"/>
    <s v="Illinois"/>
    <s v="Central"/>
    <x v="0"/>
    <x v="1"/>
    <s v="Global High-Back Leather Tilter, Burgundy"/>
    <x v="4512"/>
    <n v="7"/>
    <n v="0.3"/>
    <n v="-163.57669999999999"/>
  </r>
  <r>
    <n v="6900"/>
    <x v="1137"/>
    <x v="1"/>
    <x v="5"/>
    <d v="2012-05-26T00:00:00"/>
    <n v="2"/>
    <x v="0"/>
    <s v="Vivek Sundaresam"/>
    <x v="0"/>
    <m/>
    <s v="Naperville"/>
    <s v="Illinois"/>
    <s v="Central"/>
    <x v="1"/>
    <x v="8"/>
    <s v="Avery Heavy-Duty EZD View Binder with Locking Rings"/>
    <x v="2976"/>
    <n v="6"/>
    <n v="0.8"/>
    <n v="-13.0152"/>
  </r>
  <r>
    <n v="6901"/>
    <x v="67"/>
    <x v="1"/>
    <x v="8"/>
    <d v="2012-09-11T00:00:00"/>
    <n v="4"/>
    <x v="1"/>
    <s v="Tanja Norvell"/>
    <x v="2"/>
    <m/>
    <s v="New York City"/>
    <s v="New York"/>
    <s v="East"/>
    <x v="2"/>
    <x v="11"/>
    <s v="Razer Kraken PRO Over Ear PC and Music Headset"/>
    <x v="4513"/>
    <n v="7"/>
    <n v="0"/>
    <n v="167.97900000000001"/>
  </r>
  <r>
    <n v="6902"/>
    <x v="1138"/>
    <x v="3"/>
    <x v="7"/>
    <d v="2014-07-25T00:00:00"/>
    <n v="0"/>
    <x v="3"/>
    <s v="Harold Ryan"/>
    <x v="1"/>
    <m/>
    <s v="Huntington Beach"/>
    <s v="California"/>
    <s v="West"/>
    <x v="2"/>
    <x v="16"/>
    <s v="Hewlett Packard LaserJet 3310 Copier"/>
    <x v="4514"/>
    <n v="5"/>
    <n v="0.2"/>
    <n v="839.98599999999999"/>
  </r>
  <r>
    <n v="6903"/>
    <x v="264"/>
    <x v="3"/>
    <x v="8"/>
    <d v="2014-09-09T00:00:00"/>
    <n v="6"/>
    <x v="1"/>
    <s v="Jill Stevenson"/>
    <x v="1"/>
    <m/>
    <s v="Chicago"/>
    <s v="Illinois"/>
    <s v="Central"/>
    <x v="1"/>
    <x v="13"/>
    <s v="Advantus Plastic Paper Clips"/>
    <x v="4515"/>
    <n v="4"/>
    <n v="0.2"/>
    <n v="5.6"/>
  </r>
  <r>
    <n v="6904"/>
    <x v="264"/>
    <x v="3"/>
    <x v="8"/>
    <d v="2014-09-09T00:00:00"/>
    <n v="6"/>
    <x v="1"/>
    <s v="Jill Stevenson"/>
    <x v="1"/>
    <m/>
    <s v="Chicago"/>
    <s v="Illinois"/>
    <s v="Central"/>
    <x v="1"/>
    <x v="9"/>
    <s v="Belkin 7-Outlet SurgeMaster Home Series"/>
    <x v="4516"/>
    <n v="2"/>
    <n v="0.8"/>
    <n v="-15.0876"/>
  </r>
  <r>
    <n v="6905"/>
    <x v="264"/>
    <x v="3"/>
    <x v="8"/>
    <d v="2014-09-09T00:00:00"/>
    <n v="6"/>
    <x v="1"/>
    <s v="Jill Stevenson"/>
    <x v="1"/>
    <m/>
    <s v="Chicago"/>
    <s v="Illinois"/>
    <s v="Central"/>
    <x v="1"/>
    <x v="4"/>
    <s v="Belkin 19&quot; Center-Weighted Shelf, Gray"/>
    <x v="4517"/>
    <n v="5"/>
    <n v="0.2"/>
    <n v="-44.234999999999999"/>
  </r>
  <r>
    <n v="6906"/>
    <x v="1139"/>
    <x v="3"/>
    <x v="4"/>
    <d v="2014-12-09T00:00:00"/>
    <n v="2"/>
    <x v="0"/>
    <s v="Brad Norvell"/>
    <x v="1"/>
    <m/>
    <s v="Brentwood"/>
    <s v="California"/>
    <s v="West"/>
    <x v="1"/>
    <x v="4"/>
    <s v="Staples"/>
    <x v="3766"/>
    <n v="1"/>
    <n v="0"/>
    <n v="2.8835999999999999"/>
  </r>
  <r>
    <n v="6907"/>
    <x v="968"/>
    <x v="3"/>
    <x v="5"/>
    <d v="2014-05-21T00:00:00"/>
    <n v="0"/>
    <x v="3"/>
    <s v="Allen Rosenblatt"/>
    <x v="1"/>
    <m/>
    <s v="Trenton"/>
    <s v="Michigan"/>
    <s v="Central"/>
    <x v="1"/>
    <x v="8"/>
    <s v="Square Ring Data Binders, Rigid 75 Pt. Covers, 11&quot; x 14-7/8&quot;"/>
    <x v="517"/>
    <n v="2"/>
    <n v="0"/>
    <n v="19.814399999999999"/>
  </r>
  <r>
    <n v="6908"/>
    <x v="720"/>
    <x v="0"/>
    <x v="8"/>
    <d v="2013-10-04T00:00:00"/>
    <n v="6"/>
    <x v="1"/>
    <s v="Shaun Weien"/>
    <x v="0"/>
    <m/>
    <s v="Seattle"/>
    <s v="Washington"/>
    <s v="West"/>
    <x v="2"/>
    <x v="7"/>
    <s v="Samsung Galaxy S4"/>
    <x v="3676"/>
    <n v="2"/>
    <n v="0.2"/>
    <n v="125.19799999999999"/>
  </r>
  <r>
    <n v="6909"/>
    <x v="389"/>
    <x v="3"/>
    <x v="4"/>
    <d v="2014-12-16T00:00:00"/>
    <n v="5"/>
    <x v="1"/>
    <s v="Justin Ellison"/>
    <x v="1"/>
    <m/>
    <s v="North Charleston"/>
    <s v="South Carolina"/>
    <s v="South"/>
    <x v="0"/>
    <x v="5"/>
    <s v="Eldon Expressions Wood Desk Accessories, Oak"/>
    <x v="1787"/>
    <n v="2"/>
    <n v="0"/>
    <n v="4.2804000000000002"/>
  </r>
  <r>
    <n v="6910"/>
    <x v="103"/>
    <x v="2"/>
    <x v="8"/>
    <d v="2011-09-18T00:00:00"/>
    <n v="5"/>
    <x v="0"/>
    <s v="Lena Hernandez"/>
    <x v="0"/>
    <m/>
    <s v="Columbus"/>
    <s v="Ohio"/>
    <s v="East"/>
    <x v="1"/>
    <x v="8"/>
    <s v="Acco Suede Grain Vinyl Round Ring Binder"/>
    <x v="1278"/>
    <n v="3"/>
    <n v="0.7"/>
    <n v="-2.0015999999999998"/>
  </r>
  <r>
    <n v="6911"/>
    <x v="570"/>
    <x v="3"/>
    <x v="7"/>
    <d v="2014-08-03T00:00:00"/>
    <n v="4"/>
    <x v="1"/>
    <s v="Vivek Gonzalez"/>
    <x v="0"/>
    <m/>
    <s v="Seattle"/>
    <s v="Washington"/>
    <s v="West"/>
    <x v="0"/>
    <x v="0"/>
    <s v="Bush Westfield Collection Bookcases, Medium Cherry Finish"/>
    <x v="4518"/>
    <n v="2"/>
    <n v="0"/>
    <n v="25.511199999999999"/>
  </r>
  <r>
    <n v="6912"/>
    <x v="378"/>
    <x v="3"/>
    <x v="6"/>
    <d v="2014-08-06T00:00:00"/>
    <n v="4"/>
    <x v="0"/>
    <s v="Eric Murdock"/>
    <x v="0"/>
    <m/>
    <s v="San Francisco"/>
    <s v="California"/>
    <s v="West"/>
    <x v="1"/>
    <x v="4"/>
    <s v="Fellowes Mobile File Cart, Black"/>
    <x v="4519"/>
    <n v="3"/>
    <n v="0"/>
    <n v="50.3658"/>
  </r>
  <r>
    <n v="6913"/>
    <x v="743"/>
    <x v="3"/>
    <x v="5"/>
    <d v="2014-05-06T00:00:00"/>
    <n v="3"/>
    <x v="0"/>
    <s v="Elizabeth Moffitt"/>
    <x v="1"/>
    <m/>
    <s v="Los Angeles"/>
    <s v="California"/>
    <s v="West"/>
    <x v="2"/>
    <x v="11"/>
    <s v="Logitech MX Performance Wireless Mouse"/>
    <x v="4520"/>
    <n v="4"/>
    <n v="0"/>
    <n v="59.037199999999999"/>
  </r>
  <r>
    <n v="6914"/>
    <x v="821"/>
    <x v="1"/>
    <x v="1"/>
    <d v="2012-06-16T00:00:00"/>
    <n v="4"/>
    <x v="1"/>
    <s v="Jonathan Howell"/>
    <x v="0"/>
    <m/>
    <s v="West Palm Beach"/>
    <s v="Florida"/>
    <s v="South"/>
    <x v="2"/>
    <x v="7"/>
    <s v="Speck Products Candyshell Flip Case"/>
    <x v="3886"/>
    <n v="2"/>
    <n v="0.2"/>
    <n v="4.1988000000000003"/>
  </r>
  <r>
    <n v="6915"/>
    <x v="1091"/>
    <x v="2"/>
    <x v="4"/>
    <d v="2011-12-29T00:00:00"/>
    <n v="7"/>
    <x v="1"/>
    <s v="Nora Preis"/>
    <x v="0"/>
    <m/>
    <s v="Chicago"/>
    <s v="Illinois"/>
    <s v="Central"/>
    <x v="1"/>
    <x v="4"/>
    <s v="Economy Rollaway Files"/>
    <x v="4521"/>
    <n v="1"/>
    <n v="0.2"/>
    <n v="9.9120000000000008"/>
  </r>
  <r>
    <n v="6916"/>
    <x v="1091"/>
    <x v="2"/>
    <x v="4"/>
    <d v="2011-12-29T00:00:00"/>
    <n v="7"/>
    <x v="1"/>
    <s v="Nora Preis"/>
    <x v="0"/>
    <m/>
    <s v="Chicago"/>
    <s v="Illinois"/>
    <s v="Central"/>
    <x v="1"/>
    <x v="8"/>
    <s v="Recycled Easel Ring Binders"/>
    <x v="3740"/>
    <n v="6"/>
    <n v="0.8"/>
    <n v="-31.332000000000001"/>
  </r>
  <r>
    <n v="6917"/>
    <x v="1091"/>
    <x v="2"/>
    <x v="4"/>
    <d v="2011-12-29T00:00:00"/>
    <n v="7"/>
    <x v="1"/>
    <s v="Nora Preis"/>
    <x v="0"/>
    <m/>
    <s v="Chicago"/>
    <s v="Illinois"/>
    <s v="Central"/>
    <x v="1"/>
    <x v="10"/>
    <s v="White Computer Printout Paper by Universal"/>
    <x v="4522"/>
    <n v="4"/>
    <n v="0.2"/>
    <n v="44.961599999999997"/>
  </r>
  <r>
    <n v="6918"/>
    <x v="757"/>
    <x v="2"/>
    <x v="4"/>
    <d v="2011-12-21T00:00:00"/>
    <n v="5"/>
    <x v="1"/>
    <s v="Stefanie Holloman"/>
    <x v="1"/>
    <m/>
    <s v="Sacramento"/>
    <s v="California"/>
    <s v="West"/>
    <x v="0"/>
    <x v="1"/>
    <s v="Office Star - Professional Matrix Back Chair with 2-to-1 Synchro Tilt and Mesh Fabric Seat"/>
    <x v="4523"/>
    <n v="5"/>
    <n v="0.2"/>
    <n v="70.195999999999998"/>
  </r>
  <r>
    <n v="6919"/>
    <x v="947"/>
    <x v="0"/>
    <x v="3"/>
    <d v="2013-04-19T00:00:00"/>
    <n v="2"/>
    <x v="0"/>
    <s v="Bryan Mills"/>
    <x v="0"/>
    <m/>
    <s v="Seattle"/>
    <s v="Washington"/>
    <s v="West"/>
    <x v="1"/>
    <x v="14"/>
    <s v="Stiletto Hand Letter Openers"/>
    <x v="3910"/>
    <n v="3"/>
    <n v="0"/>
    <n v="0.86399999999999999"/>
  </r>
  <r>
    <n v="6920"/>
    <x v="1031"/>
    <x v="1"/>
    <x v="5"/>
    <d v="2012-05-28T00:00:00"/>
    <n v="7"/>
    <x v="1"/>
    <s v="Henry Goldwyn"/>
    <x v="1"/>
    <m/>
    <s v="Philadelphia"/>
    <s v="Pennsylvania"/>
    <s v="East"/>
    <x v="1"/>
    <x v="8"/>
    <s v="Wilson Jones Ledger-Size, Piano-Hinge Binder, 2&quot;, Blue"/>
    <x v="4238"/>
    <n v="2"/>
    <n v="0.7"/>
    <n v="-18.031199999999998"/>
  </r>
  <r>
    <n v="6921"/>
    <x v="425"/>
    <x v="3"/>
    <x v="11"/>
    <d v="2014-03-03T00:00:00"/>
    <n v="4"/>
    <x v="1"/>
    <s v="Becky Martin"/>
    <x v="0"/>
    <m/>
    <s v="Santa Barbara"/>
    <s v="California"/>
    <s v="West"/>
    <x v="1"/>
    <x v="9"/>
    <s v="Tripp Lite TLP810NET Broadband Surge for Modem/Fax"/>
    <x v="4524"/>
    <n v="7"/>
    <n v="0"/>
    <n v="99.901200000000003"/>
  </r>
  <r>
    <n v="6922"/>
    <x v="1095"/>
    <x v="3"/>
    <x v="3"/>
    <d v="2014-04-11T00:00:00"/>
    <n v="6"/>
    <x v="1"/>
    <s v="Penelope Sewall"/>
    <x v="2"/>
    <m/>
    <s v="New York City"/>
    <s v="New York"/>
    <s v="East"/>
    <x v="1"/>
    <x v="12"/>
    <s v="Brown Kraft Recycled Envelopes"/>
    <x v="4525"/>
    <n v="1"/>
    <n v="0"/>
    <n v="8.49"/>
  </r>
  <r>
    <n v="6923"/>
    <x v="199"/>
    <x v="1"/>
    <x v="10"/>
    <d v="2012-03-19T00:00:00"/>
    <n v="3"/>
    <x v="0"/>
    <s v="Maurice Satty"/>
    <x v="0"/>
    <m/>
    <s v="Auburn"/>
    <s v="Alabama"/>
    <s v="South"/>
    <x v="1"/>
    <x v="2"/>
    <s v="Dot Matrix Printer Tape Reel Labels, White, 5000/Box"/>
    <x v="4526"/>
    <n v="5"/>
    <n v="0"/>
    <n v="240.8595"/>
  </r>
  <r>
    <n v="6924"/>
    <x v="199"/>
    <x v="1"/>
    <x v="10"/>
    <d v="2012-03-19T00:00:00"/>
    <n v="3"/>
    <x v="0"/>
    <s v="Maurice Satty"/>
    <x v="0"/>
    <m/>
    <s v="Auburn"/>
    <s v="Alabama"/>
    <s v="South"/>
    <x v="1"/>
    <x v="12"/>
    <s v="Colored Envelopes"/>
    <x v="1552"/>
    <n v="2"/>
    <n v="0"/>
    <n v="3.3948"/>
  </r>
  <r>
    <n v="6925"/>
    <x v="672"/>
    <x v="1"/>
    <x v="0"/>
    <d v="2012-12-04T00:00:00"/>
    <n v="4"/>
    <x v="1"/>
    <s v="Janet Lee"/>
    <x v="0"/>
    <m/>
    <s v="New York City"/>
    <s v="New York"/>
    <s v="East"/>
    <x v="1"/>
    <x v="10"/>
    <s v="Avoid Verbal Orders Carbonless Minifold Book"/>
    <x v="4527"/>
    <n v="7"/>
    <n v="0"/>
    <n v="10.883599999999999"/>
  </r>
  <r>
    <n v="6926"/>
    <x v="672"/>
    <x v="1"/>
    <x v="0"/>
    <d v="2012-12-04T00:00:00"/>
    <n v="4"/>
    <x v="1"/>
    <s v="Janet Lee"/>
    <x v="0"/>
    <m/>
    <s v="New York City"/>
    <s v="New York"/>
    <s v="East"/>
    <x v="0"/>
    <x v="0"/>
    <s v="Hon Metal Bookcases, Black"/>
    <x v="2798"/>
    <n v="12"/>
    <n v="0.2"/>
    <n v="42.588000000000001"/>
  </r>
  <r>
    <n v="6927"/>
    <x v="1062"/>
    <x v="0"/>
    <x v="7"/>
    <d v="2013-08-04T00:00:00"/>
    <n v="6"/>
    <x v="1"/>
    <s v="Khloe Miller"/>
    <x v="0"/>
    <m/>
    <s v="Los Angeles"/>
    <s v="California"/>
    <s v="West"/>
    <x v="1"/>
    <x v="2"/>
    <s v="Avery 495"/>
    <x v="1365"/>
    <n v="3"/>
    <n v="0"/>
    <n v="8.6940000000000008"/>
  </r>
  <r>
    <n v="6928"/>
    <x v="661"/>
    <x v="0"/>
    <x v="1"/>
    <d v="2013-06-26T00:00:00"/>
    <n v="2"/>
    <x v="0"/>
    <s v="Ruben Dartt"/>
    <x v="0"/>
    <m/>
    <s v="San Francisco"/>
    <s v="California"/>
    <s v="West"/>
    <x v="1"/>
    <x v="4"/>
    <s v="Mobile Personal File Cube"/>
    <x v="4528"/>
    <n v="4"/>
    <n v="0"/>
    <n v="25.293600000000001"/>
  </r>
  <r>
    <n v="6929"/>
    <x v="661"/>
    <x v="0"/>
    <x v="1"/>
    <d v="2013-06-26T00:00:00"/>
    <n v="2"/>
    <x v="0"/>
    <s v="Ruben Dartt"/>
    <x v="0"/>
    <m/>
    <s v="San Francisco"/>
    <s v="California"/>
    <s v="West"/>
    <x v="1"/>
    <x v="2"/>
    <s v="Avery 516"/>
    <x v="2468"/>
    <n v="3"/>
    <n v="0"/>
    <n v="10.3071"/>
  </r>
  <r>
    <n v="6930"/>
    <x v="661"/>
    <x v="0"/>
    <x v="1"/>
    <d v="2013-06-26T00:00:00"/>
    <n v="2"/>
    <x v="0"/>
    <s v="Ruben Dartt"/>
    <x v="0"/>
    <m/>
    <s v="San Francisco"/>
    <s v="California"/>
    <s v="West"/>
    <x v="2"/>
    <x v="7"/>
    <s v="Nortel Meridian M3904 Professional Digital phone"/>
    <x v="4529"/>
    <n v="7"/>
    <n v="0.2"/>
    <n v="97.0137"/>
  </r>
  <r>
    <n v="6931"/>
    <x v="661"/>
    <x v="0"/>
    <x v="1"/>
    <d v="2013-06-26T00:00:00"/>
    <n v="2"/>
    <x v="0"/>
    <s v="Ruben Dartt"/>
    <x v="0"/>
    <m/>
    <s v="San Francisco"/>
    <s v="California"/>
    <s v="West"/>
    <x v="1"/>
    <x v="10"/>
    <s v="Xerox 1884"/>
    <x v="1016"/>
    <n v="1"/>
    <n v="0"/>
    <n v="9.3905999999999992"/>
  </r>
  <r>
    <n v="6932"/>
    <x v="686"/>
    <x v="2"/>
    <x v="7"/>
    <d v="2011-07-18T00:00:00"/>
    <n v="4"/>
    <x v="1"/>
    <s v="Shui Tom"/>
    <x v="0"/>
    <m/>
    <s v="Philadelphia"/>
    <s v="Pennsylvania"/>
    <s v="East"/>
    <x v="2"/>
    <x v="7"/>
    <s v="Griffin GC36547 PowerJolt SE Lightning Charger"/>
    <x v="4530"/>
    <n v="1"/>
    <n v="0.4"/>
    <n v="-2.2490000000000001"/>
  </r>
  <r>
    <n v="6933"/>
    <x v="686"/>
    <x v="2"/>
    <x v="7"/>
    <d v="2011-07-18T00:00:00"/>
    <n v="4"/>
    <x v="1"/>
    <s v="Shui Tom"/>
    <x v="0"/>
    <m/>
    <s v="Philadelphia"/>
    <s v="Pennsylvania"/>
    <s v="East"/>
    <x v="2"/>
    <x v="7"/>
    <s v="iOttie HLCRIO102 Car Mount"/>
    <x v="1792"/>
    <n v="2"/>
    <n v="0.4"/>
    <n v="-13.993"/>
  </r>
  <r>
    <n v="6934"/>
    <x v="686"/>
    <x v="2"/>
    <x v="7"/>
    <d v="2011-07-18T00:00:00"/>
    <n v="4"/>
    <x v="1"/>
    <s v="Shui Tom"/>
    <x v="0"/>
    <m/>
    <s v="Philadelphia"/>
    <s v="Pennsylvania"/>
    <s v="East"/>
    <x v="0"/>
    <x v="5"/>
    <s v="Tensor Track Tree Floor Lamp"/>
    <x v="236"/>
    <n v="2"/>
    <n v="0.2"/>
    <n v="1.1994"/>
  </r>
  <r>
    <n v="6935"/>
    <x v="686"/>
    <x v="2"/>
    <x v="7"/>
    <d v="2011-07-18T00:00:00"/>
    <n v="4"/>
    <x v="1"/>
    <s v="Shui Tom"/>
    <x v="0"/>
    <m/>
    <s v="Philadelphia"/>
    <s v="Pennsylvania"/>
    <s v="East"/>
    <x v="1"/>
    <x v="6"/>
    <s v="BOSTON Ranger #55 Pencil Sharpener, Black"/>
    <x v="4531"/>
    <n v="2"/>
    <n v="0.2"/>
    <n v="4.6782000000000004"/>
  </r>
  <r>
    <n v="6936"/>
    <x v="329"/>
    <x v="3"/>
    <x v="4"/>
    <d v="2014-12-04T00:00:00"/>
    <n v="3"/>
    <x v="0"/>
    <s v="Bart Pistole"/>
    <x v="1"/>
    <m/>
    <s v="El Paso"/>
    <s v="Texas"/>
    <s v="Central"/>
    <x v="2"/>
    <x v="11"/>
    <s v="SanDisk Ultra 64 GB MicroSDHC Class 10 Memory Card"/>
    <x v="98"/>
    <n v="3"/>
    <n v="0.2"/>
    <n v="-10.7973"/>
  </r>
  <r>
    <n v="6937"/>
    <x v="476"/>
    <x v="0"/>
    <x v="8"/>
    <d v="2013-09-05T00:00:00"/>
    <n v="2"/>
    <x v="2"/>
    <s v="Tom Ashbrook"/>
    <x v="2"/>
    <m/>
    <s v="Chicago"/>
    <s v="Illinois"/>
    <s v="Central"/>
    <x v="0"/>
    <x v="5"/>
    <s v="Deflect-o DuraMat Antistatic Studded Beveled Mat for Medium Pile Carpeting"/>
    <x v="4532"/>
    <n v="2"/>
    <n v="0.6"/>
    <n v="-75.844800000000006"/>
  </r>
  <r>
    <n v="6938"/>
    <x v="345"/>
    <x v="2"/>
    <x v="1"/>
    <d v="2011-06-15T00:00:00"/>
    <n v="0"/>
    <x v="3"/>
    <s v="Pamela Stobb"/>
    <x v="0"/>
    <m/>
    <s v="El Paso"/>
    <s v="Texas"/>
    <s v="Central"/>
    <x v="1"/>
    <x v="10"/>
    <s v="Xerox 1902"/>
    <x v="4533"/>
    <n v="2"/>
    <n v="0.2"/>
    <n v="11.876799999999999"/>
  </r>
  <r>
    <n v="6939"/>
    <x v="732"/>
    <x v="0"/>
    <x v="0"/>
    <d v="2013-11-10T00:00:00"/>
    <n v="4"/>
    <x v="1"/>
    <s v="Nora Preis"/>
    <x v="0"/>
    <m/>
    <s v="Seattle"/>
    <s v="Washington"/>
    <s v="West"/>
    <x v="2"/>
    <x v="11"/>
    <s v="Cherry 142-key Programmable Keyboard"/>
    <x v="4534"/>
    <n v="4"/>
    <n v="0"/>
    <n v="52.769199999999998"/>
  </r>
  <r>
    <n v="6940"/>
    <x v="335"/>
    <x v="3"/>
    <x v="1"/>
    <d v="2014-07-01T00:00:00"/>
    <n v="4"/>
    <x v="1"/>
    <s v="Scott Cohen"/>
    <x v="1"/>
    <m/>
    <s v="New York City"/>
    <s v="New York"/>
    <s v="East"/>
    <x v="1"/>
    <x v="8"/>
    <s v="GBC ProClick Punch Binding System"/>
    <x v="4535"/>
    <n v="2"/>
    <n v="0.2"/>
    <n v="37.108400000000003"/>
  </r>
  <r>
    <n v="6941"/>
    <x v="335"/>
    <x v="3"/>
    <x v="1"/>
    <d v="2014-07-01T00:00:00"/>
    <n v="4"/>
    <x v="1"/>
    <s v="Scott Cohen"/>
    <x v="1"/>
    <m/>
    <s v="New York City"/>
    <s v="New York"/>
    <s v="East"/>
    <x v="1"/>
    <x v="14"/>
    <s v="Acme Preferred Stainless Steel Scissors"/>
    <x v="158"/>
    <n v="5"/>
    <n v="0"/>
    <n v="8.2360000000000007"/>
  </r>
  <r>
    <n v="6942"/>
    <x v="335"/>
    <x v="3"/>
    <x v="1"/>
    <d v="2014-07-01T00:00:00"/>
    <n v="4"/>
    <x v="1"/>
    <s v="Scott Cohen"/>
    <x v="1"/>
    <m/>
    <s v="New York City"/>
    <s v="New York"/>
    <s v="East"/>
    <x v="1"/>
    <x v="4"/>
    <s v="Hot File 7-Pocket, Floor Stand"/>
    <x v="4536"/>
    <n v="4"/>
    <n v="0"/>
    <n v="214.16399999999999"/>
  </r>
  <r>
    <n v="6943"/>
    <x v="335"/>
    <x v="3"/>
    <x v="1"/>
    <d v="2014-07-01T00:00:00"/>
    <n v="4"/>
    <x v="1"/>
    <s v="Scott Cohen"/>
    <x v="1"/>
    <m/>
    <s v="New York City"/>
    <s v="New York"/>
    <s v="East"/>
    <x v="1"/>
    <x v="10"/>
    <s v="Xerox 1991"/>
    <x v="4092"/>
    <n v="3"/>
    <n v="0"/>
    <n v="31.519200000000001"/>
  </r>
  <r>
    <n v="6944"/>
    <x v="395"/>
    <x v="1"/>
    <x v="7"/>
    <d v="2012-07-30T00:00:00"/>
    <n v="5"/>
    <x v="1"/>
    <s v="Russell D'Ascenzo"/>
    <x v="0"/>
    <m/>
    <s v="Los Angeles"/>
    <s v="California"/>
    <s v="West"/>
    <x v="2"/>
    <x v="7"/>
    <s v="Motorola L703CM"/>
    <x v="4537"/>
    <n v="5"/>
    <n v="0.2"/>
    <n v="38.997500000000002"/>
  </r>
  <r>
    <n v="6945"/>
    <x v="865"/>
    <x v="2"/>
    <x v="8"/>
    <d v="2011-09-27T00:00:00"/>
    <n v="4"/>
    <x v="1"/>
    <s v="Thea Hudgings"/>
    <x v="1"/>
    <m/>
    <s v="Newark"/>
    <s v="Delaware"/>
    <s v="East"/>
    <x v="1"/>
    <x v="8"/>
    <s v="Wilson Jones Suede Grain Vinyl Binders"/>
    <x v="1731"/>
    <n v="4"/>
    <n v="0"/>
    <n v="5.4488000000000003"/>
  </r>
  <r>
    <n v="6946"/>
    <x v="955"/>
    <x v="0"/>
    <x v="2"/>
    <d v="2013-10-05T00:00:00"/>
    <n v="4"/>
    <x v="1"/>
    <s v="Greg Matthias"/>
    <x v="0"/>
    <m/>
    <s v="New York City"/>
    <s v="New York"/>
    <s v="East"/>
    <x v="0"/>
    <x v="0"/>
    <s v="O'Sullivan Elevations Bookcase, Cherry Finish"/>
    <x v="2908"/>
    <n v="5"/>
    <n v="0.2"/>
    <n v="-26.196000000000002"/>
  </r>
  <r>
    <n v="6947"/>
    <x v="529"/>
    <x v="1"/>
    <x v="0"/>
    <d v="2012-11-13T00:00:00"/>
    <n v="4"/>
    <x v="1"/>
    <s v="Jesus Ocampo"/>
    <x v="2"/>
    <m/>
    <s v="Roseville"/>
    <s v="California"/>
    <s v="West"/>
    <x v="1"/>
    <x v="13"/>
    <s v="OIC Binder Clips, Mini, 1/4&quot; Capacity, Black"/>
    <x v="4538"/>
    <n v="2"/>
    <n v="0"/>
    <n v="1.1656"/>
  </r>
  <r>
    <n v="6948"/>
    <x v="334"/>
    <x v="1"/>
    <x v="3"/>
    <d v="2012-04-29T00:00:00"/>
    <n v="4"/>
    <x v="1"/>
    <s v="Zuschuss Carroll"/>
    <x v="0"/>
    <m/>
    <s v="Aurora"/>
    <s v="Illinois"/>
    <s v="Central"/>
    <x v="1"/>
    <x v="4"/>
    <s v="SAFCO Commercial Wire Shelving, Black"/>
    <x v="3084"/>
    <n v="2"/>
    <n v="0.2"/>
    <n v="-55.256"/>
  </r>
  <r>
    <n v="6949"/>
    <x v="334"/>
    <x v="1"/>
    <x v="3"/>
    <d v="2012-04-29T00:00:00"/>
    <n v="4"/>
    <x v="1"/>
    <s v="Zuschuss Carroll"/>
    <x v="0"/>
    <m/>
    <s v="Aurora"/>
    <s v="Illinois"/>
    <s v="Central"/>
    <x v="0"/>
    <x v="1"/>
    <s v="Global Armless Task Chair, Royal Blue"/>
    <x v="3294"/>
    <n v="3"/>
    <n v="0.3"/>
    <n v="-23.7822"/>
  </r>
  <r>
    <n v="6950"/>
    <x v="123"/>
    <x v="3"/>
    <x v="0"/>
    <d v="2014-11-20T00:00:00"/>
    <n v="0"/>
    <x v="3"/>
    <s v="Anne Pryor"/>
    <x v="2"/>
    <m/>
    <s v="New York City"/>
    <s v="New York"/>
    <s v="East"/>
    <x v="1"/>
    <x v="8"/>
    <s v="Acco Data Flex Cable Posts For Top &amp; Bottom Load Binders, 6&quot; Capacity"/>
    <x v="4539"/>
    <n v="7"/>
    <n v="0.2"/>
    <n v="18.252500000000001"/>
  </r>
  <r>
    <n v="6951"/>
    <x v="123"/>
    <x v="3"/>
    <x v="0"/>
    <d v="2014-11-20T00:00:00"/>
    <n v="0"/>
    <x v="3"/>
    <s v="Anne Pryor"/>
    <x v="2"/>
    <m/>
    <s v="New York City"/>
    <s v="New York"/>
    <s v="East"/>
    <x v="0"/>
    <x v="3"/>
    <s v="Hon 61000 Series Interactive Training Tables"/>
    <x v="2562"/>
    <n v="3"/>
    <n v="0.4"/>
    <n v="-29.323799999999999"/>
  </r>
  <r>
    <n v="6952"/>
    <x v="312"/>
    <x v="1"/>
    <x v="0"/>
    <d v="2012-11-24T00:00:00"/>
    <n v="4"/>
    <x v="1"/>
    <s v="Grace Kelly"/>
    <x v="1"/>
    <m/>
    <s v="Dallas"/>
    <s v="Texas"/>
    <s v="Central"/>
    <x v="2"/>
    <x v="15"/>
    <s v="NeatDesk Desktop Scanner &amp; Digital Filing System"/>
    <x v="219"/>
    <n v="2"/>
    <n v="0.4"/>
    <n v="55.998600000000003"/>
  </r>
  <r>
    <n v="6953"/>
    <x v="653"/>
    <x v="1"/>
    <x v="2"/>
    <d v="2012-10-03T00:00:00"/>
    <n v="1"/>
    <x v="2"/>
    <s v="Henry MacAllister"/>
    <x v="0"/>
    <m/>
    <s v="Los Angeles"/>
    <s v="California"/>
    <s v="West"/>
    <x v="1"/>
    <x v="8"/>
    <s v="Pressboard Hanging Data Binders for Unburst Sheets"/>
    <x v="921"/>
    <n v="3"/>
    <n v="0.2"/>
    <n v="4.1327999999999996"/>
  </r>
  <r>
    <n v="6954"/>
    <x v="653"/>
    <x v="1"/>
    <x v="2"/>
    <d v="2012-10-03T00:00:00"/>
    <n v="1"/>
    <x v="2"/>
    <s v="Henry MacAllister"/>
    <x v="0"/>
    <m/>
    <s v="Los Angeles"/>
    <s v="California"/>
    <s v="West"/>
    <x v="1"/>
    <x v="8"/>
    <s v="GBC Poly Designer Binding Covers"/>
    <x v="4540"/>
    <n v="4"/>
    <n v="0.2"/>
    <n v="19.418399999999998"/>
  </r>
  <r>
    <n v="6955"/>
    <x v="653"/>
    <x v="1"/>
    <x v="2"/>
    <d v="2012-10-03T00:00:00"/>
    <n v="1"/>
    <x v="2"/>
    <s v="Henry MacAllister"/>
    <x v="0"/>
    <m/>
    <s v="Los Angeles"/>
    <s v="California"/>
    <s v="West"/>
    <x v="2"/>
    <x v="7"/>
    <s v="HTC One Mini"/>
    <x v="178"/>
    <n v="5"/>
    <n v="0.2"/>
    <n v="50.396000000000001"/>
  </r>
  <r>
    <n v="6956"/>
    <x v="334"/>
    <x v="1"/>
    <x v="3"/>
    <d v="2012-05-02T00:00:00"/>
    <n v="7"/>
    <x v="1"/>
    <s v="Linda Southworth"/>
    <x v="1"/>
    <m/>
    <s v="Los Angeles"/>
    <s v="California"/>
    <s v="West"/>
    <x v="1"/>
    <x v="12"/>
    <s v="Laser &amp; Ink Jet Business Envelopes"/>
    <x v="4541"/>
    <n v="2"/>
    <n v="0"/>
    <n v="9.8163999999999998"/>
  </r>
  <r>
    <n v="6957"/>
    <x v="216"/>
    <x v="0"/>
    <x v="7"/>
    <d v="2013-07-20T00:00:00"/>
    <n v="5"/>
    <x v="1"/>
    <s v="Anemone Ratner"/>
    <x v="0"/>
    <m/>
    <s v="Columbus"/>
    <s v="Georgia"/>
    <s v="South"/>
    <x v="1"/>
    <x v="8"/>
    <s v="Cardinal Holdit Data Disk Pockets"/>
    <x v="3343"/>
    <n v="5"/>
    <n v="0"/>
    <n v="17.108000000000001"/>
  </r>
  <r>
    <n v="6958"/>
    <x v="216"/>
    <x v="0"/>
    <x v="7"/>
    <d v="2013-07-20T00:00:00"/>
    <n v="5"/>
    <x v="1"/>
    <s v="Anemone Ratner"/>
    <x v="0"/>
    <m/>
    <s v="Columbus"/>
    <s v="Georgia"/>
    <s v="South"/>
    <x v="0"/>
    <x v="5"/>
    <s v="Howard Miller 13-3/4&quot; Diameter Brushed Chrome Round Wall Clock"/>
    <x v="2616"/>
    <n v="1"/>
    <n v="0"/>
    <n v="15.525"/>
  </r>
  <r>
    <n v="6959"/>
    <x v="874"/>
    <x v="1"/>
    <x v="8"/>
    <d v="2012-09-29T00:00:00"/>
    <n v="2"/>
    <x v="0"/>
    <s v="Rick Huthwaite"/>
    <x v="2"/>
    <m/>
    <s v="San Francisco"/>
    <s v="California"/>
    <s v="West"/>
    <x v="1"/>
    <x v="4"/>
    <s v="Personal Filing Tote with Lid, Black/Gray"/>
    <x v="4542"/>
    <n v="1"/>
    <n v="0"/>
    <n v="4.3428000000000004"/>
  </r>
  <r>
    <n v="6960"/>
    <x v="874"/>
    <x v="1"/>
    <x v="8"/>
    <d v="2012-09-29T00:00:00"/>
    <n v="2"/>
    <x v="0"/>
    <s v="Rick Huthwaite"/>
    <x v="2"/>
    <m/>
    <s v="San Francisco"/>
    <s v="California"/>
    <s v="West"/>
    <x v="1"/>
    <x v="10"/>
    <s v="Xerox 1916"/>
    <x v="674"/>
    <n v="3"/>
    <n v="0"/>
    <n v="73.41"/>
  </r>
  <r>
    <n v="6961"/>
    <x v="874"/>
    <x v="1"/>
    <x v="8"/>
    <d v="2012-09-29T00:00:00"/>
    <n v="2"/>
    <x v="0"/>
    <s v="Rick Huthwaite"/>
    <x v="2"/>
    <m/>
    <s v="San Francisco"/>
    <s v="California"/>
    <s v="West"/>
    <x v="1"/>
    <x v="10"/>
    <s v="Xerox 226"/>
    <x v="91"/>
    <n v="2"/>
    <n v="0"/>
    <n v="6.2207999999999997"/>
  </r>
  <r>
    <n v="6962"/>
    <x v="468"/>
    <x v="3"/>
    <x v="0"/>
    <d v="2014-11-11T00:00:00"/>
    <n v="0"/>
    <x v="3"/>
    <s v="Thomas Brumley"/>
    <x v="2"/>
    <m/>
    <s v="Riverside"/>
    <s v="California"/>
    <s v="West"/>
    <x v="1"/>
    <x v="6"/>
    <s v="12 Colored Short Pencils"/>
    <x v="4543"/>
    <n v="3"/>
    <n v="0"/>
    <n v="2.1059999999999999"/>
  </r>
  <r>
    <n v="6963"/>
    <x v="87"/>
    <x v="0"/>
    <x v="7"/>
    <d v="2013-07-21T00:00:00"/>
    <n v="4"/>
    <x v="0"/>
    <s v="Jonathan Doherty"/>
    <x v="1"/>
    <m/>
    <s v="Columbia"/>
    <s v="South Carolina"/>
    <s v="South"/>
    <x v="1"/>
    <x v="12"/>
    <s v="Poly String Tie Envelopes"/>
    <x v="4544"/>
    <n v="5"/>
    <n v="0"/>
    <n v="4.7939999999999996"/>
  </r>
  <r>
    <n v="6964"/>
    <x v="87"/>
    <x v="0"/>
    <x v="7"/>
    <d v="2013-07-21T00:00:00"/>
    <n v="4"/>
    <x v="0"/>
    <s v="Jonathan Doherty"/>
    <x v="1"/>
    <m/>
    <s v="Columbia"/>
    <s v="South Carolina"/>
    <s v="South"/>
    <x v="1"/>
    <x v="6"/>
    <s v="Eberhard Faber 3 1/2&quot; Golf Pencils"/>
    <x v="4545"/>
    <n v="3"/>
    <n v="0"/>
    <n v="5.58"/>
  </r>
  <r>
    <n v="6965"/>
    <x v="87"/>
    <x v="0"/>
    <x v="7"/>
    <d v="2013-07-21T00:00:00"/>
    <n v="4"/>
    <x v="0"/>
    <s v="Jonathan Doherty"/>
    <x v="1"/>
    <m/>
    <s v="Columbia"/>
    <s v="South Carolina"/>
    <s v="South"/>
    <x v="1"/>
    <x v="8"/>
    <s v="Wilson Jones Turn Tabs Binder Tool for Ring Binders"/>
    <x v="899"/>
    <n v="5"/>
    <n v="0"/>
    <n v="11.086"/>
  </r>
  <r>
    <n v="6966"/>
    <x v="87"/>
    <x v="0"/>
    <x v="7"/>
    <d v="2013-07-21T00:00:00"/>
    <n v="4"/>
    <x v="0"/>
    <s v="Jonathan Doherty"/>
    <x v="1"/>
    <m/>
    <s v="Columbia"/>
    <s v="South Carolina"/>
    <s v="South"/>
    <x v="2"/>
    <x v="11"/>
    <s v="Imation Secure Drive + Hardware Encrypted USB flash drive - 16 GB"/>
    <x v="4546"/>
    <n v="2"/>
    <n v="0"/>
    <n v="18.235199999999999"/>
  </r>
  <r>
    <n v="6967"/>
    <x v="87"/>
    <x v="0"/>
    <x v="7"/>
    <d v="2013-07-21T00:00:00"/>
    <n v="4"/>
    <x v="0"/>
    <s v="Jonathan Doherty"/>
    <x v="1"/>
    <m/>
    <s v="Columbia"/>
    <s v="South Carolina"/>
    <s v="South"/>
    <x v="1"/>
    <x v="8"/>
    <s v="Recycled Pressboard Report Cover with Reinforced Top Hinge"/>
    <x v="4547"/>
    <n v="2"/>
    <n v="0"/>
    <n v="3.1654"/>
  </r>
  <r>
    <n v="6968"/>
    <x v="87"/>
    <x v="0"/>
    <x v="7"/>
    <d v="2013-07-21T00:00:00"/>
    <n v="4"/>
    <x v="0"/>
    <s v="Jonathan Doherty"/>
    <x v="1"/>
    <m/>
    <s v="Columbia"/>
    <s v="South Carolina"/>
    <s v="South"/>
    <x v="1"/>
    <x v="10"/>
    <s v="HP Office Paper (20Lb. and 87 Bright)"/>
    <x v="1817"/>
    <n v="9"/>
    <n v="0"/>
    <n v="28.857600000000001"/>
  </r>
  <r>
    <n v="6969"/>
    <x v="1140"/>
    <x v="1"/>
    <x v="2"/>
    <d v="2012-10-20T00:00:00"/>
    <n v="4"/>
    <x v="0"/>
    <s v="Michael Paige"/>
    <x v="1"/>
    <m/>
    <s v="New York City"/>
    <s v="New York"/>
    <s v="East"/>
    <x v="2"/>
    <x v="7"/>
    <s v="Mitel MiVoice 5330e IP Phone"/>
    <x v="4548"/>
    <n v="3"/>
    <n v="0"/>
    <n v="214.4922"/>
  </r>
  <r>
    <n v="6970"/>
    <x v="994"/>
    <x v="0"/>
    <x v="9"/>
    <d v="2013-01-13T00:00:00"/>
    <n v="3"/>
    <x v="0"/>
    <s v="Joy Bell-"/>
    <x v="0"/>
    <m/>
    <s v="Longview"/>
    <s v="Washington"/>
    <s v="West"/>
    <x v="0"/>
    <x v="5"/>
    <s v="DAX Value U-Channel Document Frames, Easel Back"/>
    <x v="2557"/>
    <n v="5"/>
    <n v="0"/>
    <n v="7.7035"/>
  </r>
  <r>
    <n v="6971"/>
    <x v="20"/>
    <x v="3"/>
    <x v="8"/>
    <d v="2014-09-26T00:00:00"/>
    <n v="6"/>
    <x v="1"/>
    <s v="Adrian Barton"/>
    <x v="0"/>
    <m/>
    <s v="Phoenix"/>
    <s v="Arizona"/>
    <s v="West"/>
    <x v="1"/>
    <x v="4"/>
    <s v="Akro Stacking Bins"/>
    <x v="1420"/>
    <n v="2"/>
    <n v="0.2"/>
    <n v="-2.5247999999999999"/>
  </r>
  <r>
    <n v="6972"/>
    <x v="20"/>
    <x v="3"/>
    <x v="8"/>
    <d v="2014-09-26T00:00:00"/>
    <n v="6"/>
    <x v="1"/>
    <s v="Adrian Barton"/>
    <x v="0"/>
    <m/>
    <s v="Phoenix"/>
    <s v="Arizona"/>
    <s v="West"/>
    <x v="2"/>
    <x v="11"/>
    <s v="Sony Micro Vault Click 16 GB USB 2.0 Flash Drive"/>
    <x v="212"/>
    <n v="2"/>
    <n v="0.2"/>
    <n v="4.4791999999999996"/>
  </r>
  <r>
    <n v="6973"/>
    <x v="20"/>
    <x v="3"/>
    <x v="8"/>
    <d v="2014-09-26T00:00:00"/>
    <n v="6"/>
    <x v="1"/>
    <s v="Adrian Barton"/>
    <x v="0"/>
    <m/>
    <s v="Phoenix"/>
    <s v="Arizona"/>
    <s v="West"/>
    <x v="2"/>
    <x v="7"/>
    <s v="Polycom VoiceStation 500 Conference phone"/>
    <x v="2685"/>
    <n v="2"/>
    <n v="0.2"/>
    <n v="29.495000000000001"/>
  </r>
  <r>
    <n v="6974"/>
    <x v="20"/>
    <x v="3"/>
    <x v="8"/>
    <d v="2014-09-26T00:00:00"/>
    <n v="6"/>
    <x v="1"/>
    <s v="Adrian Barton"/>
    <x v="0"/>
    <m/>
    <s v="Phoenix"/>
    <s v="Arizona"/>
    <s v="West"/>
    <x v="1"/>
    <x v="8"/>
    <s v="Plastic Binding Combs"/>
    <x v="4549"/>
    <n v="4"/>
    <n v="0.7"/>
    <n v="-13.938000000000001"/>
  </r>
  <r>
    <n v="6975"/>
    <x v="175"/>
    <x v="3"/>
    <x v="8"/>
    <d v="2014-09-20T00:00:00"/>
    <n v="4"/>
    <x v="1"/>
    <s v="Charles Crestani"/>
    <x v="0"/>
    <m/>
    <s v="Houston"/>
    <s v="Texas"/>
    <s v="Central"/>
    <x v="1"/>
    <x v="6"/>
    <s v="Prismacolor Color Pencil Set"/>
    <x v="3993"/>
    <n v="2"/>
    <n v="0.2"/>
    <n v="8.3328000000000007"/>
  </r>
  <r>
    <n v="6976"/>
    <x v="1141"/>
    <x v="1"/>
    <x v="1"/>
    <d v="2012-07-02T00:00:00"/>
    <n v="4"/>
    <x v="1"/>
    <s v="Craig Yedwab"/>
    <x v="1"/>
    <m/>
    <s v="Gilbert"/>
    <s v="Arizona"/>
    <s v="West"/>
    <x v="1"/>
    <x v="2"/>
    <s v="Avery 501"/>
    <x v="2144"/>
    <n v="2"/>
    <n v="0.2"/>
    <n v="1.9925999999999999"/>
  </r>
  <r>
    <n v="6977"/>
    <x v="1141"/>
    <x v="1"/>
    <x v="1"/>
    <d v="2012-07-02T00:00:00"/>
    <n v="4"/>
    <x v="1"/>
    <s v="Craig Yedwab"/>
    <x v="1"/>
    <m/>
    <s v="Gilbert"/>
    <s v="Arizona"/>
    <s v="West"/>
    <x v="0"/>
    <x v="5"/>
    <s v="Electrix Halogen Magnifier Lamp"/>
    <x v="4550"/>
    <n v="4"/>
    <n v="0.2"/>
    <n v="46.631999999999998"/>
  </r>
  <r>
    <n v="6978"/>
    <x v="881"/>
    <x v="0"/>
    <x v="0"/>
    <d v="2013-11-29T00:00:00"/>
    <n v="3"/>
    <x v="2"/>
    <s v="Emily Phan"/>
    <x v="0"/>
    <m/>
    <s v="Jonesboro"/>
    <s v="Arkansas"/>
    <s v="South"/>
    <x v="2"/>
    <x v="7"/>
    <s v="OtterBox Defender Series Case - Samsung Galaxy S4"/>
    <x v="2759"/>
    <n v="2"/>
    <n v="0"/>
    <n v="17.994"/>
  </r>
  <r>
    <n v="6979"/>
    <x v="920"/>
    <x v="3"/>
    <x v="0"/>
    <d v="2014-11-30T00:00:00"/>
    <n v="4"/>
    <x v="0"/>
    <s v="Delfina Latchford"/>
    <x v="0"/>
    <m/>
    <s v="Atlanta"/>
    <s v="Georgia"/>
    <s v="South"/>
    <x v="1"/>
    <x v="10"/>
    <s v="Wirebound Message Book, 4 per Page"/>
    <x v="4551"/>
    <n v="9"/>
    <n v="0"/>
    <n v="23.946300000000001"/>
  </r>
  <r>
    <n v="6980"/>
    <x v="424"/>
    <x v="3"/>
    <x v="9"/>
    <d v="2014-01-20T00:00:00"/>
    <n v="5"/>
    <x v="1"/>
    <s v="Sean O'Donnell"/>
    <x v="0"/>
    <m/>
    <s v="Los Angeles"/>
    <s v="California"/>
    <s v="West"/>
    <x v="1"/>
    <x v="10"/>
    <s v="Xerox 19"/>
    <x v="894"/>
    <n v="5"/>
    <n v="0"/>
    <n v="69.704999999999998"/>
  </r>
  <r>
    <n v="6981"/>
    <x v="845"/>
    <x v="2"/>
    <x v="0"/>
    <d v="2011-11-08T00:00:00"/>
    <n v="1"/>
    <x v="2"/>
    <s v="Bart Pistole"/>
    <x v="1"/>
    <m/>
    <s v="New York City"/>
    <s v="New York"/>
    <s v="East"/>
    <x v="1"/>
    <x v="13"/>
    <s v="Binder Clips by OIC"/>
    <x v="4552"/>
    <n v="4"/>
    <n v="0"/>
    <n v="2.8416000000000001"/>
  </r>
  <r>
    <n v="6982"/>
    <x v="845"/>
    <x v="2"/>
    <x v="0"/>
    <d v="2011-11-08T00:00:00"/>
    <n v="1"/>
    <x v="2"/>
    <s v="Bart Pistole"/>
    <x v="1"/>
    <m/>
    <s v="New York City"/>
    <s v="New York"/>
    <s v="East"/>
    <x v="1"/>
    <x v="10"/>
    <s v="Riverleaf Stik-Withit Designer Note Cubes"/>
    <x v="4553"/>
    <n v="3"/>
    <n v="0"/>
    <n v="13.8828"/>
  </r>
  <r>
    <n v="6983"/>
    <x v="142"/>
    <x v="0"/>
    <x v="8"/>
    <d v="2013-09-06T00:00:00"/>
    <n v="4"/>
    <x v="1"/>
    <s v="Joseph Airdo"/>
    <x v="0"/>
    <m/>
    <s v="Detroit"/>
    <s v="Michigan"/>
    <s v="Central"/>
    <x v="1"/>
    <x v="8"/>
    <s v="Wilson Jones Turn Tabs Binder Tool for Ring Binders"/>
    <x v="899"/>
    <n v="5"/>
    <n v="0"/>
    <n v="11.086"/>
  </r>
  <r>
    <n v="6984"/>
    <x v="142"/>
    <x v="0"/>
    <x v="8"/>
    <d v="2013-09-06T00:00:00"/>
    <n v="4"/>
    <x v="1"/>
    <s v="Joseph Airdo"/>
    <x v="0"/>
    <m/>
    <s v="Detroit"/>
    <s v="Michigan"/>
    <s v="Central"/>
    <x v="2"/>
    <x v="7"/>
    <s v="Belkin Grip Candy Sheer Case / Cover for iPhone 5 and 5S"/>
    <x v="4554"/>
    <n v="1"/>
    <n v="0"/>
    <n v="2.2827999999999999"/>
  </r>
  <r>
    <n v="6985"/>
    <x v="142"/>
    <x v="0"/>
    <x v="8"/>
    <d v="2013-09-06T00:00:00"/>
    <n v="4"/>
    <x v="1"/>
    <s v="Joseph Airdo"/>
    <x v="0"/>
    <m/>
    <s v="Detroit"/>
    <s v="Michigan"/>
    <s v="Central"/>
    <x v="1"/>
    <x v="9"/>
    <s v="Eureka The Boss Plus 12-Amp Hard Box Upright Vacuum, Red"/>
    <x v="4555"/>
    <n v="4"/>
    <n v="0.1"/>
    <n v="71.162000000000006"/>
  </r>
  <r>
    <n v="6986"/>
    <x v="142"/>
    <x v="0"/>
    <x v="8"/>
    <d v="2013-09-06T00:00:00"/>
    <n v="4"/>
    <x v="1"/>
    <s v="Joseph Airdo"/>
    <x v="0"/>
    <m/>
    <s v="Detroit"/>
    <s v="Michigan"/>
    <s v="Central"/>
    <x v="1"/>
    <x v="8"/>
    <s v="GBC Plastic Binding Combs"/>
    <x v="3418"/>
    <n v="4"/>
    <n v="0"/>
    <n v="14.4648"/>
  </r>
  <r>
    <n v="6987"/>
    <x v="142"/>
    <x v="0"/>
    <x v="8"/>
    <d v="2013-09-06T00:00:00"/>
    <n v="4"/>
    <x v="1"/>
    <s v="Joseph Airdo"/>
    <x v="0"/>
    <m/>
    <s v="Detroit"/>
    <s v="Michigan"/>
    <s v="Central"/>
    <x v="1"/>
    <x v="6"/>
    <s v="Newell 315"/>
    <x v="489"/>
    <n v="2"/>
    <n v="0"/>
    <n v="2.99"/>
  </r>
  <r>
    <n v="6988"/>
    <x v="142"/>
    <x v="0"/>
    <x v="8"/>
    <d v="2013-09-06T00:00:00"/>
    <n v="4"/>
    <x v="1"/>
    <s v="Joseph Airdo"/>
    <x v="0"/>
    <m/>
    <s v="Detroit"/>
    <s v="Michigan"/>
    <s v="Central"/>
    <x v="1"/>
    <x v="8"/>
    <s v="Wilson Jones 1&quot; Hanging DublLock Ring Binders"/>
    <x v="1579"/>
    <n v="5"/>
    <n v="0"/>
    <n v="12.672000000000001"/>
  </r>
  <r>
    <n v="6989"/>
    <x v="343"/>
    <x v="3"/>
    <x v="0"/>
    <d v="2014-11-17T00:00:00"/>
    <n v="5"/>
    <x v="0"/>
    <s v="Brenda Bowman"/>
    <x v="1"/>
    <m/>
    <s v="Fort Lauderdale"/>
    <s v="Florida"/>
    <s v="South"/>
    <x v="1"/>
    <x v="9"/>
    <s v="Hoover Upright Vacuum With Dirt Cup"/>
    <x v="3978"/>
    <n v="5"/>
    <n v="0.2"/>
    <n v="130.2885"/>
  </r>
  <r>
    <n v="6990"/>
    <x v="157"/>
    <x v="3"/>
    <x v="4"/>
    <d v="2014-12-14T00:00:00"/>
    <n v="2"/>
    <x v="2"/>
    <s v="Dennis Kane"/>
    <x v="0"/>
    <m/>
    <s v="Abilene"/>
    <s v="Texas"/>
    <s v="Central"/>
    <x v="1"/>
    <x v="9"/>
    <s v="Hoover Commercial Lightweight Upright Vacuum"/>
    <x v="4556"/>
    <n v="2"/>
    <n v="0.8"/>
    <n v="-3.7584"/>
  </r>
  <r>
    <n v="6991"/>
    <x v="627"/>
    <x v="1"/>
    <x v="0"/>
    <d v="2012-11-13T00:00:00"/>
    <n v="5"/>
    <x v="0"/>
    <s v="Rob Haberlin"/>
    <x v="0"/>
    <m/>
    <s v="Hampton"/>
    <s v="Virginia"/>
    <s v="South"/>
    <x v="1"/>
    <x v="9"/>
    <s v="Holmes Replacement Filter for HEPA Air Cleaner, Large Room"/>
    <x v="4557"/>
    <n v="3"/>
    <n v="0"/>
    <n v="18.660599999999999"/>
  </r>
  <r>
    <n v="6992"/>
    <x v="627"/>
    <x v="1"/>
    <x v="0"/>
    <d v="2012-11-13T00:00:00"/>
    <n v="5"/>
    <x v="0"/>
    <s v="Rob Haberlin"/>
    <x v="0"/>
    <m/>
    <s v="Hampton"/>
    <s v="Virginia"/>
    <s v="South"/>
    <x v="2"/>
    <x v="7"/>
    <s v="AT&amp;T 17929 Lendline Telephone"/>
    <x v="4558"/>
    <n v="5"/>
    <n v="0"/>
    <n v="58.811999999999998"/>
  </r>
  <r>
    <n v="6993"/>
    <x v="627"/>
    <x v="1"/>
    <x v="0"/>
    <d v="2012-11-13T00:00:00"/>
    <n v="5"/>
    <x v="0"/>
    <s v="Rob Haberlin"/>
    <x v="0"/>
    <m/>
    <s v="Hampton"/>
    <s v="Virginia"/>
    <s v="South"/>
    <x v="0"/>
    <x v="5"/>
    <s v="Deflect-o Glass Clear Studded Chair Mats"/>
    <x v="4519"/>
    <n v="3"/>
    <n v="0"/>
    <n v="41.038800000000002"/>
  </r>
  <r>
    <n v="6994"/>
    <x v="627"/>
    <x v="1"/>
    <x v="0"/>
    <d v="2012-11-13T00:00:00"/>
    <n v="5"/>
    <x v="0"/>
    <s v="Rob Haberlin"/>
    <x v="0"/>
    <m/>
    <s v="Hampton"/>
    <s v="Virginia"/>
    <s v="South"/>
    <x v="1"/>
    <x v="6"/>
    <s v="Hunt PowerHouse Electric Pencil Sharpener, Blue"/>
    <x v="4410"/>
    <n v="7"/>
    <n v="0"/>
    <n v="79.757999999999996"/>
  </r>
  <r>
    <n v="6995"/>
    <x v="627"/>
    <x v="1"/>
    <x v="0"/>
    <d v="2012-11-13T00:00:00"/>
    <n v="5"/>
    <x v="0"/>
    <s v="Rob Haberlin"/>
    <x v="0"/>
    <m/>
    <s v="Hampton"/>
    <s v="Virginia"/>
    <s v="South"/>
    <x v="1"/>
    <x v="6"/>
    <s v="Newell 314"/>
    <x v="4559"/>
    <n v="5"/>
    <n v="0"/>
    <n v="6.9749999999999996"/>
  </r>
  <r>
    <n v="6996"/>
    <x v="902"/>
    <x v="1"/>
    <x v="0"/>
    <d v="2012-11-26T00:00:00"/>
    <n v="7"/>
    <x v="1"/>
    <s v="Aleksandra Gannaway"/>
    <x v="1"/>
    <m/>
    <s v="Las Vegas"/>
    <s v="Nevada"/>
    <s v="West"/>
    <x v="1"/>
    <x v="9"/>
    <s v="Hoover Commercial Soft Guard Upright Vacuum And Disposable Filtration Bags"/>
    <x v="4560"/>
    <n v="4"/>
    <n v="0"/>
    <n v="8.3916000000000004"/>
  </r>
  <r>
    <n v="6997"/>
    <x v="331"/>
    <x v="3"/>
    <x v="4"/>
    <d v="2014-12-26T00:00:00"/>
    <n v="2"/>
    <x v="0"/>
    <s v="Jennifer Braxton"/>
    <x v="1"/>
    <m/>
    <s v="Rockford"/>
    <s v="Illinois"/>
    <s v="Central"/>
    <x v="1"/>
    <x v="8"/>
    <s v="Wilson Jones International Size A4 Ring Binders"/>
    <x v="4561"/>
    <n v="4"/>
    <n v="0.8"/>
    <n v="-22.143999999999998"/>
  </r>
  <r>
    <n v="6998"/>
    <x v="331"/>
    <x v="3"/>
    <x v="4"/>
    <d v="2014-12-26T00:00:00"/>
    <n v="2"/>
    <x v="0"/>
    <s v="Jennifer Braxton"/>
    <x v="1"/>
    <m/>
    <s v="Rockford"/>
    <s v="Illinois"/>
    <s v="Central"/>
    <x v="1"/>
    <x v="10"/>
    <s v="Xerox 1940"/>
    <x v="4562"/>
    <n v="4"/>
    <n v="0.2"/>
    <n v="63.753599999999999"/>
  </r>
  <r>
    <n v="6999"/>
    <x v="1142"/>
    <x v="0"/>
    <x v="8"/>
    <d v="2013-09-23T00:00:00"/>
    <n v="6"/>
    <x v="1"/>
    <s v="Becky Castell"/>
    <x v="2"/>
    <m/>
    <s v="Laguna Niguel"/>
    <s v="California"/>
    <s v="West"/>
    <x v="1"/>
    <x v="10"/>
    <s v="Xerox 1966"/>
    <x v="91"/>
    <n v="2"/>
    <n v="0"/>
    <n v="6.3503999999999996"/>
  </r>
  <r>
    <n v="7000"/>
    <x v="1143"/>
    <x v="3"/>
    <x v="5"/>
    <d v="2014-05-30T00:00:00"/>
    <n v="3"/>
    <x v="2"/>
    <s v="Kimberly Carter"/>
    <x v="1"/>
    <m/>
    <s v="Louisville"/>
    <s v="Kentucky"/>
    <s v="South"/>
    <x v="1"/>
    <x v="9"/>
    <s v="Belkin 8-Outlet Premiere SurgeMaster II Surge Protectors"/>
    <x v="4563"/>
    <n v="3"/>
    <n v="0"/>
    <n v="62.531999999999996"/>
  </r>
  <r>
    <n v="7001"/>
    <x v="1143"/>
    <x v="3"/>
    <x v="5"/>
    <d v="2014-05-30T00:00:00"/>
    <n v="3"/>
    <x v="2"/>
    <s v="Kimberly Carter"/>
    <x v="1"/>
    <m/>
    <s v="Louisville"/>
    <s v="Kentucky"/>
    <s v="South"/>
    <x v="1"/>
    <x v="14"/>
    <s v="Martin-Yale Premier Letter Opener"/>
    <x v="4564"/>
    <n v="2"/>
    <n v="0"/>
    <n v="0.77280000000000004"/>
  </r>
  <r>
    <n v="7002"/>
    <x v="1110"/>
    <x v="1"/>
    <x v="10"/>
    <d v="2012-04-03T00:00:00"/>
    <n v="4"/>
    <x v="1"/>
    <s v="Daniel Raglin"/>
    <x v="2"/>
    <m/>
    <s v="Normal"/>
    <s v="Illinois"/>
    <s v="Central"/>
    <x v="0"/>
    <x v="1"/>
    <s v="Office Star - Contemporary Task Swivel chair with Loop Arms, Charcoal"/>
    <x v="4565"/>
    <n v="4"/>
    <n v="0.3"/>
    <n v="-110.0232"/>
  </r>
  <r>
    <n v="7003"/>
    <x v="710"/>
    <x v="2"/>
    <x v="6"/>
    <d v="2011-08-21T00:00:00"/>
    <n v="2"/>
    <x v="0"/>
    <s v="David Wiener"/>
    <x v="1"/>
    <m/>
    <s v="Los Angeles"/>
    <s v="California"/>
    <s v="West"/>
    <x v="0"/>
    <x v="5"/>
    <s v="Deflect-o EconoMat Studded, No Bevel Mat for Low Pile Carpeting"/>
    <x v="4566"/>
    <n v="7"/>
    <n v="0"/>
    <n v="26.031600000000001"/>
  </r>
  <r>
    <n v="7004"/>
    <x v="710"/>
    <x v="2"/>
    <x v="6"/>
    <d v="2011-08-21T00:00:00"/>
    <n v="2"/>
    <x v="0"/>
    <s v="David Wiener"/>
    <x v="1"/>
    <m/>
    <s v="Los Angeles"/>
    <s v="California"/>
    <s v="West"/>
    <x v="1"/>
    <x v="8"/>
    <s v="Satellite Sectional Post Binders"/>
    <x v="1940"/>
    <n v="2"/>
    <n v="0.2"/>
    <n v="22.5732"/>
  </r>
  <r>
    <n v="7005"/>
    <x v="851"/>
    <x v="2"/>
    <x v="4"/>
    <d v="2011-12-28T00:00:00"/>
    <n v="5"/>
    <x v="1"/>
    <s v="Michelle Ellison"/>
    <x v="1"/>
    <m/>
    <s v="Port Arthur"/>
    <s v="Texas"/>
    <s v="Central"/>
    <x v="1"/>
    <x v="10"/>
    <s v="Xerox 2000"/>
    <x v="1170"/>
    <n v="1"/>
    <n v="0.2"/>
    <n v="1.8144"/>
  </r>
  <r>
    <n v="7006"/>
    <x v="549"/>
    <x v="1"/>
    <x v="0"/>
    <d v="2012-11-05T00:00:00"/>
    <n v="4"/>
    <x v="1"/>
    <s v="Jeremy Farry"/>
    <x v="0"/>
    <m/>
    <s v="New York City"/>
    <s v="New York"/>
    <s v="East"/>
    <x v="0"/>
    <x v="1"/>
    <s v="Hon Comfortask Task/Swivel Chairs"/>
    <x v="4567"/>
    <n v="2"/>
    <n v="0.1"/>
    <n v="13.6776"/>
  </r>
  <r>
    <n v="7007"/>
    <x v="534"/>
    <x v="2"/>
    <x v="4"/>
    <d v="2011-12-21T00:00:00"/>
    <n v="6"/>
    <x v="1"/>
    <s v="Sung Pak"/>
    <x v="1"/>
    <m/>
    <s v="Chicago"/>
    <s v="Illinois"/>
    <s v="Central"/>
    <x v="0"/>
    <x v="5"/>
    <s v="Dana Swing-Arm Lamps"/>
    <x v="1076"/>
    <n v="2"/>
    <n v="0.6"/>
    <n v="-7.476"/>
  </r>
  <r>
    <n v="7008"/>
    <x v="291"/>
    <x v="1"/>
    <x v="6"/>
    <d v="2012-08-25T00:00:00"/>
    <n v="4"/>
    <x v="1"/>
    <s v="Katherine Nockton"/>
    <x v="1"/>
    <m/>
    <s v="Springfield"/>
    <s v="Ohio"/>
    <s v="East"/>
    <x v="1"/>
    <x v="8"/>
    <s v="Acco D-Ring Binder w/DublLock"/>
    <x v="2211"/>
    <n v="2"/>
    <n v="0.7"/>
    <n v="-8.9795999999999996"/>
  </r>
  <r>
    <n v="7009"/>
    <x v="291"/>
    <x v="1"/>
    <x v="6"/>
    <d v="2012-08-25T00:00:00"/>
    <n v="4"/>
    <x v="1"/>
    <s v="Katherine Nockton"/>
    <x v="1"/>
    <m/>
    <s v="Springfield"/>
    <s v="Ohio"/>
    <s v="East"/>
    <x v="0"/>
    <x v="1"/>
    <s v="Global Commerce Series High-Back Swivel/Tilt Chairs"/>
    <x v="4568"/>
    <n v="3"/>
    <n v="0.3"/>
    <n v="-42.747"/>
  </r>
  <r>
    <n v="7010"/>
    <x v="291"/>
    <x v="1"/>
    <x v="6"/>
    <d v="2012-08-25T00:00:00"/>
    <n v="4"/>
    <x v="1"/>
    <s v="Katherine Nockton"/>
    <x v="1"/>
    <m/>
    <s v="Springfield"/>
    <s v="Ohio"/>
    <s v="East"/>
    <x v="0"/>
    <x v="5"/>
    <s v="Tenex Chairmats For Use with Hard Floors"/>
    <x v="3250"/>
    <n v="1"/>
    <n v="0.2"/>
    <n v="-3.8976000000000002"/>
  </r>
  <r>
    <n v="7011"/>
    <x v="235"/>
    <x v="2"/>
    <x v="5"/>
    <d v="2011-05-27T00:00:00"/>
    <n v="4"/>
    <x v="1"/>
    <s v="Greg Tran"/>
    <x v="0"/>
    <m/>
    <s v="New York City"/>
    <s v="New York"/>
    <s v="East"/>
    <x v="1"/>
    <x v="8"/>
    <s v="Avery Non-Stick Binders"/>
    <x v="2082"/>
    <n v="5"/>
    <n v="0.2"/>
    <n v="5.8369999999999997"/>
  </r>
  <r>
    <n v="7012"/>
    <x v="235"/>
    <x v="2"/>
    <x v="5"/>
    <d v="2011-05-27T00:00:00"/>
    <n v="4"/>
    <x v="1"/>
    <s v="Greg Tran"/>
    <x v="0"/>
    <m/>
    <s v="New York City"/>
    <s v="New York"/>
    <s v="East"/>
    <x v="1"/>
    <x v="14"/>
    <s v="Letter Slitter"/>
    <x v="1310"/>
    <n v="2"/>
    <n v="0"/>
    <n v="0.1512"/>
  </r>
  <r>
    <n v="7013"/>
    <x v="235"/>
    <x v="2"/>
    <x v="5"/>
    <d v="2011-05-27T00:00:00"/>
    <n v="4"/>
    <x v="1"/>
    <s v="Greg Tran"/>
    <x v="0"/>
    <m/>
    <s v="New York City"/>
    <s v="New York"/>
    <s v="East"/>
    <x v="1"/>
    <x v="9"/>
    <s v="1.7 Cubic Foot Compact &quot;Cube&quot; Office Refrigerators"/>
    <x v="79"/>
    <n v="1"/>
    <n v="0"/>
    <n v="56.203200000000002"/>
  </r>
  <r>
    <n v="7014"/>
    <x v="34"/>
    <x v="3"/>
    <x v="4"/>
    <d v="2014-12-12T00:00:00"/>
    <n v="2"/>
    <x v="0"/>
    <s v="Daniel Byrd"/>
    <x v="2"/>
    <m/>
    <s v="Salinas"/>
    <s v="California"/>
    <s v="West"/>
    <x v="0"/>
    <x v="0"/>
    <s v="O'Sullivan 3-Shelf Heavy-Duty Bookcases"/>
    <x v="4569"/>
    <n v="3"/>
    <n v="0.15"/>
    <n v="15.697800000000001"/>
  </r>
  <r>
    <n v="7015"/>
    <x v="518"/>
    <x v="2"/>
    <x v="10"/>
    <d v="2011-03-13T00:00:00"/>
    <n v="2"/>
    <x v="0"/>
    <s v="Filia McAdams"/>
    <x v="1"/>
    <m/>
    <s v="Richmond"/>
    <s v="Kentucky"/>
    <s v="South"/>
    <x v="1"/>
    <x v="9"/>
    <s v="Fellowes Premier Superior Surge Suppressor, 10-Outlet, With Phone and Remote"/>
    <x v="4570"/>
    <n v="3"/>
    <n v="0"/>
    <n v="38.157600000000002"/>
  </r>
  <r>
    <n v="7016"/>
    <x v="518"/>
    <x v="2"/>
    <x v="10"/>
    <d v="2011-03-13T00:00:00"/>
    <n v="2"/>
    <x v="0"/>
    <s v="Filia McAdams"/>
    <x v="1"/>
    <m/>
    <s v="Richmond"/>
    <s v="Kentucky"/>
    <s v="South"/>
    <x v="2"/>
    <x v="11"/>
    <s v="Maxell DVD-RAM Discs"/>
    <x v="93"/>
    <n v="2"/>
    <n v="0"/>
    <n v="14.172800000000001"/>
  </r>
  <r>
    <n v="7017"/>
    <x v="518"/>
    <x v="2"/>
    <x v="10"/>
    <d v="2011-03-13T00:00:00"/>
    <n v="2"/>
    <x v="0"/>
    <s v="Filia McAdams"/>
    <x v="1"/>
    <m/>
    <s v="Richmond"/>
    <s v="Kentucky"/>
    <s v="South"/>
    <x v="2"/>
    <x v="7"/>
    <s v="Panasonic KX-TG9471B"/>
    <x v="2133"/>
    <n v="3"/>
    <n v="0"/>
    <n v="164.63159999999999"/>
  </r>
  <r>
    <n v="7018"/>
    <x v="518"/>
    <x v="2"/>
    <x v="10"/>
    <d v="2011-03-13T00:00:00"/>
    <n v="2"/>
    <x v="0"/>
    <s v="Filia McAdams"/>
    <x v="1"/>
    <m/>
    <s v="Richmond"/>
    <s v="Kentucky"/>
    <s v="South"/>
    <x v="1"/>
    <x v="10"/>
    <s v="Xerox 198"/>
    <x v="1801"/>
    <n v="3"/>
    <n v="0"/>
    <n v="7.0217999999999998"/>
  </r>
  <r>
    <n v="7019"/>
    <x v="661"/>
    <x v="0"/>
    <x v="1"/>
    <d v="2013-06-28T00:00:00"/>
    <n v="4"/>
    <x v="0"/>
    <s v="Sally Matthias"/>
    <x v="0"/>
    <m/>
    <s v="New York City"/>
    <s v="New York"/>
    <s v="East"/>
    <x v="1"/>
    <x v="2"/>
    <s v="Avery 487"/>
    <x v="4237"/>
    <n v="7"/>
    <n v="0"/>
    <n v="12.1401"/>
  </r>
  <r>
    <n v="7020"/>
    <x v="709"/>
    <x v="2"/>
    <x v="6"/>
    <d v="2011-08-27T00:00:00"/>
    <n v="4"/>
    <x v="1"/>
    <s v="Arthur Prichep"/>
    <x v="0"/>
    <m/>
    <s v="Denver"/>
    <s v="Colorado"/>
    <s v="West"/>
    <x v="1"/>
    <x v="10"/>
    <s v="Xerox 1976"/>
    <x v="12"/>
    <n v="3"/>
    <n v="0.2"/>
    <n v="5.4432"/>
  </r>
  <r>
    <n v="7021"/>
    <x v="709"/>
    <x v="2"/>
    <x v="6"/>
    <d v="2011-08-27T00:00:00"/>
    <n v="4"/>
    <x v="1"/>
    <s v="Arthur Prichep"/>
    <x v="0"/>
    <m/>
    <s v="Denver"/>
    <s v="Colorado"/>
    <s v="West"/>
    <x v="1"/>
    <x v="14"/>
    <s v="Acme Titanium Bonded Scissors"/>
    <x v="4571"/>
    <n v="1"/>
    <n v="0.2"/>
    <n v="0.51"/>
  </r>
  <r>
    <n v="7022"/>
    <x v="709"/>
    <x v="2"/>
    <x v="6"/>
    <d v="2011-08-27T00:00:00"/>
    <n v="4"/>
    <x v="1"/>
    <s v="Arthur Prichep"/>
    <x v="0"/>
    <m/>
    <s v="Denver"/>
    <s v="Colorado"/>
    <s v="West"/>
    <x v="0"/>
    <x v="5"/>
    <s v="Regeneration Desk Collection"/>
    <x v="1700"/>
    <n v="3"/>
    <n v="0.2"/>
    <n v="1.2672000000000001"/>
  </r>
  <r>
    <n v="7023"/>
    <x v="709"/>
    <x v="2"/>
    <x v="6"/>
    <d v="2011-08-27T00:00:00"/>
    <n v="4"/>
    <x v="1"/>
    <s v="Arthur Prichep"/>
    <x v="0"/>
    <m/>
    <s v="Denver"/>
    <s v="Colorado"/>
    <s v="West"/>
    <x v="2"/>
    <x v="7"/>
    <s v="Cisco SPA525G2 IP Phone - Wireless"/>
    <x v="4572"/>
    <n v="9"/>
    <n v="0.2"/>
    <n v="10.773"/>
  </r>
  <r>
    <n v="7024"/>
    <x v="709"/>
    <x v="2"/>
    <x v="6"/>
    <d v="2011-08-27T00:00:00"/>
    <n v="4"/>
    <x v="1"/>
    <s v="Arthur Prichep"/>
    <x v="0"/>
    <m/>
    <s v="Denver"/>
    <s v="Colorado"/>
    <s v="West"/>
    <x v="1"/>
    <x v="10"/>
    <s v="Xerox 1931"/>
    <x v="276"/>
    <n v="6"/>
    <n v="0.2"/>
    <n v="10.8864"/>
  </r>
  <r>
    <n v="7025"/>
    <x v="709"/>
    <x v="2"/>
    <x v="6"/>
    <d v="2011-08-27T00:00:00"/>
    <n v="4"/>
    <x v="1"/>
    <s v="Arthur Prichep"/>
    <x v="0"/>
    <m/>
    <s v="Denver"/>
    <s v="Colorado"/>
    <s v="West"/>
    <x v="1"/>
    <x v="10"/>
    <s v="Xerox 1988"/>
    <x v="1319"/>
    <n v="9"/>
    <n v="0.2"/>
    <n v="69.704999999999998"/>
  </r>
  <r>
    <n v="7026"/>
    <x v="695"/>
    <x v="3"/>
    <x v="11"/>
    <d v="2014-02-13T00:00:00"/>
    <n v="6"/>
    <x v="1"/>
    <s v="Sibella Parks"/>
    <x v="1"/>
    <m/>
    <s v="New York City"/>
    <s v="New York"/>
    <s v="East"/>
    <x v="2"/>
    <x v="7"/>
    <s v="Grandstream GXP1160 VoIP phone"/>
    <x v="4573"/>
    <n v="6"/>
    <n v="0"/>
    <n v="65.963399999999993"/>
  </r>
  <r>
    <n v="7027"/>
    <x v="695"/>
    <x v="3"/>
    <x v="11"/>
    <d v="2014-02-13T00:00:00"/>
    <n v="6"/>
    <x v="1"/>
    <s v="Sibella Parks"/>
    <x v="1"/>
    <m/>
    <s v="New York City"/>
    <s v="New York"/>
    <s v="East"/>
    <x v="1"/>
    <x v="8"/>
    <s v="Acco Recycled 2&quot; Capacity Laser Printer Hanging Data Binders"/>
    <x v="4574"/>
    <n v="4"/>
    <n v="0.2"/>
    <n v="15.606"/>
  </r>
  <r>
    <n v="7028"/>
    <x v="926"/>
    <x v="3"/>
    <x v="9"/>
    <d v="2014-02-06T00:00:00"/>
    <n v="7"/>
    <x v="1"/>
    <s v="Rob Dowd"/>
    <x v="0"/>
    <m/>
    <s v="New York City"/>
    <s v="New York"/>
    <s v="East"/>
    <x v="1"/>
    <x v="2"/>
    <s v="Permanent Self-Adhesive File Folder Labels for Typewriters by Universal"/>
    <x v="3576"/>
    <n v="2"/>
    <n v="0"/>
    <n v="2.4011999999999998"/>
  </r>
  <r>
    <n v="7029"/>
    <x v="887"/>
    <x v="0"/>
    <x v="4"/>
    <d v="2013-12-24T00:00:00"/>
    <n v="3"/>
    <x v="0"/>
    <s v="Matt Collins"/>
    <x v="0"/>
    <m/>
    <s v="Fremont"/>
    <s v="Nebraska"/>
    <s v="Central"/>
    <x v="1"/>
    <x v="10"/>
    <s v="Strathmore Photo Mount Cards"/>
    <x v="1269"/>
    <n v="5"/>
    <n v="0"/>
    <n v="15.593999999999999"/>
  </r>
  <r>
    <n v="7030"/>
    <x v="583"/>
    <x v="0"/>
    <x v="0"/>
    <d v="2013-11-17T00:00:00"/>
    <n v="5"/>
    <x v="1"/>
    <s v="Edward Becker"/>
    <x v="1"/>
    <m/>
    <s v="New York City"/>
    <s v="New York"/>
    <s v="East"/>
    <x v="1"/>
    <x v="4"/>
    <s v="Staples"/>
    <x v="4499"/>
    <n v="3"/>
    <n v="0"/>
    <n v="7.8792"/>
  </r>
  <r>
    <n v="7031"/>
    <x v="583"/>
    <x v="0"/>
    <x v="0"/>
    <d v="2013-11-17T00:00:00"/>
    <n v="5"/>
    <x v="1"/>
    <s v="Edward Becker"/>
    <x v="1"/>
    <m/>
    <s v="New York City"/>
    <s v="New York"/>
    <s v="East"/>
    <x v="2"/>
    <x v="11"/>
    <s v="KeyTronic E03601U1 - Keyboard - Beige"/>
    <x v="3844"/>
    <n v="2"/>
    <n v="0"/>
    <n v="6.48"/>
  </r>
  <r>
    <n v="7032"/>
    <x v="583"/>
    <x v="0"/>
    <x v="0"/>
    <d v="2013-11-17T00:00:00"/>
    <n v="5"/>
    <x v="1"/>
    <s v="Edward Becker"/>
    <x v="1"/>
    <m/>
    <s v="New York City"/>
    <s v="New York"/>
    <s v="East"/>
    <x v="1"/>
    <x v="6"/>
    <s v="Boston School Pro Electric Pencil Sharpener, 1670"/>
    <x v="1635"/>
    <n v="3"/>
    <n v="0"/>
    <n v="25.093800000000002"/>
  </r>
  <r>
    <n v="7033"/>
    <x v="583"/>
    <x v="0"/>
    <x v="0"/>
    <d v="2013-11-17T00:00:00"/>
    <n v="5"/>
    <x v="1"/>
    <s v="Edward Becker"/>
    <x v="1"/>
    <m/>
    <s v="New York City"/>
    <s v="New York"/>
    <s v="East"/>
    <x v="0"/>
    <x v="1"/>
    <s v="Global Wood Trimmed Manager's Task Chair, Khaki"/>
    <x v="4575"/>
    <n v="3"/>
    <n v="0.1"/>
    <n v="8.1882000000000001"/>
  </r>
  <r>
    <n v="7034"/>
    <x v="583"/>
    <x v="0"/>
    <x v="0"/>
    <d v="2013-11-17T00:00:00"/>
    <n v="5"/>
    <x v="1"/>
    <s v="Edward Becker"/>
    <x v="1"/>
    <m/>
    <s v="New York City"/>
    <s v="New York"/>
    <s v="East"/>
    <x v="1"/>
    <x v="8"/>
    <s v="Deluxe Heavy-Duty Vinyl Round Ring Binder"/>
    <x v="4576"/>
    <n v="3"/>
    <n v="0.2"/>
    <n v="17.190000000000001"/>
  </r>
  <r>
    <n v="7035"/>
    <x v="583"/>
    <x v="0"/>
    <x v="0"/>
    <d v="2013-11-17T00:00:00"/>
    <n v="5"/>
    <x v="1"/>
    <s v="Edward Becker"/>
    <x v="1"/>
    <m/>
    <s v="New York City"/>
    <s v="New York"/>
    <s v="East"/>
    <x v="1"/>
    <x v="8"/>
    <s v="XtraLife ClearVue Slant-D Ring Binder, White, 3&quot;"/>
    <x v="4423"/>
    <n v="3"/>
    <n v="0.2"/>
    <n v="11.4504"/>
  </r>
  <r>
    <n v="7036"/>
    <x v="45"/>
    <x v="3"/>
    <x v="0"/>
    <d v="2014-11-14T00:00:00"/>
    <n v="4"/>
    <x v="1"/>
    <s v="Jim Epp"/>
    <x v="1"/>
    <m/>
    <s v="San Diego"/>
    <s v="California"/>
    <s v="West"/>
    <x v="0"/>
    <x v="1"/>
    <s v="Lifetime Advantage Folding Chairs, 4/Carton"/>
    <x v="4577"/>
    <n v="3"/>
    <n v="0.2"/>
    <n v="52.339199999999998"/>
  </r>
  <r>
    <n v="7037"/>
    <x v="1073"/>
    <x v="2"/>
    <x v="5"/>
    <d v="2011-05-04T00:00:00"/>
    <n v="2"/>
    <x v="0"/>
    <s v="Cari Schnelling"/>
    <x v="0"/>
    <m/>
    <s v="Lakeland"/>
    <s v="Florida"/>
    <s v="South"/>
    <x v="2"/>
    <x v="16"/>
    <s v="Brother DCP1000 Digital 3 in 1 Multifunction Machine"/>
    <x v="1973"/>
    <n v="2"/>
    <n v="0.2"/>
    <n v="89.997"/>
  </r>
  <r>
    <n v="7038"/>
    <x v="585"/>
    <x v="3"/>
    <x v="8"/>
    <d v="2014-09-28T00:00:00"/>
    <n v="5"/>
    <x v="1"/>
    <s v="Peter Bühler"/>
    <x v="0"/>
    <m/>
    <s v="Smyrna"/>
    <s v="Georgia"/>
    <s v="South"/>
    <x v="1"/>
    <x v="10"/>
    <s v="Xerox 219"/>
    <x v="91"/>
    <n v="2"/>
    <n v="0"/>
    <n v="6.2207999999999997"/>
  </r>
  <r>
    <n v="7039"/>
    <x v="585"/>
    <x v="3"/>
    <x v="8"/>
    <d v="2014-09-28T00:00:00"/>
    <n v="5"/>
    <x v="1"/>
    <s v="Peter Bühler"/>
    <x v="0"/>
    <m/>
    <s v="Smyrna"/>
    <s v="Georgia"/>
    <s v="South"/>
    <x v="1"/>
    <x v="6"/>
    <s v="Stride Job 150 Highlighters, Chisel Tip, Assorted Colors"/>
    <x v="1444"/>
    <n v="3"/>
    <n v="0"/>
    <n v="6.4584000000000001"/>
  </r>
  <r>
    <n v="7040"/>
    <x v="94"/>
    <x v="3"/>
    <x v="4"/>
    <d v="2014-12-24T00:00:00"/>
    <n v="6"/>
    <x v="1"/>
    <s v="Annie Thurman"/>
    <x v="0"/>
    <m/>
    <s v="New York City"/>
    <s v="New York"/>
    <s v="East"/>
    <x v="1"/>
    <x v="4"/>
    <s v="Safco Steel Mobile File Cart"/>
    <x v="240"/>
    <n v="2"/>
    <n v="0"/>
    <n v="41.68"/>
  </r>
  <r>
    <n v="7041"/>
    <x v="94"/>
    <x v="3"/>
    <x v="4"/>
    <d v="2014-12-24T00:00:00"/>
    <n v="6"/>
    <x v="1"/>
    <s v="Annie Thurman"/>
    <x v="0"/>
    <m/>
    <s v="New York City"/>
    <s v="New York"/>
    <s v="East"/>
    <x v="1"/>
    <x v="8"/>
    <s v="GBC Wire Binding Combs"/>
    <x v="176"/>
    <n v="3"/>
    <n v="0.2"/>
    <n v="8.3754000000000008"/>
  </r>
  <r>
    <n v="7042"/>
    <x v="94"/>
    <x v="3"/>
    <x v="4"/>
    <d v="2014-12-24T00:00:00"/>
    <n v="6"/>
    <x v="1"/>
    <s v="Annie Thurman"/>
    <x v="0"/>
    <m/>
    <s v="New York City"/>
    <s v="New York"/>
    <s v="East"/>
    <x v="0"/>
    <x v="5"/>
    <s v="Deflect-o Glass Clear Studded Chair Mats"/>
    <x v="2217"/>
    <n v="2"/>
    <n v="0"/>
    <n v="27.359200000000001"/>
  </r>
  <r>
    <n v="7043"/>
    <x v="930"/>
    <x v="3"/>
    <x v="7"/>
    <d v="2014-07-24T00:00:00"/>
    <n v="5"/>
    <x v="1"/>
    <s v="Seth Vernon"/>
    <x v="0"/>
    <m/>
    <s v="Philadelphia"/>
    <s v="Pennsylvania"/>
    <s v="East"/>
    <x v="2"/>
    <x v="16"/>
    <s v="Canon PC-428 Personal Copier"/>
    <x v="2730"/>
    <n v="5"/>
    <n v="0.4"/>
    <n v="69.996499999999997"/>
  </r>
  <r>
    <n v="7044"/>
    <x v="930"/>
    <x v="3"/>
    <x v="7"/>
    <d v="2014-07-24T00:00:00"/>
    <n v="5"/>
    <x v="1"/>
    <s v="Seth Vernon"/>
    <x v="0"/>
    <m/>
    <s v="Philadelphia"/>
    <s v="Pennsylvania"/>
    <s v="East"/>
    <x v="0"/>
    <x v="1"/>
    <s v="Situations Contoured Folding Chairs, 4/Set"/>
    <x v="4578"/>
    <n v="4"/>
    <n v="0.3"/>
    <n v="-14.196"/>
  </r>
  <r>
    <n v="7045"/>
    <x v="930"/>
    <x v="3"/>
    <x v="7"/>
    <d v="2014-07-24T00:00:00"/>
    <n v="5"/>
    <x v="1"/>
    <s v="Seth Vernon"/>
    <x v="0"/>
    <m/>
    <s v="Philadelphia"/>
    <s v="Pennsylvania"/>
    <s v="East"/>
    <x v="1"/>
    <x v="14"/>
    <s v="Acme Kleencut Forged Steel Scissors"/>
    <x v="1964"/>
    <n v="2"/>
    <n v="0.2"/>
    <n v="1.1479999999999999"/>
  </r>
  <r>
    <n v="7046"/>
    <x v="54"/>
    <x v="0"/>
    <x v="0"/>
    <d v="2013-11-10T00:00:00"/>
    <n v="6"/>
    <x v="1"/>
    <s v="Patrick Jones"/>
    <x v="1"/>
    <m/>
    <s v="Dallas"/>
    <s v="Texas"/>
    <s v="Central"/>
    <x v="1"/>
    <x v="10"/>
    <s v="Xerox 1978"/>
    <x v="4579"/>
    <n v="2"/>
    <n v="0.2"/>
    <n v="3.3523999999999998"/>
  </r>
  <r>
    <n v="7047"/>
    <x v="918"/>
    <x v="2"/>
    <x v="3"/>
    <d v="2011-04-12T00:00:00"/>
    <n v="4"/>
    <x v="1"/>
    <s v="Nathan Mautz"/>
    <x v="2"/>
    <m/>
    <s v="Concord"/>
    <s v="California"/>
    <s v="West"/>
    <x v="0"/>
    <x v="3"/>
    <s v="Bevis 36 x 72 Conference Tables"/>
    <x v="4580"/>
    <n v="1"/>
    <n v="0.2"/>
    <n v="2.4897999999999998"/>
  </r>
  <r>
    <n v="7048"/>
    <x v="918"/>
    <x v="2"/>
    <x v="3"/>
    <d v="2011-04-12T00:00:00"/>
    <n v="4"/>
    <x v="1"/>
    <s v="Nathan Mautz"/>
    <x v="2"/>
    <m/>
    <s v="Concord"/>
    <s v="California"/>
    <s v="West"/>
    <x v="2"/>
    <x v="11"/>
    <s v="Logitech Wireless Headset h800"/>
    <x v="1221"/>
    <n v="4"/>
    <n v="0"/>
    <n v="139.98599999999999"/>
  </r>
  <r>
    <n v="7049"/>
    <x v="1041"/>
    <x v="0"/>
    <x v="6"/>
    <d v="2013-08-17T00:00:00"/>
    <n v="2"/>
    <x v="2"/>
    <s v="Toby Ritter"/>
    <x v="0"/>
    <m/>
    <s v="Nashville"/>
    <s v="Tennessee"/>
    <s v="South"/>
    <x v="1"/>
    <x v="10"/>
    <s v="Xerox 200"/>
    <x v="12"/>
    <n v="3"/>
    <n v="0.2"/>
    <n v="5.4432"/>
  </r>
  <r>
    <n v="7050"/>
    <x v="794"/>
    <x v="2"/>
    <x v="8"/>
    <d v="2011-09-30T00:00:00"/>
    <n v="5"/>
    <x v="1"/>
    <s v="Barry Franz"/>
    <x v="2"/>
    <m/>
    <s v="Aurora"/>
    <s v="Colorado"/>
    <s v="West"/>
    <x v="1"/>
    <x v="6"/>
    <s v="Dixon Ticonderoga Core-Lock Colored Pencils"/>
    <x v="4581"/>
    <n v="2"/>
    <n v="0.2"/>
    <n v="2.3685999999999998"/>
  </r>
  <r>
    <n v="7051"/>
    <x v="25"/>
    <x v="0"/>
    <x v="4"/>
    <d v="2013-12-12T00:00:00"/>
    <n v="0"/>
    <x v="3"/>
    <s v="William Brown"/>
    <x v="0"/>
    <m/>
    <s v="Anaheim"/>
    <s v="California"/>
    <s v="West"/>
    <x v="1"/>
    <x v="8"/>
    <s v="Ibico Laser Imprintable Binding System Covers"/>
    <x v="4582"/>
    <n v="5"/>
    <n v="0.2"/>
    <n v="68.12"/>
  </r>
  <r>
    <n v="7052"/>
    <x v="25"/>
    <x v="0"/>
    <x v="4"/>
    <d v="2013-12-12T00:00:00"/>
    <n v="0"/>
    <x v="3"/>
    <s v="William Brown"/>
    <x v="0"/>
    <m/>
    <s v="Anaheim"/>
    <s v="California"/>
    <s v="West"/>
    <x v="1"/>
    <x v="6"/>
    <s v="Boston 16765 Mini Stand Up Battery Pencil Sharpener"/>
    <x v="4434"/>
    <n v="2"/>
    <n v="0"/>
    <n v="6.0632000000000001"/>
  </r>
  <r>
    <n v="7053"/>
    <x v="25"/>
    <x v="0"/>
    <x v="4"/>
    <d v="2013-12-12T00:00:00"/>
    <n v="0"/>
    <x v="3"/>
    <s v="William Brown"/>
    <x v="0"/>
    <m/>
    <s v="Anaheim"/>
    <s v="California"/>
    <s v="West"/>
    <x v="1"/>
    <x v="10"/>
    <s v="IBM Multi-Purpose Copy Paper, 8 1/2 x 11&quot;, Case"/>
    <x v="4583"/>
    <n v="1"/>
    <n v="0"/>
    <n v="13.941000000000001"/>
  </r>
  <r>
    <n v="7054"/>
    <x v="25"/>
    <x v="0"/>
    <x v="4"/>
    <d v="2013-12-12T00:00:00"/>
    <n v="0"/>
    <x v="3"/>
    <s v="William Brown"/>
    <x v="0"/>
    <m/>
    <s v="Anaheim"/>
    <s v="California"/>
    <s v="West"/>
    <x v="2"/>
    <x v="11"/>
    <s v="Microsoft Natural Ergonomic Keyboard 4000"/>
    <x v="664"/>
    <n v="4"/>
    <n v="0"/>
    <n v="25.191600000000001"/>
  </r>
  <r>
    <n v="7055"/>
    <x v="25"/>
    <x v="0"/>
    <x v="4"/>
    <d v="2013-12-12T00:00:00"/>
    <n v="0"/>
    <x v="3"/>
    <s v="William Brown"/>
    <x v="0"/>
    <m/>
    <s v="Anaheim"/>
    <s v="California"/>
    <s v="West"/>
    <x v="0"/>
    <x v="1"/>
    <s v="Global Wood Trimmed Manager's Task Chair, Khaki"/>
    <x v="4009"/>
    <n v="5"/>
    <n v="0.2"/>
    <n v="-31.843"/>
  </r>
  <r>
    <n v="7056"/>
    <x v="25"/>
    <x v="0"/>
    <x v="4"/>
    <d v="2013-12-12T00:00:00"/>
    <n v="0"/>
    <x v="3"/>
    <s v="William Brown"/>
    <x v="0"/>
    <m/>
    <s v="Anaheim"/>
    <s v="California"/>
    <s v="West"/>
    <x v="1"/>
    <x v="8"/>
    <s v="Recycled Easel Ring Binders"/>
    <x v="2011"/>
    <n v="3"/>
    <n v="0.2"/>
    <n v="11.19"/>
  </r>
  <r>
    <n v="7057"/>
    <x v="25"/>
    <x v="0"/>
    <x v="4"/>
    <d v="2013-12-12T00:00:00"/>
    <n v="0"/>
    <x v="3"/>
    <s v="William Brown"/>
    <x v="0"/>
    <m/>
    <s v="Anaheim"/>
    <s v="California"/>
    <s v="West"/>
    <x v="1"/>
    <x v="8"/>
    <s v="GBC Recycled VeloBinder Covers"/>
    <x v="4584"/>
    <n v="9"/>
    <n v="0.2"/>
    <n v="39.873600000000003"/>
  </r>
  <r>
    <n v="7058"/>
    <x v="25"/>
    <x v="0"/>
    <x v="4"/>
    <d v="2013-12-12T00:00:00"/>
    <n v="0"/>
    <x v="3"/>
    <s v="William Brown"/>
    <x v="0"/>
    <m/>
    <s v="Anaheim"/>
    <s v="California"/>
    <s v="West"/>
    <x v="0"/>
    <x v="3"/>
    <s v="Hon Non-Folding Utility Tables"/>
    <x v="4585"/>
    <n v="7"/>
    <n v="0.2"/>
    <n v="111.517"/>
  </r>
  <r>
    <n v="7059"/>
    <x v="25"/>
    <x v="0"/>
    <x v="4"/>
    <d v="2013-12-12T00:00:00"/>
    <n v="0"/>
    <x v="3"/>
    <s v="William Brown"/>
    <x v="0"/>
    <m/>
    <s v="Anaheim"/>
    <s v="California"/>
    <s v="West"/>
    <x v="1"/>
    <x v="4"/>
    <s v="Rogers Profile Extra Capacity Storage Tub"/>
    <x v="4586"/>
    <n v="3"/>
    <n v="0"/>
    <n v="2.0087999999999999"/>
  </r>
  <r>
    <n v="7060"/>
    <x v="25"/>
    <x v="0"/>
    <x v="4"/>
    <d v="2013-12-12T00:00:00"/>
    <n v="0"/>
    <x v="3"/>
    <s v="William Brown"/>
    <x v="0"/>
    <m/>
    <s v="Anaheim"/>
    <s v="California"/>
    <s v="West"/>
    <x v="1"/>
    <x v="9"/>
    <s v="Fellowes 8 Outlet Superior Workstation Surge Protector"/>
    <x v="4587"/>
    <n v="2"/>
    <n v="0"/>
    <n v="24.191800000000001"/>
  </r>
  <r>
    <n v="7061"/>
    <x v="25"/>
    <x v="0"/>
    <x v="4"/>
    <d v="2013-12-12T00:00:00"/>
    <n v="0"/>
    <x v="3"/>
    <s v="William Brown"/>
    <x v="0"/>
    <m/>
    <s v="Anaheim"/>
    <s v="California"/>
    <s v="West"/>
    <x v="1"/>
    <x v="8"/>
    <s v="Black Avery Memo-Size 3-Ring Binder, 5 1/2&quot; x 8 1/2&quot;"/>
    <x v="4588"/>
    <n v="2"/>
    <n v="0.2"/>
    <n v="2.1286"/>
  </r>
  <r>
    <n v="7062"/>
    <x v="302"/>
    <x v="1"/>
    <x v="11"/>
    <d v="2012-02-05T00:00:00"/>
    <n v="2"/>
    <x v="0"/>
    <s v="Ken Heidel"/>
    <x v="1"/>
    <m/>
    <s v="Pleasant Grove"/>
    <s v="Utah"/>
    <s v="West"/>
    <x v="1"/>
    <x v="8"/>
    <s v="Wilson Jones Standard D-Ring Binders"/>
    <x v="4589"/>
    <n v="3"/>
    <n v="0.2"/>
    <n v="4.0986000000000002"/>
  </r>
  <r>
    <n v="7063"/>
    <x v="723"/>
    <x v="0"/>
    <x v="4"/>
    <d v="2014-01-01T00:00:00"/>
    <n v="2"/>
    <x v="0"/>
    <s v="Ken Lonsdale"/>
    <x v="0"/>
    <m/>
    <s v="Springfield"/>
    <s v="Oregon"/>
    <s v="West"/>
    <x v="1"/>
    <x v="12"/>
    <s v="Peel &amp; Seel Recycled Catalog Envelopes, Brown"/>
    <x v="4590"/>
    <n v="3"/>
    <n v="0.2"/>
    <n v="10.422000000000001"/>
  </r>
  <r>
    <n v="7064"/>
    <x v="515"/>
    <x v="3"/>
    <x v="8"/>
    <d v="2014-09-06T00:00:00"/>
    <n v="5"/>
    <x v="1"/>
    <s v="Michael Granlund"/>
    <x v="2"/>
    <m/>
    <s v="Salem"/>
    <s v="Oregon"/>
    <s v="West"/>
    <x v="1"/>
    <x v="14"/>
    <s v="Acme Kleen Earth Office Shears"/>
    <x v="920"/>
    <n v="2"/>
    <n v="0.2"/>
    <n v="0.69840000000000002"/>
  </r>
  <r>
    <n v="7065"/>
    <x v="1144"/>
    <x v="3"/>
    <x v="11"/>
    <d v="2014-02-10T00:00:00"/>
    <n v="5"/>
    <x v="1"/>
    <s v="Jay Fein"/>
    <x v="0"/>
    <m/>
    <s v="Rochester"/>
    <s v="New York"/>
    <s v="East"/>
    <x v="1"/>
    <x v="9"/>
    <s v="Belkin 6 Outlet Metallic Surge Strip"/>
    <x v="4591"/>
    <n v="3"/>
    <n v="0"/>
    <n v="8.4941999999999993"/>
  </r>
  <r>
    <n v="7066"/>
    <x v="776"/>
    <x v="2"/>
    <x v="4"/>
    <d v="2011-12-08T00:00:00"/>
    <n v="2"/>
    <x v="2"/>
    <s v="Roland Schwarz"/>
    <x v="1"/>
    <m/>
    <s v="Los Angeles"/>
    <s v="California"/>
    <s v="West"/>
    <x v="1"/>
    <x v="4"/>
    <s v="Standard Rollaway File with Lock"/>
    <x v="4592"/>
    <n v="7"/>
    <n v="0"/>
    <n v="327.94580000000002"/>
  </r>
  <r>
    <n v="7067"/>
    <x v="198"/>
    <x v="0"/>
    <x v="5"/>
    <d v="2013-06-04T00:00:00"/>
    <n v="4"/>
    <x v="1"/>
    <s v="Nancy Lomonaco"/>
    <x v="2"/>
    <m/>
    <s v="Los Angeles"/>
    <s v="California"/>
    <s v="West"/>
    <x v="1"/>
    <x v="10"/>
    <s v="Xerox 228"/>
    <x v="783"/>
    <n v="6"/>
    <n v="0"/>
    <n v="18.662400000000002"/>
  </r>
  <r>
    <n v="7068"/>
    <x v="206"/>
    <x v="0"/>
    <x v="5"/>
    <d v="2013-05-27T00:00:00"/>
    <n v="5"/>
    <x v="1"/>
    <s v="Alejandro Savely"/>
    <x v="1"/>
    <m/>
    <s v="Dallas"/>
    <s v="Texas"/>
    <s v="Central"/>
    <x v="1"/>
    <x v="8"/>
    <s v="Pressboard Covers with Storage Hooks, 9 1/2&quot; x 11&quot;, Light Blue"/>
    <x v="3153"/>
    <n v="2"/>
    <n v="0.8"/>
    <n v="-3.2406000000000001"/>
  </r>
  <r>
    <n v="7069"/>
    <x v="206"/>
    <x v="0"/>
    <x v="5"/>
    <d v="2013-05-27T00:00:00"/>
    <n v="5"/>
    <x v="1"/>
    <s v="Alejandro Savely"/>
    <x v="1"/>
    <m/>
    <s v="Dallas"/>
    <s v="Texas"/>
    <s v="Central"/>
    <x v="1"/>
    <x v="10"/>
    <s v="Southworth 100% Cotton The Best Paper"/>
    <x v="4593"/>
    <n v="9"/>
    <n v="0.2"/>
    <n v="30.995999999999999"/>
  </r>
  <r>
    <n v="7070"/>
    <x v="128"/>
    <x v="2"/>
    <x v="6"/>
    <d v="2011-08-14T00:00:00"/>
    <n v="5"/>
    <x v="1"/>
    <s v="Gene McClure"/>
    <x v="0"/>
    <m/>
    <s v="Fresno"/>
    <s v="California"/>
    <s v="West"/>
    <x v="1"/>
    <x v="10"/>
    <s v="Great White Multi-Use Recycled Paper (20Lb. and 84 Bright)"/>
    <x v="156"/>
    <n v="1"/>
    <n v="0"/>
    <n v="2.6909999999999998"/>
  </r>
  <r>
    <n v="7071"/>
    <x v="64"/>
    <x v="0"/>
    <x v="8"/>
    <d v="2013-09-11T00:00:00"/>
    <n v="5"/>
    <x v="0"/>
    <s v="Stephanie Ulpright"/>
    <x v="2"/>
    <m/>
    <s v="Chicago"/>
    <s v="Illinois"/>
    <s v="Central"/>
    <x v="1"/>
    <x v="10"/>
    <s v="Xerox 196"/>
    <x v="4579"/>
    <n v="2"/>
    <n v="0.2"/>
    <n v="3.3523999999999998"/>
  </r>
  <r>
    <n v="7072"/>
    <x v="310"/>
    <x v="0"/>
    <x v="7"/>
    <d v="2013-07-29T00:00:00"/>
    <n v="5"/>
    <x v="1"/>
    <s v="Chloris Kastensmidt"/>
    <x v="0"/>
    <m/>
    <s v="Mcallen"/>
    <s v="Texas"/>
    <s v="Central"/>
    <x v="1"/>
    <x v="6"/>
    <s v="Newell 339"/>
    <x v="2999"/>
    <n v="2"/>
    <n v="0.2"/>
    <n v="0.33360000000000001"/>
  </r>
  <r>
    <n v="7073"/>
    <x v="310"/>
    <x v="0"/>
    <x v="7"/>
    <d v="2013-07-29T00:00:00"/>
    <n v="5"/>
    <x v="1"/>
    <s v="Chloris Kastensmidt"/>
    <x v="0"/>
    <m/>
    <s v="Mcallen"/>
    <s v="Texas"/>
    <s v="Central"/>
    <x v="1"/>
    <x v="10"/>
    <s v="Xerox 231"/>
    <x v="1170"/>
    <n v="1"/>
    <n v="0.2"/>
    <n v="1.8144"/>
  </r>
  <r>
    <n v="7074"/>
    <x v="310"/>
    <x v="0"/>
    <x v="7"/>
    <d v="2013-07-29T00:00:00"/>
    <n v="5"/>
    <x v="1"/>
    <s v="Chloris Kastensmidt"/>
    <x v="0"/>
    <m/>
    <s v="Mcallen"/>
    <s v="Texas"/>
    <s v="Central"/>
    <x v="1"/>
    <x v="6"/>
    <s v="Boston 1645 Deluxe Heavier-Duty Electric Pencil Sharpener"/>
    <x v="4594"/>
    <n v="5"/>
    <n v="0.2"/>
    <n v="15.393000000000001"/>
  </r>
  <r>
    <n v="7075"/>
    <x v="310"/>
    <x v="0"/>
    <x v="7"/>
    <d v="2013-07-29T00:00:00"/>
    <n v="5"/>
    <x v="1"/>
    <s v="Chloris Kastensmidt"/>
    <x v="0"/>
    <m/>
    <s v="Mcallen"/>
    <s v="Texas"/>
    <s v="Central"/>
    <x v="1"/>
    <x v="8"/>
    <s v="Storex Dura Pro Binders"/>
    <x v="320"/>
    <n v="4"/>
    <n v="0.8"/>
    <n v="-8.3160000000000007"/>
  </r>
  <r>
    <n v="7076"/>
    <x v="310"/>
    <x v="0"/>
    <x v="7"/>
    <d v="2013-07-29T00:00:00"/>
    <n v="5"/>
    <x v="1"/>
    <s v="Chloris Kastensmidt"/>
    <x v="0"/>
    <m/>
    <s v="Mcallen"/>
    <s v="Texas"/>
    <s v="Central"/>
    <x v="1"/>
    <x v="14"/>
    <s v="Acme Elite Stainless Steel Scissors"/>
    <x v="3832"/>
    <n v="2"/>
    <n v="0.2"/>
    <n v="1.0007999999999999"/>
  </r>
  <r>
    <n v="7077"/>
    <x v="536"/>
    <x v="0"/>
    <x v="5"/>
    <d v="2013-05-18T00:00:00"/>
    <n v="5"/>
    <x v="1"/>
    <s v="Jill Matthias"/>
    <x v="0"/>
    <m/>
    <s v="Seattle"/>
    <s v="Washington"/>
    <s v="West"/>
    <x v="1"/>
    <x v="12"/>
    <s v="Manila Recycled Extra-Heavyweight Clasp Envelopes, 6&quot; x 9&quot;"/>
    <x v="2735"/>
    <n v="5"/>
    <n v="0"/>
    <n v="26.901"/>
  </r>
  <r>
    <n v="7078"/>
    <x v="476"/>
    <x v="0"/>
    <x v="8"/>
    <d v="2013-09-07T00:00:00"/>
    <n v="4"/>
    <x v="1"/>
    <s v="Joe Elijah"/>
    <x v="0"/>
    <m/>
    <s v="Charlotte"/>
    <s v="North Carolina"/>
    <s v="South"/>
    <x v="1"/>
    <x v="8"/>
    <s v="Heavy-Duty E-Z-D Binders"/>
    <x v="4595"/>
    <n v="7"/>
    <n v="0.7"/>
    <n v="-17.565100000000001"/>
  </r>
  <r>
    <n v="7079"/>
    <x v="476"/>
    <x v="0"/>
    <x v="8"/>
    <d v="2013-09-07T00:00:00"/>
    <n v="4"/>
    <x v="1"/>
    <s v="Joe Elijah"/>
    <x v="0"/>
    <m/>
    <s v="Charlotte"/>
    <s v="North Carolina"/>
    <s v="South"/>
    <x v="1"/>
    <x v="9"/>
    <s v="Belkin F9M820V08 8 Outlet Surge"/>
    <x v="4596"/>
    <n v="9"/>
    <n v="0.2"/>
    <n v="34.813800000000001"/>
  </r>
  <r>
    <n v="7080"/>
    <x v="476"/>
    <x v="0"/>
    <x v="8"/>
    <d v="2013-09-07T00:00:00"/>
    <n v="4"/>
    <x v="1"/>
    <s v="Joe Elijah"/>
    <x v="0"/>
    <m/>
    <s v="Charlotte"/>
    <s v="North Carolina"/>
    <s v="South"/>
    <x v="1"/>
    <x v="6"/>
    <s v="Zebra Zazzle Fluorescent Highlighters"/>
    <x v="526"/>
    <n v="4"/>
    <n v="0.2"/>
    <n v="3.4047999999999998"/>
  </r>
  <r>
    <n v="7081"/>
    <x v="476"/>
    <x v="0"/>
    <x v="8"/>
    <d v="2013-09-07T00:00:00"/>
    <n v="4"/>
    <x v="1"/>
    <s v="Joe Elijah"/>
    <x v="0"/>
    <m/>
    <s v="Charlotte"/>
    <s v="North Carolina"/>
    <s v="South"/>
    <x v="0"/>
    <x v="3"/>
    <s v="Hon Racetrack Conference Tables"/>
    <x v="4597"/>
    <n v="3"/>
    <n v="0.4"/>
    <n v="-149.63069999999999"/>
  </r>
  <r>
    <n v="7082"/>
    <x v="476"/>
    <x v="0"/>
    <x v="8"/>
    <d v="2013-09-07T00:00:00"/>
    <n v="4"/>
    <x v="1"/>
    <s v="Joe Elijah"/>
    <x v="0"/>
    <m/>
    <s v="Charlotte"/>
    <s v="North Carolina"/>
    <s v="South"/>
    <x v="2"/>
    <x v="11"/>
    <s v="Plantronics Savi W720 Multi-Device Wireless Headset System"/>
    <x v="4598"/>
    <n v="3"/>
    <n v="0.2"/>
    <n v="303.80399999999997"/>
  </r>
  <r>
    <n v="7083"/>
    <x v="476"/>
    <x v="0"/>
    <x v="8"/>
    <d v="2013-09-07T00:00:00"/>
    <n v="4"/>
    <x v="1"/>
    <s v="Joe Elijah"/>
    <x v="0"/>
    <m/>
    <s v="Charlotte"/>
    <s v="North Carolina"/>
    <s v="South"/>
    <x v="1"/>
    <x v="8"/>
    <s v="GBC Plasticlear Binding Covers"/>
    <x v="1683"/>
    <n v="5"/>
    <n v="0.7"/>
    <n v="-12.628"/>
  </r>
  <r>
    <n v="7084"/>
    <x v="246"/>
    <x v="3"/>
    <x v="7"/>
    <d v="2014-07-26T00:00:00"/>
    <n v="4"/>
    <x v="0"/>
    <s v="Anthony Rawles"/>
    <x v="1"/>
    <m/>
    <s v="Concord"/>
    <s v="California"/>
    <s v="West"/>
    <x v="1"/>
    <x v="6"/>
    <s v="Nontoxic Chalk"/>
    <x v="2799"/>
    <n v="2"/>
    <n v="0"/>
    <n v="1.6896"/>
  </r>
  <r>
    <n v="7085"/>
    <x v="246"/>
    <x v="3"/>
    <x v="7"/>
    <d v="2014-07-26T00:00:00"/>
    <n v="4"/>
    <x v="0"/>
    <s v="Anthony Rawles"/>
    <x v="1"/>
    <m/>
    <s v="Concord"/>
    <s v="California"/>
    <s v="West"/>
    <x v="2"/>
    <x v="7"/>
    <s v="Polycom SoundPoint IP 450 VoIP phone"/>
    <x v="4599"/>
    <n v="9"/>
    <n v="0.2"/>
    <n v="121.9644"/>
  </r>
  <r>
    <n v="7086"/>
    <x v="145"/>
    <x v="3"/>
    <x v="8"/>
    <d v="2014-09-29T00:00:00"/>
    <n v="3"/>
    <x v="2"/>
    <s v="Adam Hart"/>
    <x v="1"/>
    <m/>
    <s v="Chester"/>
    <s v="Pennsylvania"/>
    <s v="East"/>
    <x v="1"/>
    <x v="8"/>
    <s v="Avery Metallic Poly Binders"/>
    <x v="4600"/>
    <n v="5"/>
    <n v="0.7"/>
    <n v="-6.3029999999999999"/>
  </r>
  <r>
    <n v="7087"/>
    <x v="145"/>
    <x v="3"/>
    <x v="8"/>
    <d v="2014-09-29T00:00:00"/>
    <n v="3"/>
    <x v="2"/>
    <s v="Adam Hart"/>
    <x v="1"/>
    <m/>
    <s v="Chester"/>
    <s v="Pennsylvania"/>
    <s v="East"/>
    <x v="1"/>
    <x v="14"/>
    <s v="Compact Automatic Electric Letter Opener"/>
    <x v="4601"/>
    <n v="2"/>
    <n v="0.2"/>
    <n v="-42.951599999999999"/>
  </r>
  <r>
    <n v="7088"/>
    <x v="646"/>
    <x v="3"/>
    <x v="6"/>
    <d v="2014-08-07T00:00:00"/>
    <n v="3"/>
    <x v="0"/>
    <s v="George Ashbrook"/>
    <x v="0"/>
    <m/>
    <s v="Los Angeles"/>
    <s v="California"/>
    <s v="West"/>
    <x v="1"/>
    <x v="4"/>
    <s v="Fellowes Bases and Tops For Staxonsteel/High-Stak Systems"/>
    <x v="4041"/>
    <n v="3"/>
    <n v="0"/>
    <n v="23.968800000000002"/>
  </r>
  <r>
    <n v="7089"/>
    <x v="969"/>
    <x v="1"/>
    <x v="2"/>
    <d v="2012-10-27T00:00:00"/>
    <n v="2"/>
    <x v="0"/>
    <s v="Jennifer Ferguson"/>
    <x v="0"/>
    <m/>
    <s v="Sparks"/>
    <s v="Nevada"/>
    <s v="West"/>
    <x v="1"/>
    <x v="6"/>
    <s v="Newell 319"/>
    <x v="1362"/>
    <n v="4"/>
    <n v="0"/>
    <n v="23.808"/>
  </r>
  <r>
    <n v="7090"/>
    <x v="140"/>
    <x v="3"/>
    <x v="1"/>
    <d v="2014-06-20T00:00:00"/>
    <n v="4"/>
    <x v="0"/>
    <s v="Kristen Hastings"/>
    <x v="1"/>
    <m/>
    <s v="Los Angeles"/>
    <s v="California"/>
    <s v="West"/>
    <x v="2"/>
    <x v="7"/>
    <s v="Panasonic KX T7736-B Digital phone"/>
    <x v="664"/>
    <n v="1"/>
    <n v="0.2"/>
    <n v="7.4974999999999996"/>
  </r>
  <r>
    <n v="7091"/>
    <x v="1145"/>
    <x v="1"/>
    <x v="9"/>
    <d v="2012-01-13T00:00:00"/>
    <n v="4"/>
    <x v="1"/>
    <s v="Craig Carroll"/>
    <x v="0"/>
    <m/>
    <s v="Henderson"/>
    <s v="Kentucky"/>
    <s v="South"/>
    <x v="1"/>
    <x v="10"/>
    <s v="Staples"/>
    <x v="1907"/>
    <n v="3"/>
    <n v="0"/>
    <n v="49.970399999999998"/>
  </r>
  <r>
    <n v="7092"/>
    <x v="1145"/>
    <x v="1"/>
    <x v="9"/>
    <d v="2012-01-13T00:00:00"/>
    <n v="4"/>
    <x v="1"/>
    <s v="Craig Carroll"/>
    <x v="0"/>
    <m/>
    <s v="Henderson"/>
    <s v="Kentucky"/>
    <s v="South"/>
    <x v="1"/>
    <x v="9"/>
    <s v="Belkin 5 Outlet SurgeMaster Power Centers"/>
    <x v="4602"/>
    <n v="3"/>
    <n v="0"/>
    <n v="45.763199999999998"/>
  </r>
  <r>
    <n v="7093"/>
    <x v="1145"/>
    <x v="1"/>
    <x v="9"/>
    <d v="2012-01-13T00:00:00"/>
    <n v="4"/>
    <x v="1"/>
    <s v="Craig Carroll"/>
    <x v="0"/>
    <m/>
    <s v="Henderson"/>
    <s v="Kentucky"/>
    <s v="South"/>
    <x v="1"/>
    <x v="6"/>
    <s v="Boston 1730 StandUp Electric Pencil Sharpener"/>
    <x v="3802"/>
    <n v="2"/>
    <n v="0"/>
    <n v="11.117599999999999"/>
  </r>
  <r>
    <n v="7094"/>
    <x v="1145"/>
    <x v="1"/>
    <x v="9"/>
    <d v="2012-01-13T00:00:00"/>
    <n v="4"/>
    <x v="1"/>
    <s v="Craig Carroll"/>
    <x v="0"/>
    <m/>
    <s v="Henderson"/>
    <s v="Kentucky"/>
    <s v="South"/>
    <x v="1"/>
    <x v="10"/>
    <s v="Speediset Carbonless Redi-Letter 7&quot; x 8 1/2&quot;"/>
    <x v="3667"/>
    <n v="5"/>
    <n v="0"/>
    <n v="24.2285"/>
  </r>
  <r>
    <n v="7095"/>
    <x v="97"/>
    <x v="1"/>
    <x v="11"/>
    <d v="2012-02-13T00:00:00"/>
    <n v="4"/>
    <x v="0"/>
    <s v="Jill Fjeld"/>
    <x v="0"/>
    <m/>
    <s v="Decatur"/>
    <s v="Illinois"/>
    <s v="Central"/>
    <x v="2"/>
    <x v="11"/>
    <s v="Logitech Wireless Headset h800"/>
    <x v="4447"/>
    <n v="6"/>
    <n v="0.2"/>
    <n v="89.991"/>
  </r>
  <r>
    <n v="7096"/>
    <x v="1146"/>
    <x v="0"/>
    <x v="6"/>
    <d v="2013-08-21T00:00:00"/>
    <n v="1"/>
    <x v="2"/>
    <s v="Resi Pölking"/>
    <x v="0"/>
    <m/>
    <s v="New York City"/>
    <s v="New York"/>
    <s v="East"/>
    <x v="1"/>
    <x v="8"/>
    <s v="Surelock Post Binders"/>
    <x v="4603"/>
    <n v="6"/>
    <n v="0.2"/>
    <n v="55.008000000000003"/>
  </r>
  <r>
    <n v="7097"/>
    <x v="1146"/>
    <x v="0"/>
    <x v="6"/>
    <d v="2013-08-21T00:00:00"/>
    <n v="1"/>
    <x v="2"/>
    <s v="Resi Pölking"/>
    <x v="0"/>
    <m/>
    <s v="New York City"/>
    <s v="New York"/>
    <s v="East"/>
    <x v="1"/>
    <x v="8"/>
    <s v="Ibico EB-19 Dual Function Manual Binding System"/>
    <x v="4604"/>
    <n v="2"/>
    <n v="0.2"/>
    <n v="89.954800000000006"/>
  </r>
  <r>
    <n v="7098"/>
    <x v="1146"/>
    <x v="0"/>
    <x v="6"/>
    <d v="2013-08-21T00:00:00"/>
    <n v="1"/>
    <x v="2"/>
    <s v="Resi Pölking"/>
    <x v="0"/>
    <m/>
    <s v="New York City"/>
    <s v="New York"/>
    <s v="East"/>
    <x v="1"/>
    <x v="8"/>
    <s v="Cardinal HOLDit! Binder Insert Strips,Extra Strips"/>
    <x v="1038"/>
    <n v="5"/>
    <n v="0.2"/>
    <n v="9.1784999999999997"/>
  </r>
  <r>
    <n v="7099"/>
    <x v="44"/>
    <x v="3"/>
    <x v="0"/>
    <d v="2014-11-11T00:00:00"/>
    <n v="4"/>
    <x v="1"/>
    <s v="Carol Darley"/>
    <x v="0"/>
    <m/>
    <s v="New York City"/>
    <s v="New York"/>
    <s v="East"/>
    <x v="1"/>
    <x v="10"/>
    <s v="Xerox 1906"/>
    <x v="4605"/>
    <n v="9"/>
    <n v="0"/>
    <n v="149.91120000000001"/>
  </r>
  <r>
    <n v="7100"/>
    <x v="207"/>
    <x v="1"/>
    <x v="4"/>
    <d v="2012-12-30T00:00:00"/>
    <n v="4"/>
    <x v="0"/>
    <s v="David Flashing"/>
    <x v="0"/>
    <m/>
    <s v="New York City"/>
    <s v="New York"/>
    <s v="East"/>
    <x v="1"/>
    <x v="10"/>
    <s v="Xerox 1906"/>
    <x v="3441"/>
    <n v="6"/>
    <n v="0"/>
    <n v="99.940799999999996"/>
  </r>
  <r>
    <n v="7101"/>
    <x v="533"/>
    <x v="2"/>
    <x v="0"/>
    <d v="2011-11-28T00:00:00"/>
    <n v="5"/>
    <x v="1"/>
    <s v="Sally Matthias"/>
    <x v="0"/>
    <m/>
    <s v="Scottsdale"/>
    <s v="Arizona"/>
    <s v="West"/>
    <x v="1"/>
    <x v="12"/>
    <s v="Staples"/>
    <x v="2953"/>
    <n v="3"/>
    <n v="0.2"/>
    <n v="8.8019999999999996"/>
  </r>
  <r>
    <n v="7102"/>
    <x v="1147"/>
    <x v="0"/>
    <x v="6"/>
    <d v="2013-08-06T00:00:00"/>
    <n v="4"/>
    <x v="0"/>
    <s v="Susan Gilcrest"/>
    <x v="1"/>
    <m/>
    <s v="Amarillo"/>
    <s v="Texas"/>
    <s v="Central"/>
    <x v="1"/>
    <x v="10"/>
    <s v="Staples"/>
    <x v="2993"/>
    <n v="2"/>
    <n v="0.2"/>
    <n v="6.6311999999999998"/>
  </r>
  <r>
    <n v="7103"/>
    <x v="158"/>
    <x v="2"/>
    <x v="8"/>
    <d v="2011-09-24T00:00:00"/>
    <n v="3"/>
    <x v="2"/>
    <s v="Larry Hughes"/>
    <x v="0"/>
    <m/>
    <s v="Philadelphia"/>
    <s v="Pennsylvania"/>
    <s v="East"/>
    <x v="1"/>
    <x v="8"/>
    <s v="Angle-D Binders with Locking Rings, Label Holders"/>
    <x v="1124"/>
    <n v="3"/>
    <n v="0.7"/>
    <n v="-5.0369999999999999"/>
  </r>
  <r>
    <n v="7104"/>
    <x v="507"/>
    <x v="3"/>
    <x v="8"/>
    <d v="2014-09-09T00:00:00"/>
    <n v="4"/>
    <x v="1"/>
    <s v="Eva Jacobs"/>
    <x v="0"/>
    <m/>
    <s v="Santa Ana"/>
    <s v="California"/>
    <s v="West"/>
    <x v="1"/>
    <x v="4"/>
    <s v="24 Capacity Maxi Data Binder Racks, Pearl"/>
    <x v="4606"/>
    <n v="2"/>
    <n v="0"/>
    <n v="105.27500000000001"/>
  </r>
  <r>
    <n v="7105"/>
    <x v="249"/>
    <x v="3"/>
    <x v="1"/>
    <d v="2014-06-22T00:00:00"/>
    <n v="2"/>
    <x v="0"/>
    <s v="Katharine Harms"/>
    <x v="1"/>
    <m/>
    <s v="Newark"/>
    <s v="Ohio"/>
    <s v="East"/>
    <x v="0"/>
    <x v="1"/>
    <s v="Global Ergonomic Managers Chair"/>
    <x v="4607"/>
    <n v="6"/>
    <n v="0.3"/>
    <n v="-43.435200000000002"/>
  </r>
  <r>
    <n v="7106"/>
    <x v="249"/>
    <x v="3"/>
    <x v="1"/>
    <d v="2014-06-22T00:00:00"/>
    <n v="2"/>
    <x v="0"/>
    <s v="Katharine Harms"/>
    <x v="1"/>
    <m/>
    <s v="Newark"/>
    <s v="Ohio"/>
    <s v="East"/>
    <x v="0"/>
    <x v="5"/>
    <s v="Contemporary Wood/Metal Frame"/>
    <x v="4608"/>
    <n v="3"/>
    <n v="0.2"/>
    <n v="7.2720000000000002"/>
  </r>
  <r>
    <n v="7107"/>
    <x v="249"/>
    <x v="3"/>
    <x v="1"/>
    <d v="2014-06-22T00:00:00"/>
    <n v="2"/>
    <x v="0"/>
    <s v="Katharine Harms"/>
    <x v="1"/>
    <m/>
    <s v="Newark"/>
    <s v="Ohio"/>
    <s v="East"/>
    <x v="2"/>
    <x v="11"/>
    <s v="Memorex 25GB 6X Branded Blu-Ray Recordable Disc, 15/Pack"/>
    <x v="602"/>
    <n v="9"/>
    <n v="0.2"/>
    <n v="1.5290999999999999"/>
  </r>
  <r>
    <n v="7108"/>
    <x v="475"/>
    <x v="0"/>
    <x v="3"/>
    <d v="2013-04-27T00:00:00"/>
    <n v="7"/>
    <x v="1"/>
    <s v="Kunst Miller"/>
    <x v="0"/>
    <m/>
    <s v="New York City"/>
    <s v="New York"/>
    <s v="East"/>
    <x v="2"/>
    <x v="7"/>
    <s v="Gear Head AU3700S Headset"/>
    <x v="2232"/>
    <n v="2"/>
    <n v="0"/>
    <n v="0.77939999999999998"/>
  </r>
  <r>
    <n v="7109"/>
    <x v="475"/>
    <x v="0"/>
    <x v="3"/>
    <d v="2013-04-27T00:00:00"/>
    <n v="7"/>
    <x v="1"/>
    <s v="Kunst Miller"/>
    <x v="0"/>
    <m/>
    <s v="New York City"/>
    <s v="New York"/>
    <s v="East"/>
    <x v="1"/>
    <x v="6"/>
    <s v="BIC Brite Liner Grip Highlighters"/>
    <x v="175"/>
    <n v="2"/>
    <n v="0"/>
    <n v="1.476"/>
  </r>
  <r>
    <n v="7110"/>
    <x v="475"/>
    <x v="0"/>
    <x v="3"/>
    <d v="2013-04-27T00:00:00"/>
    <n v="7"/>
    <x v="1"/>
    <s v="Kunst Miller"/>
    <x v="0"/>
    <m/>
    <s v="New York City"/>
    <s v="New York"/>
    <s v="East"/>
    <x v="1"/>
    <x v="4"/>
    <s v="Space Solutions HD Industrial Steel Shelving."/>
    <x v="4609"/>
    <n v="4"/>
    <n v="0"/>
    <n v="13.7964"/>
  </r>
  <r>
    <n v="7111"/>
    <x v="475"/>
    <x v="0"/>
    <x v="3"/>
    <d v="2013-04-27T00:00:00"/>
    <n v="7"/>
    <x v="1"/>
    <s v="Kunst Miller"/>
    <x v="0"/>
    <m/>
    <s v="New York City"/>
    <s v="New York"/>
    <s v="East"/>
    <x v="1"/>
    <x v="14"/>
    <s v="Acme Kleen Earth Office Shears"/>
    <x v="3335"/>
    <n v="2"/>
    <n v="0"/>
    <n v="2.2504"/>
  </r>
  <r>
    <n v="7112"/>
    <x v="475"/>
    <x v="0"/>
    <x v="3"/>
    <d v="2013-04-27T00:00:00"/>
    <n v="7"/>
    <x v="1"/>
    <s v="Kunst Miller"/>
    <x v="0"/>
    <m/>
    <s v="New York City"/>
    <s v="New York"/>
    <s v="East"/>
    <x v="1"/>
    <x v="6"/>
    <s v="Panasonic KP-380BK Classic Electric Pencil Sharpener"/>
    <x v="994"/>
    <n v="2"/>
    <n v="0"/>
    <n v="17.989999999999998"/>
  </r>
  <r>
    <n v="7113"/>
    <x v="475"/>
    <x v="0"/>
    <x v="3"/>
    <d v="2013-04-27T00:00:00"/>
    <n v="7"/>
    <x v="1"/>
    <s v="Kunst Miller"/>
    <x v="0"/>
    <m/>
    <s v="New York City"/>
    <s v="New York"/>
    <s v="East"/>
    <x v="1"/>
    <x v="14"/>
    <s v="Fiskars Softgrip Scissors"/>
    <x v="2735"/>
    <n v="5"/>
    <n v="0"/>
    <n v="15.372"/>
  </r>
  <r>
    <n v="7114"/>
    <x v="475"/>
    <x v="0"/>
    <x v="3"/>
    <d v="2013-04-27T00:00:00"/>
    <n v="7"/>
    <x v="1"/>
    <s v="Kunst Miller"/>
    <x v="0"/>
    <m/>
    <s v="New York City"/>
    <s v="New York"/>
    <s v="East"/>
    <x v="1"/>
    <x v="8"/>
    <s v="Wilson Jones Clip &amp; Carry Folder Binder Tool for Ring Binders, Clear"/>
    <x v="4610"/>
    <n v="2"/>
    <n v="0.2"/>
    <n v="3.2480000000000002"/>
  </r>
  <r>
    <n v="7115"/>
    <x v="465"/>
    <x v="0"/>
    <x v="5"/>
    <d v="2013-05-07T00:00:00"/>
    <n v="1"/>
    <x v="2"/>
    <s v="Lindsay Williams"/>
    <x v="1"/>
    <m/>
    <s v="Henderson"/>
    <s v="Nevada"/>
    <s v="West"/>
    <x v="0"/>
    <x v="3"/>
    <s v="Global Adaptabilities Conference Tables"/>
    <x v="4611"/>
    <n v="6"/>
    <n v="0"/>
    <n v="320.31720000000001"/>
  </r>
  <r>
    <n v="7116"/>
    <x v="465"/>
    <x v="0"/>
    <x v="5"/>
    <d v="2013-05-07T00:00:00"/>
    <n v="1"/>
    <x v="2"/>
    <s v="Lindsay Williams"/>
    <x v="1"/>
    <m/>
    <s v="Henderson"/>
    <s v="Nevada"/>
    <s v="West"/>
    <x v="1"/>
    <x v="8"/>
    <s v="Avery Poly Binder Pockets"/>
    <x v="3004"/>
    <n v="2"/>
    <n v="0.2"/>
    <n v="2.0047999999999999"/>
  </r>
  <r>
    <n v="7117"/>
    <x v="638"/>
    <x v="2"/>
    <x v="2"/>
    <d v="2011-10-23T00:00:00"/>
    <n v="5"/>
    <x v="0"/>
    <s v="Ivan Gibson"/>
    <x v="0"/>
    <m/>
    <s v="Seattle"/>
    <s v="Washington"/>
    <s v="West"/>
    <x v="1"/>
    <x v="10"/>
    <s v="Xerox 1925"/>
    <x v="1156"/>
    <n v="2"/>
    <n v="0"/>
    <n v="27.882000000000001"/>
  </r>
  <r>
    <n v="7118"/>
    <x v="638"/>
    <x v="2"/>
    <x v="2"/>
    <d v="2011-10-23T00:00:00"/>
    <n v="5"/>
    <x v="0"/>
    <s v="Ivan Gibson"/>
    <x v="0"/>
    <m/>
    <s v="Seattle"/>
    <s v="Washington"/>
    <s v="West"/>
    <x v="1"/>
    <x v="8"/>
    <s v="Computer Printout Index Tabs"/>
    <x v="2000"/>
    <n v="1"/>
    <n v="0.2"/>
    <n v="0.47039999999999998"/>
  </r>
  <r>
    <n v="7119"/>
    <x v="778"/>
    <x v="3"/>
    <x v="11"/>
    <d v="2014-02-18T00:00:00"/>
    <n v="4"/>
    <x v="1"/>
    <s v="Jennifer Patt"/>
    <x v="1"/>
    <m/>
    <s v="New York City"/>
    <s v="New York"/>
    <s v="East"/>
    <x v="1"/>
    <x v="10"/>
    <s v="Xerox 1903"/>
    <x v="1444"/>
    <n v="3"/>
    <n v="0"/>
    <n v="8.7905999999999995"/>
  </r>
  <r>
    <n v="7120"/>
    <x v="701"/>
    <x v="3"/>
    <x v="0"/>
    <d v="2014-11-25T00:00:00"/>
    <n v="7"/>
    <x v="1"/>
    <s v="Greg Guthrie"/>
    <x v="1"/>
    <m/>
    <s v="Seattle"/>
    <s v="Washington"/>
    <s v="West"/>
    <x v="1"/>
    <x v="8"/>
    <s v="Cardinal Slant-D Ring Binder, Heavy Gauge Vinyl"/>
    <x v="1150"/>
    <n v="2"/>
    <n v="0.2"/>
    <n v="4.5187999999999997"/>
  </r>
  <r>
    <n v="7121"/>
    <x v="407"/>
    <x v="2"/>
    <x v="9"/>
    <d v="2011-01-27T00:00:00"/>
    <n v="6"/>
    <x v="1"/>
    <s v="Muhammed MacIntyre"/>
    <x v="1"/>
    <m/>
    <s v="Smyrna"/>
    <s v="Tennessee"/>
    <s v="South"/>
    <x v="1"/>
    <x v="8"/>
    <s v="GBC DocuBind TL200 Manual Binding Machine"/>
    <x v="4612"/>
    <n v="1"/>
    <n v="0.7"/>
    <n v="-51.5154"/>
  </r>
  <r>
    <n v="7122"/>
    <x v="96"/>
    <x v="3"/>
    <x v="4"/>
    <d v="2014-12-09T00:00:00"/>
    <n v="7"/>
    <x v="1"/>
    <s v="Sean O'Donnell"/>
    <x v="0"/>
    <m/>
    <s v="Seattle"/>
    <s v="Washington"/>
    <s v="West"/>
    <x v="1"/>
    <x v="10"/>
    <s v="Xerox 1947"/>
    <x v="1075"/>
    <n v="7"/>
    <n v="0"/>
    <n v="18.837"/>
  </r>
  <r>
    <n v="7123"/>
    <x v="96"/>
    <x v="3"/>
    <x v="4"/>
    <d v="2014-12-09T00:00:00"/>
    <n v="7"/>
    <x v="1"/>
    <s v="Sean O'Donnell"/>
    <x v="0"/>
    <m/>
    <s v="Seattle"/>
    <s v="Washington"/>
    <s v="West"/>
    <x v="0"/>
    <x v="0"/>
    <s v="Hon Metal Bookcases, Putty"/>
    <x v="1713"/>
    <n v="2"/>
    <n v="0"/>
    <n v="41.168399999999998"/>
  </r>
  <r>
    <n v="7124"/>
    <x v="101"/>
    <x v="1"/>
    <x v="6"/>
    <d v="2012-08-16T00:00:00"/>
    <n v="7"/>
    <x v="1"/>
    <s v="Monica Federle"/>
    <x v="1"/>
    <m/>
    <s v="New York City"/>
    <s v="New York"/>
    <s v="East"/>
    <x v="0"/>
    <x v="5"/>
    <s v="OIC Stacking Trays"/>
    <x v="4613"/>
    <n v="3"/>
    <n v="0"/>
    <n v="4.4088000000000003"/>
  </r>
  <r>
    <n v="7125"/>
    <x v="101"/>
    <x v="1"/>
    <x v="6"/>
    <d v="2012-08-16T00:00:00"/>
    <n v="7"/>
    <x v="1"/>
    <s v="Monica Federle"/>
    <x v="1"/>
    <m/>
    <s v="New York City"/>
    <s v="New York"/>
    <s v="East"/>
    <x v="1"/>
    <x v="10"/>
    <s v="Xerox 1885"/>
    <x v="3683"/>
    <n v="3"/>
    <n v="0"/>
    <n v="69.177599999999998"/>
  </r>
  <r>
    <n v="7126"/>
    <x v="720"/>
    <x v="0"/>
    <x v="8"/>
    <d v="2013-09-30T00:00:00"/>
    <n v="2"/>
    <x v="0"/>
    <s v="James Galang"/>
    <x v="0"/>
    <m/>
    <s v="Atlanta"/>
    <s v="Georgia"/>
    <s v="South"/>
    <x v="1"/>
    <x v="10"/>
    <s v="Xerox 1965"/>
    <x v="1444"/>
    <n v="3"/>
    <n v="0"/>
    <n v="8.7905999999999995"/>
  </r>
  <r>
    <n v="7127"/>
    <x v="720"/>
    <x v="0"/>
    <x v="8"/>
    <d v="2013-09-30T00:00:00"/>
    <n v="2"/>
    <x v="0"/>
    <s v="James Galang"/>
    <x v="0"/>
    <m/>
    <s v="Atlanta"/>
    <s v="Georgia"/>
    <s v="South"/>
    <x v="1"/>
    <x v="6"/>
    <s v="Binney &amp; Smith Crayola Metallic Colored Pencils, 8-Color Set"/>
    <x v="4614"/>
    <n v="3"/>
    <n v="0"/>
    <n v="4.5837000000000003"/>
  </r>
  <r>
    <n v="7128"/>
    <x v="696"/>
    <x v="0"/>
    <x v="0"/>
    <d v="2013-11-21T00:00:00"/>
    <n v="6"/>
    <x v="1"/>
    <s v="Justin MacKendrick"/>
    <x v="0"/>
    <m/>
    <s v="Newark"/>
    <s v="Delaware"/>
    <s v="East"/>
    <x v="1"/>
    <x v="10"/>
    <s v="Tops Wirebound Message Log Books"/>
    <x v="4615"/>
    <n v="5"/>
    <n v="0"/>
    <n v="7.5670000000000002"/>
  </r>
  <r>
    <n v="7129"/>
    <x v="696"/>
    <x v="0"/>
    <x v="0"/>
    <d v="2013-11-21T00:00:00"/>
    <n v="6"/>
    <x v="1"/>
    <s v="Justin MacKendrick"/>
    <x v="0"/>
    <m/>
    <s v="Newark"/>
    <s v="Delaware"/>
    <s v="East"/>
    <x v="0"/>
    <x v="5"/>
    <s v="Stacking Trays by OIC"/>
    <x v="544"/>
    <n v="4"/>
    <n v="0"/>
    <n v="6.5735999999999999"/>
  </r>
  <r>
    <n v="7130"/>
    <x v="947"/>
    <x v="0"/>
    <x v="3"/>
    <d v="2013-04-23T00:00:00"/>
    <n v="6"/>
    <x v="1"/>
    <s v="Pete Kriz"/>
    <x v="0"/>
    <m/>
    <s v="Nashville"/>
    <s v="Tennessee"/>
    <s v="South"/>
    <x v="2"/>
    <x v="11"/>
    <s v="Memorex Froggy Flash Drive 4 GB"/>
    <x v="200"/>
    <n v="4"/>
    <n v="0.2"/>
    <n v="8.3523999999999994"/>
  </r>
  <r>
    <n v="7131"/>
    <x v="947"/>
    <x v="0"/>
    <x v="3"/>
    <d v="2013-04-23T00:00:00"/>
    <n v="6"/>
    <x v="1"/>
    <s v="Pete Kriz"/>
    <x v="0"/>
    <m/>
    <s v="Nashville"/>
    <s v="Tennessee"/>
    <s v="South"/>
    <x v="1"/>
    <x v="10"/>
    <s v="Standard Line “While You Were Out” Hardbound Telephone Message Book"/>
    <x v="4616"/>
    <n v="7"/>
    <n v="0.2"/>
    <n v="40.003599999999999"/>
  </r>
  <r>
    <n v="7132"/>
    <x v="200"/>
    <x v="3"/>
    <x v="0"/>
    <d v="2014-12-02T00:00:00"/>
    <n v="5"/>
    <x v="1"/>
    <s v="Tonja Turnell"/>
    <x v="2"/>
    <m/>
    <s v="Richmond"/>
    <s v="Indiana"/>
    <s v="Central"/>
    <x v="0"/>
    <x v="3"/>
    <s v="KI Adjustable-Height Table"/>
    <x v="4617"/>
    <n v="3"/>
    <n v="0"/>
    <n v="67.064400000000006"/>
  </r>
  <r>
    <n v="7133"/>
    <x v="200"/>
    <x v="3"/>
    <x v="0"/>
    <d v="2014-12-02T00:00:00"/>
    <n v="5"/>
    <x v="1"/>
    <s v="Tonja Turnell"/>
    <x v="2"/>
    <m/>
    <s v="Richmond"/>
    <s v="Indiana"/>
    <s v="Central"/>
    <x v="2"/>
    <x v="7"/>
    <s v="Samsung Galaxy S4 Mini"/>
    <x v="2096"/>
    <n v="4"/>
    <n v="0"/>
    <n v="545.1884"/>
  </r>
  <r>
    <n v="7134"/>
    <x v="200"/>
    <x v="3"/>
    <x v="0"/>
    <d v="2014-12-02T00:00:00"/>
    <n v="5"/>
    <x v="1"/>
    <s v="Tonja Turnell"/>
    <x v="2"/>
    <m/>
    <s v="Richmond"/>
    <s v="Indiana"/>
    <s v="Central"/>
    <x v="0"/>
    <x v="5"/>
    <s v="DAX Wood Document Frame"/>
    <x v="1287"/>
    <n v="2"/>
    <n v="0"/>
    <n v="9.8856000000000002"/>
  </r>
  <r>
    <n v="7135"/>
    <x v="200"/>
    <x v="3"/>
    <x v="0"/>
    <d v="2014-12-02T00:00:00"/>
    <n v="5"/>
    <x v="1"/>
    <s v="Tonja Turnell"/>
    <x v="2"/>
    <m/>
    <s v="Richmond"/>
    <s v="Indiana"/>
    <s v="Central"/>
    <x v="2"/>
    <x v="7"/>
    <s v="Innergie mMini Combo Duo USB Travel Charging Kit"/>
    <x v="2230"/>
    <n v="2"/>
    <n v="0"/>
    <n v="43.190399999999997"/>
  </r>
  <r>
    <n v="7136"/>
    <x v="200"/>
    <x v="3"/>
    <x v="0"/>
    <d v="2014-12-02T00:00:00"/>
    <n v="5"/>
    <x v="1"/>
    <s v="Tonja Turnell"/>
    <x v="2"/>
    <m/>
    <s v="Richmond"/>
    <s v="Indiana"/>
    <s v="Central"/>
    <x v="0"/>
    <x v="1"/>
    <s v="SAFCO Arco Folding Chair"/>
    <x v="4618"/>
    <n v="3"/>
    <n v="0"/>
    <n v="240.29400000000001"/>
  </r>
  <r>
    <n v="7137"/>
    <x v="312"/>
    <x v="1"/>
    <x v="0"/>
    <d v="2012-11-27T00:00:00"/>
    <n v="7"/>
    <x v="1"/>
    <s v="Sung Shariari"/>
    <x v="0"/>
    <m/>
    <s v="Miami"/>
    <s v="Florida"/>
    <s v="South"/>
    <x v="1"/>
    <x v="8"/>
    <s v="Wilson Jones Turn Tabs Binder Tool for Ring Binders"/>
    <x v="2159"/>
    <n v="5"/>
    <n v="0.7"/>
    <n v="-5.7839999999999998"/>
  </r>
  <r>
    <n v="7138"/>
    <x v="312"/>
    <x v="1"/>
    <x v="0"/>
    <d v="2012-11-27T00:00:00"/>
    <n v="7"/>
    <x v="1"/>
    <s v="Sung Shariari"/>
    <x v="0"/>
    <m/>
    <s v="Miami"/>
    <s v="Florida"/>
    <s v="South"/>
    <x v="1"/>
    <x v="4"/>
    <s v="Crate-A-Files"/>
    <x v="4619"/>
    <n v="2"/>
    <n v="0.2"/>
    <n v="1.3080000000000001"/>
  </r>
  <r>
    <n v="7139"/>
    <x v="312"/>
    <x v="1"/>
    <x v="0"/>
    <d v="2012-11-27T00:00:00"/>
    <n v="7"/>
    <x v="1"/>
    <s v="Sung Shariari"/>
    <x v="0"/>
    <m/>
    <s v="Miami"/>
    <s v="Florida"/>
    <s v="South"/>
    <x v="1"/>
    <x v="8"/>
    <s v="Ibico Laser Imprintable Binding System Covers"/>
    <x v="4620"/>
    <n v="4"/>
    <n v="0.7"/>
    <n v="-50.304000000000002"/>
  </r>
  <r>
    <n v="7140"/>
    <x v="312"/>
    <x v="1"/>
    <x v="0"/>
    <d v="2012-11-27T00:00:00"/>
    <n v="7"/>
    <x v="1"/>
    <s v="Sung Shariari"/>
    <x v="0"/>
    <m/>
    <s v="Miami"/>
    <s v="Florida"/>
    <s v="South"/>
    <x v="0"/>
    <x v="0"/>
    <s v="O'Sullivan Living Dimensions 2-Shelf Bookcases"/>
    <x v="4621"/>
    <n v="3"/>
    <n v="0.2"/>
    <n v="-36.293999999999997"/>
  </r>
  <r>
    <n v="7141"/>
    <x v="210"/>
    <x v="3"/>
    <x v="8"/>
    <d v="2014-09-08T00:00:00"/>
    <n v="0"/>
    <x v="3"/>
    <s v="Trudy Glocke"/>
    <x v="0"/>
    <m/>
    <s v="Saint Charles"/>
    <s v="Missouri"/>
    <s v="Central"/>
    <x v="2"/>
    <x v="11"/>
    <s v="Maxell 4.7GB DVD-R"/>
    <x v="3458"/>
    <n v="4"/>
    <n v="0"/>
    <n v="46.543199999999999"/>
  </r>
  <r>
    <n v="7142"/>
    <x v="210"/>
    <x v="3"/>
    <x v="8"/>
    <d v="2014-09-08T00:00:00"/>
    <n v="0"/>
    <x v="3"/>
    <s v="Trudy Glocke"/>
    <x v="0"/>
    <m/>
    <s v="Saint Charles"/>
    <s v="Missouri"/>
    <s v="Central"/>
    <x v="0"/>
    <x v="5"/>
    <s v="DataProducts Ampli Magnifier Task Lamp, Black,"/>
    <x v="4622"/>
    <n v="5"/>
    <n v="0"/>
    <n v="37.884"/>
  </r>
  <r>
    <n v="7143"/>
    <x v="156"/>
    <x v="2"/>
    <x v="0"/>
    <d v="2011-11-29T00:00:00"/>
    <n v="5"/>
    <x v="1"/>
    <s v="Harold Pawlan"/>
    <x v="2"/>
    <m/>
    <s v="Virginia Beach"/>
    <s v="Virginia"/>
    <s v="South"/>
    <x v="0"/>
    <x v="5"/>
    <s v="Executive Impressions 14&quot;"/>
    <x v="4623"/>
    <n v="5"/>
    <n v="0"/>
    <n v="48.905999999999999"/>
  </r>
  <r>
    <n v="7144"/>
    <x v="825"/>
    <x v="3"/>
    <x v="10"/>
    <d v="2014-03-17T00:00:00"/>
    <n v="5"/>
    <x v="1"/>
    <s v="Marc Harrigan"/>
    <x v="2"/>
    <m/>
    <s v="Philadelphia"/>
    <s v="Pennsylvania"/>
    <s v="East"/>
    <x v="2"/>
    <x v="7"/>
    <s v="Nortel Meridian M5316 Digital phone"/>
    <x v="4624"/>
    <n v="5"/>
    <n v="0.4"/>
    <n v="-181.26499999999999"/>
  </r>
  <r>
    <n v="7145"/>
    <x v="825"/>
    <x v="3"/>
    <x v="10"/>
    <d v="2014-03-17T00:00:00"/>
    <n v="5"/>
    <x v="1"/>
    <s v="Marc Harrigan"/>
    <x v="2"/>
    <m/>
    <s v="Philadelphia"/>
    <s v="Pennsylvania"/>
    <s v="East"/>
    <x v="1"/>
    <x v="8"/>
    <s v="Avery Trapezoid Ring Binder, 3&quot; Capacity, Black, 1040 sheets"/>
    <x v="4090"/>
    <n v="1"/>
    <n v="0.7"/>
    <n v="-8.6058000000000003"/>
  </r>
  <r>
    <n v="7146"/>
    <x v="825"/>
    <x v="3"/>
    <x v="10"/>
    <d v="2014-03-17T00:00:00"/>
    <n v="5"/>
    <x v="1"/>
    <s v="Marc Harrigan"/>
    <x v="2"/>
    <m/>
    <s v="Philadelphia"/>
    <s v="Pennsylvania"/>
    <s v="East"/>
    <x v="0"/>
    <x v="3"/>
    <s v="KI Adjustable-Height Table"/>
    <x v="1244"/>
    <n v="3"/>
    <n v="0.4"/>
    <n v="-46.429200000000002"/>
  </r>
  <r>
    <n v="7147"/>
    <x v="825"/>
    <x v="3"/>
    <x v="10"/>
    <d v="2014-03-17T00:00:00"/>
    <n v="5"/>
    <x v="1"/>
    <s v="Marc Harrigan"/>
    <x v="2"/>
    <m/>
    <s v="Philadelphia"/>
    <s v="Pennsylvania"/>
    <s v="East"/>
    <x v="1"/>
    <x v="4"/>
    <s v="Desktop 3-Pocket Hot File"/>
    <x v="4625"/>
    <n v="1"/>
    <n v="0.2"/>
    <n v="3.246"/>
  </r>
  <r>
    <n v="7148"/>
    <x v="1"/>
    <x v="0"/>
    <x v="1"/>
    <d v="2013-06-18T00:00:00"/>
    <n v="5"/>
    <x v="1"/>
    <s v="Christy Brittain"/>
    <x v="0"/>
    <m/>
    <s v="Long Beach"/>
    <s v="New York"/>
    <s v="East"/>
    <x v="1"/>
    <x v="10"/>
    <s v="IBM Multi-Purpose Copy Paper, 8 1/2 x 11&quot;, Case"/>
    <x v="1635"/>
    <n v="3"/>
    <n v="0"/>
    <n v="41.823"/>
  </r>
  <r>
    <n v="7149"/>
    <x v="1"/>
    <x v="0"/>
    <x v="1"/>
    <d v="2013-06-18T00:00:00"/>
    <n v="5"/>
    <x v="1"/>
    <s v="Christy Brittain"/>
    <x v="0"/>
    <m/>
    <s v="Long Beach"/>
    <s v="New York"/>
    <s v="East"/>
    <x v="1"/>
    <x v="9"/>
    <s v="Bionaire 99.97% HEPA Air Cleaner"/>
    <x v="4626"/>
    <n v="3"/>
    <n v="0"/>
    <n v="18.396000000000001"/>
  </r>
  <r>
    <n v="7150"/>
    <x v="153"/>
    <x v="1"/>
    <x v="1"/>
    <d v="2012-06-30T00:00:00"/>
    <n v="4"/>
    <x v="1"/>
    <s v="Valerie Dominguez"/>
    <x v="0"/>
    <m/>
    <s v="Houston"/>
    <s v="Texas"/>
    <s v="Central"/>
    <x v="2"/>
    <x v="7"/>
    <s v="Polycom SoundStation2 EX Conference phone"/>
    <x v="4627"/>
    <n v="3"/>
    <n v="0.2"/>
    <n v="109.3365"/>
  </r>
  <r>
    <n v="7151"/>
    <x v="66"/>
    <x v="3"/>
    <x v="4"/>
    <d v="2014-12-27T00:00:00"/>
    <n v="4"/>
    <x v="1"/>
    <s v="Sharelle Roach"/>
    <x v="2"/>
    <m/>
    <s v="Tuscaloosa"/>
    <s v="Alabama"/>
    <s v="South"/>
    <x v="0"/>
    <x v="1"/>
    <s v="Situations Contoured Folding Chairs, 4/Set"/>
    <x v="1713"/>
    <n v="2"/>
    <n v="0"/>
    <n v="35.49"/>
  </r>
  <r>
    <n v="7152"/>
    <x v="66"/>
    <x v="3"/>
    <x v="4"/>
    <d v="2014-12-26T00:00:00"/>
    <n v="3"/>
    <x v="0"/>
    <s v="Alex Grayson"/>
    <x v="0"/>
    <m/>
    <s v="Mesa"/>
    <s v="Arizona"/>
    <s v="West"/>
    <x v="0"/>
    <x v="3"/>
    <s v="Lesro Round Back Collection Coffee Table, End Table"/>
    <x v="4628"/>
    <n v="2"/>
    <n v="0.5"/>
    <n v="-135.08699999999999"/>
  </r>
  <r>
    <n v="7153"/>
    <x v="1148"/>
    <x v="2"/>
    <x v="2"/>
    <d v="2011-10-15T00:00:00"/>
    <n v="6"/>
    <x v="1"/>
    <s v="Bart Pistole"/>
    <x v="1"/>
    <m/>
    <s v="Jacksonville"/>
    <s v="North Carolina"/>
    <s v="South"/>
    <x v="1"/>
    <x v="10"/>
    <s v="Eaton Premium Continuous-Feed Paper, 25% Cotton, Letter Size, White, 1000 Shts/Box"/>
    <x v="1638"/>
    <n v="2"/>
    <n v="0.2"/>
    <n v="31.0688"/>
  </r>
  <r>
    <n v="7154"/>
    <x v="895"/>
    <x v="1"/>
    <x v="4"/>
    <d v="2012-12-15T00:00:00"/>
    <n v="5"/>
    <x v="1"/>
    <s v="Julia West"/>
    <x v="0"/>
    <m/>
    <s v="Chicago"/>
    <s v="Illinois"/>
    <s v="Central"/>
    <x v="1"/>
    <x v="9"/>
    <s v="3M Replacement Filter for Office Air Cleaner for 20' x 33' Room"/>
    <x v="4629"/>
    <n v="7"/>
    <n v="0.8"/>
    <n v="-108.8304"/>
  </r>
  <r>
    <n v="7155"/>
    <x v="707"/>
    <x v="1"/>
    <x v="4"/>
    <d v="2012-12-27T00:00:00"/>
    <n v="2"/>
    <x v="0"/>
    <s v="Lena Hernandez"/>
    <x v="0"/>
    <m/>
    <s v="Columbus"/>
    <s v="Georgia"/>
    <s v="South"/>
    <x v="0"/>
    <x v="5"/>
    <s v="Tenex B1-RE Series Chair Mats for Low Pile Carpets"/>
    <x v="4630"/>
    <n v="6"/>
    <n v="0"/>
    <n v="46.8996"/>
  </r>
  <r>
    <n v="7156"/>
    <x v="707"/>
    <x v="1"/>
    <x v="4"/>
    <d v="2012-12-27T00:00:00"/>
    <n v="2"/>
    <x v="0"/>
    <s v="Lena Hernandez"/>
    <x v="0"/>
    <m/>
    <s v="Columbus"/>
    <s v="Georgia"/>
    <s v="South"/>
    <x v="1"/>
    <x v="8"/>
    <s v="Tuf-Vin Binders"/>
    <x v="4631"/>
    <n v="5"/>
    <n v="0"/>
    <n v="74.212999999999994"/>
  </r>
  <r>
    <n v="7157"/>
    <x v="568"/>
    <x v="3"/>
    <x v="3"/>
    <d v="2014-05-05T00:00:00"/>
    <n v="5"/>
    <x v="1"/>
    <s v="Kean Thornton"/>
    <x v="0"/>
    <m/>
    <s v="Orange"/>
    <s v="New Jersey"/>
    <s v="East"/>
    <x v="1"/>
    <x v="2"/>
    <s v="Color-Coded Legal Exhibit Labels"/>
    <x v="3262"/>
    <n v="1"/>
    <n v="0"/>
    <n v="2.4058999999999999"/>
  </r>
  <r>
    <n v="7158"/>
    <x v="463"/>
    <x v="0"/>
    <x v="10"/>
    <d v="2013-04-01T00:00:00"/>
    <n v="3"/>
    <x v="0"/>
    <s v="Chris Cortes"/>
    <x v="0"/>
    <m/>
    <s v="Los Angeles"/>
    <s v="California"/>
    <s v="West"/>
    <x v="1"/>
    <x v="4"/>
    <s v="Rogers Deluxe File Chest"/>
    <x v="1177"/>
    <n v="4"/>
    <n v="0"/>
    <n v="0.87919999999999998"/>
  </r>
  <r>
    <n v="7159"/>
    <x v="463"/>
    <x v="0"/>
    <x v="10"/>
    <d v="2013-04-01T00:00:00"/>
    <n v="3"/>
    <x v="0"/>
    <s v="Chris Cortes"/>
    <x v="0"/>
    <m/>
    <s v="Los Angeles"/>
    <s v="California"/>
    <s v="West"/>
    <x v="1"/>
    <x v="10"/>
    <s v="Xerox 1983"/>
    <x v="156"/>
    <n v="1"/>
    <n v="0"/>
    <n v="2.9302000000000001"/>
  </r>
  <r>
    <n v="7160"/>
    <x v="1149"/>
    <x v="1"/>
    <x v="5"/>
    <d v="2012-05-18T00:00:00"/>
    <n v="5"/>
    <x v="0"/>
    <s v="Ben Ferrer"/>
    <x v="2"/>
    <m/>
    <s v="Chicago"/>
    <s v="Illinois"/>
    <s v="Central"/>
    <x v="2"/>
    <x v="7"/>
    <s v="Toshiba IPT2010-SD IP Telephone"/>
    <x v="2643"/>
    <n v="2"/>
    <n v="0.2"/>
    <n v="16.678799999999999"/>
  </r>
  <r>
    <n v="7161"/>
    <x v="1149"/>
    <x v="1"/>
    <x v="5"/>
    <d v="2012-05-18T00:00:00"/>
    <n v="5"/>
    <x v="0"/>
    <s v="Ben Ferrer"/>
    <x v="2"/>
    <m/>
    <s v="Chicago"/>
    <s v="Illinois"/>
    <s v="Central"/>
    <x v="1"/>
    <x v="13"/>
    <s v="Advantus Plastic Paper Clips"/>
    <x v="4515"/>
    <n v="4"/>
    <n v="0.2"/>
    <n v="5.6"/>
  </r>
  <r>
    <n v="7162"/>
    <x v="1129"/>
    <x v="2"/>
    <x v="7"/>
    <d v="2011-07-09T00:00:00"/>
    <n v="5"/>
    <x v="1"/>
    <s v="Maxwell Schwartz"/>
    <x v="0"/>
    <m/>
    <s v="Richmond"/>
    <s v="Virginia"/>
    <s v="South"/>
    <x v="1"/>
    <x v="10"/>
    <s v="Southworth Structures Collection"/>
    <x v="1372"/>
    <n v="3"/>
    <n v="0"/>
    <n v="10.92"/>
  </r>
  <r>
    <n v="7163"/>
    <x v="1129"/>
    <x v="2"/>
    <x v="7"/>
    <d v="2011-07-09T00:00:00"/>
    <n v="5"/>
    <x v="1"/>
    <s v="Maxwell Schwartz"/>
    <x v="0"/>
    <m/>
    <s v="Richmond"/>
    <s v="Virginia"/>
    <s v="South"/>
    <x v="1"/>
    <x v="8"/>
    <s v="Zipper Ring Binder Pockets"/>
    <x v="4632"/>
    <n v="5"/>
    <n v="0"/>
    <n v="7.6440000000000001"/>
  </r>
  <r>
    <n v="7164"/>
    <x v="1150"/>
    <x v="2"/>
    <x v="3"/>
    <d v="2011-04-24T00:00:00"/>
    <n v="2"/>
    <x v="0"/>
    <s v="Aaron Hawkins"/>
    <x v="1"/>
    <m/>
    <s v="Troy"/>
    <s v="New York"/>
    <s v="East"/>
    <x v="1"/>
    <x v="12"/>
    <s v="Staples"/>
    <x v="4633"/>
    <n v="8"/>
    <n v="0"/>
    <n v="121.44159999999999"/>
  </r>
  <r>
    <n v="7165"/>
    <x v="1150"/>
    <x v="2"/>
    <x v="3"/>
    <d v="2011-04-24T00:00:00"/>
    <n v="2"/>
    <x v="0"/>
    <s v="Aaron Hawkins"/>
    <x v="1"/>
    <m/>
    <s v="Troy"/>
    <s v="New York"/>
    <s v="East"/>
    <x v="1"/>
    <x v="8"/>
    <s v="ACCOHIDE 3-Ring Binder, Blue, 1&quot;"/>
    <x v="4373"/>
    <n v="3"/>
    <n v="0.2"/>
    <n v="3.3452999999999999"/>
  </r>
  <r>
    <n v="7166"/>
    <x v="251"/>
    <x v="0"/>
    <x v="8"/>
    <d v="2013-09-23T00:00:00"/>
    <n v="3"/>
    <x v="2"/>
    <s v="Clytie Kelty"/>
    <x v="0"/>
    <m/>
    <s v="Providence"/>
    <s v="Rhode Island"/>
    <s v="East"/>
    <x v="1"/>
    <x v="4"/>
    <s v="Home/Office Personal File Carts"/>
    <x v="2803"/>
    <n v="2"/>
    <n v="0"/>
    <n v="17.38"/>
  </r>
  <r>
    <n v="7167"/>
    <x v="192"/>
    <x v="2"/>
    <x v="7"/>
    <d v="2011-07-24T00:00:00"/>
    <n v="2"/>
    <x v="0"/>
    <s v="Naresj Patel"/>
    <x v="0"/>
    <m/>
    <s v="San Francisco"/>
    <s v="California"/>
    <s v="West"/>
    <x v="1"/>
    <x v="6"/>
    <s v="Newell 32"/>
    <x v="132"/>
    <n v="4"/>
    <n v="0"/>
    <n v="3.2256"/>
  </r>
  <r>
    <n v="7168"/>
    <x v="192"/>
    <x v="2"/>
    <x v="7"/>
    <d v="2011-07-24T00:00:00"/>
    <n v="2"/>
    <x v="0"/>
    <s v="Naresj Patel"/>
    <x v="0"/>
    <m/>
    <s v="San Francisco"/>
    <s v="California"/>
    <s v="West"/>
    <x v="0"/>
    <x v="1"/>
    <s v="Global Comet Stacking Armless Chair"/>
    <x v="4634"/>
    <n v="3"/>
    <n v="0.2"/>
    <n v="71.772000000000006"/>
  </r>
  <r>
    <n v="7169"/>
    <x v="192"/>
    <x v="2"/>
    <x v="7"/>
    <d v="2011-07-24T00:00:00"/>
    <n v="2"/>
    <x v="0"/>
    <s v="Naresj Patel"/>
    <x v="0"/>
    <m/>
    <s v="San Francisco"/>
    <s v="California"/>
    <s v="West"/>
    <x v="1"/>
    <x v="4"/>
    <s v="Eldon Mobile Mega Data Cart  Mega Stackable  Add-On Trays"/>
    <x v="4635"/>
    <n v="10"/>
    <n v="0"/>
    <n v="68.584999999999994"/>
  </r>
  <r>
    <n v="7170"/>
    <x v="192"/>
    <x v="2"/>
    <x v="7"/>
    <d v="2011-07-24T00:00:00"/>
    <n v="2"/>
    <x v="0"/>
    <s v="Naresj Patel"/>
    <x v="0"/>
    <m/>
    <s v="San Francisco"/>
    <s v="California"/>
    <s v="West"/>
    <x v="0"/>
    <x v="3"/>
    <s v="Safco Drafting Table"/>
    <x v="2932"/>
    <n v="3"/>
    <n v="0.2"/>
    <n v="19.1646"/>
  </r>
  <r>
    <n v="7171"/>
    <x v="1048"/>
    <x v="3"/>
    <x v="2"/>
    <d v="2014-10-15T00:00:00"/>
    <n v="6"/>
    <x v="1"/>
    <s v="Gary McGarr"/>
    <x v="0"/>
    <m/>
    <s v="New York City"/>
    <s v="New York"/>
    <s v="East"/>
    <x v="0"/>
    <x v="1"/>
    <s v="Office Star - Ergonomically Designed Knee Chair"/>
    <x v="3388"/>
    <n v="2"/>
    <n v="0.1"/>
    <n v="3.2391999999999999"/>
  </r>
  <r>
    <n v="7172"/>
    <x v="1016"/>
    <x v="3"/>
    <x v="3"/>
    <d v="2014-04-28T00:00:00"/>
    <n v="2"/>
    <x v="0"/>
    <s v="Speros Goranitis"/>
    <x v="0"/>
    <m/>
    <s v="San Francisco"/>
    <s v="California"/>
    <s v="West"/>
    <x v="2"/>
    <x v="11"/>
    <s v="Sony 64GB Class 10 Micro SDHC R40 Memory Card"/>
    <x v="3219"/>
    <n v="3"/>
    <n v="0"/>
    <n v="22.6737"/>
  </r>
  <r>
    <n v="7173"/>
    <x v="606"/>
    <x v="3"/>
    <x v="10"/>
    <d v="2014-03-31T00:00:00"/>
    <n v="4"/>
    <x v="1"/>
    <s v="Heather Kirkland"/>
    <x v="1"/>
    <m/>
    <s v="Houston"/>
    <s v="Texas"/>
    <s v="Central"/>
    <x v="2"/>
    <x v="11"/>
    <s v="Sony 64GB Class 10 Micro SDHC R40 Memory Card"/>
    <x v="734"/>
    <n v="5"/>
    <n v="0.2"/>
    <n v="1.7995000000000001"/>
  </r>
  <r>
    <n v="7174"/>
    <x v="606"/>
    <x v="3"/>
    <x v="10"/>
    <d v="2014-03-31T00:00:00"/>
    <n v="4"/>
    <x v="1"/>
    <s v="Heather Kirkland"/>
    <x v="1"/>
    <m/>
    <s v="Houston"/>
    <s v="Texas"/>
    <s v="Central"/>
    <x v="2"/>
    <x v="16"/>
    <s v="Canon PC1080F Personal Copier"/>
    <x v="4514"/>
    <n v="5"/>
    <n v="0.2"/>
    <n v="569.9905"/>
  </r>
  <r>
    <n v="7175"/>
    <x v="606"/>
    <x v="3"/>
    <x v="10"/>
    <d v="2014-03-31T00:00:00"/>
    <n v="4"/>
    <x v="1"/>
    <s v="Heather Kirkland"/>
    <x v="1"/>
    <m/>
    <s v="Houston"/>
    <s v="Texas"/>
    <s v="Central"/>
    <x v="1"/>
    <x v="10"/>
    <s v="Xerox 1951"/>
    <x v="1339"/>
    <n v="3"/>
    <n v="0.2"/>
    <n v="23.234999999999999"/>
  </r>
  <r>
    <n v="7176"/>
    <x v="606"/>
    <x v="3"/>
    <x v="10"/>
    <d v="2014-03-31T00:00:00"/>
    <n v="4"/>
    <x v="1"/>
    <s v="Heather Kirkland"/>
    <x v="1"/>
    <m/>
    <s v="Houston"/>
    <s v="Texas"/>
    <s v="Central"/>
    <x v="1"/>
    <x v="9"/>
    <s v="Belkin 5 Outlet SurgeMaster Power Centers"/>
    <x v="2734"/>
    <n v="8"/>
    <n v="0.8"/>
    <n v="-226.63679999999999"/>
  </r>
  <r>
    <n v="7177"/>
    <x v="606"/>
    <x v="3"/>
    <x v="10"/>
    <d v="2014-03-31T00:00:00"/>
    <n v="4"/>
    <x v="1"/>
    <s v="Heather Kirkland"/>
    <x v="1"/>
    <m/>
    <s v="Houston"/>
    <s v="Texas"/>
    <s v="Central"/>
    <x v="1"/>
    <x v="4"/>
    <s v="Neat Ideas Personal Hanging Folder Files, Black"/>
    <x v="4636"/>
    <n v="3"/>
    <n v="0.2"/>
    <n v="2.4174000000000002"/>
  </r>
  <r>
    <n v="7178"/>
    <x v="464"/>
    <x v="3"/>
    <x v="5"/>
    <d v="2014-05-11T00:00:00"/>
    <n v="6"/>
    <x v="1"/>
    <s v="Muhammed Yedwab"/>
    <x v="1"/>
    <m/>
    <s v="Philadelphia"/>
    <s v="Pennsylvania"/>
    <s v="East"/>
    <x v="1"/>
    <x v="8"/>
    <s v="Black Avery Memo-Size 3-Ring Binder, 5 1/2&quot; x 8 1/2&quot;"/>
    <x v="4637"/>
    <n v="2"/>
    <n v="0.7"/>
    <n v="-1.5414000000000001"/>
  </r>
  <r>
    <n v="7179"/>
    <x v="464"/>
    <x v="3"/>
    <x v="5"/>
    <d v="2014-05-11T00:00:00"/>
    <n v="6"/>
    <x v="1"/>
    <s v="Muhammed Yedwab"/>
    <x v="1"/>
    <m/>
    <s v="Philadelphia"/>
    <s v="Pennsylvania"/>
    <s v="East"/>
    <x v="1"/>
    <x v="8"/>
    <s v="Avery 3 1/2&quot; Diskette Storage Pages, 10/Pack"/>
    <x v="4638"/>
    <n v="3"/>
    <n v="0.7"/>
    <n v="-7.5167999999999999"/>
  </r>
  <r>
    <n v="7180"/>
    <x v="696"/>
    <x v="0"/>
    <x v="0"/>
    <d v="2013-11-19T00:00:00"/>
    <n v="4"/>
    <x v="1"/>
    <s v="Ryan Crowe"/>
    <x v="0"/>
    <m/>
    <s v="Baltimore"/>
    <s v="Maryland"/>
    <s v="East"/>
    <x v="2"/>
    <x v="7"/>
    <s v="BlueLounge Milo Smartphone Stand, White/Metallic"/>
    <x v="1309"/>
    <n v="3"/>
    <n v="0"/>
    <n v="25.191600000000001"/>
  </r>
  <r>
    <n v="7181"/>
    <x v="1037"/>
    <x v="2"/>
    <x v="9"/>
    <d v="2011-01-08T00:00:00"/>
    <n v="1"/>
    <x v="2"/>
    <s v="Jack O'Briant"/>
    <x v="1"/>
    <m/>
    <s v="Athens"/>
    <s v="Georgia"/>
    <s v="South"/>
    <x v="1"/>
    <x v="6"/>
    <s v="Dixon Prang Watercolor Pencils, 10-Color Set with Brush"/>
    <x v="4639"/>
    <n v="3"/>
    <n v="0"/>
    <n v="5.2397999999999998"/>
  </r>
  <r>
    <n v="7182"/>
    <x v="797"/>
    <x v="0"/>
    <x v="4"/>
    <d v="2013-12-31T00:00:00"/>
    <n v="3"/>
    <x v="0"/>
    <s v="Mitch Webber"/>
    <x v="0"/>
    <m/>
    <s v="Lancaster"/>
    <s v="Ohio"/>
    <s v="East"/>
    <x v="2"/>
    <x v="11"/>
    <s v="Micro Innovations USB RF Wireless Keyboard with Mouse"/>
    <x v="4640"/>
    <n v="2"/>
    <n v="0.2"/>
    <n v="0.5"/>
  </r>
  <r>
    <n v="7183"/>
    <x v="504"/>
    <x v="3"/>
    <x v="5"/>
    <d v="2014-05-05T00:00:00"/>
    <n v="4"/>
    <x v="1"/>
    <s v="Nick Zandusky"/>
    <x v="2"/>
    <m/>
    <s v="Los Angeles"/>
    <s v="California"/>
    <s v="West"/>
    <x v="1"/>
    <x v="8"/>
    <s v="Fellowes Black Plastic Comb Bindings"/>
    <x v="4641"/>
    <n v="5"/>
    <n v="0.2"/>
    <n v="7.5529999999999999"/>
  </r>
  <r>
    <n v="7184"/>
    <x v="81"/>
    <x v="3"/>
    <x v="3"/>
    <d v="2014-04-24T00:00:00"/>
    <n v="2"/>
    <x v="2"/>
    <s v="Janet Martin"/>
    <x v="0"/>
    <m/>
    <s v="Baltimore"/>
    <s v="Maryland"/>
    <s v="East"/>
    <x v="0"/>
    <x v="1"/>
    <s v="Global Fabric Manager's Chair, Dark Gray"/>
    <x v="4642"/>
    <n v="9"/>
    <n v="0"/>
    <n v="227.20500000000001"/>
  </r>
  <r>
    <n v="7185"/>
    <x v="629"/>
    <x v="3"/>
    <x v="6"/>
    <d v="2014-08-25T00:00:00"/>
    <n v="7"/>
    <x v="1"/>
    <s v="Emily Ducich"/>
    <x v="2"/>
    <m/>
    <s v="Houston"/>
    <s v="Texas"/>
    <s v="Central"/>
    <x v="1"/>
    <x v="14"/>
    <s v="Acco Side-Punched Conventional Columnar Pads"/>
    <x v="4643"/>
    <n v="2"/>
    <n v="0.2"/>
    <n v="-1.0409999999999999"/>
  </r>
  <r>
    <n v="7186"/>
    <x v="629"/>
    <x v="3"/>
    <x v="6"/>
    <d v="2014-08-25T00:00:00"/>
    <n v="7"/>
    <x v="1"/>
    <s v="Emily Ducich"/>
    <x v="2"/>
    <m/>
    <s v="Houston"/>
    <s v="Texas"/>
    <s v="Central"/>
    <x v="1"/>
    <x v="6"/>
    <s v="Avery Fluorescent Highlighter Four-Color Set"/>
    <x v="2204"/>
    <n v="3"/>
    <n v="0.2"/>
    <n v="1.002"/>
  </r>
  <r>
    <n v="7187"/>
    <x v="629"/>
    <x v="3"/>
    <x v="6"/>
    <d v="2014-08-25T00:00:00"/>
    <n v="7"/>
    <x v="1"/>
    <s v="Emily Ducich"/>
    <x v="2"/>
    <m/>
    <s v="Houston"/>
    <s v="Texas"/>
    <s v="Central"/>
    <x v="0"/>
    <x v="1"/>
    <s v="SAFCO Optional Arm Kit for Workspace Cribbage Stacking Chair"/>
    <x v="4644"/>
    <n v="4"/>
    <n v="0.3"/>
    <n v="-2.1312000000000002"/>
  </r>
  <r>
    <n v="7188"/>
    <x v="629"/>
    <x v="3"/>
    <x v="6"/>
    <d v="2014-08-25T00:00:00"/>
    <n v="7"/>
    <x v="1"/>
    <s v="Emily Ducich"/>
    <x v="2"/>
    <m/>
    <s v="Houston"/>
    <s v="Texas"/>
    <s v="Central"/>
    <x v="0"/>
    <x v="5"/>
    <s v="36X48 HARDFLOOR CHAIRMAT"/>
    <x v="1316"/>
    <n v="2"/>
    <n v="0.6"/>
    <n v="-22.238800000000001"/>
  </r>
  <r>
    <n v="7189"/>
    <x v="629"/>
    <x v="3"/>
    <x v="6"/>
    <d v="2014-08-25T00:00:00"/>
    <n v="7"/>
    <x v="1"/>
    <s v="Emily Ducich"/>
    <x v="2"/>
    <m/>
    <s v="Houston"/>
    <s v="Texas"/>
    <s v="Central"/>
    <x v="1"/>
    <x v="9"/>
    <s v="Belkin Premiere Surge Master II 8-outlet surge protector"/>
    <x v="1726"/>
    <n v="4"/>
    <n v="0.8"/>
    <n v="-99.103200000000001"/>
  </r>
  <r>
    <n v="7190"/>
    <x v="396"/>
    <x v="0"/>
    <x v="0"/>
    <d v="2013-11-16T00:00:00"/>
    <n v="3"/>
    <x v="2"/>
    <s v="Dianna Wilson"/>
    <x v="2"/>
    <m/>
    <s v="San Diego"/>
    <s v="California"/>
    <s v="West"/>
    <x v="2"/>
    <x v="7"/>
    <s v="Panasonic KX TS3282W Corded phone"/>
    <x v="4645"/>
    <n v="3"/>
    <n v="0.2"/>
    <n v="25.497"/>
  </r>
  <r>
    <n v="7191"/>
    <x v="396"/>
    <x v="0"/>
    <x v="0"/>
    <d v="2013-11-16T00:00:00"/>
    <n v="3"/>
    <x v="2"/>
    <s v="Dianna Wilson"/>
    <x v="2"/>
    <m/>
    <s v="San Diego"/>
    <s v="California"/>
    <s v="West"/>
    <x v="0"/>
    <x v="3"/>
    <s v="Global Adaptabilities Conference Tables"/>
    <x v="2929"/>
    <n v="3"/>
    <n v="0.2"/>
    <n v="-8.4293999999999993"/>
  </r>
  <r>
    <n v="7192"/>
    <x v="393"/>
    <x v="0"/>
    <x v="2"/>
    <d v="2013-10-07T00:00:00"/>
    <n v="5"/>
    <x v="0"/>
    <s v="Jamie Kunitz"/>
    <x v="0"/>
    <m/>
    <s v="Hialeah"/>
    <s v="Florida"/>
    <s v="South"/>
    <x v="1"/>
    <x v="8"/>
    <s v="Avery Non-Stick Binders"/>
    <x v="4646"/>
    <n v="4"/>
    <n v="0.7"/>
    <n v="-4.49"/>
  </r>
  <r>
    <n v="7193"/>
    <x v="393"/>
    <x v="0"/>
    <x v="2"/>
    <d v="2013-10-07T00:00:00"/>
    <n v="5"/>
    <x v="0"/>
    <s v="Jamie Kunitz"/>
    <x v="0"/>
    <m/>
    <s v="Hialeah"/>
    <s v="Florida"/>
    <s v="South"/>
    <x v="1"/>
    <x v="6"/>
    <s v="Staples"/>
    <x v="4647"/>
    <n v="8"/>
    <n v="0.2"/>
    <n v="5.0335999999999999"/>
  </r>
  <r>
    <n v="7194"/>
    <x v="1151"/>
    <x v="0"/>
    <x v="11"/>
    <d v="2013-02-14T00:00:00"/>
    <n v="2"/>
    <x v="2"/>
    <s v="John Stevenson"/>
    <x v="0"/>
    <m/>
    <s v="Atlanta"/>
    <s v="Georgia"/>
    <s v="South"/>
    <x v="1"/>
    <x v="4"/>
    <s v="Tennsco Double-Tier Lockers"/>
    <x v="4648"/>
    <n v="6"/>
    <n v="0"/>
    <n v="175.51560000000001"/>
  </r>
  <r>
    <n v="7195"/>
    <x v="1151"/>
    <x v="0"/>
    <x v="11"/>
    <d v="2013-02-14T00:00:00"/>
    <n v="2"/>
    <x v="2"/>
    <s v="John Stevenson"/>
    <x v="0"/>
    <m/>
    <s v="Atlanta"/>
    <s v="Georgia"/>
    <s v="South"/>
    <x v="1"/>
    <x v="8"/>
    <s v="Avery Durable Slant Ring Binders, No Labels"/>
    <x v="204"/>
    <n v="4"/>
    <n v="0"/>
    <n v="7.4824000000000002"/>
  </r>
  <r>
    <n v="7196"/>
    <x v="373"/>
    <x v="0"/>
    <x v="0"/>
    <d v="2013-11-18T00:00:00"/>
    <n v="4"/>
    <x v="1"/>
    <s v="Philisse Overcash"/>
    <x v="2"/>
    <m/>
    <s v="Seattle"/>
    <s v="Washington"/>
    <s v="West"/>
    <x v="0"/>
    <x v="5"/>
    <s v="DAX Solid Wood Frames"/>
    <x v="4649"/>
    <n v="2"/>
    <n v="0"/>
    <n v="7.2298"/>
  </r>
  <r>
    <n v="7197"/>
    <x v="759"/>
    <x v="2"/>
    <x v="3"/>
    <d v="2011-04-30T00:00:00"/>
    <n v="4"/>
    <x v="1"/>
    <s v="Marc Harrigan"/>
    <x v="2"/>
    <m/>
    <s v="Los Angeles"/>
    <s v="California"/>
    <s v="West"/>
    <x v="1"/>
    <x v="6"/>
    <s v="Newell 347"/>
    <x v="1567"/>
    <n v="5"/>
    <n v="0"/>
    <n v="6.2060000000000004"/>
  </r>
  <r>
    <n v="7198"/>
    <x v="759"/>
    <x v="2"/>
    <x v="3"/>
    <d v="2011-04-30T00:00:00"/>
    <n v="4"/>
    <x v="1"/>
    <s v="Marc Harrigan"/>
    <x v="2"/>
    <m/>
    <s v="Los Angeles"/>
    <s v="California"/>
    <s v="West"/>
    <x v="1"/>
    <x v="2"/>
    <s v="Avery 495"/>
    <x v="2336"/>
    <n v="2"/>
    <n v="0"/>
    <n v="5.7960000000000003"/>
  </r>
  <r>
    <n v="7199"/>
    <x v="1067"/>
    <x v="1"/>
    <x v="6"/>
    <d v="2012-08-15T00:00:00"/>
    <n v="4"/>
    <x v="1"/>
    <s v="Philisse Overcash"/>
    <x v="2"/>
    <m/>
    <s v="New York City"/>
    <s v="New York"/>
    <s v="East"/>
    <x v="1"/>
    <x v="6"/>
    <s v="Newell 330"/>
    <x v="489"/>
    <n v="2"/>
    <n v="0"/>
    <n v="3.1095999999999999"/>
  </r>
  <r>
    <n v="7200"/>
    <x v="1067"/>
    <x v="1"/>
    <x v="6"/>
    <d v="2012-08-15T00:00:00"/>
    <n v="4"/>
    <x v="1"/>
    <s v="Philisse Overcash"/>
    <x v="2"/>
    <m/>
    <s v="New York City"/>
    <s v="New York"/>
    <s v="East"/>
    <x v="2"/>
    <x v="7"/>
    <s v="AT&amp;T 841000 Phone"/>
    <x v="4650"/>
    <n v="2"/>
    <n v="0"/>
    <n v="34.5"/>
  </r>
  <r>
    <n v="7201"/>
    <x v="581"/>
    <x v="0"/>
    <x v="0"/>
    <d v="2013-12-04T00:00:00"/>
    <n v="6"/>
    <x v="1"/>
    <s v="Herbert Flentye"/>
    <x v="0"/>
    <m/>
    <s v="Fort Lauderdale"/>
    <s v="Florida"/>
    <s v="South"/>
    <x v="2"/>
    <x v="7"/>
    <s v="Wi-Ex zBoost YX540 Cellular Phone Signal Booster"/>
    <x v="4651"/>
    <n v="1"/>
    <n v="0.2"/>
    <n v="14.595000000000001"/>
  </r>
  <r>
    <n v="7202"/>
    <x v="581"/>
    <x v="0"/>
    <x v="0"/>
    <d v="2013-12-04T00:00:00"/>
    <n v="6"/>
    <x v="1"/>
    <s v="Herbert Flentye"/>
    <x v="0"/>
    <m/>
    <s v="Fort Lauderdale"/>
    <s v="Florida"/>
    <s v="South"/>
    <x v="0"/>
    <x v="3"/>
    <s v="KI Adjustable-Height Table"/>
    <x v="4652"/>
    <n v="7"/>
    <n v="0.45"/>
    <n v="-114.35339999999999"/>
  </r>
  <r>
    <n v="7203"/>
    <x v="99"/>
    <x v="0"/>
    <x v="2"/>
    <d v="2013-10-29T00:00:00"/>
    <n v="0"/>
    <x v="3"/>
    <s v="Victoria Brennan"/>
    <x v="1"/>
    <m/>
    <s v="Rochester"/>
    <s v="New York"/>
    <s v="East"/>
    <x v="0"/>
    <x v="5"/>
    <s v="Tenex Chairmat w/ Average Lip, 45&quot; x 53&quot;"/>
    <x v="4653"/>
    <n v="5"/>
    <n v="0"/>
    <n v="75.680000000000007"/>
  </r>
  <r>
    <n v="7204"/>
    <x v="282"/>
    <x v="2"/>
    <x v="4"/>
    <d v="2012-01-02T00:00:00"/>
    <n v="4"/>
    <x v="1"/>
    <s v="Michael Granlund"/>
    <x v="2"/>
    <m/>
    <s v="Saint Charles"/>
    <s v="Illinois"/>
    <s v="Central"/>
    <x v="0"/>
    <x v="5"/>
    <s v="Master Caster Door Stop, Large Brown"/>
    <x v="1648"/>
    <n v="3"/>
    <n v="0.6"/>
    <n v="-4.8048000000000002"/>
  </r>
  <r>
    <n v="7205"/>
    <x v="229"/>
    <x v="1"/>
    <x v="8"/>
    <d v="2012-09-17T00:00:00"/>
    <n v="7"/>
    <x v="1"/>
    <s v="Bobby Odegard"/>
    <x v="0"/>
    <m/>
    <s v="New York City"/>
    <s v="New York"/>
    <s v="East"/>
    <x v="1"/>
    <x v="6"/>
    <s v="Manco Dry-Lighter Erasable Highlighter"/>
    <x v="2351"/>
    <n v="2"/>
    <n v="0"/>
    <n v="2.0672000000000001"/>
  </r>
  <r>
    <n v="7206"/>
    <x v="280"/>
    <x v="3"/>
    <x v="2"/>
    <d v="2014-10-07T00:00:00"/>
    <n v="4"/>
    <x v="1"/>
    <s v="Chad McGuire"/>
    <x v="0"/>
    <m/>
    <s v="San Francisco"/>
    <s v="California"/>
    <s v="West"/>
    <x v="0"/>
    <x v="5"/>
    <s v="Dax Clear Box Frame"/>
    <x v="45"/>
    <n v="2"/>
    <n v="0"/>
    <n v="5.9363999999999999"/>
  </r>
  <r>
    <n v="7207"/>
    <x v="280"/>
    <x v="3"/>
    <x v="2"/>
    <d v="2014-10-07T00:00:00"/>
    <n v="4"/>
    <x v="1"/>
    <s v="Chad McGuire"/>
    <x v="0"/>
    <m/>
    <s v="San Francisco"/>
    <s v="California"/>
    <s v="West"/>
    <x v="2"/>
    <x v="15"/>
    <s v="Ricoh - Ink Collector Unit for GX3000 Series Printers"/>
    <x v="4654"/>
    <n v="11"/>
    <n v="0.2"/>
    <n v="32.301499999999997"/>
  </r>
  <r>
    <n v="7208"/>
    <x v="108"/>
    <x v="0"/>
    <x v="8"/>
    <d v="2013-09-14T00:00:00"/>
    <n v="2"/>
    <x v="2"/>
    <s v="Linda Cazamias"/>
    <x v="1"/>
    <m/>
    <s v="Phoenix"/>
    <s v="Arizona"/>
    <s v="West"/>
    <x v="1"/>
    <x v="6"/>
    <s v="Crayola Anti Dust Chalk, 12/Pack"/>
    <x v="2114"/>
    <n v="2"/>
    <n v="0.2"/>
    <n v="0.91"/>
  </r>
  <r>
    <n v="7209"/>
    <x v="108"/>
    <x v="0"/>
    <x v="8"/>
    <d v="2013-09-14T00:00:00"/>
    <n v="2"/>
    <x v="2"/>
    <s v="Linda Cazamias"/>
    <x v="1"/>
    <m/>
    <s v="Phoenix"/>
    <s v="Arizona"/>
    <s v="West"/>
    <x v="1"/>
    <x v="10"/>
    <s v="Xerox 1976"/>
    <x v="557"/>
    <n v="4"/>
    <n v="0.2"/>
    <n v="7.2576000000000001"/>
  </r>
  <r>
    <n v="7210"/>
    <x v="108"/>
    <x v="0"/>
    <x v="8"/>
    <d v="2013-09-14T00:00:00"/>
    <n v="2"/>
    <x v="2"/>
    <s v="Linda Cazamias"/>
    <x v="1"/>
    <m/>
    <s v="Phoenix"/>
    <s v="Arizona"/>
    <s v="West"/>
    <x v="1"/>
    <x v="10"/>
    <s v="Great White Multi-Use Recycled Paper (20Lb. and 84 Bright)"/>
    <x v="380"/>
    <n v="2"/>
    <n v="0.2"/>
    <n v="2.99"/>
  </r>
  <r>
    <n v="7211"/>
    <x v="799"/>
    <x v="0"/>
    <x v="1"/>
    <d v="2013-06-07T00:00:00"/>
    <n v="4"/>
    <x v="1"/>
    <s v="Edward Hooks"/>
    <x v="1"/>
    <m/>
    <s v="Seattle"/>
    <s v="Washington"/>
    <s v="West"/>
    <x v="1"/>
    <x v="10"/>
    <s v="Riverleaf Stik-Withit Designer Note Cubes"/>
    <x v="4553"/>
    <n v="3"/>
    <n v="0"/>
    <n v="13.8828"/>
  </r>
  <r>
    <n v="7212"/>
    <x v="799"/>
    <x v="0"/>
    <x v="1"/>
    <d v="2013-06-07T00:00:00"/>
    <n v="4"/>
    <x v="1"/>
    <s v="Edward Hooks"/>
    <x v="1"/>
    <m/>
    <s v="Seattle"/>
    <s v="Washington"/>
    <s v="West"/>
    <x v="1"/>
    <x v="8"/>
    <s v="Acco PRESSTEX Data Binder with Storage Hooks, Dark Blue, 14 7/8&quot; X 11&quot;"/>
    <x v="4655"/>
    <n v="12"/>
    <n v="0.2"/>
    <n v="18.7224"/>
  </r>
  <r>
    <n v="7213"/>
    <x v="799"/>
    <x v="0"/>
    <x v="1"/>
    <d v="2013-06-07T00:00:00"/>
    <n v="4"/>
    <x v="1"/>
    <s v="Edward Hooks"/>
    <x v="1"/>
    <m/>
    <s v="Seattle"/>
    <s v="Washington"/>
    <s v="West"/>
    <x v="1"/>
    <x v="8"/>
    <s v="Acco Translucent Poly Ring Binders"/>
    <x v="1494"/>
    <n v="3"/>
    <n v="0.2"/>
    <n v="3.9312"/>
  </r>
  <r>
    <n v="7214"/>
    <x v="453"/>
    <x v="3"/>
    <x v="2"/>
    <d v="2014-10-20T00:00:00"/>
    <n v="4"/>
    <x v="1"/>
    <s v="Marc Crier"/>
    <x v="0"/>
    <m/>
    <s v="Camarillo"/>
    <s v="California"/>
    <s v="West"/>
    <x v="1"/>
    <x v="2"/>
    <s v="Avery 478"/>
    <x v="1646"/>
    <n v="3"/>
    <n v="0"/>
    <n v="7.2176999999999998"/>
  </r>
  <r>
    <n v="7215"/>
    <x v="874"/>
    <x v="1"/>
    <x v="8"/>
    <d v="2012-09-30T00:00:00"/>
    <n v="3"/>
    <x v="0"/>
    <s v="Helen Wasserman"/>
    <x v="1"/>
    <m/>
    <s v="Detroit"/>
    <s v="Michigan"/>
    <s v="Central"/>
    <x v="1"/>
    <x v="6"/>
    <s v="Newell 321"/>
    <x v="1220"/>
    <n v="5"/>
    <n v="0"/>
    <n v="4.7560000000000002"/>
  </r>
  <r>
    <n v="7216"/>
    <x v="874"/>
    <x v="1"/>
    <x v="8"/>
    <d v="2012-09-30T00:00:00"/>
    <n v="3"/>
    <x v="0"/>
    <s v="Helen Wasserman"/>
    <x v="1"/>
    <m/>
    <s v="Detroit"/>
    <s v="Michigan"/>
    <s v="Central"/>
    <x v="1"/>
    <x v="10"/>
    <s v="Xerox 1996"/>
    <x v="233"/>
    <n v="4"/>
    <n v="0"/>
    <n v="12.441599999999999"/>
  </r>
  <r>
    <n v="7217"/>
    <x v="910"/>
    <x v="1"/>
    <x v="5"/>
    <d v="2012-05-06T00:00:00"/>
    <n v="3"/>
    <x v="2"/>
    <s v="Lena Cacioppo"/>
    <x v="0"/>
    <m/>
    <s v="San Francisco"/>
    <s v="California"/>
    <s v="West"/>
    <x v="1"/>
    <x v="6"/>
    <s v="Newell 317"/>
    <x v="138"/>
    <n v="3"/>
    <n v="0"/>
    <n v="2.5577999999999999"/>
  </r>
  <r>
    <n v="7218"/>
    <x v="910"/>
    <x v="1"/>
    <x v="5"/>
    <d v="2012-05-06T00:00:00"/>
    <n v="3"/>
    <x v="2"/>
    <s v="Lena Cacioppo"/>
    <x v="0"/>
    <m/>
    <s v="San Francisco"/>
    <s v="California"/>
    <s v="West"/>
    <x v="1"/>
    <x v="8"/>
    <s v="Ibico Recycled Linen-Style Covers"/>
    <x v="4656"/>
    <n v="2"/>
    <n v="0.2"/>
    <n v="21.8736"/>
  </r>
  <r>
    <n v="7219"/>
    <x v="910"/>
    <x v="1"/>
    <x v="5"/>
    <d v="2012-05-06T00:00:00"/>
    <n v="3"/>
    <x v="2"/>
    <s v="Lena Cacioppo"/>
    <x v="0"/>
    <m/>
    <s v="San Francisco"/>
    <s v="California"/>
    <s v="West"/>
    <x v="2"/>
    <x v="11"/>
    <s v="Logitech Gaming G510s - Keyboard"/>
    <x v="107"/>
    <n v="4"/>
    <n v="0"/>
    <n v="122.3856"/>
  </r>
  <r>
    <n v="7220"/>
    <x v="910"/>
    <x v="1"/>
    <x v="5"/>
    <d v="2012-05-06T00:00:00"/>
    <n v="3"/>
    <x v="2"/>
    <s v="Lena Cacioppo"/>
    <x v="0"/>
    <m/>
    <s v="San Francisco"/>
    <s v="California"/>
    <s v="West"/>
    <x v="1"/>
    <x v="8"/>
    <s v="GBC Linen Binding Covers"/>
    <x v="1967"/>
    <n v="2"/>
    <n v="0.2"/>
    <n v="17.348800000000001"/>
  </r>
  <r>
    <n v="7221"/>
    <x v="1152"/>
    <x v="3"/>
    <x v="9"/>
    <d v="2014-01-14T00:00:00"/>
    <n v="4"/>
    <x v="1"/>
    <s v="Beth Paige"/>
    <x v="0"/>
    <m/>
    <s v="Philadelphia"/>
    <s v="Pennsylvania"/>
    <s v="East"/>
    <x v="1"/>
    <x v="8"/>
    <s v="Ibico Hi-Tech Manual Binding System"/>
    <x v="4657"/>
    <n v="3"/>
    <n v="0.7"/>
    <n v="-228.74250000000001"/>
  </r>
  <r>
    <n v="7222"/>
    <x v="678"/>
    <x v="3"/>
    <x v="9"/>
    <d v="2014-02-01T00:00:00"/>
    <n v="4"/>
    <x v="1"/>
    <s v="Toby Gnade"/>
    <x v="0"/>
    <m/>
    <s v="New York City"/>
    <s v="New York"/>
    <s v="East"/>
    <x v="2"/>
    <x v="7"/>
    <s v="Jensen SMPS-640 - speaker phone"/>
    <x v="4658"/>
    <n v="3"/>
    <n v="0"/>
    <n v="35.864400000000003"/>
  </r>
  <r>
    <n v="7223"/>
    <x v="264"/>
    <x v="3"/>
    <x v="8"/>
    <d v="2014-09-07T00:00:00"/>
    <n v="4"/>
    <x v="1"/>
    <s v="Mick Crebagga"/>
    <x v="0"/>
    <m/>
    <s v="Chicago"/>
    <s v="Illinois"/>
    <s v="Central"/>
    <x v="2"/>
    <x v="11"/>
    <s v="Kingston Digital DataTraveler 32GB USB 2.0"/>
    <x v="1374"/>
    <n v="3"/>
    <n v="0.2"/>
    <n v="-7.1189999999999998"/>
  </r>
  <r>
    <n v="7224"/>
    <x v="216"/>
    <x v="0"/>
    <x v="7"/>
    <d v="2013-07-19T00:00:00"/>
    <n v="4"/>
    <x v="1"/>
    <s v="Raymond Buch"/>
    <x v="0"/>
    <m/>
    <s v="San Francisco"/>
    <s v="California"/>
    <s v="West"/>
    <x v="2"/>
    <x v="7"/>
    <s v="Panasonic Kx-TS550"/>
    <x v="4202"/>
    <n v="3"/>
    <n v="0.2"/>
    <n v="12.417299999999999"/>
  </r>
  <r>
    <n v="7225"/>
    <x v="216"/>
    <x v="0"/>
    <x v="7"/>
    <d v="2013-07-19T00:00:00"/>
    <n v="4"/>
    <x v="1"/>
    <s v="Raymond Buch"/>
    <x v="0"/>
    <m/>
    <s v="San Francisco"/>
    <s v="California"/>
    <s v="West"/>
    <x v="1"/>
    <x v="9"/>
    <s v="Holmes 99% HEPA Air Purifier"/>
    <x v="4659"/>
    <n v="7"/>
    <n v="0"/>
    <n v="50.034599999999998"/>
  </r>
  <r>
    <n v="7226"/>
    <x v="216"/>
    <x v="0"/>
    <x v="7"/>
    <d v="2013-07-19T00:00:00"/>
    <n v="4"/>
    <x v="1"/>
    <s v="Raymond Buch"/>
    <x v="0"/>
    <m/>
    <s v="San Francisco"/>
    <s v="California"/>
    <s v="West"/>
    <x v="0"/>
    <x v="5"/>
    <s v="Deflect-O Glasstique Clear Desk Accessories"/>
    <x v="4660"/>
    <n v="4"/>
    <n v="0"/>
    <n v="10.164"/>
  </r>
  <r>
    <n v="7227"/>
    <x v="642"/>
    <x v="3"/>
    <x v="11"/>
    <d v="2014-03-01T00:00:00"/>
    <n v="4"/>
    <x v="1"/>
    <s v="Erin Smith"/>
    <x v="1"/>
    <m/>
    <s v="Philadelphia"/>
    <s v="Pennsylvania"/>
    <s v="East"/>
    <x v="1"/>
    <x v="10"/>
    <s v="Xerox 1988"/>
    <x v="1832"/>
    <n v="5"/>
    <n v="0.2"/>
    <n v="38.725000000000001"/>
  </r>
  <r>
    <n v="7228"/>
    <x v="642"/>
    <x v="3"/>
    <x v="11"/>
    <d v="2014-03-01T00:00:00"/>
    <n v="4"/>
    <x v="1"/>
    <s v="Erin Smith"/>
    <x v="1"/>
    <m/>
    <s v="Philadelphia"/>
    <s v="Pennsylvania"/>
    <s v="East"/>
    <x v="2"/>
    <x v="11"/>
    <s v="Plantronics CS510 - Over-the-Head monaural Wireless Headset System"/>
    <x v="4661"/>
    <n v="5"/>
    <n v="0.2"/>
    <n v="214.4675"/>
  </r>
  <r>
    <n v="7229"/>
    <x v="836"/>
    <x v="2"/>
    <x v="7"/>
    <d v="2011-07-22T00:00:00"/>
    <n v="2"/>
    <x v="2"/>
    <s v="Roger Demir"/>
    <x v="0"/>
    <m/>
    <s v="San Francisco"/>
    <s v="California"/>
    <s v="West"/>
    <x v="1"/>
    <x v="8"/>
    <s v="Clear Mylar Reinforcing Strips"/>
    <x v="4662"/>
    <n v="6"/>
    <n v="0.2"/>
    <n v="30.277799999999999"/>
  </r>
  <r>
    <n v="7230"/>
    <x v="836"/>
    <x v="2"/>
    <x v="7"/>
    <d v="2011-07-22T00:00:00"/>
    <n v="2"/>
    <x v="2"/>
    <s v="Roger Demir"/>
    <x v="0"/>
    <m/>
    <s v="San Francisco"/>
    <s v="California"/>
    <s v="West"/>
    <x v="1"/>
    <x v="10"/>
    <s v="Wirebound Message Books, Two 4 1/4&quot; x 5&quot; Forms per Page"/>
    <x v="4663"/>
    <n v="3"/>
    <n v="0"/>
    <n v="10.7301"/>
  </r>
  <r>
    <n v="7231"/>
    <x v="677"/>
    <x v="3"/>
    <x v="10"/>
    <d v="2014-03-16T00:00:00"/>
    <n v="2"/>
    <x v="2"/>
    <s v="Shahid Collister"/>
    <x v="0"/>
    <m/>
    <s v="Fairfield"/>
    <s v="Connecticut"/>
    <s v="East"/>
    <x v="1"/>
    <x v="8"/>
    <s v="GBC VeloBind Cover Sets"/>
    <x v="2822"/>
    <n v="2"/>
    <n v="0"/>
    <n v="15.44"/>
  </r>
  <r>
    <n v="7232"/>
    <x v="677"/>
    <x v="3"/>
    <x v="10"/>
    <d v="2014-03-16T00:00:00"/>
    <n v="2"/>
    <x v="2"/>
    <s v="Shahid Collister"/>
    <x v="0"/>
    <m/>
    <s v="Fairfield"/>
    <s v="Connecticut"/>
    <s v="East"/>
    <x v="1"/>
    <x v="9"/>
    <s v="Hoover Commercial Lightweight Upright Vacuum with E-Z Empty Dirt Cup"/>
    <x v="4211"/>
    <n v="2"/>
    <n v="0"/>
    <n v="120.94159999999999"/>
  </r>
  <r>
    <n v="7233"/>
    <x v="677"/>
    <x v="3"/>
    <x v="10"/>
    <d v="2014-03-16T00:00:00"/>
    <n v="2"/>
    <x v="2"/>
    <s v="Shahid Collister"/>
    <x v="0"/>
    <m/>
    <s v="Fairfield"/>
    <s v="Connecticut"/>
    <s v="East"/>
    <x v="1"/>
    <x v="10"/>
    <s v="Strathmore Photo Mount Cards"/>
    <x v="3226"/>
    <n v="4"/>
    <n v="0"/>
    <n v="12.475199999999999"/>
  </r>
  <r>
    <n v="7234"/>
    <x v="387"/>
    <x v="0"/>
    <x v="10"/>
    <d v="2013-03-13T00:00:00"/>
    <n v="4"/>
    <x v="1"/>
    <s v="Giulietta Baptist"/>
    <x v="0"/>
    <m/>
    <s v="New York City"/>
    <s v="New York"/>
    <s v="East"/>
    <x v="0"/>
    <x v="5"/>
    <s v="Coloredge Poster Frame"/>
    <x v="4664"/>
    <n v="8"/>
    <n v="0"/>
    <n v="44.304000000000002"/>
  </r>
  <r>
    <n v="7235"/>
    <x v="387"/>
    <x v="0"/>
    <x v="10"/>
    <d v="2013-03-13T00:00:00"/>
    <n v="4"/>
    <x v="1"/>
    <s v="Giulietta Baptist"/>
    <x v="0"/>
    <m/>
    <s v="New York City"/>
    <s v="New York"/>
    <s v="East"/>
    <x v="1"/>
    <x v="10"/>
    <s v="Xerox 1993"/>
    <x v="91"/>
    <n v="2"/>
    <n v="0"/>
    <n v="6.3503999999999996"/>
  </r>
  <r>
    <n v="7236"/>
    <x v="387"/>
    <x v="0"/>
    <x v="10"/>
    <d v="2013-03-13T00:00:00"/>
    <n v="4"/>
    <x v="1"/>
    <s v="Giulietta Baptist"/>
    <x v="0"/>
    <m/>
    <s v="New York City"/>
    <s v="New York"/>
    <s v="East"/>
    <x v="1"/>
    <x v="8"/>
    <s v="Satellite Sectional Post Binders"/>
    <x v="1940"/>
    <n v="2"/>
    <n v="0.2"/>
    <n v="22.5732"/>
  </r>
  <r>
    <n v="7237"/>
    <x v="1035"/>
    <x v="2"/>
    <x v="4"/>
    <d v="2011-12-10T00:00:00"/>
    <n v="3"/>
    <x v="2"/>
    <s v="Frank Preis"/>
    <x v="0"/>
    <m/>
    <s v="Los Angeles"/>
    <s v="California"/>
    <s v="West"/>
    <x v="1"/>
    <x v="6"/>
    <s v="Newell 32"/>
    <x v="874"/>
    <n v="3"/>
    <n v="0"/>
    <n v="2.4192"/>
  </r>
  <r>
    <n v="7238"/>
    <x v="212"/>
    <x v="0"/>
    <x v="7"/>
    <d v="2013-07-11T00:00:00"/>
    <n v="0"/>
    <x v="3"/>
    <s v="Erin Ashbrook"/>
    <x v="1"/>
    <m/>
    <s v="Philadelphia"/>
    <s v="Pennsylvania"/>
    <s v="East"/>
    <x v="2"/>
    <x v="15"/>
    <s v="Brother MFC-9340CDW LED All-In-One Printer, Copier Scanner"/>
    <x v="4665"/>
    <n v="3"/>
    <n v="0.7"/>
    <n v="-319.19159999999999"/>
  </r>
  <r>
    <n v="7239"/>
    <x v="435"/>
    <x v="0"/>
    <x v="4"/>
    <d v="2013-12-31T00:00:00"/>
    <n v="6"/>
    <x v="1"/>
    <s v="Sean Christensen"/>
    <x v="0"/>
    <m/>
    <s v="San Jose"/>
    <s v="California"/>
    <s v="West"/>
    <x v="0"/>
    <x v="5"/>
    <s v="Eldon 200 Class Desk Accessories, Smoke"/>
    <x v="3287"/>
    <n v="7"/>
    <n v="0"/>
    <n v="18.463200000000001"/>
  </r>
  <r>
    <n v="7240"/>
    <x v="435"/>
    <x v="0"/>
    <x v="4"/>
    <d v="2013-12-31T00:00:00"/>
    <n v="6"/>
    <x v="1"/>
    <s v="Sean Christensen"/>
    <x v="0"/>
    <m/>
    <s v="San Jose"/>
    <s v="California"/>
    <s v="West"/>
    <x v="1"/>
    <x v="12"/>
    <s v="Staples"/>
    <x v="1477"/>
    <n v="7"/>
    <n v="0"/>
    <n v="18.687200000000001"/>
  </r>
  <r>
    <n v="7241"/>
    <x v="756"/>
    <x v="3"/>
    <x v="3"/>
    <d v="2014-04-26T00:00:00"/>
    <n v="2"/>
    <x v="0"/>
    <s v="Jay Fein"/>
    <x v="0"/>
    <m/>
    <s v="Pasadena"/>
    <s v="California"/>
    <s v="West"/>
    <x v="0"/>
    <x v="5"/>
    <s v="DAX Two-Tone Rosewood/Black Document Frame, Desktop, 5 x 7"/>
    <x v="3648"/>
    <n v="7"/>
    <n v="0"/>
    <n v="26.544"/>
  </r>
  <r>
    <n v="7242"/>
    <x v="756"/>
    <x v="3"/>
    <x v="3"/>
    <d v="2014-04-26T00:00:00"/>
    <n v="2"/>
    <x v="0"/>
    <s v="Jay Fein"/>
    <x v="0"/>
    <m/>
    <s v="Pasadena"/>
    <s v="California"/>
    <s v="West"/>
    <x v="1"/>
    <x v="8"/>
    <s v="GBC Durable Plastic Covers"/>
    <x v="4666"/>
    <n v="6"/>
    <n v="0.2"/>
    <n v="30.186"/>
  </r>
  <r>
    <n v="7243"/>
    <x v="756"/>
    <x v="3"/>
    <x v="3"/>
    <d v="2014-04-26T00:00:00"/>
    <n v="2"/>
    <x v="0"/>
    <s v="Jay Fein"/>
    <x v="0"/>
    <m/>
    <s v="Pasadena"/>
    <s v="California"/>
    <s v="West"/>
    <x v="0"/>
    <x v="5"/>
    <s v="Eldon 500 Class Desk Accessories"/>
    <x v="4667"/>
    <n v="2"/>
    <n v="0"/>
    <n v="7.9661999999999997"/>
  </r>
  <r>
    <n v="7244"/>
    <x v="629"/>
    <x v="3"/>
    <x v="6"/>
    <d v="2014-08-23T00:00:00"/>
    <n v="5"/>
    <x v="0"/>
    <s v="Tom Prescott"/>
    <x v="0"/>
    <m/>
    <s v="Philadelphia"/>
    <s v="Pennsylvania"/>
    <s v="East"/>
    <x v="0"/>
    <x v="1"/>
    <s v="HON 5400 Series Task Chairs for Big and Tall"/>
    <x v="4668"/>
    <n v="9"/>
    <n v="0.3"/>
    <n v="-630.88199999999995"/>
  </r>
  <r>
    <n v="7245"/>
    <x v="1053"/>
    <x v="3"/>
    <x v="5"/>
    <d v="2014-05-26T00:00:00"/>
    <n v="3"/>
    <x v="2"/>
    <s v="Rob Lucas"/>
    <x v="0"/>
    <m/>
    <s v="Los Angeles"/>
    <s v="California"/>
    <s v="West"/>
    <x v="1"/>
    <x v="6"/>
    <s v="SANFORD Major Accent Highlighters"/>
    <x v="4669"/>
    <n v="7"/>
    <n v="0"/>
    <n v="18.832799999999999"/>
  </r>
  <r>
    <n v="7246"/>
    <x v="839"/>
    <x v="3"/>
    <x v="11"/>
    <d v="2014-02-14T00:00:00"/>
    <n v="4"/>
    <x v="1"/>
    <s v="Sarah Bern"/>
    <x v="0"/>
    <m/>
    <s v="Los Angeles"/>
    <s v="California"/>
    <s v="West"/>
    <x v="1"/>
    <x v="4"/>
    <s v="Sensible Storage WireTech Storage Systems"/>
    <x v="1367"/>
    <n v="5"/>
    <n v="0"/>
    <n v="17.745000000000001"/>
  </r>
  <r>
    <n v="7247"/>
    <x v="223"/>
    <x v="2"/>
    <x v="10"/>
    <d v="2011-03-08T00:00:00"/>
    <n v="5"/>
    <x v="1"/>
    <s v="Jill Stevenson"/>
    <x v="1"/>
    <m/>
    <s v="Columbus"/>
    <s v="Ohio"/>
    <s v="East"/>
    <x v="1"/>
    <x v="2"/>
    <s v="Avery 495"/>
    <x v="1138"/>
    <n v="3"/>
    <n v="0.2"/>
    <n v="4.9139999999999997"/>
  </r>
  <r>
    <n v="7248"/>
    <x v="223"/>
    <x v="2"/>
    <x v="10"/>
    <d v="2011-03-08T00:00:00"/>
    <n v="5"/>
    <x v="1"/>
    <s v="Jill Stevenson"/>
    <x v="1"/>
    <m/>
    <s v="Columbus"/>
    <s v="Ohio"/>
    <s v="East"/>
    <x v="0"/>
    <x v="0"/>
    <s v="O'Sullivan 4-Shelf Bookcase in Odessa Pine"/>
    <x v="4670"/>
    <n v="5"/>
    <n v="0.5"/>
    <n v="-199.61699999999999"/>
  </r>
  <r>
    <n v="7249"/>
    <x v="223"/>
    <x v="2"/>
    <x v="10"/>
    <d v="2011-03-08T00:00:00"/>
    <n v="5"/>
    <x v="1"/>
    <s v="Jill Stevenson"/>
    <x v="1"/>
    <m/>
    <s v="Columbus"/>
    <s v="Ohio"/>
    <s v="East"/>
    <x v="1"/>
    <x v="4"/>
    <s v="Eldon Shelf Savers Cubes and Bins"/>
    <x v="4671"/>
    <n v="8"/>
    <n v="0.2"/>
    <n v="-10.0512"/>
  </r>
  <r>
    <n v="7250"/>
    <x v="593"/>
    <x v="1"/>
    <x v="1"/>
    <d v="2012-06-09T00:00:00"/>
    <n v="5"/>
    <x v="0"/>
    <s v="Becky Pak"/>
    <x v="0"/>
    <m/>
    <s v="Los Angeles"/>
    <s v="California"/>
    <s v="West"/>
    <x v="2"/>
    <x v="11"/>
    <s v="Logitech Wireless Anywhere Mouse MX for PC and Mac"/>
    <x v="998"/>
    <n v="2"/>
    <n v="0"/>
    <n v="35.994"/>
  </r>
  <r>
    <n v="7251"/>
    <x v="593"/>
    <x v="1"/>
    <x v="1"/>
    <d v="2012-06-09T00:00:00"/>
    <n v="5"/>
    <x v="0"/>
    <s v="Becky Pak"/>
    <x v="0"/>
    <m/>
    <s v="Los Angeles"/>
    <s v="California"/>
    <s v="West"/>
    <x v="2"/>
    <x v="11"/>
    <s v="Logitech Z-906 Speaker sys - home theater - 5.1-CH"/>
    <x v="4672"/>
    <n v="3"/>
    <n v="0"/>
    <n v="395.988"/>
  </r>
  <r>
    <n v="7252"/>
    <x v="278"/>
    <x v="0"/>
    <x v="6"/>
    <d v="2013-09-03T00:00:00"/>
    <n v="6"/>
    <x v="1"/>
    <s v="Elizabeth Moffitt"/>
    <x v="1"/>
    <m/>
    <s v="Hollywood"/>
    <s v="Florida"/>
    <s v="South"/>
    <x v="1"/>
    <x v="2"/>
    <s v="Avery 484"/>
    <x v="2106"/>
    <n v="4"/>
    <n v="0.2"/>
    <n v="3.3408000000000002"/>
  </r>
  <r>
    <n v="7253"/>
    <x v="126"/>
    <x v="0"/>
    <x v="8"/>
    <d v="2013-09-19T00:00:00"/>
    <n v="6"/>
    <x v="1"/>
    <s v="Steve Chapman"/>
    <x v="1"/>
    <m/>
    <s v="Roseville"/>
    <s v="Michigan"/>
    <s v="Central"/>
    <x v="1"/>
    <x v="10"/>
    <s v="Xerox 1991"/>
    <x v="4092"/>
    <n v="3"/>
    <n v="0"/>
    <n v="31.519200000000001"/>
  </r>
  <r>
    <n v="7254"/>
    <x v="198"/>
    <x v="0"/>
    <x v="5"/>
    <d v="2013-06-05T00:00:00"/>
    <n v="5"/>
    <x v="1"/>
    <s v="Eugene Moren"/>
    <x v="2"/>
    <m/>
    <s v="Superior"/>
    <s v="Wisconsin"/>
    <s v="Central"/>
    <x v="1"/>
    <x v="9"/>
    <s v="Acco 7-Outlet Masterpiece Power Center, Wihtout Fax/Phone Line Protection"/>
    <x v="4673"/>
    <n v="3"/>
    <n v="0"/>
    <n v="109.422"/>
  </r>
  <r>
    <n v="7255"/>
    <x v="198"/>
    <x v="0"/>
    <x v="5"/>
    <d v="2013-06-05T00:00:00"/>
    <n v="5"/>
    <x v="1"/>
    <s v="Eugene Moren"/>
    <x v="2"/>
    <m/>
    <s v="Superior"/>
    <s v="Wisconsin"/>
    <s v="Central"/>
    <x v="0"/>
    <x v="5"/>
    <s v="DAX Charcoal/Nickel-Tone Document Frame, 5 x 7"/>
    <x v="4451"/>
    <n v="5"/>
    <n v="0"/>
    <n v="21.33"/>
  </r>
  <r>
    <n v="7256"/>
    <x v="198"/>
    <x v="0"/>
    <x v="5"/>
    <d v="2013-06-05T00:00:00"/>
    <n v="5"/>
    <x v="1"/>
    <s v="Eugene Moren"/>
    <x v="2"/>
    <m/>
    <s v="Superior"/>
    <s v="Wisconsin"/>
    <s v="Central"/>
    <x v="1"/>
    <x v="4"/>
    <s v="Eldon Simplefile Box Office"/>
    <x v="4674"/>
    <n v="4"/>
    <n v="0"/>
    <n v="13.9328"/>
  </r>
  <r>
    <n v="7257"/>
    <x v="198"/>
    <x v="0"/>
    <x v="5"/>
    <d v="2013-06-05T00:00:00"/>
    <n v="5"/>
    <x v="1"/>
    <s v="Eugene Moren"/>
    <x v="2"/>
    <m/>
    <s v="Superior"/>
    <s v="Wisconsin"/>
    <s v="Central"/>
    <x v="1"/>
    <x v="6"/>
    <s v="Newell 333"/>
    <x v="345"/>
    <n v="2"/>
    <n v="0"/>
    <n v="1.4456"/>
  </r>
  <r>
    <n v="7258"/>
    <x v="198"/>
    <x v="0"/>
    <x v="5"/>
    <d v="2013-06-05T00:00:00"/>
    <n v="5"/>
    <x v="1"/>
    <s v="Eugene Moren"/>
    <x v="2"/>
    <m/>
    <s v="Superior"/>
    <s v="Wisconsin"/>
    <s v="Central"/>
    <x v="1"/>
    <x v="10"/>
    <s v="Xerox 1915"/>
    <x v="2651"/>
    <n v="6"/>
    <n v="0"/>
    <n v="301.96800000000002"/>
  </r>
  <r>
    <n v="7259"/>
    <x v="198"/>
    <x v="0"/>
    <x v="5"/>
    <d v="2013-06-05T00:00:00"/>
    <n v="5"/>
    <x v="1"/>
    <s v="Eugene Moren"/>
    <x v="2"/>
    <m/>
    <s v="Superior"/>
    <s v="Wisconsin"/>
    <s v="Central"/>
    <x v="1"/>
    <x v="6"/>
    <s v="Newell 343"/>
    <x v="453"/>
    <n v="5"/>
    <n v="0"/>
    <n v="3.9689999999999999"/>
  </r>
  <r>
    <n v="7260"/>
    <x v="198"/>
    <x v="0"/>
    <x v="5"/>
    <d v="2013-06-05T00:00:00"/>
    <n v="5"/>
    <x v="1"/>
    <s v="Eugene Moren"/>
    <x v="2"/>
    <m/>
    <s v="Superior"/>
    <s v="Wisconsin"/>
    <s v="Central"/>
    <x v="1"/>
    <x v="10"/>
    <s v="Xerox 217"/>
    <x v="1544"/>
    <n v="7"/>
    <n v="0"/>
    <n v="21.7728"/>
  </r>
  <r>
    <n v="7261"/>
    <x v="198"/>
    <x v="0"/>
    <x v="5"/>
    <d v="2013-06-05T00:00:00"/>
    <n v="5"/>
    <x v="1"/>
    <s v="Eugene Moren"/>
    <x v="2"/>
    <m/>
    <s v="Superior"/>
    <s v="Wisconsin"/>
    <s v="Central"/>
    <x v="2"/>
    <x v="7"/>
    <s v="VTech DS6151"/>
    <x v="4675"/>
    <n v="1"/>
    <n v="0"/>
    <n v="35.277200000000001"/>
  </r>
  <r>
    <n v="7262"/>
    <x v="193"/>
    <x v="3"/>
    <x v="1"/>
    <d v="2014-06-14T00:00:00"/>
    <n v="3"/>
    <x v="0"/>
    <s v="George Zrebassa"/>
    <x v="1"/>
    <m/>
    <s v="Thousand Oaks"/>
    <s v="California"/>
    <s v="West"/>
    <x v="1"/>
    <x v="6"/>
    <s v="Sanford EarthWrite Recycled Pencils, Medium Soft, #2"/>
    <x v="453"/>
    <n v="7"/>
    <n v="0"/>
    <n v="4.1159999999999997"/>
  </r>
  <r>
    <n v="7263"/>
    <x v="760"/>
    <x v="3"/>
    <x v="2"/>
    <d v="2014-10-29T00:00:00"/>
    <n v="6"/>
    <x v="1"/>
    <s v="Marina Lichtenstein"/>
    <x v="1"/>
    <m/>
    <s v="Philadelphia"/>
    <s v="Pennsylvania"/>
    <s v="East"/>
    <x v="2"/>
    <x v="7"/>
    <s v="LF Elite 3D Dazzle Designer Hard Case Cover, Lf Stylus Pen and Wiper For Apple Iphone 5c Mini Lite"/>
    <x v="401"/>
    <n v="5"/>
    <n v="0.4"/>
    <n v="-6.54"/>
  </r>
  <r>
    <n v="7264"/>
    <x v="760"/>
    <x v="3"/>
    <x v="2"/>
    <d v="2014-10-29T00:00:00"/>
    <n v="6"/>
    <x v="1"/>
    <s v="Marina Lichtenstein"/>
    <x v="1"/>
    <m/>
    <s v="Philadelphia"/>
    <s v="Pennsylvania"/>
    <s v="East"/>
    <x v="1"/>
    <x v="12"/>
    <s v="#6 3/4 Gummed Flap White Envelopes"/>
    <x v="2458"/>
    <n v="4"/>
    <n v="0.2"/>
    <n v="11.087999999999999"/>
  </r>
  <r>
    <n v="7265"/>
    <x v="487"/>
    <x v="3"/>
    <x v="1"/>
    <d v="2014-06-18T00:00:00"/>
    <n v="4"/>
    <x v="1"/>
    <s v="Paul Gonzalez"/>
    <x v="0"/>
    <m/>
    <s v="Springfield"/>
    <s v="Virginia"/>
    <s v="South"/>
    <x v="1"/>
    <x v="6"/>
    <s v="Boston 1799 Powerhouse Electric Pencil Sharpener"/>
    <x v="2514"/>
    <n v="7"/>
    <n v="0"/>
    <n v="50.9208"/>
  </r>
  <r>
    <n v="7266"/>
    <x v="533"/>
    <x v="2"/>
    <x v="0"/>
    <d v="2011-11-26T00:00:00"/>
    <n v="3"/>
    <x v="0"/>
    <s v="Damala Kotsonis"/>
    <x v="1"/>
    <m/>
    <s v="Houston"/>
    <s v="Texas"/>
    <s v="Central"/>
    <x v="0"/>
    <x v="1"/>
    <s v="Office Star Flex Back Scooter Chair with White Frame"/>
    <x v="1165"/>
    <n v="2"/>
    <n v="0.3"/>
    <n v="-35.513599999999997"/>
  </r>
  <r>
    <n v="7267"/>
    <x v="1153"/>
    <x v="3"/>
    <x v="6"/>
    <d v="2014-08-17T00:00:00"/>
    <n v="0"/>
    <x v="3"/>
    <s v="Sarah Jordon"/>
    <x v="0"/>
    <m/>
    <s v="Columbia"/>
    <s v="Tennessee"/>
    <s v="South"/>
    <x v="1"/>
    <x v="8"/>
    <s v="Recycled Easel Ring Binders"/>
    <x v="4676"/>
    <n v="3"/>
    <n v="0.7"/>
    <n v="-11.19"/>
  </r>
  <r>
    <n v="7268"/>
    <x v="1153"/>
    <x v="3"/>
    <x v="6"/>
    <d v="2014-08-17T00:00:00"/>
    <n v="0"/>
    <x v="3"/>
    <s v="Sarah Jordon"/>
    <x v="0"/>
    <m/>
    <s v="Columbia"/>
    <s v="Tennessee"/>
    <s v="South"/>
    <x v="1"/>
    <x v="4"/>
    <s v="Acco Perma 3000 Stacking Storage Drawers"/>
    <x v="1715"/>
    <n v="4"/>
    <n v="0.2"/>
    <n v="-0.83919999999999995"/>
  </r>
  <r>
    <n v="7269"/>
    <x v="1154"/>
    <x v="0"/>
    <x v="9"/>
    <d v="2013-01-20T00:00:00"/>
    <n v="6"/>
    <x v="1"/>
    <s v="Anna Gayman"/>
    <x v="0"/>
    <m/>
    <s v="Concord"/>
    <s v="North Carolina"/>
    <s v="South"/>
    <x v="1"/>
    <x v="10"/>
    <s v="Xerox 1882"/>
    <x v="2806"/>
    <n v="2"/>
    <n v="0.2"/>
    <n v="32.468400000000003"/>
  </r>
  <r>
    <n v="7270"/>
    <x v="1154"/>
    <x v="0"/>
    <x v="9"/>
    <d v="2013-01-20T00:00:00"/>
    <n v="6"/>
    <x v="1"/>
    <s v="Anna Gayman"/>
    <x v="0"/>
    <m/>
    <s v="Concord"/>
    <s v="North Carolina"/>
    <s v="South"/>
    <x v="0"/>
    <x v="5"/>
    <s v="Electrix Fluorescent Magnifier Lamps &amp; Weighted Base"/>
    <x v="4677"/>
    <n v="8"/>
    <n v="0.2"/>
    <n v="31.5776"/>
  </r>
  <r>
    <n v="7271"/>
    <x v="1142"/>
    <x v="0"/>
    <x v="8"/>
    <d v="2013-09-23T00:00:00"/>
    <n v="6"/>
    <x v="1"/>
    <s v="Keith Dawkins"/>
    <x v="1"/>
    <m/>
    <s v="San Jose"/>
    <s v="California"/>
    <s v="West"/>
    <x v="0"/>
    <x v="0"/>
    <s v="Sauder Forest Hills Library with Doors, Woodland Oak Finish"/>
    <x v="4678"/>
    <n v="2"/>
    <n v="0.15"/>
    <n v="-12.878399999999999"/>
  </r>
  <r>
    <n v="7272"/>
    <x v="1142"/>
    <x v="0"/>
    <x v="8"/>
    <d v="2013-09-23T00:00:00"/>
    <n v="6"/>
    <x v="1"/>
    <s v="Keith Dawkins"/>
    <x v="1"/>
    <m/>
    <s v="San Jose"/>
    <s v="California"/>
    <s v="West"/>
    <x v="1"/>
    <x v="9"/>
    <s v="Eureka Sanitaire  Multi-Pro Heavy-Duty Upright, Disposable Bags"/>
    <x v="1897"/>
    <n v="4"/>
    <n v="0"/>
    <n v="4.5448000000000004"/>
  </r>
  <r>
    <n v="7273"/>
    <x v="1155"/>
    <x v="0"/>
    <x v="2"/>
    <d v="2013-10-15T00:00:00"/>
    <n v="4"/>
    <x v="1"/>
    <s v="Erica Bern"/>
    <x v="1"/>
    <m/>
    <s v="Greensboro"/>
    <s v="North Carolina"/>
    <s v="South"/>
    <x v="1"/>
    <x v="14"/>
    <s v="Martin-Yale Premier Letter Opener"/>
    <x v="4679"/>
    <n v="2"/>
    <n v="0.2"/>
    <n v="-4.3792"/>
  </r>
  <r>
    <n v="7274"/>
    <x v="1155"/>
    <x v="0"/>
    <x v="2"/>
    <d v="2013-10-15T00:00:00"/>
    <n v="4"/>
    <x v="1"/>
    <s v="Erica Bern"/>
    <x v="1"/>
    <m/>
    <s v="Greensboro"/>
    <s v="North Carolina"/>
    <s v="South"/>
    <x v="1"/>
    <x v="8"/>
    <s v="Presstex Flexible Ring Binders"/>
    <x v="4680"/>
    <n v="3"/>
    <n v="0.7"/>
    <n v="-2.73"/>
  </r>
  <r>
    <n v="7275"/>
    <x v="50"/>
    <x v="1"/>
    <x v="0"/>
    <d v="2012-11-17T00:00:00"/>
    <n v="4"/>
    <x v="1"/>
    <s v="Arthur Wiediger"/>
    <x v="2"/>
    <m/>
    <s v="Helena"/>
    <s v="Montana"/>
    <s v="West"/>
    <x v="2"/>
    <x v="7"/>
    <s v="Panasonic KX TS3282W Corded phone"/>
    <x v="107"/>
    <n v="5"/>
    <n v="0.2"/>
    <n v="42.494999999999997"/>
  </r>
  <r>
    <n v="7276"/>
    <x v="50"/>
    <x v="1"/>
    <x v="0"/>
    <d v="2012-11-17T00:00:00"/>
    <n v="4"/>
    <x v="1"/>
    <s v="Arthur Wiediger"/>
    <x v="2"/>
    <m/>
    <s v="Helena"/>
    <s v="Montana"/>
    <s v="West"/>
    <x v="0"/>
    <x v="5"/>
    <s v="Eldon Stackable Tray, Side-Load, Legal, Smoke"/>
    <x v="4681"/>
    <n v="7"/>
    <n v="0"/>
    <n v="21.7532"/>
  </r>
  <r>
    <n v="7277"/>
    <x v="981"/>
    <x v="2"/>
    <x v="0"/>
    <d v="2011-11-06T00:00:00"/>
    <n v="4"/>
    <x v="1"/>
    <s v="Julie Kriz"/>
    <x v="2"/>
    <m/>
    <s v="Fort Lauderdale"/>
    <s v="Florida"/>
    <s v="South"/>
    <x v="2"/>
    <x v="11"/>
    <s v="Razer Kraken 7.1 Surround Sound Over Ear USB Gaming Headset"/>
    <x v="4682"/>
    <n v="10"/>
    <n v="0.2"/>
    <n v="239.976"/>
  </r>
  <r>
    <n v="7278"/>
    <x v="1080"/>
    <x v="0"/>
    <x v="7"/>
    <d v="2013-07-22T00:00:00"/>
    <n v="2"/>
    <x v="2"/>
    <s v="Tracy Collins"/>
    <x v="2"/>
    <m/>
    <s v="San Francisco"/>
    <s v="California"/>
    <s v="West"/>
    <x v="2"/>
    <x v="7"/>
    <s v="Griffin GC36547 PowerJolt SE Lightning Charger"/>
    <x v="4683"/>
    <n v="2"/>
    <n v="0.2"/>
    <n v="4.4980000000000002"/>
  </r>
  <r>
    <n v="7279"/>
    <x v="1080"/>
    <x v="0"/>
    <x v="7"/>
    <d v="2013-07-22T00:00:00"/>
    <n v="2"/>
    <x v="2"/>
    <s v="Tracy Collins"/>
    <x v="2"/>
    <m/>
    <s v="San Francisco"/>
    <s v="California"/>
    <s v="West"/>
    <x v="2"/>
    <x v="11"/>
    <s v="Logitech G35 7.1-Channel Surround Sound Headset"/>
    <x v="1917"/>
    <n v="3"/>
    <n v="0"/>
    <n v="132.5898"/>
  </r>
  <r>
    <n v="7280"/>
    <x v="675"/>
    <x v="0"/>
    <x v="5"/>
    <d v="2013-05-15T00:00:00"/>
    <n v="0"/>
    <x v="3"/>
    <s v="Tiffany House"/>
    <x v="1"/>
    <m/>
    <s v="Yuma"/>
    <s v="Arizona"/>
    <s v="West"/>
    <x v="2"/>
    <x v="11"/>
    <s v="Imation 16GB Mini TravelDrive USB 2.0 Flash Drive"/>
    <x v="4684"/>
    <n v="7"/>
    <n v="0.2"/>
    <n v="48.701099999999997"/>
  </r>
  <r>
    <n v="7281"/>
    <x v="780"/>
    <x v="1"/>
    <x v="11"/>
    <d v="2012-02-27T00:00:00"/>
    <n v="6"/>
    <x v="1"/>
    <s v="Pierre Wener"/>
    <x v="0"/>
    <m/>
    <s v="Columbia"/>
    <s v="Maryland"/>
    <s v="East"/>
    <x v="1"/>
    <x v="8"/>
    <s v="Fellowes PB500 Electric Punch Plastic Comb Binding Machine with Manual Bind"/>
    <x v="4685"/>
    <n v="2"/>
    <n v="0"/>
    <n v="1270.99"/>
  </r>
  <r>
    <n v="7282"/>
    <x v="524"/>
    <x v="3"/>
    <x v="2"/>
    <d v="2014-10-22T00:00:00"/>
    <n v="5"/>
    <x v="1"/>
    <s v="Gary Hansen"/>
    <x v="2"/>
    <m/>
    <s v="Yuma"/>
    <s v="Arizona"/>
    <s v="West"/>
    <x v="2"/>
    <x v="15"/>
    <s v="Swingline SM12-08 MicroCut Jam Free Shredder"/>
    <x v="4686"/>
    <n v="5"/>
    <n v="0.7"/>
    <n v="-479.988"/>
  </r>
  <r>
    <n v="7283"/>
    <x v="738"/>
    <x v="3"/>
    <x v="1"/>
    <d v="2014-06-30T00:00:00"/>
    <n v="7"/>
    <x v="1"/>
    <s v="Joe Kamberova"/>
    <x v="0"/>
    <m/>
    <s v="Chicago"/>
    <s v="Illinois"/>
    <s v="Central"/>
    <x v="1"/>
    <x v="8"/>
    <s v="Wilson Jones Standard D-Ring Binders"/>
    <x v="1079"/>
    <n v="3"/>
    <n v="0.8"/>
    <n v="-5.0094000000000003"/>
  </r>
  <r>
    <n v="7284"/>
    <x v="428"/>
    <x v="3"/>
    <x v="8"/>
    <d v="2014-09-14T00:00:00"/>
    <n v="4"/>
    <x v="1"/>
    <s v="Logan Currie"/>
    <x v="0"/>
    <m/>
    <s v="Cleveland"/>
    <s v="Ohio"/>
    <s v="East"/>
    <x v="1"/>
    <x v="6"/>
    <s v="BIC Brite Liner Highlighters, Chisel Tip"/>
    <x v="233"/>
    <n v="5"/>
    <n v="0.2"/>
    <n v="3.8879999999999999"/>
  </r>
  <r>
    <n v="7285"/>
    <x v="428"/>
    <x v="3"/>
    <x v="8"/>
    <d v="2014-09-14T00:00:00"/>
    <n v="4"/>
    <x v="1"/>
    <s v="Logan Currie"/>
    <x v="0"/>
    <m/>
    <s v="Cleveland"/>
    <s v="Ohio"/>
    <s v="East"/>
    <x v="0"/>
    <x v="5"/>
    <s v="Deflect-o EconoMat Studded, No Bevel Mat for Low Pile Carpeting"/>
    <x v="516"/>
    <n v="2"/>
    <n v="0.2"/>
    <n v="-9.0904000000000007"/>
  </r>
  <r>
    <n v="7286"/>
    <x v="336"/>
    <x v="3"/>
    <x v="2"/>
    <d v="2014-10-20T00:00:00"/>
    <n v="5"/>
    <x v="1"/>
    <s v="Berenike Kampe"/>
    <x v="0"/>
    <m/>
    <s v="San Francisco"/>
    <s v="California"/>
    <s v="West"/>
    <x v="2"/>
    <x v="11"/>
    <s v="Verbatim 25 GB 6x Blu-ray Single Layer Recordable Disc, 10/Pack"/>
    <x v="4687"/>
    <n v="4"/>
    <n v="0"/>
    <n v="15.2988"/>
  </r>
  <r>
    <n v="7287"/>
    <x v="23"/>
    <x v="0"/>
    <x v="1"/>
    <d v="2013-06-26T00:00:00"/>
    <n v="5"/>
    <x v="1"/>
    <s v="Bill Shonely"/>
    <x v="1"/>
    <m/>
    <s v="Oklahoma City"/>
    <s v="Oklahoma"/>
    <s v="Central"/>
    <x v="2"/>
    <x v="11"/>
    <s v="Imation 30456 USB Flash Drive 8GB"/>
    <x v="2080"/>
    <n v="1"/>
    <n v="0"/>
    <n v="0.55200000000000005"/>
  </r>
  <r>
    <n v="7288"/>
    <x v="23"/>
    <x v="0"/>
    <x v="1"/>
    <d v="2013-06-26T00:00:00"/>
    <n v="5"/>
    <x v="1"/>
    <s v="Bill Shonely"/>
    <x v="1"/>
    <m/>
    <s v="Oklahoma City"/>
    <s v="Oklahoma"/>
    <s v="Central"/>
    <x v="0"/>
    <x v="5"/>
    <s v="Executive Impressions 13&quot; Clairmont Wall Clock"/>
    <x v="2165"/>
    <n v="3"/>
    <n v="0"/>
    <n v="23.652899999999999"/>
  </r>
  <r>
    <n v="7289"/>
    <x v="814"/>
    <x v="2"/>
    <x v="8"/>
    <d v="2011-09-07T00:00:00"/>
    <n v="5"/>
    <x v="1"/>
    <s v="Andy Gerbode"/>
    <x v="1"/>
    <m/>
    <s v="Houston"/>
    <s v="Texas"/>
    <s v="Central"/>
    <x v="2"/>
    <x v="15"/>
    <s v="Epson TM-T88V Direct Thermal Printer - Monochrome - Desktop"/>
    <x v="4688"/>
    <n v="3"/>
    <n v="0.4"/>
    <n v="-121.2705"/>
  </r>
  <r>
    <n v="7290"/>
    <x v="806"/>
    <x v="0"/>
    <x v="9"/>
    <d v="2013-01-31T00:00:00"/>
    <n v="1"/>
    <x v="2"/>
    <s v="Steven Cartwright"/>
    <x v="0"/>
    <m/>
    <s v="San Francisco"/>
    <s v="California"/>
    <s v="West"/>
    <x v="1"/>
    <x v="4"/>
    <s v="File Shuttle II and Handi-File, Black"/>
    <x v="2364"/>
    <n v="9"/>
    <n v="0"/>
    <n v="76.252499999999998"/>
  </r>
  <r>
    <n v="7291"/>
    <x v="806"/>
    <x v="0"/>
    <x v="9"/>
    <d v="2013-01-31T00:00:00"/>
    <n v="1"/>
    <x v="2"/>
    <s v="Steven Cartwright"/>
    <x v="0"/>
    <m/>
    <s v="San Francisco"/>
    <s v="California"/>
    <s v="West"/>
    <x v="1"/>
    <x v="8"/>
    <s v="GBC Wire Binding Strips"/>
    <x v="4689"/>
    <n v="2"/>
    <n v="0.2"/>
    <n v="17.7744"/>
  </r>
  <r>
    <n v="7292"/>
    <x v="806"/>
    <x v="0"/>
    <x v="9"/>
    <d v="2013-01-31T00:00:00"/>
    <n v="1"/>
    <x v="2"/>
    <s v="Steven Cartwright"/>
    <x v="0"/>
    <m/>
    <s v="San Francisco"/>
    <s v="California"/>
    <s v="West"/>
    <x v="1"/>
    <x v="2"/>
    <s v="Avery 512"/>
    <x v="4690"/>
    <n v="9"/>
    <n v="0"/>
    <n v="12.2247"/>
  </r>
  <r>
    <n v="7293"/>
    <x v="769"/>
    <x v="3"/>
    <x v="4"/>
    <d v="2014-12-10T00:00:00"/>
    <n v="5"/>
    <x v="1"/>
    <s v="Lena Radford"/>
    <x v="0"/>
    <m/>
    <s v="Nashville"/>
    <s v="Tennessee"/>
    <s v="South"/>
    <x v="2"/>
    <x v="15"/>
    <s v="Okidata C610n Printer"/>
    <x v="4691"/>
    <n v="2"/>
    <n v="0.5"/>
    <n v="-272.58"/>
  </r>
  <r>
    <n v="7294"/>
    <x v="1156"/>
    <x v="0"/>
    <x v="9"/>
    <d v="2013-01-29T00:00:00"/>
    <n v="6"/>
    <x v="1"/>
    <s v="Christy Brittain"/>
    <x v="0"/>
    <m/>
    <s v="Los Angeles"/>
    <s v="California"/>
    <s v="West"/>
    <x v="0"/>
    <x v="5"/>
    <s v="DAX Cubicle Frames, 8-1/2 x 11"/>
    <x v="4692"/>
    <n v="7"/>
    <n v="0"/>
    <n v="21.596399999999999"/>
  </r>
  <r>
    <n v="7295"/>
    <x v="989"/>
    <x v="1"/>
    <x v="5"/>
    <d v="2012-05-31T00:00:00"/>
    <n v="5"/>
    <x v="1"/>
    <s v="Ruben Dartt"/>
    <x v="0"/>
    <m/>
    <s v="Bellevue"/>
    <s v="Washington"/>
    <s v="West"/>
    <x v="0"/>
    <x v="5"/>
    <s v="DAX Metal Frame, Desktop, Stepped-Edge"/>
    <x v="4693"/>
    <n v="1"/>
    <n v="0"/>
    <n v="7.8936000000000002"/>
  </r>
  <r>
    <n v="7296"/>
    <x v="417"/>
    <x v="2"/>
    <x v="5"/>
    <d v="2011-05-05T00:00:00"/>
    <n v="1"/>
    <x v="2"/>
    <s v="Nat Carroll"/>
    <x v="0"/>
    <m/>
    <s v="Houston"/>
    <s v="Texas"/>
    <s v="Central"/>
    <x v="1"/>
    <x v="6"/>
    <s v="Boston Home &amp; Office Model 2000 Electric Pencil Sharpeners"/>
    <x v="4694"/>
    <n v="2"/>
    <n v="0.2"/>
    <n v="2.8380000000000001"/>
  </r>
  <r>
    <n v="7297"/>
    <x v="417"/>
    <x v="2"/>
    <x v="5"/>
    <d v="2011-05-05T00:00:00"/>
    <n v="1"/>
    <x v="2"/>
    <s v="Nat Carroll"/>
    <x v="0"/>
    <m/>
    <s v="Houston"/>
    <s v="Texas"/>
    <s v="Central"/>
    <x v="1"/>
    <x v="13"/>
    <s v="OIC Thumb-Tacks"/>
    <x v="2984"/>
    <n v="6"/>
    <n v="0.2"/>
    <n v="1.8468"/>
  </r>
  <r>
    <n v="7298"/>
    <x v="1157"/>
    <x v="1"/>
    <x v="11"/>
    <d v="2012-02-14T00:00:00"/>
    <n v="4"/>
    <x v="0"/>
    <s v="Nona Balk"/>
    <x v="1"/>
    <m/>
    <s v="Philadelphia"/>
    <s v="Pennsylvania"/>
    <s v="East"/>
    <x v="1"/>
    <x v="4"/>
    <s v="Eldon ProFile File 'N Store Portable File Tub Letter/Legal Size Black"/>
    <x v="4695"/>
    <n v="5"/>
    <n v="0.2"/>
    <n v="7.7240000000000002"/>
  </r>
  <r>
    <n v="7299"/>
    <x v="728"/>
    <x v="2"/>
    <x v="0"/>
    <d v="2011-11-21T00:00:00"/>
    <n v="3"/>
    <x v="2"/>
    <s v="Joe Kamberova"/>
    <x v="0"/>
    <m/>
    <s v="Des Plaines"/>
    <s v="Illinois"/>
    <s v="Central"/>
    <x v="0"/>
    <x v="3"/>
    <s v="BPI Conference Tables"/>
    <x v="4696"/>
    <n v="4"/>
    <n v="0.5"/>
    <n v="-175.26"/>
  </r>
  <r>
    <n v="7300"/>
    <x v="728"/>
    <x v="2"/>
    <x v="0"/>
    <d v="2011-11-21T00:00:00"/>
    <n v="3"/>
    <x v="2"/>
    <s v="Joe Kamberova"/>
    <x v="0"/>
    <m/>
    <s v="Des Plaines"/>
    <s v="Illinois"/>
    <s v="Central"/>
    <x v="0"/>
    <x v="5"/>
    <s v="Dana Swing-Arm Lamps"/>
    <x v="1076"/>
    <n v="2"/>
    <n v="0.6"/>
    <n v="-7.476"/>
  </r>
  <r>
    <n v="7301"/>
    <x v="728"/>
    <x v="2"/>
    <x v="0"/>
    <d v="2011-11-21T00:00:00"/>
    <n v="3"/>
    <x v="2"/>
    <s v="Joe Kamberova"/>
    <x v="0"/>
    <m/>
    <s v="Des Plaines"/>
    <s v="Illinois"/>
    <s v="Central"/>
    <x v="0"/>
    <x v="0"/>
    <s v="Hon 4-Shelf Metal Bookcases"/>
    <x v="4697"/>
    <n v="6"/>
    <n v="0.3"/>
    <n v="-30.294"/>
  </r>
  <r>
    <n v="7302"/>
    <x v="728"/>
    <x v="2"/>
    <x v="0"/>
    <d v="2011-11-21T00:00:00"/>
    <n v="3"/>
    <x v="2"/>
    <s v="Joe Kamberova"/>
    <x v="0"/>
    <m/>
    <s v="Des Plaines"/>
    <s v="Illinois"/>
    <s v="Central"/>
    <x v="1"/>
    <x v="8"/>
    <s v="Wilson Jones Turn Tabs Binder Tool for Ring Binders"/>
    <x v="4698"/>
    <n v="3"/>
    <n v="0.8"/>
    <n v="-4.9164000000000003"/>
  </r>
  <r>
    <n v="7303"/>
    <x v="728"/>
    <x v="2"/>
    <x v="0"/>
    <d v="2011-11-21T00:00:00"/>
    <n v="3"/>
    <x v="2"/>
    <s v="Joe Kamberova"/>
    <x v="0"/>
    <m/>
    <s v="Des Plaines"/>
    <s v="Illinois"/>
    <s v="Central"/>
    <x v="1"/>
    <x v="4"/>
    <s v="Fellowes Stor/Drawer Steel Plus Storage Drawers"/>
    <x v="4699"/>
    <n v="5"/>
    <n v="0.2"/>
    <n v="-66.801000000000002"/>
  </r>
  <r>
    <n v="7304"/>
    <x v="507"/>
    <x v="3"/>
    <x v="8"/>
    <d v="2014-09-09T00:00:00"/>
    <n v="4"/>
    <x v="1"/>
    <s v="Doug O'Connell"/>
    <x v="0"/>
    <m/>
    <s v="Boynton Beach"/>
    <s v="Florida"/>
    <s v="South"/>
    <x v="0"/>
    <x v="1"/>
    <s v="Global Value Steno Chair, Gray"/>
    <x v="2376"/>
    <n v="2"/>
    <n v="0.2"/>
    <n v="6.0739999999999998"/>
  </r>
  <r>
    <n v="7305"/>
    <x v="507"/>
    <x v="3"/>
    <x v="8"/>
    <d v="2014-09-09T00:00:00"/>
    <n v="4"/>
    <x v="1"/>
    <s v="Doug O'Connell"/>
    <x v="0"/>
    <m/>
    <s v="Boynton Beach"/>
    <s v="Florida"/>
    <s v="South"/>
    <x v="1"/>
    <x v="10"/>
    <s v="Xerox 213"/>
    <x v="559"/>
    <n v="2"/>
    <n v="0.2"/>
    <n v="3.6288"/>
  </r>
  <r>
    <n v="7306"/>
    <x v="1158"/>
    <x v="2"/>
    <x v="10"/>
    <d v="2011-04-02T00:00:00"/>
    <n v="4"/>
    <x v="1"/>
    <s v="Mike Gockenbach"/>
    <x v="0"/>
    <m/>
    <s v="Plano"/>
    <s v="Texas"/>
    <s v="Central"/>
    <x v="0"/>
    <x v="3"/>
    <s v="Bush Advantage Collection Racetrack Conference Table"/>
    <x v="4700"/>
    <n v="3"/>
    <n v="0.3"/>
    <n v="-152.71559999999999"/>
  </r>
  <r>
    <n v="7307"/>
    <x v="732"/>
    <x v="0"/>
    <x v="0"/>
    <d v="2013-11-08T00:00:00"/>
    <n v="2"/>
    <x v="0"/>
    <s v="Logan Haushalter"/>
    <x v="0"/>
    <m/>
    <s v="San Jose"/>
    <s v="California"/>
    <s v="West"/>
    <x v="2"/>
    <x v="11"/>
    <s v="KeyTronic E03601U1 - Keyboard - Beige"/>
    <x v="2709"/>
    <n v="4"/>
    <n v="0"/>
    <n v="12.96"/>
  </r>
  <r>
    <n v="7308"/>
    <x v="732"/>
    <x v="0"/>
    <x v="0"/>
    <d v="2013-11-08T00:00:00"/>
    <n v="2"/>
    <x v="0"/>
    <s v="Logan Haushalter"/>
    <x v="0"/>
    <m/>
    <s v="San Jose"/>
    <s v="California"/>
    <s v="West"/>
    <x v="0"/>
    <x v="1"/>
    <s v="Harbour Creations 67200 Series Stacking Chairs"/>
    <x v="2369"/>
    <n v="2"/>
    <n v="0.2"/>
    <n v="9.9651999999999994"/>
  </r>
  <r>
    <n v="7309"/>
    <x v="732"/>
    <x v="0"/>
    <x v="0"/>
    <d v="2013-11-08T00:00:00"/>
    <n v="2"/>
    <x v="0"/>
    <s v="Logan Haushalter"/>
    <x v="0"/>
    <m/>
    <s v="San Jose"/>
    <s v="California"/>
    <s v="West"/>
    <x v="1"/>
    <x v="12"/>
    <s v="Strathmore #10 Envelopes, Ultimate White"/>
    <x v="3699"/>
    <n v="3"/>
    <n v="0"/>
    <n v="77.483699999999999"/>
  </r>
  <r>
    <n v="7310"/>
    <x v="193"/>
    <x v="3"/>
    <x v="1"/>
    <d v="2014-06-15T00:00:00"/>
    <n v="4"/>
    <x v="0"/>
    <s v="Muhammed MacIntyre"/>
    <x v="1"/>
    <m/>
    <s v="New York City"/>
    <s v="New York"/>
    <s v="East"/>
    <x v="1"/>
    <x v="13"/>
    <s v="Plymouth Boxed Rubber Bands by Plymouth"/>
    <x v="4701"/>
    <n v="3"/>
    <n v="0"/>
    <n v="0.70650000000000002"/>
  </r>
  <r>
    <n v="7311"/>
    <x v="544"/>
    <x v="1"/>
    <x v="6"/>
    <d v="2012-08-14T00:00:00"/>
    <n v="4"/>
    <x v="1"/>
    <s v="Bill Donatelli"/>
    <x v="0"/>
    <m/>
    <s v="Detroit"/>
    <s v="Michigan"/>
    <s v="Central"/>
    <x v="1"/>
    <x v="8"/>
    <s v="GBC Binding covers"/>
    <x v="4702"/>
    <n v="5"/>
    <n v="0"/>
    <n v="29.137499999999999"/>
  </r>
  <r>
    <n v="7312"/>
    <x v="330"/>
    <x v="1"/>
    <x v="2"/>
    <d v="2012-10-13T00:00:00"/>
    <n v="4"/>
    <x v="1"/>
    <s v="Sonia Cooley"/>
    <x v="0"/>
    <m/>
    <s v="Miami"/>
    <s v="Florida"/>
    <s v="South"/>
    <x v="1"/>
    <x v="8"/>
    <s v="Zipper Ring Binder Pockets"/>
    <x v="1067"/>
    <n v="2"/>
    <n v="0.7"/>
    <n v="-1.3104"/>
  </r>
  <r>
    <n v="7313"/>
    <x v="330"/>
    <x v="1"/>
    <x v="2"/>
    <d v="2012-10-13T00:00:00"/>
    <n v="4"/>
    <x v="1"/>
    <s v="Sonia Cooley"/>
    <x v="0"/>
    <m/>
    <s v="Miami"/>
    <s v="Florida"/>
    <s v="South"/>
    <x v="1"/>
    <x v="8"/>
    <s v="Clear Mylar Reinforcing Strips"/>
    <x v="4703"/>
    <n v="2"/>
    <n v="0.7"/>
    <n v="-8.5974000000000004"/>
  </r>
  <r>
    <n v="7314"/>
    <x v="330"/>
    <x v="1"/>
    <x v="2"/>
    <d v="2012-10-13T00:00:00"/>
    <n v="4"/>
    <x v="1"/>
    <s v="Sonia Cooley"/>
    <x v="0"/>
    <m/>
    <s v="Miami"/>
    <s v="Florida"/>
    <s v="South"/>
    <x v="1"/>
    <x v="6"/>
    <s v="Avery Hi-Liter Smear-Safe Highlighters"/>
    <x v="1855"/>
    <n v="8"/>
    <n v="0.2"/>
    <n v="7.4752000000000001"/>
  </r>
  <r>
    <n v="7315"/>
    <x v="316"/>
    <x v="0"/>
    <x v="5"/>
    <d v="2013-06-03T00:00:00"/>
    <n v="5"/>
    <x v="1"/>
    <s v="Tanja Norvell"/>
    <x v="2"/>
    <m/>
    <s v="Park Ridge"/>
    <s v="Illinois"/>
    <s v="Central"/>
    <x v="2"/>
    <x v="7"/>
    <s v="Wilson Electronics DB Pro Signal Booster"/>
    <x v="4704"/>
    <n v="1"/>
    <n v="0.2"/>
    <n v="25.06"/>
  </r>
  <r>
    <n v="7316"/>
    <x v="943"/>
    <x v="3"/>
    <x v="5"/>
    <d v="2014-05-17T00:00:00"/>
    <n v="5"/>
    <x v="0"/>
    <s v="Zuschuss Carroll"/>
    <x v="0"/>
    <m/>
    <s v="New York City"/>
    <s v="New York"/>
    <s v="East"/>
    <x v="1"/>
    <x v="6"/>
    <s v="Panasonic KP-4ABK Battery-Operated Pencil Sharpener"/>
    <x v="2836"/>
    <n v="3"/>
    <n v="0"/>
    <n v="12.736800000000001"/>
  </r>
  <r>
    <n v="7317"/>
    <x v="1159"/>
    <x v="0"/>
    <x v="2"/>
    <d v="2013-10-21T00:00:00"/>
    <n v="4"/>
    <x v="1"/>
    <s v="Nona Balk"/>
    <x v="1"/>
    <m/>
    <s v="New York City"/>
    <s v="New York"/>
    <s v="East"/>
    <x v="0"/>
    <x v="3"/>
    <s v="Chromcraft Rectangular Conference Tables"/>
    <x v="4705"/>
    <n v="1"/>
    <n v="0.4"/>
    <n v="-37.915199999999999"/>
  </r>
  <r>
    <n v="7318"/>
    <x v="701"/>
    <x v="3"/>
    <x v="0"/>
    <d v="2014-11-22T00:00:00"/>
    <n v="4"/>
    <x v="1"/>
    <s v="Katharine Harms"/>
    <x v="1"/>
    <m/>
    <s v="Hillsboro"/>
    <s v="Oregon"/>
    <s v="West"/>
    <x v="1"/>
    <x v="10"/>
    <s v="Wirebound Message Forms, Four 2 3/4 x 5 Forms per Page, Pink Paper"/>
    <x v="4706"/>
    <n v="3"/>
    <n v="0.2"/>
    <n v="6.6177000000000001"/>
  </r>
  <r>
    <n v="7319"/>
    <x v="701"/>
    <x v="3"/>
    <x v="0"/>
    <d v="2014-11-22T00:00:00"/>
    <n v="4"/>
    <x v="1"/>
    <s v="Katharine Harms"/>
    <x v="1"/>
    <m/>
    <s v="Hillsboro"/>
    <s v="Oregon"/>
    <s v="West"/>
    <x v="1"/>
    <x v="8"/>
    <s v="Avery Reinforcements for Hole-Punch Pages"/>
    <x v="4707"/>
    <n v="7"/>
    <n v="0.7"/>
    <n v="-3.4649999999999999"/>
  </r>
  <r>
    <n v="7320"/>
    <x v="200"/>
    <x v="3"/>
    <x v="0"/>
    <d v="2014-11-30T00:00:00"/>
    <n v="3"/>
    <x v="0"/>
    <s v="Michael Nguyen"/>
    <x v="0"/>
    <m/>
    <s v="New York City"/>
    <s v="New York"/>
    <s v="East"/>
    <x v="2"/>
    <x v="7"/>
    <s v="Plantronics Calisto P620-M USB Wireless Speakerphone System"/>
    <x v="504"/>
    <n v="5"/>
    <n v="0"/>
    <n v="264.5865"/>
  </r>
  <r>
    <n v="7321"/>
    <x v="200"/>
    <x v="3"/>
    <x v="0"/>
    <d v="2014-11-30T00:00:00"/>
    <n v="3"/>
    <x v="0"/>
    <s v="Michael Nguyen"/>
    <x v="0"/>
    <m/>
    <s v="New York City"/>
    <s v="New York"/>
    <s v="East"/>
    <x v="0"/>
    <x v="5"/>
    <s v="DataProducts Ampli Magnifier Task Lamp, Black,"/>
    <x v="4622"/>
    <n v="5"/>
    <n v="0"/>
    <n v="37.884"/>
  </r>
  <r>
    <n v="7322"/>
    <x v="213"/>
    <x v="3"/>
    <x v="8"/>
    <d v="2014-09-08T00:00:00"/>
    <n v="4"/>
    <x v="1"/>
    <s v="Muhammed Yedwab"/>
    <x v="1"/>
    <m/>
    <s v="Chicago"/>
    <s v="Illinois"/>
    <s v="Central"/>
    <x v="1"/>
    <x v="10"/>
    <s v="&quot;While you Were Out&quot; Message Book, One Form per Page"/>
    <x v="821"/>
    <n v="3"/>
    <n v="0.2"/>
    <n v="3.339"/>
  </r>
  <r>
    <n v="7323"/>
    <x v="213"/>
    <x v="3"/>
    <x v="8"/>
    <d v="2014-09-08T00:00:00"/>
    <n v="4"/>
    <x v="1"/>
    <s v="Muhammed Yedwab"/>
    <x v="1"/>
    <m/>
    <s v="Chicago"/>
    <s v="Illinois"/>
    <s v="Central"/>
    <x v="2"/>
    <x v="11"/>
    <s v="Hypercom P1300 Pinpad"/>
    <x v="4470"/>
    <n v="2"/>
    <n v="0.2"/>
    <n v="21.42"/>
  </r>
  <r>
    <n v="7324"/>
    <x v="256"/>
    <x v="3"/>
    <x v="4"/>
    <d v="2014-12-09T00:00:00"/>
    <n v="3"/>
    <x v="2"/>
    <s v="Carlos Soltero"/>
    <x v="0"/>
    <m/>
    <s v="New York City"/>
    <s v="New York"/>
    <s v="East"/>
    <x v="0"/>
    <x v="5"/>
    <s v="Magnifier Swing Arm Lamp"/>
    <x v="108"/>
    <n v="2"/>
    <n v="0"/>
    <n v="10.909599999999999"/>
  </r>
  <r>
    <n v="7325"/>
    <x v="256"/>
    <x v="3"/>
    <x v="4"/>
    <d v="2014-12-09T00:00:00"/>
    <n v="3"/>
    <x v="2"/>
    <s v="Carlos Soltero"/>
    <x v="0"/>
    <m/>
    <s v="New York City"/>
    <s v="New York"/>
    <s v="East"/>
    <x v="1"/>
    <x v="2"/>
    <s v="Self-Adhesive Removable Labels"/>
    <x v="1227"/>
    <n v="3"/>
    <n v="0"/>
    <n v="4.5359999999999996"/>
  </r>
  <r>
    <n v="7326"/>
    <x v="468"/>
    <x v="3"/>
    <x v="0"/>
    <d v="2014-11-18T00:00:00"/>
    <n v="7"/>
    <x v="1"/>
    <s v="Michael Chen"/>
    <x v="0"/>
    <m/>
    <s v="Pasco"/>
    <s v="Washington"/>
    <s v="West"/>
    <x v="1"/>
    <x v="9"/>
    <s v="Eureka The Boss Lite 10-Amp Upright Vacuum, Blue"/>
    <x v="4708"/>
    <n v="5"/>
    <n v="0"/>
    <n v="112.224"/>
  </r>
  <r>
    <n v="7327"/>
    <x v="468"/>
    <x v="3"/>
    <x v="0"/>
    <d v="2014-11-18T00:00:00"/>
    <n v="7"/>
    <x v="1"/>
    <s v="Michael Chen"/>
    <x v="0"/>
    <m/>
    <s v="Pasco"/>
    <s v="Washington"/>
    <s v="West"/>
    <x v="1"/>
    <x v="8"/>
    <s v="GBC VeloBinder Manual Binding System"/>
    <x v="4709"/>
    <n v="1"/>
    <n v="0.2"/>
    <n v="10.077199999999999"/>
  </r>
  <r>
    <n v="7328"/>
    <x v="772"/>
    <x v="2"/>
    <x v="10"/>
    <d v="2011-03-24T00:00:00"/>
    <n v="6"/>
    <x v="1"/>
    <s v="Sample Company A"/>
    <x v="2"/>
    <m/>
    <s v="Burbank"/>
    <s v="California"/>
    <s v="West"/>
    <x v="0"/>
    <x v="5"/>
    <s v="Eldon Cleatmat Chair Mats for Medium Pile Carpets"/>
    <x v="4710"/>
    <n v="2"/>
    <n v="0"/>
    <n v="14.43"/>
  </r>
  <r>
    <n v="7329"/>
    <x v="772"/>
    <x v="2"/>
    <x v="10"/>
    <d v="2011-03-24T00:00:00"/>
    <n v="6"/>
    <x v="1"/>
    <s v="Sample Company A"/>
    <x v="2"/>
    <m/>
    <s v="Burbank"/>
    <s v="California"/>
    <s v="West"/>
    <x v="2"/>
    <x v="15"/>
    <s v="Swingline SM12-08 MicroCut Jam Free Shredder"/>
    <x v="4711"/>
    <n v="4"/>
    <n v="0.2"/>
    <n v="415.9896"/>
  </r>
  <r>
    <n v="7330"/>
    <x v="772"/>
    <x v="2"/>
    <x v="10"/>
    <d v="2011-03-24T00:00:00"/>
    <n v="6"/>
    <x v="1"/>
    <s v="Sample Company A"/>
    <x v="2"/>
    <m/>
    <s v="Burbank"/>
    <s v="California"/>
    <s v="West"/>
    <x v="1"/>
    <x v="4"/>
    <s v="Tennsco 6- and 18-Compartment Lockers"/>
    <x v="4712"/>
    <n v="7"/>
    <n v="0"/>
    <n v="334.11419999999998"/>
  </r>
  <r>
    <n v="7331"/>
    <x v="396"/>
    <x v="0"/>
    <x v="0"/>
    <d v="2013-11-14T00:00:00"/>
    <n v="1"/>
    <x v="2"/>
    <s v="Stephanie Phelps"/>
    <x v="1"/>
    <m/>
    <s v="Chicago"/>
    <s v="Illinois"/>
    <s v="Central"/>
    <x v="0"/>
    <x v="5"/>
    <s v="DAX Charcoal/Nickel-Tone Document Frame, 5 x 7"/>
    <x v="4713"/>
    <n v="6"/>
    <n v="0.6"/>
    <n v="-8.532"/>
  </r>
  <r>
    <n v="7332"/>
    <x v="40"/>
    <x v="3"/>
    <x v="2"/>
    <d v="2014-10-31T00:00:00"/>
    <n v="4"/>
    <x v="1"/>
    <s v="Shaun Chance"/>
    <x v="1"/>
    <m/>
    <s v="Lancaster"/>
    <s v="Pennsylvania"/>
    <s v="East"/>
    <x v="2"/>
    <x v="7"/>
    <s v="Cisco Small Business SPA 502G VoIP phone"/>
    <x v="4714"/>
    <n v="1"/>
    <n v="0.4"/>
    <n v="-13.334099999999999"/>
  </r>
  <r>
    <n v="7333"/>
    <x v="40"/>
    <x v="3"/>
    <x v="2"/>
    <d v="2014-10-31T00:00:00"/>
    <n v="4"/>
    <x v="1"/>
    <s v="Shaun Chance"/>
    <x v="1"/>
    <m/>
    <s v="Lancaster"/>
    <s v="Pennsylvania"/>
    <s v="East"/>
    <x v="1"/>
    <x v="8"/>
    <s v="Premium Transparent Presentation Covers, No Pattern/Clear, 8 1/2&quot; x 11&quot;"/>
    <x v="4715"/>
    <n v="7"/>
    <n v="0.7"/>
    <n v="-65.150400000000005"/>
  </r>
  <r>
    <n v="7334"/>
    <x v="347"/>
    <x v="1"/>
    <x v="3"/>
    <d v="2012-04-17T00:00:00"/>
    <n v="6"/>
    <x v="1"/>
    <s v="Patrick Ryan"/>
    <x v="0"/>
    <m/>
    <s v="Tampa"/>
    <s v="Florida"/>
    <s v="South"/>
    <x v="0"/>
    <x v="5"/>
    <s v="Executive Impressions Supervisor Wall Clock"/>
    <x v="4716"/>
    <n v="2"/>
    <n v="0.2"/>
    <n v="10.103999999999999"/>
  </r>
  <r>
    <n v="7335"/>
    <x v="347"/>
    <x v="1"/>
    <x v="3"/>
    <d v="2012-04-17T00:00:00"/>
    <n v="6"/>
    <x v="1"/>
    <s v="Patrick Ryan"/>
    <x v="0"/>
    <m/>
    <s v="Tampa"/>
    <s v="Florida"/>
    <s v="South"/>
    <x v="0"/>
    <x v="5"/>
    <s v="Executive Impressions 14&quot; Two-Color Numerals Wall Clock"/>
    <x v="4717"/>
    <n v="3"/>
    <n v="0.2"/>
    <n v="14.313599999999999"/>
  </r>
  <r>
    <n v="7336"/>
    <x v="707"/>
    <x v="1"/>
    <x v="4"/>
    <d v="2012-12-30T00:00:00"/>
    <n v="5"/>
    <x v="1"/>
    <s v="Jim Karlsson"/>
    <x v="0"/>
    <m/>
    <s v="New York City"/>
    <s v="New York"/>
    <s v="East"/>
    <x v="2"/>
    <x v="11"/>
    <s v="Plantronics Savi W720 Multi-Device Wireless Headset System"/>
    <x v="3892"/>
    <n v="2"/>
    <n v="0"/>
    <n v="371.31599999999997"/>
  </r>
  <r>
    <n v="7337"/>
    <x v="707"/>
    <x v="1"/>
    <x v="4"/>
    <d v="2012-12-30T00:00:00"/>
    <n v="5"/>
    <x v="1"/>
    <s v="Jim Karlsson"/>
    <x v="0"/>
    <m/>
    <s v="New York City"/>
    <s v="New York"/>
    <s v="East"/>
    <x v="0"/>
    <x v="0"/>
    <s v="Atlantic Metals Mobile 4-Shelf Bookcases, Custom Colors"/>
    <x v="4718"/>
    <n v="2"/>
    <n v="0.2"/>
    <n v="56.195999999999998"/>
  </r>
  <r>
    <n v="7338"/>
    <x v="296"/>
    <x v="3"/>
    <x v="8"/>
    <d v="2014-09-24T00:00:00"/>
    <n v="2"/>
    <x v="2"/>
    <s v="Brendan Murry"/>
    <x v="1"/>
    <m/>
    <s v="Los Angeles"/>
    <s v="California"/>
    <s v="West"/>
    <x v="1"/>
    <x v="4"/>
    <s v="Tenex Personal Filing Tote With Secure Closure Lid, Black/Frost"/>
    <x v="4542"/>
    <n v="1"/>
    <n v="0"/>
    <n v="3.8774999999999999"/>
  </r>
  <r>
    <n v="7339"/>
    <x v="414"/>
    <x v="2"/>
    <x v="4"/>
    <d v="2011-12-23T00:00:00"/>
    <n v="3"/>
    <x v="0"/>
    <s v="Suzanne McNair"/>
    <x v="1"/>
    <m/>
    <s v="New York City"/>
    <s v="New York"/>
    <s v="East"/>
    <x v="0"/>
    <x v="1"/>
    <s v="Harbour Creations 67200 Series Stacking Chairs"/>
    <x v="4719"/>
    <n v="3"/>
    <n v="0.1"/>
    <n v="36.3018"/>
  </r>
  <r>
    <n v="7340"/>
    <x v="1074"/>
    <x v="1"/>
    <x v="7"/>
    <d v="2012-07-21T00:00:00"/>
    <n v="3"/>
    <x v="2"/>
    <s v="Karen Carlisle"/>
    <x v="1"/>
    <m/>
    <s v="New York City"/>
    <s v="New York"/>
    <s v="East"/>
    <x v="1"/>
    <x v="6"/>
    <s v="Newell 32"/>
    <x v="1755"/>
    <n v="2"/>
    <n v="0"/>
    <n v="1.6128"/>
  </r>
  <r>
    <n v="7341"/>
    <x v="711"/>
    <x v="2"/>
    <x v="7"/>
    <d v="2011-08-01T00:00:00"/>
    <n v="6"/>
    <x v="1"/>
    <s v="Sheri Gordon"/>
    <x v="0"/>
    <m/>
    <s v="Atlanta"/>
    <s v="Georgia"/>
    <s v="South"/>
    <x v="0"/>
    <x v="1"/>
    <s v="Metal Folding Chairs, Beige, 4/Carton"/>
    <x v="4720"/>
    <n v="2"/>
    <n v="0"/>
    <n v="18.3276"/>
  </r>
  <r>
    <n v="7342"/>
    <x v="711"/>
    <x v="2"/>
    <x v="7"/>
    <d v="2011-08-01T00:00:00"/>
    <n v="6"/>
    <x v="1"/>
    <s v="Sheri Gordon"/>
    <x v="0"/>
    <m/>
    <s v="Atlanta"/>
    <s v="Georgia"/>
    <s v="South"/>
    <x v="1"/>
    <x v="2"/>
    <s v="Avery 485"/>
    <x v="4721"/>
    <n v="13"/>
    <n v="0"/>
    <n v="76.558300000000003"/>
  </r>
  <r>
    <n v="7343"/>
    <x v="711"/>
    <x v="2"/>
    <x v="7"/>
    <d v="2011-08-01T00:00:00"/>
    <n v="6"/>
    <x v="1"/>
    <s v="Sheri Gordon"/>
    <x v="0"/>
    <m/>
    <s v="Atlanta"/>
    <s v="Georgia"/>
    <s v="South"/>
    <x v="0"/>
    <x v="5"/>
    <s v="DAX Cubicle Frames, 8-1/2 x 11"/>
    <x v="3462"/>
    <n v="3"/>
    <n v="0"/>
    <n v="9.2555999999999994"/>
  </r>
  <r>
    <n v="7344"/>
    <x v="58"/>
    <x v="2"/>
    <x v="4"/>
    <d v="2012-01-01T00:00:00"/>
    <n v="6"/>
    <x v="1"/>
    <s v="Tracy Blumstein"/>
    <x v="0"/>
    <m/>
    <s v="New York City"/>
    <s v="New York"/>
    <s v="East"/>
    <x v="1"/>
    <x v="4"/>
    <s v="Fellowes Bankers Box Stor/Drawer Steel Plus"/>
    <x v="1616"/>
    <n v="6"/>
    <n v="0"/>
    <n v="19.187999999999999"/>
  </r>
  <r>
    <n v="7345"/>
    <x v="157"/>
    <x v="3"/>
    <x v="4"/>
    <d v="2014-12-18T00:00:00"/>
    <n v="6"/>
    <x v="1"/>
    <s v="Darrin Van Huff"/>
    <x v="1"/>
    <m/>
    <s v="Jacksonville"/>
    <s v="Florida"/>
    <s v="South"/>
    <x v="0"/>
    <x v="3"/>
    <s v="BoxOffice By Design Rectangular and Half-Moon Meeting Room Tables"/>
    <x v="4722"/>
    <n v="6"/>
    <n v="0.45"/>
    <n v="-420"/>
  </r>
  <r>
    <n v="7346"/>
    <x v="157"/>
    <x v="3"/>
    <x v="4"/>
    <d v="2014-12-18T00:00:00"/>
    <n v="6"/>
    <x v="1"/>
    <s v="Darrin Van Huff"/>
    <x v="1"/>
    <m/>
    <s v="Jacksonville"/>
    <s v="Florida"/>
    <s v="South"/>
    <x v="2"/>
    <x v="7"/>
    <s v="Motorola HK250 Universal Bluetooth Headset"/>
    <x v="4723"/>
    <n v="4"/>
    <n v="0.2"/>
    <n v="-16.552800000000001"/>
  </r>
  <r>
    <n v="7347"/>
    <x v="157"/>
    <x v="3"/>
    <x v="4"/>
    <d v="2014-12-18T00:00:00"/>
    <n v="6"/>
    <x v="1"/>
    <s v="Darrin Van Huff"/>
    <x v="1"/>
    <m/>
    <s v="Jacksonville"/>
    <s v="Florida"/>
    <s v="South"/>
    <x v="1"/>
    <x v="6"/>
    <s v="Stanley Bostitch Contemporary Electric Pencil Sharpeners"/>
    <x v="4724"/>
    <n v="1"/>
    <n v="0.2"/>
    <n v="1.3584000000000001"/>
  </r>
  <r>
    <n v="7348"/>
    <x v="157"/>
    <x v="3"/>
    <x v="4"/>
    <d v="2014-12-18T00:00:00"/>
    <n v="6"/>
    <x v="1"/>
    <s v="Darrin Van Huff"/>
    <x v="1"/>
    <m/>
    <s v="Jacksonville"/>
    <s v="Florida"/>
    <s v="South"/>
    <x v="0"/>
    <x v="1"/>
    <s v="Global Geo Office Task Chair, Gray"/>
    <x v="1445"/>
    <n v="1"/>
    <n v="0.2"/>
    <n v="-12.147"/>
  </r>
  <r>
    <n v="7349"/>
    <x v="223"/>
    <x v="2"/>
    <x v="10"/>
    <d v="2011-03-07T00:00:00"/>
    <n v="4"/>
    <x v="1"/>
    <s v="Sam Craven"/>
    <x v="0"/>
    <m/>
    <s v="Houston"/>
    <s v="Texas"/>
    <s v="Central"/>
    <x v="1"/>
    <x v="9"/>
    <s v="3.6 Cubic Foot Counter Height Office Refrigerator"/>
    <x v="4725"/>
    <n v="3"/>
    <n v="0.8"/>
    <n v="-459.60719999999998"/>
  </r>
  <r>
    <n v="7350"/>
    <x v="208"/>
    <x v="3"/>
    <x v="2"/>
    <d v="2014-10-28T00:00:00"/>
    <n v="6"/>
    <x v="1"/>
    <s v="Jennifer Braxton"/>
    <x v="1"/>
    <m/>
    <s v="Milwaukee"/>
    <s v="Wisconsin"/>
    <s v="Central"/>
    <x v="1"/>
    <x v="8"/>
    <s v="GBC Instant Report Kit"/>
    <x v="1109"/>
    <n v="6"/>
    <n v="0"/>
    <n v="19.41"/>
  </r>
  <r>
    <n v="7351"/>
    <x v="208"/>
    <x v="3"/>
    <x v="2"/>
    <d v="2014-10-28T00:00:00"/>
    <n v="6"/>
    <x v="1"/>
    <s v="Jennifer Braxton"/>
    <x v="1"/>
    <m/>
    <s v="Milwaukee"/>
    <s v="Wisconsin"/>
    <s v="Central"/>
    <x v="1"/>
    <x v="8"/>
    <s v="Acco 3-Hole Punch"/>
    <x v="4726"/>
    <n v="5"/>
    <n v="0"/>
    <n v="10.512"/>
  </r>
  <r>
    <n v="7352"/>
    <x v="468"/>
    <x v="3"/>
    <x v="0"/>
    <d v="2014-11-17T00:00:00"/>
    <n v="6"/>
    <x v="1"/>
    <s v="Gary Hwang"/>
    <x v="0"/>
    <m/>
    <s v="Modesto"/>
    <s v="California"/>
    <s v="West"/>
    <x v="2"/>
    <x v="11"/>
    <s v="Memorex Mini Travel Drive 16 GB USB 2.0 Flash Drive"/>
    <x v="1800"/>
    <n v="7"/>
    <n v="0"/>
    <n v="43.598100000000002"/>
  </r>
  <r>
    <n v="7353"/>
    <x v="633"/>
    <x v="3"/>
    <x v="10"/>
    <d v="2014-03-19T00:00:00"/>
    <n v="2"/>
    <x v="0"/>
    <s v="Matthew Grinstein"/>
    <x v="2"/>
    <m/>
    <s v="Lakewood"/>
    <s v="Ohio"/>
    <s v="East"/>
    <x v="2"/>
    <x v="7"/>
    <s v="Geemarc AmpliPOWER60"/>
    <x v="4727"/>
    <n v="8"/>
    <n v="0.4"/>
    <n v="-81.664000000000001"/>
  </r>
  <r>
    <n v="7354"/>
    <x v="897"/>
    <x v="0"/>
    <x v="8"/>
    <d v="2013-09-30T00:00:00"/>
    <n v="7"/>
    <x v="1"/>
    <s v="Robert Dilbeck"/>
    <x v="2"/>
    <m/>
    <s v="Philadelphia"/>
    <s v="Pennsylvania"/>
    <s v="East"/>
    <x v="1"/>
    <x v="2"/>
    <s v="Avery 476"/>
    <x v="1045"/>
    <n v="5"/>
    <n v="0.2"/>
    <n v="5.3689999999999998"/>
  </r>
  <r>
    <n v="7355"/>
    <x v="695"/>
    <x v="3"/>
    <x v="11"/>
    <d v="2014-02-14T00:00:00"/>
    <n v="7"/>
    <x v="1"/>
    <s v="Skye Norling"/>
    <x v="2"/>
    <m/>
    <s v="San Francisco"/>
    <s v="California"/>
    <s v="West"/>
    <x v="1"/>
    <x v="10"/>
    <s v="Xerox 1947"/>
    <x v="2680"/>
    <n v="5"/>
    <n v="0"/>
    <n v="13.455"/>
  </r>
  <r>
    <n v="7356"/>
    <x v="620"/>
    <x v="1"/>
    <x v="4"/>
    <d v="2013-01-02T00:00:00"/>
    <n v="2"/>
    <x v="0"/>
    <s v="Anna Häberlin"/>
    <x v="1"/>
    <m/>
    <s v="Detroit"/>
    <s v="Michigan"/>
    <s v="Central"/>
    <x v="1"/>
    <x v="8"/>
    <s v="Fellowes Presentation Covers for Comb Binding Machines"/>
    <x v="4728"/>
    <n v="8"/>
    <n v="0"/>
    <n v="52.38"/>
  </r>
  <r>
    <n v="7357"/>
    <x v="790"/>
    <x v="0"/>
    <x v="2"/>
    <d v="2013-10-15T00:00:00"/>
    <n v="5"/>
    <x v="1"/>
    <s v="Maria Zettner"/>
    <x v="2"/>
    <m/>
    <s v="Phoenix"/>
    <s v="Arizona"/>
    <s v="West"/>
    <x v="1"/>
    <x v="6"/>
    <s v="Newell 310"/>
    <x v="4729"/>
    <n v="1"/>
    <n v="0.2"/>
    <n v="0.15840000000000001"/>
  </r>
  <r>
    <n v="7358"/>
    <x v="790"/>
    <x v="0"/>
    <x v="2"/>
    <d v="2013-10-15T00:00:00"/>
    <n v="5"/>
    <x v="1"/>
    <s v="Maria Zettner"/>
    <x v="2"/>
    <m/>
    <s v="Phoenix"/>
    <s v="Arizona"/>
    <s v="West"/>
    <x v="0"/>
    <x v="5"/>
    <s v="Tenex 46&quot; x 60&quot; Computer Anti-Static Chairmat, Rectangular Shaped"/>
    <x v="4730"/>
    <n v="2"/>
    <n v="0.2"/>
    <n v="0"/>
  </r>
  <r>
    <n v="7359"/>
    <x v="125"/>
    <x v="2"/>
    <x v="4"/>
    <d v="2012-01-03T00:00:00"/>
    <n v="4"/>
    <x v="0"/>
    <s v="Alex Russell"/>
    <x v="1"/>
    <m/>
    <s v="Philadelphia"/>
    <s v="Pennsylvania"/>
    <s v="East"/>
    <x v="2"/>
    <x v="7"/>
    <s v="ClearSounds CSC500 Amplified Spirit Phone Corded phone"/>
    <x v="4731"/>
    <n v="6"/>
    <n v="0.4"/>
    <n v="-50.392800000000001"/>
  </r>
  <r>
    <n v="7360"/>
    <x v="125"/>
    <x v="2"/>
    <x v="4"/>
    <d v="2012-01-03T00:00:00"/>
    <n v="4"/>
    <x v="0"/>
    <s v="Alex Russell"/>
    <x v="1"/>
    <m/>
    <s v="Philadelphia"/>
    <s v="Pennsylvania"/>
    <s v="East"/>
    <x v="0"/>
    <x v="3"/>
    <s v="Hon 5100 Series Wood Tables"/>
    <x v="2901"/>
    <n v="3"/>
    <n v="0.4"/>
    <n v="-192.04679999999999"/>
  </r>
  <r>
    <n v="7361"/>
    <x v="408"/>
    <x v="0"/>
    <x v="3"/>
    <d v="2013-04-15T00:00:00"/>
    <n v="2"/>
    <x v="2"/>
    <s v="Jason Fortune-"/>
    <x v="0"/>
    <m/>
    <s v="Los Angeles"/>
    <s v="California"/>
    <s v="West"/>
    <x v="1"/>
    <x v="10"/>
    <s v="Xerox 206"/>
    <x v="537"/>
    <n v="3"/>
    <n v="0"/>
    <n v="9.3312000000000008"/>
  </r>
  <r>
    <n v="7362"/>
    <x v="408"/>
    <x v="0"/>
    <x v="3"/>
    <d v="2013-04-15T00:00:00"/>
    <n v="2"/>
    <x v="2"/>
    <s v="Jason Fortune-"/>
    <x v="0"/>
    <m/>
    <s v="Los Angeles"/>
    <s v="California"/>
    <s v="West"/>
    <x v="0"/>
    <x v="1"/>
    <s v="Global Geo Office Task Chair, Gray"/>
    <x v="4732"/>
    <n v="3"/>
    <n v="0.2"/>
    <n v="-36.441000000000003"/>
  </r>
  <r>
    <n v="7363"/>
    <x v="408"/>
    <x v="0"/>
    <x v="3"/>
    <d v="2013-04-15T00:00:00"/>
    <n v="2"/>
    <x v="2"/>
    <s v="Jason Fortune-"/>
    <x v="0"/>
    <m/>
    <s v="Los Angeles"/>
    <s v="California"/>
    <s v="West"/>
    <x v="1"/>
    <x v="8"/>
    <s v="Aluminum Screw Posts"/>
    <x v="933"/>
    <n v="3"/>
    <n v="0.2"/>
    <n v="13.734"/>
  </r>
  <r>
    <n v="7364"/>
    <x v="85"/>
    <x v="0"/>
    <x v="0"/>
    <d v="2013-12-05T00:00:00"/>
    <n v="6"/>
    <x v="1"/>
    <s v="David Smith"/>
    <x v="1"/>
    <m/>
    <s v="Philadelphia"/>
    <s v="Pennsylvania"/>
    <s v="East"/>
    <x v="2"/>
    <x v="7"/>
    <s v="Wireless Extenders zBoost YX545 SOHO Signal Booster"/>
    <x v="4733"/>
    <n v="3"/>
    <n v="0.4"/>
    <n v="-73.706100000000006"/>
  </r>
  <r>
    <n v="7365"/>
    <x v="85"/>
    <x v="0"/>
    <x v="0"/>
    <d v="2013-12-05T00:00:00"/>
    <n v="6"/>
    <x v="1"/>
    <s v="David Smith"/>
    <x v="1"/>
    <m/>
    <s v="Philadelphia"/>
    <s v="Pennsylvania"/>
    <s v="East"/>
    <x v="1"/>
    <x v="13"/>
    <s v="Translucent Push Pins by OIC"/>
    <x v="2485"/>
    <n v="8"/>
    <n v="0.2"/>
    <n v="2.6928000000000001"/>
  </r>
  <r>
    <n v="7366"/>
    <x v="85"/>
    <x v="0"/>
    <x v="0"/>
    <d v="2013-12-05T00:00:00"/>
    <n v="6"/>
    <x v="1"/>
    <s v="David Smith"/>
    <x v="1"/>
    <m/>
    <s v="Philadelphia"/>
    <s v="Pennsylvania"/>
    <s v="East"/>
    <x v="1"/>
    <x v="8"/>
    <s v="GBC Plasticlear Binding Covers"/>
    <x v="4734"/>
    <n v="2"/>
    <n v="0.7"/>
    <n v="-5.0511999999999997"/>
  </r>
  <r>
    <n v="7367"/>
    <x v="85"/>
    <x v="0"/>
    <x v="0"/>
    <d v="2013-12-05T00:00:00"/>
    <n v="6"/>
    <x v="1"/>
    <s v="David Smith"/>
    <x v="1"/>
    <m/>
    <s v="Philadelphia"/>
    <s v="Pennsylvania"/>
    <s v="East"/>
    <x v="1"/>
    <x v="4"/>
    <s v="Tennsco Commercial Shelving"/>
    <x v="2546"/>
    <n v="2"/>
    <n v="0.2"/>
    <n v="-7.7291999999999996"/>
  </r>
  <r>
    <n v="7368"/>
    <x v="85"/>
    <x v="0"/>
    <x v="0"/>
    <d v="2013-12-05T00:00:00"/>
    <n v="6"/>
    <x v="1"/>
    <s v="David Smith"/>
    <x v="1"/>
    <m/>
    <s v="Philadelphia"/>
    <s v="Pennsylvania"/>
    <s v="East"/>
    <x v="0"/>
    <x v="1"/>
    <s v="Situations Contoured Folding Chairs, 4/Set"/>
    <x v="2493"/>
    <n v="7"/>
    <n v="0.3"/>
    <n v="-24.843"/>
  </r>
  <r>
    <n v="7369"/>
    <x v="4"/>
    <x v="3"/>
    <x v="3"/>
    <d v="2014-04-18T00:00:00"/>
    <n v="2"/>
    <x v="2"/>
    <s v="Bart Pistole"/>
    <x v="1"/>
    <m/>
    <s v="Miami"/>
    <s v="Florida"/>
    <s v="South"/>
    <x v="1"/>
    <x v="8"/>
    <s v="VariCap6 Expandable Binder"/>
    <x v="4735"/>
    <n v="3"/>
    <n v="0.7"/>
    <n v="-11.936999999999999"/>
  </r>
  <r>
    <n v="7370"/>
    <x v="1000"/>
    <x v="1"/>
    <x v="10"/>
    <d v="2012-03-11T00:00:00"/>
    <n v="2"/>
    <x v="0"/>
    <s v="Toby Gnade"/>
    <x v="0"/>
    <m/>
    <s v="Raleigh"/>
    <s v="North Carolina"/>
    <s v="South"/>
    <x v="1"/>
    <x v="2"/>
    <s v="Avery 514"/>
    <x v="871"/>
    <n v="2"/>
    <n v="0.2"/>
    <n v="1.6704000000000001"/>
  </r>
  <r>
    <n v="7371"/>
    <x v="919"/>
    <x v="2"/>
    <x v="2"/>
    <d v="2011-11-01T00:00:00"/>
    <n v="4"/>
    <x v="1"/>
    <s v="Bill Tyler"/>
    <x v="1"/>
    <m/>
    <s v="Garden City"/>
    <s v="Kansas"/>
    <s v="Central"/>
    <x v="2"/>
    <x v="7"/>
    <s v="Digium D40 VoIP phone"/>
    <x v="2018"/>
    <n v="2"/>
    <n v="0"/>
    <n v="74.8142"/>
  </r>
  <r>
    <n v="7372"/>
    <x v="363"/>
    <x v="3"/>
    <x v="9"/>
    <d v="2014-01-10T00:00:00"/>
    <n v="2"/>
    <x v="0"/>
    <s v="Jamie Frazer"/>
    <x v="0"/>
    <m/>
    <s v="Long Beach"/>
    <s v="California"/>
    <s v="West"/>
    <x v="1"/>
    <x v="4"/>
    <s v="Eldon Fold 'N Roll Cart System"/>
    <x v="4736"/>
    <n v="11"/>
    <n v="0"/>
    <n v="44.596200000000003"/>
  </r>
  <r>
    <n v="7373"/>
    <x v="363"/>
    <x v="3"/>
    <x v="9"/>
    <d v="2014-01-10T00:00:00"/>
    <n v="2"/>
    <x v="0"/>
    <s v="Jamie Frazer"/>
    <x v="0"/>
    <m/>
    <s v="Long Beach"/>
    <s v="California"/>
    <s v="West"/>
    <x v="1"/>
    <x v="4"/>
    <s v="Tennsco Commercial Shelving"/>
    <x v="4737"/>
    <n v="3"/>
    <n v="0"/>
    <n v="0.61019999999999996"/>
  </r>
  <r>
    <n v="7374"/>
    <x v="363"/>
    <x v="3"/>
    <x v="9"/>
    <d v="2014-01-10T00:00:00"/>
    <n v="2"/>
    <x v="0"/>
    <s v="Jamie Frazer"/>
    <x v="0"/>
    <m/>
    <s v="Long Beach"/>
    <s v="California"/>
    <s v="West"/>
    <x v="1"/>
    <x v="14"/>
    <s v="Acme Galleria Hot Forged Steel Scissors with Colored Handles"/>
    <x v="4738"/>
    <n v="7"/>
    <n v="0"/>
    <n v="31.931899999999999"/>
  </r>
  <r>
    <n v="7375"/>
    <x v="363"/>
    <x v="3"/>
    <x v="9"/>
    <d v="2014-01-10T00:00:00"/>
    <n v="2"/>
    <x v="0"/>
    <s v="Jamie Frazer"/>
    <x v="0"/>
    <m/>
    <s v="Long Beach"/>
    <s v="California"/>
    <s v="West"/>
    <x v="1"/>
    <x v="13"/>
    <s v="Staples"/>
    <x v="2766"/>
    <n v="1"/>
    <n v="0"/>
    <n v="3.5505"/>
  </r>
  <r>
    <n v="7376"/>
    <x v="802"/>
    <x v="3"/>
    <x v="6"/>
    <d v="2014-08-21T00:00:00"/>
    <n v="7"/>
    <x v="1"/>
    <s v="Michael Kennedy"/>
    <x v="1"/>
    <m/>
    <s v="San Diego"/>
    <s v="California"/>
    <s v="West"/>
    <x v="1"/>
    <x v="8"/>
    <s v="GBC Prepunched Paper, 19-Hole, for Binding Systems, 24-lb"/>
    <x v="4739"/>
    <n v="3"/>
    <n v="0.2"/>
    <n v="11.707800000000001"/>
  </r>
  <r>
    <n v="7377"/>
    <x v="808"/>
    <x v="3"/>
    <x v="0"/>
    <d v="2014-11-06T00:00:00"/>
    <n v="3"/>
    <x v="2"/>
    <s v="Greg Guthrie"/>
    <x v="1"/>
    <m/>
    <s v="Bloomington"/>
    <s v="Illinois"/>
    <s v="Central"/>
    <x v="1"/>
    <x v="6"/>
    <s v="Stanley Bostitch Contemporary Electric Pencil Sharpeners"/>
    <x v="4740"/>
    <n v="4"/>
    <n v="0.2"/>
    <n v="5.4336000000000002"/>
  </r>
  <r>
    <n v="7378"/>
    <x v="111"/>
    <x v="2"/>
    <x v="8"/>
    <d v="2011-09-23T00:00:00"/>
    <n v="4"/>
    <x v="1"/>
    <s v="Mike Caudle"/>
    <x v="1"/>
    <m/>
    <s v="Seattle"/>
    <s v="Washington"/>
    <s v="West"/>
    <x v="1"/>
    <x v="4"/>
    <s v="Decoflex Hanging Personal Folder File, Blue"/>
    <x v="448"/>
    <n v="6"/>
    <n v="0"/>
    <n v="24.980399999999999"/>
  </r>
  <r>
    <n v="7379"/>
    <x v="70"/>
    <x v="1"/>
    <x v="5"/>
    <d v="2012-05-31T00:00:00"/>
    <n v="0"/>
    <x v="3"/>
    <s v="Muhammed Lee"/>
    <x v="0"/>
    <m/>
    <s v="Fayetteville"/>
    <s v="North Carolina"/>
    <s v="South"/>
    <x v="1"/>
    <x v="6"/>
    <s v="Newell 347"/>
    <x v="1495"/>
    <n v="3"/>
    <n v="0.2"/>
    <n v="1.1556"/>
  </r>
  <r>
    <n v="7380"/>
    <x v="1160"/>
    <x v="0"/>
    <x v="8"/>
    <d v="2013-09-19T00:00:00"/>
    <n v="5"/>
    <x v="1"/>
    <s v="Alejandro Grove"/>
    <x v="0"/>
    <m/>
    <s v="Omaha"/>
    <s v="Nebraska"/>
    <s v="Central"/>
    <x v="1"/>
    <x v="4"/>
    <s v="Rogers Jumbo File, Granite"/>
    <x v="1344"/>
    <n v="3"/>
    <n v="0"/>
    <n v="0.40739999999999998"/>
  </r>
  <r>
    <n v="7381"/>
    <x v="1160"/>
    <x v="0"/>
    <x v="8"/>
    <d v="2013-09-19T00:00:00"/>
    <n v="5"/>
    <x v="1"/>
    <s v="Alejandro Grove"/>
    <x v="0"/>
    <m/>
    <s v="Omaha"/>
    <s v="Nebraska"/>
    <s v="Central"/>
    <x v="1"/>
    <x v="2"/>
    <s v="Avery 49"/>
    <x v="928"/>
    <n v="5"/>
    <n v="0"/>
    <n v="7.056"/>
  </r>
  <r>
    <n v="7382"/>
    <x v="1160"/>
    <x v="0"/>
    <x v="8"/>
    <d v="2013-09-19T00:00:00"/>
    <n v="5"/>
    <x v="1"/>
    <s v="Alejandro Grove"/>
    <x v="0"/>
    <m/>
    <s v="Omaha"/>
    <s v="Nebraska"/>
    <s v="Central"/>
    <x v="2"/>
    <x v="7"/>
    <s v="BlueLounge Milo Smartphone Stand, White/Metallic"/>
    <x v="179"/>
    <n v="5"/>
    <n v="0"/>
    <n v="41.985999999999997"/>
  </r>
  <r>
    <n v="7383"/>
    <x v="1160"/>
    <x v="0"/>
    <x v="8"/>
    <d v="2013-09-19T00:00:00"/>
    <n v="5"/>
    <x v="1"/>
    <s v="Alejandro Grove"/>
    <x v="0"/>
    <m/>
    <s v="Omaha"/>
    <s v="Nebraska"/>
    <s v="Central"/>
    <x v="1"/>
    <x v="14"/>
    <s v="Elite 5&quot; Scissors"/>
    <x v="2877"/>
    <n v="2"/>
    <n v="0"/>
    <n v="5.07"/>
  </r>
  <r>
    <n v="7384"/>
    <x v="1160"/>
    <x v="0"/>
    <x v="8"/>
    <d v="2013-09-19T00:00:00"/>
    <n v="5"/>
    <x v="1"/>
    <s v="Alejandro Grove"/>
    <x v="0"/>
    <m/>
    <s v="Omaha"/>
    <s v="Nebraska"/>
    <s v="Central"/>
    <x v="1"/>
    <x v="10"/>
    <s v="Things To Do Today Pad"/>
    <x v="1200"/>
    <n v="3"/>
    <n v="0"/>
    <n v="8.4527999999999999"/>
  </r>
  <r>
    <n v="7385"/>
    <x v="1160"/>
    <x v="0"/>
    <x v="8"/>
    <d v="2013-09-19T00:00:00"/>
    <n v="5"/>
    <x v="1"/>
    <s v="Alejandro Grove"/>
    <x v="0"/>
    <m/>
    <s v="Omaha"/>
    <s v="Nebraska"/>
    <s v="Central"/>
    <x v="1"/>
    <x v="9"/>
    <s v="Harmony Air Purifier"/>
    <x v="4741"/>
    <n v="2"/>
    <n v="0"/>
    <n v="136.08000000000001"/>
  </r>
  <r>
    <n v="7386"/>
    <x v="1160"/>
    <x v="0"/>
    <x v="8"/>
    <d v="2013-09-19T00:00:00"/>
    <n v="5"/>
    <x v="1"/>
    <s v="Alejandro Grove"/>
    <x v="0"/>
    <m/>
    <s v="Omaha"/>
    <s v="Nebraska"/>
    <s v="Central"/>
    <x v="1"/>
    <x v="10"/>
    <s v="Adams Telephone Message Book W/Dividers/Space For Phone Numbers, 5 1/4&quot;X8 1/2&quot;, 300/Messages"/>
    <x v="4459"/>
    <n v="3"/>
    <n v="0"/>
    <n v="8.6435999999999993"/>
  </r>
  <r>
    <n v="7387"/>
    <x v="1160"/>
    <x v="0"/>
    <x v="8"/>
    <d v="2013-09-19T00:00:00"/>
    <n v="5"/>
    <x v="1"/>
    <s v="Alejandro Grove"/>
    <x v="0"/>
    <m/>
    <s v="Omaha"/>
    <s v="Nebraska"/>
    <s v="Central"/>
    <x v="1"/>
    <x v="4"/>
    <s v="Fellowes Mobile File Cart, Black"/>
    <x v="3026"/>
    <n v="6"/>
    <n v="0"/>
    <n v="100.7316"/>
  </r>
  <r>
    <n v="7388"/>
    <x v="1160"/>
    <x v="0"/>
    <x v="8"/>
    <d v="2013-09-19T00:00:00"/>
    <n v="5"/>
    <x v="1"/>
    <s v="Alejandro Grove"/>
    <x v="0"/>
    <m/>
    <s v="Omaha"/>
    <s v="Nebraska"/>
    <s v="Central"/>
    <x v="0"/>
    <x v="5"/>
    <s v="Electrix Architect's Clamp-On Swing Arm Lamp, Black"/>
    <x v="4742"/>
    <n v="14"/>
    <n v="0"/>
    <n v="387.56760000000003"/>
  </r>
  <r>
    <n v="7389"/>
    <x v="1160"/>
    <x v="0"/>
    <x v="8"/>
    <d v="2013-09-19T00:00:00"/>
    <n v="5"/>
    <x v="1"/>
    <s v="Alejandro Grove"/>
    <x v="0"/>
    <m/>
    <s v="Omaha"/>
    <s v="Nebraska"/>
    <s v="Central"/>
    <x v="2"/>
    <x v="7"/>
    <s v="Mediabridge Sport Armband iPhone 5s"/>
    <x v="2030"/>
    <n v="3"/>
    <n v="0"/>
    <n v="0.29970000000000002"/>
  </r>
  <r>
    <n v="7390"/>
    <x v="1161"/>
    <x v="3"/>
    <x v="0"/>
    <d v="2014-12-04T00:00:00"/>
    <n v="4"/>
    <x v="1"/>
    <s v="Ted Trevino"/>
    <x v="0"/>
    <m/>
    <s v="Chattanooga"/>
    <s v="Tennessee"/>
    <s v="South"/>
    <x v="0"/>
    <x v="1"/>
    <s v="Hon Deluxe Fabric Upholstered Stacking Chairs, Rounded Back"/>
    <x v="4743"/>
    <n v="2"/>
    <n v="0.2"/>
    <n v="48.795999999999999"/>
  </r>
  <r>
    <n v="7391"/>
    <x v="1161"/>
    <x v="3"/>
    <x v="0"/>
    <d v="2014-12-04T00:00:00"/>
    <n v="4"/>
    <x v="1"/>
    <s v="Ted Trevino"/>
    <x v="0"/>
    <m/>
    <s v="Chattanooga"/>
    <s v="Tennessee"/>
    <s v="South"/>
    <x v="0"/>
    <x v="5"/>
    <s v="Executive Impressions 13&quot; Chairman Wall Clock"/>
    <x v="4744"/>
    <n v="5"/>
    <n v="0.2"/>
    <n v="19.035"/>
  </r>
  <r>
    <n v="7392"/>
    <x v="769"/>
    <x v="3"/>
    <x v="4"/>
    <d v="2014-12-08T00:00:00"/>
    <n v="3"/>
    <x v="0"/>
    <s v="Larry Tron"/>
    <x v="0"/>
    <m/>
    <s v="Fairfield"/>
    <s v="Ohio"/>
    <s v="East"/>
    <x v="1"/>
    <x v="10"/>
    <s v="IBM Multi-Purpose Copy Paper, 8 1/2 x 11&quot;, Case"/>
    <x v="1339"/>
    <n v="3"/>
    <n v="0.2"/>
    <n v="23.234999999999999"/>
  </r>
  <r>
    <n v="7393"/>
    <x v="743"/>
    <x v="3"/>
    <x v="5"/>
    <d v="2014-05-07T00:00:00"/>
    <n v="4"/>
    <x v="1"/>
    <s v="Dorothy Dickinson"/>
    <x v="0"/>
    <m/>
    <s v="Los Angeles"/>
    <s v="California"/>
    <s v="West"/>
    <x v="1"/>
    <x v="10"/>
    <s v="Adams &quot;While You Were Out&quot; Message Pads"/>
    <x v="2195"/>
    <n v="5"/>
    <n v="0"/>
    <n v="7.0650000000000004"/>
  </r>
  <r>
    <n v="7394"/>
    <x v="743"/>
    <x v="3"/>
    <x v="5"/>
    <d v="2014-05-07T00:00:00"/>
    <n v="4"/>
    <x v="1"/>
    <s v="Dorothy Dickinson"/>
    <x v="0"/>
    <m/>
    <s v="Los Angeles"/>
    <s v="California"/>
    <s v="West"/>
    <x v="1"/>
    <x v="6"/>
    <s v="Newell 34"/>
    <x v="423"/>
    <n v="3"/>
    <n v="0"/>
    <n v="15.475199999999999"/>
  </r>
  <r>
    <n v="7395"/>
    <x v="743"/>
    <x v="3"/>
    <x v="5"/>
    <d v="2014-05-07T00:00:00"/>
    <n v="4"/>
    <x v="1"/>
    <s v="Dorothy Dickinson"/>
    <x v="0"/>
    <m/>
    <s v="Los Angeles"/>
    <s v="California"/>
    <s v="West"/>
    <x v="1"/>
    <x v="10"/>
    <s v="Adams Phone Message Book, 200 Message Capacity, 8 1/16” x 11”"/>
    <x v="340"/>
    <n v="5"/>
    <n v="0"/>
    <n v="15.824"/>
  </r>
  <r>
    <n v="7396"/>
    <x v="591"/>
    <x v="0"/>
    <x v="4"/>
    <d v="2013-12-31T00:00:00"/>
    <n v="5"/>
    <x v="1"/>
    <s v="Darren Budd"/>
    <x v="1"/>
    <m/>
    <s v="New York City"/>
    <s v="New York"/>
    <s v="East"/>
    <x v="0"/>
    <x v="3"/>
    <s v="Bevis Oval Conference Table, Walnut"/>
    <x v="4053"/>
    <n v="2"/>
    <n v="0.4"/>
    <n v="-120.0508"/>
  </r>
  <r>
    <n v="7397"/>
    <x v="591"/>
    <x v="0"/>
    <x v="4"/>
    <d v="2013-12-31T00:00:00"/>
    <n v="5"/>
    <x v="1"/>
    <s v="Darren Budd"/>
    <x v="1"/>
    <m/>
    <s v="New York City"/>
    <s v="New York"/>
    <s v="East"/>
    <x v="0"/>
    <x v="1"/>
    <s v="Hon 4070 Series Pagoda Round Back Stacking Chairs"/>
    <x v="4745"/>
    <n v="3"/>
    <n v="0.1"/>
    <n v="173.32919999999999"/>
  </r>
  <r>
    <n v="7398"/>
    <x v="587"/>
    <x v="2"/>
    <x v="8"/>
    <d v="2011-09-30T00:00:00"/>
    <n v="0"/>
    <x v="3"/>
    <s v="Dario Medina"/>
    <x v="1"/>
    <m/>
    <s v="Fairfield"/>
    <s v="Ohio"/>
    <s v="East"/>
    <x v="1"/>
    <x v="9"/>
    <s v="Eureka Sanitaire  Commercial Upright"/>
    <x v="4746"/>
    <n v="6"/>
    <n v="0.2"/>
    <n v="59.6556"/>
  </r>
  <r>
    <n v="7399"/>
    <x v="136"/>
    <x v="2"/>
    <x v="7"/>
    <d v="2011-07-15T00:00:00"/>
    <n v="3"/>
    <x v="0"/>
    <s v="Max Engle"/>
    <x v="0"/>
    <m/>
    <s v="Chicago"/>
    <s v="Illinois"/>
    <s v="Central"/>
    <x v="1"/>
    <x v="10"/>
    <s v="Xerox 1949"/>
    <x v="4747"/>
    <n v="9"/>
    <n v="0.2"/>
    <n v="12.9978"/>
  </r>
  <r>
    <n v="7400"/>
    <x v="136"/>
    <x v="2"/>
    <x v="7"/>
    <d v="2011-07-15T00:00:00"/>
    <n v="3"/>
    <x v="0"/>
    <s v="Max Engle"/>
    <x v="0"/>
    <m/>
    <s v="Chicago"/>
    <s v="Illinois"/>
    <s v="Central"/>
    <x v="2"/>
    <x v="11"/>
    <s v="Verbatim 25 GB 6x Blu-ray Single Layer Recordable Disc, 1/Pack"/>
    <x v="4748"/>
    <n v="4"/>
    <n v="0.2"/>
    <n v="3.278"/>
  </r>
  <r>
    <n v="7401"/>
    <x v="162"/>
    <x v="0"/>
    <x v="8"/>
    <d v="2013-09-14T00:00:00"/>
    <n v="5"/>
    <x v="1"/>
    <s v="Toby Ritter"/>
    <x v="0"/>
    <m/>
    <s v="Seattle"/>
    <s v="Washington"/>
    <s v="West"/>
    <x v="0"/>
    <x v="5"/>
    <s v="Howard Miller 11-1/2&quot; Diameter Grantwood Wall Clock"/>
    <x v="3474"/>
    <n v="1"/>
    <n v="0"/>
    <n v="14.664199999999999"/>
  </r>
  <r>
    <n v="7402"/>
    <x v="162"/>
    <x v="0"/>
    <x v="8"/>
    <d v="2013-09-14T00:00:00"/>
    <n v="5"/>
    <x v="1"/>
    <s v="Toby Ritter"/>
    <x v="0"/>
    <m/>
    <s v="Seattle"/>
    <s v="Washington"/>
    <s v="West"/>
    <x v="1"/>
    <x v="10"/>
    <s v="Ampad Gold Fibre Wirebound Steno Books, 6&quot; x 9&quot;, Gregg Ruled"/>
    <x v="4749"/>
    <n v="7"/>
    <n v="0"/>
    <n v="14.200200000000001"/>
  </r>
  <r>
    <n v="7403"/>
    <x v="634"/>
    <x v="3"/>
    <x v="6"/>
    <d v="2014-08-11T00:00:00"/>
    <n v="4"/>
    <x v="1"/>
    <s v="Shahid Hopkins"/>
    <x v="0"/>
    <m/>
    <s v="New York City"/>
    <s v="New York"/>
    <s v="East"/>
    <x v="1"/>
    <x v="14"/>
    <s v="Acme 10&quot; Easy Grip Assistive Scissors"/>
    <x v="375"/>
    <n v="4"/>
    <n v="0"/>
    <n v="21.036000000000001"/>
  </r>
  <r>
    <n v="7404"/>
    <x v="263"/>
    <x v="1"/>
    <x v="5"/>
    <d v="2012-05-19T00:00:00"/>
    <n v="5"/>
    <x v="1"/>
    <s v="Claudia Bergmann"/>
    <x v="1"/>
    <m/>
    <s v="Camarillo"/>
    <s v="California"/>
    <s v="West"/>
    <x v="0"/>
    <x v="0"/>
    <s v="Bush Andora Bookcase, Maple/Graphite Gray Finish"/>
    <x v="4750"/>
    <n v="5"/>
    <n v="0.15"/>
    <n v="41.996499999999997"/>
  </r>
  <r>
    <n v="7405"/>
    <x v="263"/>
    <x v="1"/>
    <x v="5"/>
    <d v="2012-05-19T00:00:00"/>
    <n v="5"/>
    <x v="1"/>
    <s v="Claudia Bergmann"/>
    <x v="1"/>
    <m/>
    <s v="Camarillo"/>
    <s v="California"/>
    <s v="West"/>
    <x v="0"/>
    <x v="5"/>
    <s v="Dana Halogen Swing-Arm Architect Lamp"/>
    <x v="4751"/>
    <n v="3"/>
    <n v="0"/>
    <n v="34.4148"/>
  </r>
  <r>
    <n v="7406"/>
    <x v="263"/>
    <x v="1"/>
    <x v="5"/>
    <d v="2012-05-19T00:00:00"/>
    <n v="5"/>
    <x v="1"/>
    <s v="Claudia Bergmann"/>
    <x v="1"/>
    <m/>
    <s v="Camarillo"/>
    <s v="California"/>
    <s v="West"/>
    <x v="0"/>
    <x v="1"/>
    <s v="Novimex Fabric Task Chair"/>
    <x v="1892"/>
    <n v="2"/>
    <n v="0.2"/>
    <n v="-6.0979999999999999"/>
  </r>
  <r>
    <n v="7407"/>
    <x v="263"/>
    <x v="1"/>
    <x v="5"/>
    <d v="2012-05-19T00:00:00"/>
    <n v="5"/>
    <x v="1"/>
    <s v="Claudia Bergmann"/>
    <x v="1"/>
    <m/>
    <s v="Camarillo"/>
    <s v="California"/>
    <s v="West"/>
    <x v="0"/>
    <x v="1"/>
    <s v="Global Leather and Oak Executive Chair, Black"/>
    <x v="938"/>
    <n v="3"/>
    <n v="0.2"/>
    <n v="81.264600000000002"/>
  </r>
  <r>
    <n v="7408"/>
    <x v="176"/>
    <x v="3"/>
    <x v="9"/>
    <d v="2014-01-22T00:00:00"/>
    <n v="1"/>
    <x v="2"/>
    <s v="Maris LaWare"/>
    <x v="0"/>
    <m/>
    <s v="Chicago"/>
    <s v="Illinois"/>
    <s v="Central"/>
    <x v="1"/>
    <x v="2"/>
    <s v="Avery File Folder Labels"/>
    <x v="132"/>
    <n v="5"/>
    <n v="0.2"/>
    <n v="4.1760000000000002"/>
  </r>
  <r>
    <n v="7409"/>
    <x v="198"/>
    <x v="0"/>
    <x v="5"/>
    <d v="2013-06-07T00:00:00"/>
    <n v="7"/>
    <x v="1"/>
    <s v="Jason Gross"/>
    <x v="1"/>
    <m/>
    <s v="Los Angeles"/>
    <s v="California"/>
    <s v="West"/>
    <x v="0"/>
    <x v="5"/>
    <s v="36X48 HARDFLOOR CHAIRMAT"/>
    <x v="4752"/>
    <n v="8"/>
    <n v="0"/>
    <n v="11.748799999999999"/>
  </r>
  <r>
    <n v="7410"/>
    <x v="918"/>
    <x v="2"/>
    <x v="3"/>
    <d v="2011-04-12T00:00:00"/>
    <n v="4"/>
    <x v="1"/>
    <s v="John Stevenson"/>
    <x v="0"/>
    <m/>
    <s v="Toledo"/>
    <s v="Ohio"/>
    <s v="East"/>
    <x v="0"/>
    <x v="3"/>
    <s v="Riverside Furniture Stanwyck Manor Table Series"/>
    <x v="4753"/>
    <n v="1"/>
    <n v="0.4"/>
    <n v="-94.660499999999999"/>
  </r>
  <r>
    <n v="7411"/>
    <x v="149"/>
    <x v="2"/>
    <x v="7"/>
    <d v="2011-07-24T00:00:00"/>
    <n v="1"/>
    <x v="2"/>
    <s v="Alejandro Grove"/>
    <x v="0"/>
    <m/>
    <s v="New York City"/>
    <s v="New York"/>
    <s v="East"/>
    <x v="2"/>
    <x v="11"/>
    <s v="Case Logic 2.4GHz Wireless Keyboard"/>
    <x v="2564"/>
    <n v="2"/>
    <n v="0"/>
    <n v="7.9984000000000002"/>
  </r>
  <r>
    <n v="7412"/>
    <x v="1109"/>
    <x v="3"/>
    <x v="5"/>
    <d v="2014-06-04T00:00:00"/>
    <n v="4"/>
    <x v="1"/>
    <s v="Michael Granlund"/>
    <x v="2"/>
    <m/>
    <s v="Tigard"/>
    <s v="Oregon"/>
    <s v="West"/>
    <x v="2"/>
    <x v="7"/>
    <s v="LG G3"/>
    <x v="2356"/>
    <n v="1"/>
    <n v="0.2"/>
    <n v="17.639099999999999"/>
  </r>
  <r>
    <n v="7413"/>
    <x v="1109"/>
    <x v="3"/>
    <x v="5"/>
    <d v="2014-06-04T00:00:00"/>
    <n v="4"/>
    <x v="1"/>
    <s v="Michael Granlund"/>
    <x v="2"/>
    <m/>
    <s v="Tigard"/>
    <s v="Oregon"/>
    <s v="West"/>
    <x v="2"/>
    <x v="11"/>
    <s v="SanDisk Ultra 32 GB MicroSDHC Class 10 Memory Card"/>
    <x v="1424"/>
    <n v="2"/>
    <n v="0.2"/>
    <n v="-3.0939999999999999"/>
  </r>
  <r>
    <n v="7414"/>
    <x v="1109"/>
    <x v="3"/>
    <x v="5"/>
    <d v="2014-06-04T00:00:00"/>
    <n v="4"/>
    <x v="1"/>
    <s v="Michael Granlund"/>
    <x v="2"/>
    <m/>
    <s v="Tigard"/>
    <s v="Oregon"/>
    <s v="West"/>
    <x v="0"/>
    <x v="5"/>
    <s v="Tensor Brushed Steel Torchiere Floor Lamp"/>
    <x v="4754"/>
    <n v="1"/>
    <n v="0.2"/>
    <n v="-0.33979999999999999"/>
  </r>
  <r>
    <n v="7415"/>
    <x v="69"/>
    <x v="0"/>
    <x v="10"/>
    <d v="2013-03-16T00:00:00"/>
    <n v="2"/>
    <x v="0"/>
    <s v="Stewart Carmichael"/>
    <x v="1"/>
    <m/>
    <s v="Philadelphia"/>
    <s v="Pennsylvania"/>
    <s v="East"/>
    <x v="0"/>
    <x v="1"/>
    <s v="SAFCO Arco Folding Chair"/>
    <x v="4755"/>
    <n v="2"/>
    <n v="0.3"/>
    <n v="-5.524"/>
  </r>
  <r>
    <n v="7416"/>
    <x v="69"/>
    <x v="0"/>
    <x v="10"/>
    <d v="2013-03-16T00:00:00"/>
    <n v="2"/>
    <x v="0"/>
    <s v="Stewart Carmichael"/>
    <x v="1"/>
    <m/>
    <s v="Philadelphia"/>
    <s v="Pennsylvania"/>
    <s v="East"/>
    <x v="2"/>
    <x v="11"/>
    <s v="Kensington Expert Mouse Optical USB Trackball for PC or Mac"/>
    <x v="4756"/>
    <n v="5"/>
    <n v="0.2"/>
    <n v="47.494999999999997"/>
  </r>
  <r>
    <n v="7417"/>
    <x v="69"/>
    <x v="0"/>
    <x v="10"/>
    <d v="2013-03-16T00:00:00"/>
    <n v="2"/>
    <x v="0"/>
    <s v="Stewart Carmichael"/>
    <x v="1"/>
    <m/>
    <s v="Philadelphia"/>
    <s v="Pennsylvania"/>
    <s v="East"/>
    <x v="2"/>
    <x v="7"/>
    <s v="Polycom CX600 IP Phone VoIP phone"/>
    <x v="4757"/>
    <n v="3"/>
    <n v="0.4"/>
    <n v="-116.98050000000001"/>
  </r>
  <r>
    <n v="7418"/>
    <x v="69"/>
    <x v="0"/>
    <x v="10"/>
    <d v="2013-03-16T00:00:00"/>
    <n v="2"/>
    <x v="0"/>
    <s v="Stewart Carmichael"/>
    <x v="1"/>
    <m/>
    <s v="Philadelphia"/>
    <s v="Pennsylvania"/>
    <s v="East"/>
    <x v="1"/>
    <x v="10"/>
    <s v="Speediset Carbonless Redi-Letter 7&quot; x 8 1/2&quot;"/>
    <x v="4758"/>
    <n v="5"/>
    <n v="0.2"/>
    <n v="13.9185"/>
  </r>
  <r>
    <n v="7419"/>
    <x v="69"/>
    <x v="0"/>
    <x v="10"/>
    <d v="2013-03-16T00:00:00"/>
    <n v="2"/>
    <x v="0"/>
    <s v="Stewart Carmichael"/>
    <x v="1"/>
    <m/>
    <s v="Philadelphia"/>
    <s v="Pennsylvania"/>
    <s v="East"/>
    <x v="1"/>
    <x v="8"/>
    <s v="Ibico EB-19 Dual Function Manual Binding System"/>
    <x v="4759"/>
    <n v="1"/>
    <n v="0.7"/>
    <n v="-41.517600000000002"/>
  </r>
  <r>
    <n v="7420"/>
    <x v="69"/>
    <x v="0"/>
    <x v="10"/>
    <d v="2013-03-16T00:00:00"/>
    <n v="2"/>
    <x v="0"/>
    <s v="Stewart Carmichael"/>
    <x v="1"/>
    <m/>
    <s v="Philadelphia"/>
    <s v="Pennsylvania"/>
    <s v="East"/>
    <x v="1"/>
    <x v="4"/>
    <s v="SAFCO Commercial Wire Shelving, Black"/>
    <x v="1183"/>
    <n v="5"/>
    <n v="0.2"/>
    <n v="-138.13999999999999"/>
  </r>
  <r>
    <n v="7421"/>
    <x v="69"/>
    <x v="0"/>
    <x v="10"/>
    <d v="2013-03-16T00:00:00"/>
    <n v="2"/>
    <x v="0"/>
    <s v="Stewart Carmichael"/>
    <x v="1"/>
    <m/>
    <s v="Philadelphia"/>
    <s v="Pennsylvania"/>
    <s v="East"/>
    <x v="1"/>
    <x v="8"/>
    <s v="GBC VeloBind Cover Sets"/>
    <x v="3697"/>
    <n v="5"/>
    <n v="0.7"/>
    <n v="-15.44"/>
  </r>
  <r>
    <n v="7422"/>
    <x v="69"/>
    <x v="0"/>
    <x v="10"/>
    <d v="2013-03-16T00:00:00"/>
    <n v="2"/>
    <x v="0"/>
    <s v="Stewart Carmichael"/>
    <x v="1"/>
    <m/>
    <s v="Philadelphia"/>
    <s v="Pennsylvania"/>
    <s v="East"/>
    <x v="1"/>
    <x v="4"/>
    <s v="Space Solutions Industrial Galvanized Steel Shelving."/>
    <x v="4760"/>
    <n v="2"/>
    <n v="0.2"/>
    <n v="-28.367999999999999"/>
  </r>
  <r>
    <n v="7423"/>
    <x v="69"/>
    <x v="0"/>
    <x v="10"/>
    <d v="2013-03-16T00:00:00"/>
    <n v="2"/>
    <x v="0"/>
    <s v="Stewart Carmichael"/>
    <x v="1"/>
    <m/>
    <s v="Philadelphia"/>
    <s v="Pennsylvania"/>
    <s v="East"/>
    <x v="2"/>
    <x v="15"/>
    <s v="Okidata MB491 Multifunction Printer"/>
    <x v="4761"/>
    <n v="3"/>
    <n v="0.7"/>
    <n v="-643.71"/>
  </r>
  <r>
    <n v="7424"/>
    <x v="318"/>
    <x v="3"/>
    <x v="3"/>
    <d v="2014-04-15T00:00:00"/>
    <n v="4"/>
    <x v="1"/>
    <s v="Bruce Stewart"/>
    <x v="0"/>
    <m/>
    <s v="Philadelphia"/>
    <s v="Pennsylvania"/>
    <s v="East"/>
    <x v="1"/>
    <x v="9"/>
    <s v="Tripp Lite Isotel 6 Outlet Surge Protector with Fax/Modem Protection"/>
    <x v="4762"/>
    <n v="4"/>
    <n v="0.2"/>
    <n v="21.949200000000001"/>
  </r>
  <r>
    <n v="7425"/>
    <x v="318"/>
    <x v="3"/>
    <x v="3"/>
    <d v="2014-04-15T00:00:00"/>
    <n v="4"/>
    <x v="1"/>
    <s v="Bruce Stewart"/>
    <x v="0"/>
    <m/>
    <s v="Philadelphia"/>
    <s v="Pennsylvania"/>
    <s v="East"/>
    <x v="0"/>
    <x v="5"/>
    <s v="Linden 10&quot; Round Wall Clock, Black"/>
    <x v="1272"/>
    <n v="3"/>
    <n v="0.2"/>
    <n v="6.4176000000000002"/>
  </r>
  <r>
    <n v="7426"/>
    <x v="674"/>
    <x v="0"/>
    <x v="1"/>
    <d v="2013-06-28T00:00:00"/>
    <n v="2"/>
    <x v="0"/>
    <s v="Logan Currie"/>
    <x v="0"/>
    <m/>
    <s v="Houston"/>
    <s v="Texas"/>
    <s v="Central"/>
    <x v="0"/>
    <x v="1"/>
    <s v="Global Value Mid-Back Manager's Chair, Gray"/>
    <x v="4763"/>
    <n v="2"/>
    <n v="0.3"/>
    <n v="-6.0890000000000004"/>
  </r>
  <r>
    <n v="7427"/>
    <x v="674"/>
    <x v="0"/>
    <x v="1"/>
    <d v="2013-06-28T00:00:00"/>
    <n v="2"/>
    <x v="0"/>
    <s v="Logan Currie"/>
    <x v="0"/>
    <m/>
    <s v="Houston"/>
    <s v="Texas"/>
    <s v="Central"/>
    <x v="0"/>
    <x v="5"/>
    <s v="Eldon Executive Woodline II Cherry Finish Desk Accessories"/>
    <x v="4764"/>
    <n v="2"/>
    <n v="0.6"/>
    <n v="-26.169599999999999"/>
  </r>
  <r>
    <n v="7428"/>
    <x v="461"/>
    <x v="2"/>
    <x v="10"/>
    <d v="2011-03-21T00:00:00"/>
    <n v="4"/>
    <x v="1"/>
    <s v="Mark Haberlin"/>
    <x v="1"/>
    <m/>
    <s v="Jackson"/>
    <s v="Mississippi"/>
    <s v="South"/>
    <x v="1"/>
    <x v="8"/>
    <s v="Acco Pressboard Covers with Storage Hooks, 9 1/2&quot; x 11&quot;, Executive Red"/>
    <x v="4765"/>
    <n v="3"/>
    <n v="0"/>
    <n v="5.3720999999999997"/>
  </r>
  <r>
    <n v="7429"/>
    <x v="461"/>
    <x v="2"/>
    <x v="10"/>
    <d v="2011-03-21T00:00:00"/>
    <n v="4"/>
    <x v="1"/>
    <s v="Mark Haberlin"/>
    <x v="1"/>
    <m/>
    <s v="Jackson"/>
    <s v="Mississippi"/>
    <s v="South"/>
    <x v="1"/>
    <x v="8"/>
    <s v="GBC Twin Loop Wire Binding Elements, 9/16&quot; Spine, Black"/>
    <x v="2628"/>
    <n v="2"/>
    <n v="0"/>
    <n v="14.9156"/>
  </r>
  <r>
    <n v="7430"/>
    <x v="461"/>
    <x v="2"/>
    <x v="10"/>
    <d v="2011-03-21T00:00:00"/>
    <n v="4"/>
    <x v="1"/>
    <s v="Mark Haberlin"/>
    <x v="1"/>
    <m/>
    <s v="Jackson"/>
    <s v="Mississippi"/>
    <s v="South"/>
    <x v="1"/>
    <x v="10"/>
    <s v="Xerox 1957"/>
    <x v="91"/>
    <n v="2"/>
    <n v="0"/>
    <n v="6.3503999999999996"/>
  </r>
  <r>
    <n v="7431"/>
    <x v="461"/>
    <x v="2"/>
    <x v="10"/>
    <d v="2011-03-21T00:00:00"/>
    <n v="4"/>
    <x v="1"/>
    <s v="Mark Haberlin"/>
    <x v="1"/>
    <m/>
    <s v="Jackson"/>
    <s v="Mississippi"/>
    <s v="South"/>
    <x v="1"/>
    <x v="10"/>
    <s v="EcoTones Memo Sheets"/>
    <x v="4515"/>
    <n v="4"/>
    <n v="0"/>
    <n v="7.68"/>
  </r>
  <r>
    <n v="7432"/>
    <x v="461"/>
    <x v="2"/>
    <x v="10"/>
    <d v="2011-03-21T00:00:00"/>
    <n v="4"/>
    <x v="1"/>
    <s v="Mark Haberlin"/>
    <x v="1"/>
    <m/>
    <s v="Jackson"/>
    <s v="Mississippi"/>
    <s v="South"/>
    <x v="1"/>
    <x v="9"/>
    <s v="Belkin 6 Outlet Metallic Surge Strip"/>
    <x v="4591"/>
    <n v="3"/>
    <n v="0"/>
    <n v="8.4941999999999993"/>
  </r>
  <r>
    <n v="7433"/>
    <x v="128"/>
    <x v="2"/>
    <x v="6"/>
    <d v="2011-08-13T00:00:00"/>
    <n v="4"/>
    <x v="1"/>
    <s v="Roger Demir"/>
    <x v="0"/>
    <m/>
    <s v="Phoenix"/>
    <s v="Arizona"/>
    <s v="West"/>
    <x v="1"/>
    <x v="13"/>
    <s v="Super Bands, 12/Pack"/>
    <x v="3743"/>
    <n v="3"/>
    <n v="0.2"/>
    <n v="-0.9486"/>
  </r>
  <r>
    <n v="7434"/>
    <x v="128"/>
    <x v="2"/>
    <x v="6"/>
    <d v="2011-08-13T00:00:00"/>
    <n v="4"/>
    <x v="1"/>
    <s v="Roger Demir"/>
    <x v="0"/>
    <m/>
    <s v="Phoenix"/>
    <s v="Arizona"/>
    <s v="West"/>
    <x v="1"/>
    <x v="8"/>
    <s v="Avery Hole Reinforcements"/>
    <x v="4766"/>
    <n v="5"/>
    <n v="0.7"/>
    <n v="-6.5415000000000001"/>
  </r>
  <r>
    <n v="7435"/>
    <x v="353"/>
    <x v="1"/>
    <x v="7"/>
    <d v="2012-07-31T00:00:00"/>
    <n v="5"/>
    <x v="1"/>
    <s v="Bart Pistole"/>
    <x v="1"/>
    <m/>
    <s v="Oxnard"/>
    <s v="California"/>
    <s v="West"/>
    <x v="1"/>
    <x v="8"/>
    <s v="Acco Pressboard Covers with Storage Hooks, 9 1/2&quot; x 11&quot;, Executive Red"/>
    <x v="1073"/>
    <n v="3"/>
    <n v="0.2"/>
    <n v="3.0861000000000001"/>
  </r>
  <r>
    <n v="7436"/>
    <x v="353"/>
    <x v="1"/>
    <x v="7"/>
    <d v="2012-07-31T00:00:00"/>
    <n v="5"/>
    <x v="1"/>
    <s v="Bart Pistole"/>
    <x v="1"/>
    <m/>
    <s v="Oxnard"/>
    <s v="California"/>
    <s v="West"/>
    <x v="1"/>
    <x v="8"/>
    <s v="Tuff Stuff Recycled Round Ring Binders"/>
    <x v="4767"/>
    <n v="6"/>
    <n v="0.2"/>
    <n v="8.3867999999999991"/>
  </r>
  <r>
    <n v="7437"/>
    <x v="353"/>
    <x v="1"/>
    <x v="7"/>
    <d v="2012-07-31T00:00:00"/>
    <n v="5"/>
    <x v="1"/>
    <s v="Bart Pistole"/>
    <x v="1"/>
    <m/>
    <s v="Oxnard"/>
    <s v="California"/>
    <s v="West"/>
    <x v="1"/>
    <x v="6"/>
    <s v="Newell 334"/>
    <x v="1593"/>
    <n v="5"/>
    <n v="0"/>
    <n v="25.792000000000002"/>
  </r>
  <r>
    <n v="7438"/>
    <x v="1162"/>
    <x v="2"/>
    <x v="11"/>
    <d v="2011-02-20T00:00:00"/>
    <n v="4"/>
    <x v="1"/>
    <s v="Barry Französisch"/>
    <x v="1"/>
    <m/>
    <s v="Seattle"/>
    <s v="Washington"/>
    <s v="West"/>
    <x v="1"/>
    <x v="8"/>
    <s v="Pressboard Data Binders by Wilson Jones"/>
    <x v="788"/>
    <n v="5"/>
    <n v="0.2"/>
    <n v="7.2089999999999996"/>
  </r>
  <r>
    <n v="7439"/>
    <x v="539"/>
    <x v="1"/>
    <x v="10"/>
    <d v="2012-03-27T00:00:00"/>
    <n v="3"/>
    <x v="0"/>
    <s v="Cathy Prescott"/>
    <x v="1"/>
    <m/>
    <s v="Covington"/>
    <s v="Washington"/>
    <s v="West"/>
    <x v="0"/>
    <x v="5"/>
    <s v="Eldon Expressions Punched Metal &amp; Wood Desk Accessories, Black &amp; Cherry"/>
    <x v="4768"/>
    <n v="5"/>
    <n v="0"/>
    <n v="13.132"/>
  </r>
  <r>
    <n v="7440"/>
    <x v="264"/>
    <x v="3"/>
    <x v="8"/>
    <d v="2014-09-07T00:00:00"/>
    <n v="4"/>
    <x v="1"/>
    <s v="Janet Lee"/>
    <x v="0"/>
    <m/>
    <s v="Los Angeles"/>
    <s v="California"/>
    <s v="West"/>
    <x v="1"/>
    <x v="8"/>
    <s v="Acco Translucent Poly Ring Binders"/>
    <x v="690"/>
    <n v="5"/>
    <n v="0.2"/>
    <n v="6.5519999999999996"/>
  </r>
  <r>
    <n v="7441"/>
    <x v="264"/>
    <x v="3"/>
    <x v="8"/>
    <d v="2014-09-07T00:00:00"/>
    <n v="4"/>
    <x v="1"/>
    <s v="Janet Lee"/>
    <x v="0"/>
    <m/>
    <s v="Los Angeles"/>
    <s v="California"/>
    <s v="West"/>
    <x v="0"/>
    <x v="3"/>
    <s v="Hon 2111 Invitation Series Straight Table"/>
    <x v="4769"/>
    <n v="2"/>
    <n v="0.2"/>
    <n v="-2.9565999999999999"/>
  </r>
  <r>
    <n v="7442"/>
    <x v="547"/>
    <x v="1"/>
    <x v="0"/>
    <d v="2012-11-18T00:00:00"/>
    <n v="2"/>
    <x v="2"/>
    <s v="John Grady"/>
    <x v="1"/>
    <m/>
    <s v="San Diego"/>
    <s v="California"/>
    <s v="West"/>
    <x v="1"/>
    <x v="2"/>
    <s v="Avery 51"/>
    <x v="1365"/>
    <n v="3"/>
    <n v="0"/>
    <n v="8.6940000000000008"/>
  </r>
  <r>
    <n v="7443"/>
    <x v="337"/>
    <x v="2"/>
    <x v="4"/>
    <d v="2011-12-11T00:00:00"/>
    <n v="2"/>
    <x v="2"/>
    <s v="Victoria Pisteka"/>
    <x v="1"/>
    <m/>
    <s v="Brownsville"/>
    <s v="Texas"/>
    <s v="Central"/>
    <x v="1"/>
    <x v="10"/>
    <s v="Xerox 195"/>
    <x v="1414"/>
    <n v="2"/>
    <n v="0.2"/>
    <n v="3.7408000000000001"/>
  </r>
  <r>
    <n v="7444"/>
    <x v="337"/>
    <x v="2"/>
    <x v="4"/>
    <d v="2011-12-11T00:00:00"/>
    <n v="2"/>
    <x v="2"/>
    <s v="Victoria Pisteka"/>
    <x v="1"/>
    <m/>
    <s v="Brownsville"/>
    <s v="Texas"/>
    <s v="Central"/>
    <x v="1"/>
    <x v="4"/>
    <s v="Recycled Data-Pak for Archival Bound Computer Printouts, 12-1/2 x 12-1/2 x 16"/>
    <x v="4770"/>
    <n v="3"/>
    <n v="0.2"/>
    <n v="20.745899999999999"/>
  </r>
  <r>
    <n v="7445"/>
    <x v="447"/>
    <x v="3"/>
    <x v="11"/>
    <d v="2014-02-08T00:00:00"/>
    <n v="4"/>
    <x v="0"/>
    <s v="Ross DeVincentis"/>
    <x v="2"/>
    <m/>
    <s v="Chicago"/>
    <s v="Illinois"/>
    <s v="Central"/>
    <x v="1"/>
    <x v="10"/>
    <s v="Xerox 2"/>
    <x v="1170"/>
    <n v="1"/>
    <n v="0.2"/>
    <n v="1.8144"/>
  </r>
  <r>
    <n v="7446"/>
    <x v="447"/>
    <x v="3"/>
    <x v="11"/>
    <d v="2014-02-08T00:00:00"/>
    <n v="4"/>
    <x v="0"/>
    <s v="Ross DeVincentis"/>
    <x v="2"/>
    <m/>
    <s v="Chicago"/>
    <s v="Illinois"/>
    <s v="Central"/>
    <x v="1"/>
    <x v="10"/>
    <s v="Xerox 1893"/>
    <x v="4771"/>
    <n v="2"/>
    <n v="0.2"/>
    <n v="23.7742"/>
  </r>
  <r>
    <n v="7447"/>
    <x v="447"/>
    <x v="3"/>
    <x v="11"/>
    <d v="2014-02-08T00:00:00"/>
    <n v="4"/>
    <x v="0"/>
    <s v="Ross DeVincentis"/>
    <x v="2"/>
    <m/>
    <s v="Chicago"/>
    <s v="Illinois"/>
    <s v="Central"/>
    <x v="0"/>
    <x v="5"/>
    <s v="Eldon Cleatmat Chair Mats for Medium Pile Carpets"/>
    <x v="496"/>
    <n v="1"/>
    <n v="0.6"/>
    <n v="-26.085000000000001"/>
  </r>
  <r>
    <n v="7448"/>
    <x v="447"/>
    <x v="3"/>
    <x v="11"/>
    <d v="2014-02-08T00:00:00"/>
    <n v="4"/>
    <x v="0"/>
    <s v="Ross DeVincentis"/>
    <x v="2"/>
    <m/>
    <s v="Chicago"/>
    <s v="Illinois"/>
    <s v="Central"/>
    <x v="1"/>
    <x v="10"/>
    <s v="Xerox 189"/>
    <x v="1242"/>
    <n v="5"/>
    <n v="0.2"/>
    <n v="146.79"/>
  </r>
  <r>
    <n v="7449"/>
    <x v="343"/>
    <x v="3"/>
    <x v="0"/>
    <d v="2014-11-15T00:00:00"/>
    <n v="3"/>
    <x v="2"/>
    <s v="Michelle Huthwaite"/>
    <x v="0"/>
    <m/>
    <s v="Knoxville"/>
    <s v="Tennessee"/>
    <s v="South"/>
    <x v="0"/>
    <x v="5"/>
    <s v="Executive Impressions 14&quot; Contract Wall Clock"/>
    <x v="4772"/>
    <n v="5"/>
    <n v="0.2"/>
    <n v="14.4495"/>
  </r>
  <r>
    <n v="7450"/>
    <x v="697"/>
    <x v="3"/>
    <x v="8"/>
    <d v="2014-09-23T00:00:00"/>
    <n v="5"/>
    <x v="0"/>
    <s v="Sanjit Jacobs"/>
    <x v="2"/>
    <m/>
    <s v="Houston"/>
    <s v="Texas"/>
    <s v="Central"/>
    <x v="1"/>
    <x v="6"/>
    <s v="Newell Chalk Holder"/>
    <x v="4373"/>
    <n v="3"/>
    <n v="0.2"/>
    <n v="3.2214"/>
  </r>
  <r>
    <n v="7451"/>
    <x v="697"/>
    <x v="3"/>
    <x v="8"/>
    <d v="2014-09-23T00:00:00"/>
    <n v="5"/>
    <x v="0"/>
    <s v="Sanjit Jacobs"/>
    <x v="2"/>
    <m/>
    <s v="Houston"/>
    <s v="Texas"/>
    <s v="Central"/>
    <x v="0"/>
    <x v="1"/>
    <s v="Global Wood Trimmed Manager's Task Chair, Khaki"/>
    <x v="2550"/>
    <n v="5"/>
    <n v="0.3"/>
    <n v="-77.332999999999998"/>
  </r>
  <r>
    <n v="7452"/>
    <x v="697"/>
    <x v="3"/>
    <x v="8"/>
    <d v="2014-09-23T00:00:00"/>
    <n v="5"/>
    <x v="0"/>
    <s v="Sanjit Jacobs"/>
    <x v="2"/>
    <m/>
    <s v="Houston"/>
    <s v="Texas"/>
    <s v="Central"/>
    <x v="1"/>
    <x v="8"/>
    <s v="Wilson Jones “Snap” Scratch Pad Binder Tool for Ring Binders"/>
    <x v="4773"/>
    <n v="5"/>
    <n v="0.8"/>
    <n v="-10.15"/>
  </r>
  <r>
    <n v="7453"/>
    <x v="697"/>
    <x v="3"/>
    <x v="8"/>
    <d v="2014-09-23T00:00:00"/>
    <n v="5"/>
    <x v="0"/>
    <s v="Sanjit Jacobs"/>
    <x v="2"/>
    <m/>
    <s v="Houston"/>
    <s v="Texas"/>
    <s v="Central"/>
    <x v="2"/>
    <x v="7"/>
    <s v="Polycom VoiceStation 500 Conference phone"/>
    <x v="4774"/>
    <n v="6"/>
    <n v="0.2"/>
    <n v="88.484999999999999"/>
  </r>
  <r>
    <n v="7454"/>
    <x v="643"/>
    <x v="3"/>
    <x v="1"/>
    <d v="2014-07-02T00:00:00"/>
    <n v="6"/>
    <x v="1"/>
    <s v="Fred McMath"/>
    <x v="0"/>
    <m/>
    <s v="Bolingbrook"/>
    <s v="Illinois"/>
    <s v="Central"/>
    <x v="2"/>
    <x v="7"/>
    <s v="Geemarc AmpliPOWER60"/>
    <x v="1467"/>
    <n v="2"/>
    <n v="0.2"/>
    <n v="16.704000000000001"/>
  </r>
  <r>
    <n v="7455"/>
    <x v="679"/>
    <x v="0"/>
    <x v="7"/>
    <d v="2013-08-05T00:00:00"/>
    <n v="5"/>
    <x v="1"/>
    <s v="Katherine Hughes"/>
    <x v="0"/>
    <m/>
    <s v="Chicago"/>
    <s v="Illinois"/>
    <s v="Central"/>
    <x v="1"/>
    <x v="2"/>
    <s v="Avery 498"/>
    <x v="4579"/>
    <n v="4"/>
    <n v="0.2"/>
    <n v="3.1212"/>
  </r>
  <r>
    <n v="7456"/>
    <x v="679"/>
    <x v="0"/>
    <x v="7"/>
    <d v="2013-08-05T00:00:00"/>
    <n v="5"/>
    <x v="1"/>
    <s v="Katherine Hughes"/>
    <x v="0"/>
    <m/>
    <s v="Chicago"/>
    <s v="Illinois"/>
    <s v="Central"/>
    <x v="1"/>
    <x v="4"/>
    <s v="Tennsco 16-Compartment Lockers with Coat Rack"/>
    <x v="2479"/>
    <n v="2"/>
    <n v="0.2"/>
    <n v="51.831200000000003"/>
  </r>
  <r>
    <n v="7457"/>
    <x v="392"/>
    <x v="1"/>
    <x v="3"/>
    <d v="2012-04-18T00:00:00"/>
    <n v="2"/>
    <x v="2"/>
    <s v="Lauren Leatherbury"/>
    <x v="0"/>
    <m/>
    <s v="Waynesboro"/>
    <s v="Virginia"/>
    <s v="South"/>
    <x v="2"/>
    <x v="7"/>
    <s v="Konftel 250 Conference phone - Charcoal black"/>
    <x v="4775"/>
    <n v="2"/>
    <n v="0"/>
    <n v="148.10640000000001"/>
  </r>
  <r>
    <n v="7458"/>
    <x v="392"/>
    <x v="1"/>
    <x v="3"/>
    <d v="2012-04-18T00:00:00"/>
    <n v="2"/>
    <x v="2"/>
    <s v="Lauren Leatherbury"/>
    <x v="0"/>
    <m/>
    <s v="Waynesboro"/>
    <s v="Virginia"/>
    <s v="South"/>
    <x v="1"/>
    <x v="8"/>
    <s v="Cardinal EasyOpen D-Ring Binders"/>
    <x v="4776"/>
    <n v="1"/>
    <n v="0"/>
    <n v="4.57"/>
  </r>
  <r>
    <n v="7459"/>
    <x v="392"/>
    <x v="1"/>
    <x v="3"/>
    <d v="2012-04-18T00:00:00"/>
    <n v="2"/>
    <x v="2"/>
    <s v="Lauren Leatherbury"/>
    <x v="0"/>
    <m/>
    <s v="Waynesboro"/>
    <s v="Virginia"/>
    <s v="South"/>
    <x v="0"/>
    <x v="5"/>
    <s v="Tenex Antistatic Computer Chair Mats"/>
    <x v="4777"/>
    <n v="7"/>
    <n v="0"/>
    <n v="119.68600000000001"/>
  </r>
  <r>
    <n v="7460"/>
    <x v="392"/>
    <x v="1"/>
    <x v="3"/>
    <d v="2012-04-18T00:00:00"/>
    <n v="2"/>
    <x v="2"/>
    <s v="Lauren Leatherbury"/>
    <x v="0"/>
    <m/>
    <s v="Waynesboro"/>
    <s v="Virginia"/>
    <s v="South"/>
    <x v="0"/>
    <x v="0"/>
    <s v="O'Sullivan 3-Shelf Heavy-Duty Bookcases"/>
    <x v="4778"/>
    <n v="9"/>
    <n v="0"/>
    <n v="125.58240000000001"/>
  </r>
  <r>
    <n v="7461"/>
    <x v="347"/>
    <x v="1"/>
    <x v="3"/>
    <d v="2012-04-14T00:00:00"/>
    <n v="3"/>
    <x v="0"/>
    <s v="Andy Reiter"/>
    <x v="0"/>
    <m/>
    <s v="Los Angeles"/>
    <s v="California"/>
    <s v="West"/>
    <x v="2"/>
    <x v="16"/>
    <s v="Canon PC-428 Personal Copier"/>
    <x v="4779"/>
    <n v="4"/>
    <n v="0.2"/>
    <n v="215.98920000000001"/>
  </r>
  <r>
    <n v="7462"/>
    <x v="347"/>
    <x v="1"/>
    <x v="3"/>
    <d v="2012-04-14T00:00:00"/>
    <n v="3"/>
    <x v="0"/>
    <s v="Andy Reiter"/>
    <x v="0"/>
    <m/>
    <s v="Los Angeles"/>
    <s v="California"/>
    <s v="West"/>
    <x v="1"/>
    <x v="10"/>
    <s v="Staples"/>
    <x v="4780"/>
    <n v="2"/>
    <n v="0"/>
    <n v="24.269600000000001"/>
  </r>
  <r>
    <n v="7463"/>
    <x v="914"/>
    <x v="1"/>
    <x v="11"/>
    <d v="2012-03-01T00:00:00"/>
    <n v="3"/>
    <x v="0"/>
    <s v="Nora Paige"/>
    <x v="0"/>
    <m/>
    <s v="Seattle"/>
    <s v="Washington"/>
    <s v="West"/>
    <x v="2"/>
    <x v="11"/>
    <s v="Microsoft Natural Keyboard Elite"/>
    <x v="4781"/>
    <n v="9"/>
    <n v="0"/>
    <n v="80.837999999999994"/>
  </r>
  <r>
    <n v="7464"/>
    <x v="162"/>
    <x v="0"/>
    <x v="8"/>
    <d v="2013-09-16T00:00:00"/>
    <n v="7"/>
    <x v="1"/>
    <s v="Liz Preis"/>
    <x v="0"/>
    <m/>
    <s v="Visalia"/>
    <s v="California"/>
    <s v="West"/>
    <x v="1"/>
    <x v="6"/>
    <s v="Eberhard Faber 3 1/2&quot; Golf Pencils"/>
    <x v="3544"/>
    <n v="2"/>
    <n v="0"/>
    <n v="3.72"/>
  </r>
  <r>
    <n v="7465"/>
    <x v="162"/>
    <x v="0"/>
    <x v="8"/>
    <d v="2013-09-16T00:00:00"/>
    <n v="7"/>
    <x v="1"/>
    <s v="Liz Preis"/>
    <x v="0"/>
    <m/>
    <s v="Visalia"/>
    <s v="California"/>
    <s v="West"/>
    <x v="1"/>
    <x v="10"/>
    <s v="Xerox 1900"/>
    <x v="1353"/>
    <n v="8"/>
    <n v="0"/>
    <n v="15.407999999999999"/>
  </r>
  <r>
    <n v="7466"/>
    <x v="162"/>
    <x v="0"/>
    <x v="8"/>
    <d v="2013-09-16T00:00:00"/>
    <n v="7"/>
    <x v="1"/>
    <s v="Liz Preis"/>
    <x v="0"/>
    <m/>
    <s v="Visalia"/>
    <s v="California"/>
    <s v="West"/>
    <x v="1"/>
    <x v="4"/>
    <s v="Mini 13-1/2 Capacity Data Binder Rack, Pearl"/>
    <x v="2172"/>
    <n v="2"/>
    <n v="0"/>
    <n v="65.435000000000002"/>
  </r>
  <r>
    <n v="7467"/>
    <x v="288"/>
    <x v="0"/>
    <x v="5"/>
    <d v="2013-05-24T00:00:00"/>
    <n v="4"/>
    <x v="1"/>
    <s v="Anna Häberlin"/>
    <x v="1"/>
    <m/>
    <s v="Los Angeles"/>
    <s v="California"/>
    <s v="West"/>
    <x v="1"/>
    <x v="9"/>
    <s v="Staples"/>
    <x v="4782"/>
    <n v="8"/>
    <n v="0"/>
    <n v="23.716799999999999"/>
  </r>
  <r>
    <n v="7468"/>
    <x v="343"/>
    <x v="3"/>
    <x v="0"/>
    <d v="2014-11-16T00:00:00"/>
    <n v="4"/>
    <x v="0"/>
    <s v="Thomas Brumley"/>
    <x v="2"/>
    <m/>
    <s v="Los Angeles"/>
    <s v="California"/>
    <s v="West"/>
    <x v="0"/>
    <x v="5"/>
    <s v="Dax Clear Box Frame"/>
    <x v="4783"/>
    <n v="4"/>
    <n v="0"/>
    <n v="11.8728"/>
  </r>
  <r>
    <n v="7469"/>
    <x v="1114"/>
    <x v="2"/>
    <x v="8"/>
    <d v="2011-09-20T00:00:00"/>
    <n v="5"/>
    <x v="1"/>
    <s v="Alex Avila"/>
    <x v="0"/>
    <m/>
    <s v="New York City"/>
    <s v="New York"/>
    <s v="East"/>
    <x v="1"/>
    <x v="10"/>
    <s v="Staples"/>
    <x v="1801"/>
    <n v="3"/>
    <n v="0"/>
    <n v="7.0217999999999998"/>
  </r>
  <r>
    <n v="7470"/>
    <x v="1114"/>
    <x v="2"/>
    <x v="8"/>
    <d v="2011-09-20T00:00:00"/>
    <n v="5"/>
    <x v="1"/>
    <s v="Alex Avila"/>
    <x v="0"/>
    <m/>
    <s v="New York City"/>
    <s v="New York"/>
    <s v="East"/>
    <x v="0"/>
    <x v="5"/>
    <s v="Master Caster Door Stop, Large Neon Orange"/>
    <x v="58"/>
    <n v="2"/>
    <n v="0"/>
    <n v="6.2607999999999997"/>
  </r>
  <r>
    <n v="7471"/>
    <x v="426"/>
    <x v="1"/>
    <x v="8"/>
    <d v="2012-09-20T00:00:00"/>
    <n v="5"/>
    <x v="1"/>
    <s v="Ann Chong"/>
    <x v="1"/>
    <m/>
    <s v="Philadelphia"/>
    <s v="Pennsylvania"/>
    <s v="East"/>
    <x v="1"/>
    <x v="8"/>
    <s v="Avery Hidden Tab Dividers for Binding Systems"/>
    <x v="4784"/>
    <n v="4"/>
    <n v="0.7"/>
    <n v="-2.8607999999999998"/>
  </r>
  <r>
    <n v="7472"/>
    <x v="426"/>
    <x v="1"/>
    <x v="8"/>
    <d v="2012-09-20T00:00:00"/>
    <n v="5"/>
    <x v="1"/>
    <s v="Ann Chong"/>
    <x v="1"/>
    <m/>
    <s v="Philadelphia"/>
    <s v="Pennsylvania"/>
    <s v="East"/>
    <x v="1"/>
    <x v="4"/>
    <s v="Gould Plastics 18-Pocket Panel Bin, 34w x 5-1/4d x 20-1/2h"/>
    <x v="2706"/>
    <n v="2"/>
    <n v="0.2"/>
    <n v="-29.436800000000002"/>
  </r>
  <r>
    <n v="7473"/>
    <x v="949"/>
    <x v="0"/>
    <x v="7"/>
    <d v="2013-07-04T00:00:00"/>
    <n v="2"/>
    <x v="2"/>
    <s v="Eugene Moren"/>
    <x v="2"/>
    <m/>
    <s v="Lehi"/>
    <s v="Utah"/>
    <s v="West"/>
    <x v="2"/>
    <x v="16"/>
    <s v="Hewlett Packard 310 Color Digital Copier"/>
    <x v="4785"/>
    <n v="5"/>
    <n v="0"/>
    <n v="449.98500000000001"/>
  </r>
  <r>
    <n v="7474"/>
    <x v="342"/>
    <x v="0"/>
    <x v="3"/>
    <d v="2013-04-16T00:00:00"/>
    <n v="5"/>
    <x v="1"/>
    <s v="Quincy Jones"/>
    <x v="1"/>
    <m/>
    <s v="Chicago"/>
    <s v="Illinois"/>
    <s v="Central"/>
    <x v="1"/>
    <x v="6"/>
    <s v="BIC Brite Liner Grip Highlighters, Assorted, 5/Pack"/>
    <x v="4786"/>
    <n v="4"/>
    <n v="0.2"/>
    <n v="3.2223999999999999"/>
  </r>
  <r>
    <n v="7475"/>
    <x v="1037"/>
    <x v="2"/>
    <x v="9"/>
    <d v="2011-01-11T00:00:00"/>
    <n v="4"/>
    <x v="1"/>
    <s v="Maria Etezadi"/>
    <x v="2"/>
    <m/>
    <s v="Henderson"/>
    <s v="Kentucky"/>
    <s v="South"/>
    <x v="0"/>
    <x v="1"/>
    <s v="Global Deluxe High-Back Manager's Chair"/>
    <x v="4787"/>
    <n v="9"/>
    <n v="0"/>
    <n v="746.40779999999995"/>
  </r>
  <r>
    <n v="7476"/>
    <x v="1037"/>
    <x v="2"/>
    <x v="9"/>
    <d v="2011-01-11T00:00:00"/>
    <n v="4"/>
    <x v="1"/>
    <s v="Maria Etezadi"/>
    <x v="2"/>
    <m/>
    <s v="Henderson"/>
    <s v="Kentucky"/>
    <s v="South"/>
    <x v="1"/>
    <x v="8"/>
    <s v="Ibico Hi-Tech Manual Binding System"/>
    <x v="4788"/>
    <n v="2"/>
    <n v="0"/>
    <n v="274.49099999999999"/>
  </r>
  <r>
    <n v="7477"/>
    <x v="1037"/>
    <x v="2"/>
    <x v="9"/>
    <d v="2011-01-11T00:00:00"/>
    <n v="4"/>
    <x v="1"/>
    <s v="Maria Etezadi"/>
    <x v="2"/>
    <m/>
    <s v="Henderson"/>
    <s v="Kentucky"/>
    <s v="South"/>
    <x v="1"/>
    <x v="6"/>
    <s v="Rogers Handheld Barrel Pencil Sharpener"/>
    <x v="4789"/>
    <n v="2"/>
    <n v="0"/>
    <n v="1.4796"/>
  </r>
  <r>
    <n v="7478"/>
    <x v="1037"/>
    <x v="2"/>
    <x v="9"/>
    <d v="2011-01-11T00:00:00"/>
    <n v="4"/>
    <x v="1"/>
    <s v="Maria Etezadi"/>
    <x v="2"/>
    <m/>
    <s v="Henderson"/>
    <s v="Kentucky"/>
    <s v="South"/>
    <x v="2"/>
    <x v="7"/>
    <s v="GE 30524EE4"/>
    <x v="3627"/>
    <n v="2"/>
    <n v="0"/>
    <n v="113.6742"/>
  </r>
  <r>
    <n v="7479"/>
    <x v="1037"/>
    <x v="2"/>
    <x v="9"/>
    <d v="2011-01-11T00:00:00"/>
    <n v="4"/>
    <x v="1"/>
    <s v="Maria Etezadi"/>
    <x v="2"/>
    <m/>
    <s v="Henderson"/>
    <s v="Kentucky"/>
    <s v="South"/>
    <x v="2"/>
    <x v="7"/>
    <s v="Wireless Extenders zBoost YX545 SOHO Signal Booster"/>
    <x v="4790"/>
    <n v="4"/>
    <n v="0"/>
    <n v="204.10919999999999"/>
  </r>
  <r>
    <n v="7480"/>
    <x v="1037"/>
    <x v="2"/>
    <x v="9"/>
    <d v="2011-01-11T00:00:00"/>
    <n v="4"/>
    <x v="1"/>
    <s v="Maria Etezadi"/>
    <x v="2"/>
    <m/>
    <s v="Henderson"/>
    <s v="Kentucky"/>
    <s v="South"/>
    <x v="1"/>
    <x v="13"/>
    <s v="Alliance Super-Size Bands, Assorted Sizes"/>
    <x v="4791"/>
    <n v="4"/>
    <n v="0"/>
    <n v="0.31119999999999998"/>
  </r>
  <r>
    <n v="7481"/>
    <x v="1037"/>
    <x v="2"/>
    <x v="9"/>
    <d v="2011-01-11T00:00:00"/>
    <n v="4"/>
    <x v="1"/>
    <s v="Maria Etezadi"/>
    <x v="2"/>
    <m/>
    <s v="Henderson"/>
    <s v="Kentucky"/>
    <s v="South"/>
    <x v="1"/>
    <x v="10"/>
    <s v="Southworth 25% Cotton Granite Paper &amp; Envelopes"/>
    <x v="2571"/>
    <n v="1"/>
    <n v="0"/>
    <n v="3.0084"/>
  </r>
  <r>
    <n v="7482"/>
    <x v="142"/>
    <x v="0"/>
    <x v="8"/>
    <d v="2013-09-04T00:00:00"/>
    <n v="2"/>
    <x v="0"/>
    <s v="Laurel Beltran"/>
    <x v="2"/>
    <m/>
    <s v="Huntington Beach"/>
    <s v="California"/>
    <s v="West"/>
    <x v="1"/>
    <x v="12"/>
    <s v="Globe Weis Peel &amp; Seel First Class Envelopes"/>
    <x v="4639"/>
    <n v="1"/>
    <n v="0"/>
    <n v="5.7510000000000003"/>
  </r>
  <r>
    <n v="7483"/>
    <x v="865"/>
    <x v="2"/>
    <x v="8"/>
    <d v="2011-09-30T00:00:00"/>
    <n v="7"/>
    <x v="1"/>
    <s v="Julie Prescott"/>
    <x v="2"/>
    <m/>
    <s v="New York City"/>
    <s v="New York"/>
    <s v="East"/>
    <x v="1"/>
    <x v="8"/>
    <s v="Avery Binding System Hidden Tab Executive Style Index Sets"/>
    <x v="4792"/>
    <n v="4"/>
    <n v="0.2"/>
    <n v="6.9240000000000004"/>
  </r>
  <r>
    <n v="7484"/>
    <x v="534"/>
    <x v="2"/>
    <x v="4"/>
    <d v="2011-12-17T00:00:00"/>
    <n v="2"/>
    <x v="0"/>
    <s v="Ed Braxton"/>
    <x v="1"/>
    <m/>
    <s v="Philadelphia"/>
    <s v="Pennsylvania"/>
    <s v="East"/>
    <x v="0"/>
    <x v="1"/>
    <s v="Global Wood Trimmed Manager's Task Chair, Khaki"/>
    <x v="4793"/>
    <n v="7"/>
    <n v="0.3"/>
    <n v="-108.2662"/>
  </r>
  <r>
    <n v="7485"/>
    <x v="116"/>
    <x v="3"/>
    <x v="4"/>
    <d v="2015-01-03T00:00:00"/>
    <n v="5"/>
    <x v="1"/>
    <s v="Christopher Schild"/>
    <x v="2"/>
    <m/>
    <s v="Fargo"/>
    <s v="North Dakota"/>
    <s v="Central"/>
    <x v="1"/>
    <x v="6"/>
    <s v="Staples"/>
    <x v="4538"/>
    <n v="1"/>
    <n v="0"/>
    <n v="0.86799999999999999"/>
  </r>
  <r>
    <n v="7486"/>
    <x v="116"/>
    <x v="3"/>
    <x v="4"/>
    <d v="2015-01-03T00:00:00"/>
    <n v="5"/>
    <x v="1"/>
    <s v="Christopher Schild"/>
    <x v="2"/>
    <m/>
    <s v="Fargo"/>
    <s v="North Dakota"/>
    <s v="Central"/>
    <x v="1"/>
    <x v="8"/>
    <s v="Wilson Jones Impact Binders"/>
    <x v="4063"/>
    <n v="5"/>
    <n v="0"/>
    <n v="12.691000000000001"/>
  </r>
  <r>
    <n v="7487"/>
    <x v="546"/>
    <x v="1"/>
    <x v="4"/>
    <d v="2012-12-24T00:00:00"/>
    <n v="5"/>
    <x v="0"/>
    <s v="Peter McVee"/>
    <x v="2"/>
    <m/>
    <s v="Dover"/>
    <s v="New Hampshire"/>
    <s v="East"/>
    <x v="1"/>
    <x v="10"/>
    <s v="Xerox 1903"/>
    <x v="2680"/>
    <n v="5"/>
    <n v="0"/>
    <n v="14.651"/>
  </r>
  <r>
    <n v="7488"/>
    <x v="546"/>
    <x v="1"/>
    <x v="4"/>
    <d v="2012-12-24T00:00:00"/>
    <n v="5"/>
    <x v="0"/>
    <s v="Peter McVee"/>
    <x v="2"/>
    <m/>
    <s v="Dover"/>
    <s v="New Hampshire"/>
    <s v="East"/>
    <x v="2"/>
    <x v="11"/>
    <s v="Logitech diNovo Edge Keyboard"/>
    <x v="3522"/>
    <n v="9"/>
    <n v="0"/>
    <n v="517.47929999999997"/>
  </r>
  <r>
    <n v="7489"/>
    <x v="546"/>
    <x v="1"/>
    <x v="4"/>
    <d v="2012-12-24T00:00:00"/>
    <n v="5"/>
    <x v="0"/>
    <s v="Peter McVee"/>
    <x v="2"/>
    <m/>
    <s v="Dover"/>
    <s v="New Hampshire"/>
    <s v="East"/>
    <x v="0"/>
    <x v="3"/>
    <s v="Bretford Rectangular Conference Table Tops"/>
    <x v="4794"/>
    <n v="4"/>
    <n v="0.3"/>
    <n v="-105.3164"/>
  </r>
  <r>
    <n v="7490"/>
    <x v="60"/>
    <x v="3"/>
    <x v="0"/>
    <d v="2014-11-10T00:00:00"/>
    <n v="4"/>
    <x v="1"/>
    <s v="Anna Andreadi"/>
    <x v="0"/>
    <m/>
    <s v="San Diego"/>
    <s v="California"/>
    <s v="West"/>
    <x v="1"/>
    <x v="10"/>
    <s v="Xerox 1996"/>
    <x v="91"/>
    <n v="2"/>
    <n v="0"/>
    <n v="6.2207999999999997"/>
  </r>
  <r>
    <n v="7491"/>
    <x v="229"/>
    <x v="1"/>
    <x v="8"/>
    <d v="2012-09-16T00:00:00"/>
    <n v="6"/>
    <x v="1"/>
    <s v="Frank Atkinson"/>
    <x v="1"/>
    <m/>
    <s v="Los Angeles"/>
    <s v="California"/>
    <s v="West"/>
    <x v="0"/>
    <x v="5"/>
    <s v="Seth Thomas 13 1/2&quot; Wall Clock"/>
    <x v="4795"/>
    <n v="6"/>
    <n v="0"/>
    <n v="33.070799999999998"/>
  </r>
  <r>
    <n v="7492"/>
    <x v="673"/>
    <x v="3"/>
    <x v="0"/>
    <d v="2014-11-17T00:00:00"/>
    <n v="0"/>
    <x v="3"/>
    <s v="Charlotte Melton"/>
    <x v="0"/>
    <m/>
    <s v="Utica"/>
    <s v="New York"/>
    <s v="East"/>
    <x v="2"/>
    <x v="7"/>
    <s v="iOttie HLCRIO102 Car Mount"/>
    <x v="580"/>
    <n v="6"/>
    <n v="0"/>
    <n v="5.9969999999999999"/>
  </r>
  <r>
    <n v="7493"/>
    <x v="220"/>
    <x v="3"/>
    <x v="8"/>
    <d v="2014-09-17T00:00:00"/>
    <n v="5"/>
    <x v="1"/>
    <s v="Cindy Chapman"/>
    <x v="0"/>
    <m/>
    <s v="Houston"/>
    <s v="Texas"/>
    <s v="Central"/>
    <x v="1"/>
    <x v="10"/>
    <s v="Xerox 1953"/>
    <x v="1495"/>
    <n v="3"/>
    <n v="0.2"/>
    <n v="3.21"/>
  </r>
  <r>
    <n v="7494"/>
    <x v="220"/>
    <x v="3"/>
    <x v="8"/>
    <d v="2014-09-17T00:00:00"/>
    <n v="5"/>
    <x v="1"/>
    <s v="Cindy Chapman"/>
    <x v="0"/>
    <m/>
    <s v="Houston"/>
    <s v="Texas"/>
    <s v="Central"/>
    <x v="0"/>
    <x v="3"/>
    <s v="Bevis Round Conference Table Top &amp; Single Column Base"/>
    <x v="4796"/>
    <n v="5"/>
    <n v="0.3"/>
    <n v="-65.852999999999994"/>
  </r>
  <r>
    <n v="7495"/>
    <x v="220"/>
    <x v="3"/>
    <x v="8"/>
    <d v="2014-09-17T00:00:00"/>
    <n v="5"/>
    <x v="1"/>
    <s v="Cindy Chapman"/>
    <x v="0"/>
    <m/>
    <s v="Houston"/>
    <s v="Texas"/>
    <s v="Central"/>
    <x v="1"/>
    <x v="9"/>
    <s v="Commercial WindTunnel Clean Air Upright Vacuum, Replacement Belts, Filtration Bags"/>
    <x v="4797"/>
    <n v="2"/>
    <n v="0.8"/>
    <n v="-4.2012"/>
  </r>
  <r>
    <n v="7496"/>
    <x v="1163"/>
    <x v="3"/>
    <x v="7"/>
    <d v="2014-07-19T00:00:00"/>
    <n v="4"/>
    <x v="1"/>
    <s v="Toby Carlisle"/>
    <x v="0"/>
    <m/>
    <s v="Westminster"/>
    <s v="California"/>
    <s v="West"/>
    <x v="1"/>
    <x v="8"/>
    <s v="Acco Suede Grain Vinyl Round Ring Binder"/>
    <x v="2999"/>
    <n v="2"/>
    <n v="0.2"/>
    <n v="1.4456"/>
  </r>
  <r>
    <n v="7497"/>
    <x v="1163"/>
    <x v="3"/>
    <x v="7"/>
    <d v="2014-07-19T00:00:00"/>
    <n v="4"/>
    <x v="1"/>
    <s v="Toby Carlisle"/>
    <x v="0"/>
    <m/>
    <s v="Westminster"/>
    <s v="California"/>
    <s v="West"/>
    <x v="0"/>
    <x v="5"/>
    <s v="Deflect-o RollaMat Studded, Beveled Mat for Medium Pile Carpeting"/>
    <x v="3057"/>
    <n v="3"/>
    <n v="0"/>
    <n v="49.804200000000002"/>
  </r>
  <r>
    <n v="7498"/>
    <x v="1163"/>
    <x v="3"/>
    <x v="7"/>
    <d v="2014-07-19T00:00:00"/>
    <n v="4"/>
    <x v="1"/>
    <s v="Toby Carlisle"/>
    <x v="0"/>
    <m/>
    <s v="Westminster"/>
    <s v="California"/>
    <s v="West"/>
    <x v="1"/>
    <x v="13"/>
    <s v="OIC Binder Clips, Mini, 1/4&quot; Capacity, Black"/>
    <x v="325"/>
    <n v="4"/>
    <n v="0"/>
    <n v="2.3311999999999999"/>
  </r>
  <r>
    <n v="7499"/>
    <x v="1163"/>
    <x v="3"/>
    <x v="7"/>
    <d v="2014-07-19T00:00:00"/>
    <n v="4"/>
    <x v="1"/>
    <s v="Toby Carlisle"/>
    <x v="0"/>
    <m/>
    <s v="Westminster"/>
    <s v="California"/>
    <s v="West"/>
    <x v="1"/>
    <x v="6"/>
    <s v="BOSTON Model 1800 Electric Pencil Sharpeners, Putty/Woodgrain"/>
    <x v="4798"/>
    <n v="4"/>
    <n v="0"/>
    <n v="20.8568"/>
  </r>
  <r>
    <n v="7500"/>
    <x v="1163"/>
    <x v="3"/>
    <x v="7"/>
    <d v="2014-07-19T00:00:00"/>
    <n v="4"/>
    <x v="1"/>
    <s v="Toby Carlisle"/>
    <x v="0"/>
    <m/>
    <s v="Westminster"/>
    <s v="California"/>
    <s v="West"/>
    <x v="0"/>
    <x v="5"/>
    <s v="Eldon 200 Class Desk Accessories, Burgundy"/>
    <x v="605"/>
    <n v="3"/>
    <n v="0"/>
    <n v="7.9127999999999998"/>
  </r>
  <r>
    <n v="7501"/>
    <x v="1163"/>
    <x v="3"/>
    <x v="7"/>
    <d v="2014-07-19T00:00:00"/>
    <n v="4"/>
    <x v="1"/>
    <s v="Toby Carlisle"/>
    <x v="0"/>
    <m/>
    <s v="Westminster"/>
    <s v="California"/>
    <s v="West"/>
    <x v="2"/>
    <x v="11"/>
    <s v="Sony Micro Vault Click 8 GB USB 2.0 Flash Drive"/>
    <x v="4799"/>
    <n v="3"/>
    <n v="0"/>
    <n v="19.735800000000001"/>
  </r>
  <r>
    <n v="7502"/>
    <x v="1163"/>
    <x v="3"/>
    <x v="7"/>
    <d v="2014-07-19T00:00:00"/>
    <n v="4"/>
    <x v="1"/>
    <s v="Toby Carlisle"/>
    <x v="0"/>
    <m/>
    <s v="Westminster"/>
    <s v="California"/>
    <s v="West"/>
    <x v="2"/>
    <x v="7"/>
    <s v="GE 30524EE4"/>
    <x v="549"/>
    <n v="3"/>
    <n v="0.2"/>
    <n v="52.917299999999997"/>
  </r>
  <r>
    <n v="7503"/>
    <x v="983"/>
    <x v="3"/>
    <x v="10"/>
    <d v="2014-03-31T00:00:00"/>
    <n v="0"/>
    <x v="3"/>
    <s v="Tom Boeckenhauer"/>
    <x v="0"/>
    <m/>
    <s v="Los Angeles"/>
    <s v="California"/>
    <s v="West"/>
    <x v="1"/>
    <x v="6"/>
    <s v="Manco Dry-Lighter Erasable Highlighter"/>
    <x v="2351"/>
    <n v="2"/>
    <n v="0"/>
    <n v="2.0672000000000001"/>
  </r>
  <r>
    <n v="7504"/>
    <x v="983"/>
    <x v="3"/>
    <x v="10"/>
    <d v="2014-03-31T00:00:00"/>
    <n v="0"/>
    <x v="3"/>
    <s v="Tom Boeckenhauer"/>
    <x v="0"/>
    <m/>
    <s v="Los Angeles"/>
    <s v="California"/>
    <s v="West"/>
    <x v="2"/>
    <x v="7"/>
    <s v="AT&amp;T CL83451 4-Handset Telephone"/>
    <x v="4800"/>
    <n v="1"/>
    <n v="0.2"/>
    <n v="18.539100000000001"/>
  </r>
  <r>
    <n v="7505"/>
    <x v="1011"/>
    <x v="0"/>
    <x v="9"/>
    <d v="2013-02-04T00:00:00"/>
    <n v="4"/>
    <x v="0"/>
    <s v="Jason Klamczynski"/>
    <x v="1"/>
    <m/>
    <s v="Atlantic City"/>
    <s v="New Jersey"/>
    <s v="East"/>
    <x v="1"/>
    <x v="12"/>
    <s v="Staples"/>
    <x v="368"/>
    <n v="2"/>
    <n v="0"/>
    <n v="11.68"/>
  </r>
  <r>
    <n v="7506"/>
    <x v="110"/>
    <x v="3"/>
    <x v="1"/>
    <d v="2014-06-14T00:00:00"/>
    <n v="5"/>
    <x v="1"/>
    <s v="Ben Wallace"/>
    <x v="0"/>
    <m/>
    <s v="Skokie"/>
    <s v="Illinois"/>
    <s v="Central"/>
    <x v="1"/>
    <x v="8"/>
    <s v="GBC Twin Loop Wire Binding Elements, 9/16&quot; Spine, Black"/>
    <x v="359"/>
    <n v="4"/>
    <n v="0.8"/>
    <n v="-18.872800000000002"/>
  </r>
  <r>
    <n v="7507"/>
    <x v="981"/>
    <x v="2"/>
    <x v="0"/>
    <d v="2011-11-06T00:00:00"/>
    <n v="4"/>
    <x v="1"/>
    <s v="Shahid Hopkins"/>
    <x v="0"/>
    <m/>
    <s v="San Francisco"/>
    <s v="California"/>
    <s v="West"/>
    <x v="2"/>
    <x v="7"/>
    <s v="AT&amp;T CL82213"/>
    <x v="1925"/>
    <n v="2"/>
    <n v="0.2"/>
    <n v="5.2182000000000004"/>
  </r>
  <r>
    <n v="7508"/>
    <x v="981"/>
    <x v="2"/>
    <x v="0"/>
    <d v="2011-11-06T00:00:00"/>
    <n v="4"/>
    <x v="1"/>
    <s v="Shahid Hopkins"/>
    <x v="0"/>
    <m/>
    <s v="San Francisco"/>
    <s v="California"/>
    <s v="West"/>
    <x v="1"/>
    <x v="4"/>
    <s v="Adjustable Depth Letter/Legal Cart"/>
    <x v="971"/>
    <n v="2"/>
    <n v="0"/>
    <n v="105.24679999999999"/>
  </r>
  <r>
    <n v="7509"/>
    <x v="1163"/>
    <x v="3"/>
    <x v="7"/>
    <d v="2014-07-19T00:00:00"/>
    <n v="4"/>
    <x v="1"/>
    <s v="John Lee"/>
    <x v="0"/>
    <m/>
    <s v="Columbus"/>
    <s v="Ohio"/>
    <s v="East"/>
    <x v="1"/>
    <x v="10"/>
    <s v="Xerox 1950"/>
    <x v="4579"/>
    <n v="2"/>
    <n v="0.2"/>
    <n v="3.3523999999999998"/>
  </r>
  <r>
    <n v="7510"/>
    <x v="1163"/>
    <x v="3"/>
    <x v="7"/>
    <d v="2014-07-19T00:00:00"/>
    <n v="4"/>
    <x v="1"/>
    <s v="John Lee"/>
    <x v="0"/>
    <m/>
    <s v="Columbus"/>
    <s v="Ohio"/>
    <s v="East"/>
    <x v="2"/>
    <x v="7"/>
    <s v="Samsung Galaxy S III - 16GB - pebble blue (T-Mobile)"/>
    <x v="4801"/>
    <n v="9"/>
    <n v="0.4"/>
    <n v="-377.98919999999998"/>
  </r>
  <r>
    <n v="7511"/>
    <x v="1163"/>
    <x v="3"/>
    <x v="7"/>
    <d v="2014-07-19T00:00:00"/>
    <n v="4"/>
    <x v="1"/>
    <s v="John Lee"/>
    <x v="0"/>
    <m/>
    <s v="Columbus"/>
    <s v="Ohio"/>
    <s v="East"/>
    <x v="1"/>
    <x v="4"/>
    <s v="Tenex File Box, Personal Filing Tote with Lid, Black"/>
    <x v="4495"/>
    <n v="5"/>
    <n v="0.2"/>
    <n v="4.6529999999999996"/>
  </r>
  <r>
    <n v="7512"/>
    <x v="1163"/>
    <x v="3"/>
    <x v="7"/>
    <d v="2014-07-19T00:00:00"/>
    <n v="4"/>
    <x v="1"/>
    <s v="John Lee"/>
    <x v="0"/>
    <m/>
    <s v="Columbus"/>
    <s v="Ohio"/>
    <s v="East"/>
    <x v="0"/>
    <x v="5"/>
    <s v="GE 48&quot; Fluorescent Tube, Cool White Energy Saver, 34 Watts, 30/Box"/>
    <x v="4279"/>
    <n v="5"/>
    <n v="0.2"/>
    <n v="148.845"/>
  </r>
  <r>
    <n v="7513"/>
    <x v="1163"/>
    <x v="3"/>
    <x v="7"/>
    <d v="2014-07-19T00:00:00"/>
    <n v="4"/>
    <x v="1"/>
    <s v="John Lee"/>
    <x v="0"/>
    <m/>
    <s v="Columbus"/>
    <s v="Ohio"/>
    <s v="East"/>
    <x v="1"/>
    <x v="4"/>
    <s v="SAFCO Mobile Desk Side File, Wire Frame"/>
    <x v="4802"/>
    <n v="7"/>
    <n v="0.2"/>
    <n v="17.959199999999999"/>
  </r>
  <r>
    <n v="7514"/>
    <x v="1163"/>
    <x v="3"/>
    <x v="7"/>
    <d v="2014-07-19T00:00:00"/>
    <n v="4"/>
    <x v="1"/>
    <s v="John Lee"/>
    <x v="0"/>
    <m/>
    <s v="Columbus"/>
    <s v="Ohio"/>
    <s v="East"/>
    <x v="1"/>
    <x v="6"/>
    <s v="Crayola Colored Pencils"/>
    <x v="1317"/>
    <n v="5"/>
    <n v="0.2"/>
    <n v="2.1320000000000001"/>
  </r>
  <r>
    <n v="7515"/>
    <x v="34"/>
    <x v="3"/>
    <x v="4"/>
    <d v="2014-12-13T00:00:00"/>
    <n v="3"/>
    <x v="0"/>
    <s v="John Lee"/>
    <x v="0"/>
    <m/>
    <s v="Richmond"/>
    <s v="Kentucky"/>
    <s v="South"/>
    <x v="1"/>
    <x v="8"/>
    <s v="XtraLife ClearVue Slant-D Ring Binder, White, 3&quot;"/>
    <x v="4803"/>
    <n v="2"/>
    <n v="0"/>
    <n v="13.505599999999999"/>
  </r>
  <r>
    <n v="7516"/>
    <x v="34"/>
    <x v="3"/>
    <x v="4"/>
    <d v="2014-12-13T00:00:00"/>
    <n v="3"/>
    <x v="0"/>
    <s v="John Lee"/>
    <x v="0"/>
    <m/>
    <s v="Richmond"/>
    <s v="Kentucky"/>
    <s v="South"/>
    <x v="1"/>
    <x v="9"/>
    <s v="Belkin F9M820V08 8 Outlet Surge"/>
    <x v="4804"/>
    <n v="5"/>
    <n v="0"/>
    <n v="62.320999999999998"/>
  </r>
  <r>
    <n v="7517"/>
    <x v="34"/>
    <x v="3"/>
    <x v="4"/>
    <d v="2014-12-13T00:00:00"/>
    <n v="3"/>
    <x v="0"/>
    <s v="John Lee"/>
    <x v="0"/>
    <m/>
    <s v="Richmond"/>
    <s v="Kentucky"/>
    <s v="South"/>
    <x v="1"/>
    <x v="8"/>
    <s v="Avery Durable Slant Ring Binders, No Labels"/>
    <x v="204"/>
    <n v="4"/>
    <n v="0"/>
    <n v="7.4824000000000002"/>
  </r>
  <r>
    <n v="7518"/>
    <x v="34"/>
    <x v="3"/>
    <x v="4"/>
    <d v="2014-12-13T00:00:00"/>
    <n v="3"/>
    <x v="0"/>
    <s v="John Lee"/>
    <x v="0"/>
    <m/>
    <s v="Richmond"/>
    <s v="Kentucky"/>
    <s v="South"/>
    <x v="2"/>
    <x v="11"/>
    <s v="Logitech ClearChat Comfort/USB Headset H390"/>
    <x v="4805"/>
    <n v="5"/>
    <n v="0"/>
    <n v="48.328499999999998"/>
  </r>
  <r>
    <n v="7519"/>
    <x v="34"/>
    <x v="3"/>
    <x v="4"/>
    <d v="2014-12-13T00:00:00"/>
    <n v="3"/>
    <x v="0"/>
    <s v="John Lee"/>
    <x v="0"/>
    <m/>
    <s v="Richmond"/>
    <s v="Kentucky"/>
    <s v="South"/>
    <x v="1"/>
    <x v="4"/>
    <s v="Eldon Gobal File Keepers"/>
    <x v="4806"/>
    <n v="1"/>
    <n v="0"/>
    <n v="0.60560000000000003"/>
  </r>
  <r>
    <n v="7520"/>
    <x v="34"/>
    <x v="3"/>
    <x v="4"/>
    <d v="2014-12-13T00:00:00"/>
    <n v="3"/>
    <x v="0"/>
    <s v="John Lee"/>
    <x v="0"/>
    <m/>
    <s v="Richmond"/>
    <s v="Kentucky"/>
    <s v="South"/>
    <x v="1"/>
    <x v="2"/>
    <s v="Avery 492"/>
    <x v="1755"/>
    <n v="2"/>
    <n v="0"/>
    <n v="2.6496"/>
  </r>
  <r>
    <n v="7521"/>
    <x v="34"/>
    <x v="3"/>
    <x v="4"/>
    <d v="2014-12-13T00:00:00"/>
    <n v="3"/>
    <x v="0"/>
    <s v="John Lee"/>
    <x v="0"/>
    <m/>
    <s v="Richmond"/>
    <s v="Kentucky"/>
    <s v="South"/>
    <x v="2"/>
    <x v="16"/>
    <s v="Canon Imageclass D680 Copier / Fax"/>
    <x v="4807"/>
    <n v="2"/>
    <n v="0"/>
    <n v="629.99099999999999"/>
  </r>
  <r>
    <n v="7522"/>
    <x v="64"/>
    <x v="0"/>
    <x v="8"/>
    <d v="2013-09-12T00:00:00"/>
    <n v="6"/>
    <x v="1"/>
    <s v="Maribeth Dona"/>
    <x v="0"/>
    <m/>
    <s v="Lancaster"/>
    <s v="Ohio"/>
    <s v="East"/>
    <x v="1"/>
    <x v="8"/>
    <s v="Recycled Easel Ring Binders"/>
    <x v="4808"/>
    <n v="2"/>
    <n v="0.7"/>
    <n v="-7.46"/>
  </r>
  <r>
    <n v="7523"/>
    <x v="64"/>
    <x v="0"/>
    <x v="8"/>
    <d v="2013-09-12T00:00:00"/>
    <n v="6"/>
    <x v="1"/>
    <s v="Maribeth Dona"/>
    <x v="0"/>
    <m/>
    <s v="Lancaster"/>
    <s v="Ohio"/>
    <s v="East"/>
    <x v="1"/>
    <x v="8"/>
    <s v="Pressboard Hanging Data Binders for Unburst Sheets"/>
    <x v="3096"/>
    <n v="6"/>
    <n v="0.7"/>
    <n v="-6.4943999999999997"/>
  </r>
  <r>
    <n v="7524"/>
    <x v="64"/>
    <x v="0"/>
    <x v="8"/>
    <d v="2013-09-12T00:00:00"/>
    <n v="6"/>
    <x v="1"/>
    <s v="Maribeth Dona"/>
    <x v="0"/>
    <m/>
    <s v="Lancaster"/>
    <s v="Ohio"/>
    <s v="East"/>
    <x v="0"/>
    <x v="1"/>
    <s v="Global Push Button Manager's Chair, Indigo"/>
    <x v="4763"/>
    <n v="2"/>
    <n v="0.3"/>
    <n v="-1.2178"/>
  </r>
  <r>
    <n v="7525"/>
    <x v="1076"/>
    <x v="2"/>
    <x v="8"/>
    <d v="2011-09-16T00:00:00"/>
    <n v="6"/>
    <x v="1"/>
    <s v="Clay Ludtke"/>
    <x v="0"/>
    <m/>
    <s v="Gresham"/>
    <s v="Oregon"/>
    <s v="West"/>
    <x v="1"/>
    <x v="12"/>
    <s v="Peel &amp; Seel Envelopes"/>
    <x v="4809"/>
    <n v="7"/>
    <n v="0.2"/>
    <n v="7.6048"/>
  </r>
  <r>
    <n v="7526"/>
    <x v="1076"/>
    <x v="2"/>
    <x v="8"/>
    <d v="2011-09-16T00:00:00"/>
    <n v="6"/>
    <x v="1"/>
    <s v="Clay Ludtke"/>
    <x v="0"/>
    <m/>
    <s v="Gresham"/>
    <s v="Oregon"/>
    <s v="West"/>
    <x v="0"/>
    <x v="1"/>
    <s v="GuestStacker Chair with Chrome Finish Legs"/>
    <x v="3241"/>
    <n v="5"/>
    <n v="0.2"/>
    <n v="148.70400000000001"/>
  </r>
  <r>
    <n v="7527"/>
    <x v="986"/>
    <x v="3"/>
    <x v="8"/>
    <d v="2014-09-27T00:00:00"/>
    <n v="0"/>
    <x v="3"/>
    <s v="Ruben Ausman"/>
    <x v="1"/>
    <m/>
    <s v="San Francisco"/>
    <s v="California"/>
    <s v="West"/>
    <x v="1"/>
    <x v="12"/>
    <s v="Staples"/>
    <x v="3242"/>
    <n v="6"/>
    <n v="0"/>
    <n v="33.064799999999998"/>
  </r>
  <r>
    <n v="7528"/>
    <x v="986"/>
    <x v="3"/>
    <x v="8"/>
    <d v="2014-09-27T00:00:00"/>
    <n v="0"/>
    <x v="3"/>
    <s v="Ruben Ausman"/>
    <x v="1"/>
    <m/>
    <s v="San Francisco"/>
    <s v="California"/>
    <s v="West"/>
    <x v="0"/>
    <x v="5"/>
    <s v="Stackable Trays"/>
    <x v="354"/>
    <n v="3"/>
    <n v="0"/>
    <n v="2.9567999999999999"/>
  </r>
  <r>
    <n v="7529"/>
    <x v="986"/>
    <x v="3"/>
    <x v="8"/>
    <d v="2014-09-27T00:00:00"/>
    <n v="0"/>
    <x v="3"/>
    <s v="Ruben Ausman"/>
    <x v="1"/>
    <m/>
    <s v="San Francisco"/>
    <s v="California"/>
    <s v="West"/>
    <x v="1"/>
    <x v="10"/>
    <s v="Xerox 1895"/>
    <x v="1197"/>
    <n v="6"/>
    <n v="0"/>
    <n v="16.146000000000001"/>
  </r>
  <r>
    <n v="7530"/>
    <x v="986"/>
    <x v="3"/>
    <x v="8"/>
    <d v="2014-09-27T00:00:00"/>
    <n v="0"/>
    <x v="3"/>
    <s v="Ruben Ausman"/>
    <x v="1"/>
    <m/>
    <s v="San Francisco"/>
    <s v="California"/>
    <s v="West"/>
    <x v="1"/>
    <x v="8"/>
    <s v="Wilson Jones Hanging View Binder, White, 1&quot;"/>
    <x v="339"/>
    <n v="3"/>
    <n v="0.2"/>
    <n v="5.5380000000000003"/>
  </r>
  <r>
    <n v="7531"/>
    <x v="986"/>
    <x v="3"/>
    <x v="8"/>
    <d v="2014-09-27T00:00:00"/>
    <n v="0"/>
    <x v="3"/>
    <s v="Ruben Ausman"/>
    <x v="1"/>
    <m/>
    <s v="San Francisco"/>
    <s v="California"/>
    <s v="West"/>
    <x v="1"/>
    <x v="8"/>
    <s v="Fellowes PB300 Plastic Comb Binding Machine"/>
    <x v="2537"/>
    <n v="3"/>
    <n v="0.2"/>
    <n v="314.27190000000002"/>
  </r>
  <r>
    <n v="7532"/>
    <x v="26"/>
    <x v="0"/>
    <x v="1"/>
    <d v="2013-06-20T00:00:00"/>
    <n v="2"/>
    <x v="2"/>
    <s v="Lena Creighton"/>
    <x v="0"/>
    <m/>
    <s v="Longmont"/>
    <s v="Colorado"/>
    <s v="West"/>
    <x v="0"/>
    <x v="5"/>
    <s v="Rubbermaid ClusterMat Chairmats, Mat Size- 66&quot; x 60&quot;, Lip 20&quot; x 11&quot; -90 Degree Angle"/>
    <x v="4429"/>
    <n v="3"/>
    <n v="0.2"/>
    <n v="-13.317600000000001"/>
  </r>
  <r>
    <n v="7533"/>
    <x v="26"/>
    <x v="0"/>
    <x v="1"/>
    <d v="2013-06-20T00:00:00"/>
    <n v="2"/>
    <x v="2"/>
    <s v="Lena Creighton"/>
    <x v="0"/>
    <m/>
    <s v="Longmont"/>
    <s v="Colorado"/>
    <s v="West"/>
    <x v="0"/>
    <x v="1"/>
    <s v="Global Manager's Adjustable Task Chair, Storm"/>
    <x v="4810"/>
    <n v="4"/>
    <n v="0.2"/>
    <n v="54.352800000000002"/>
  </r>
  <r>
    <n v="7534"/>
    <x v="906"/>
    <x v="3"/>
    <x v="11"/>
    <d v="2014-03-02T00:00:00"/>
    <n v="4"/>
    <x v="1"/>
    <s v="Scot Wooten"/>
    <x v="0"/>
    <m/>
    <s v="Greenville"/>
    <s v="North Carolina"/>
    <s v="South"/>
    <x v="0"/>
    <x v="1"/>
    <s v="Global High-Back Leather Tilter, Burgundy"/>
    <x v="3174"/>
    <n v="2"/>
    <n v="0.2"/>
    <n v="-22.138200000000001"/>
  </r>
  <r>
    <n v="7535"/>
    <x v="906"/>
    <x v="3"/>
    <x v="11"/>
    <d v="2014-03-02T00:00:00"/>
    <n v="4"/>
    <x v="1"/>
    <s v="Scot Wooten"/>
    <x v="0"/>
    <m/>
    <s v="Greenville"/>
    <s v="North Carolina"/>
    <s v="South"/>
    <x v="0"/>
    <x v="0"/>
    <s v="Bush Westfield Collection Bookcases, Medium Cherry Finish"/>
    <x v="3027"/>
    <n v="5"/>
    <n v="0.2"/>
    <n v="5.798"/>
  </r>
  <r>
    <n v="7536"/>
    <x v="185"/>
    <x v="3"/>
    <x v="3"/>
    <d v="2014-04-08T00:00:00"/>
    <n v="7"/>
    <x v="1"/>
    <s v="Henry Goldwyn"/>
    <x v="1"/>
    <m/>
    <s v="Los Angeles"/>
    <s v="California"/>
    <s v="West"/>
    <x v="1"/>
    <x v="14"/>
    <s v="Acme Tagit Stainless Steel Antibacterial Scissors"/>
    <x v="1271"/>
    <n v="3"/>
    <n v="0"/>
    <n v="8.0190000000000001"/>
  </r>
  <r>
    <n v="7537"/>
    <x v="734"/>
    <x v="3"/>
    <x v="4"/>
    <d v="2014-12-09T00:00:00"/>
    <n v="5"/>
    <x v="1"/>
    <s v="Mark Van Huff"/>
    <x v="0"/>
    <m/>
    <s v="Houston"/>
    <s v="Texas"/>
    <s v="Central"/>
    <x v="0"/>
    <x v="5"/>
    <s v="Tensor Brushed Steel Torchiere Floor Lamp"/>
    <x v="4754"/>
    <n v="2"/>
    <n v="0.6"/>
    <n v="-14.271599999999999"/>
  </r>
  <r>
    <n v="7538"/>
    <x v="317"/>
    <x v="0"/>
    <x v="11"/>
    <d v="2013-02-22T00:00:00"/>
    <n v="3"/>
    <x v="0"/>
    <s v="Greg Tran"/>
    <x v="0"/>
    <m/>
    <s v="San Francisco"/>
    <s v="California"/>
    <s v="West"/>
    <x v="1"/>
    <x v="10"/>
    <s v="Xerox 1880"/>
    <x v="2681"/>
    <n v="2"/>
    <n v="0"/>
    <n v="33.313600000000001"/>
  </r>
  <r>
    <n v="7539"/>
    <x v="574"/>
    <x v="3"/>
    <x v="4"/>
    <d v="2014-12-07T00:00:00"/>
    <n v="4"/>
    <x v="1"/>
    <s v="Bill Stewart"/>
    <x v="1"/>
    <m/>
    <s v="Denver"/>
    <s v="Colorado"/>
    <s v="West"/>
    <x v="1"/>
    <x v="4"/>
    <s v="Letter Size Cart"/>
    <x v="4811"/>
    <n v="1"/>
    <n v="0.2"/>
    <n v="12.8574"/>
  </r>
  <r>
    <n v="7540"/>
    <x v="574"/>
    <x v="3"/>
    <x v="4"/>
    <d v="2014-12-07T00:00:00"/>
    <n v="4"/>
    <x v="1"/>
    <s v="Bill Stewart"/>
    <x v="1"/>
    <m/>
    <s v="Denver"/>
    <s v="Colorado"/>
    <s v="West"/>
    <x v="1"/>
    <x v="8"/>
    <s v="Aluminum Screw Posts"/>
    <x v="933"/>
    <n v="8"/>
    <n v="0.7"/>
    <n v="-24.416"/>
  </r>
  <r>
    <n v="7541"/>
    <x v="574"/>
    <x v="3"/>
    <x v="4"/>
    <d v="2014-12-07T00:00:00"/>
    <n v="4"/>
    <x v="1"/>
    <s v="Bill Stewart"/>
    <x v="1"/>
    <m/>
    <s v="Denver"/>
    <s v="Colorado"/>
    <s v="West"/>
    <x v="0"/>
    <x v="0"/>
    <s v="Hon 4-Shelf Metal Bookcases"/>
    <x v="2463"/>
    <n v="8"/>
    <n v="0.7"/>
    <n v="-363.52800000000002"/>
  </r>
  <r>
    <n v="7542"/>
    <x v="574"/>
    <x v="3"/>
    <x v="4"/>
    <d v="2014-12-07T00:00:00"/>
    <n v="4"/>
    <x v="1"/>
    <s v="Bill Stewart"/>
    <x v="1"/>
    <m/>
    <s v="Denver"/>
    <s v="Colorado"/>
    <s v="West"/>
    <x v="2"/>
    <x v="7"/>
    <s v="Seidio BD2-HK3IPH5-BK DILEX Case and Holster Combo for Apple iPhone 5/5s - Black"/>
    <x v="4812"/>
    <n v="2"/>
    <n v="0.2"/>
    <n v="4.9615999999999998"/>
  </r>
  <r>
    <n v="7543"/>
    <x v="574"/>
    <x v="3"/>
    <x v="4"/>
    <d v="2014-12-07T00:00:00"/>
    <n v="4"/>
    <x v="1"/>
    <s v="Bill Stewart"/>
    <x v="1"/>
    <m/>
    <s v="Denver"/>
    <s v="Colorado"/>
    <s v="West"/>
    <x v="0"/>
    <x v="5"/>
    <s v="Tenex 46&quot; x 60&quot; Computer Anti-Static Chairmat, Rectangular Shaped"/>
    <x v="4813"/>
    <n v="6"/>
    <n v="0.2"/>
    <n v="0"/>
  </r>
  <r>
    <n v="7544"/>
    <x v="574"/>
    <x v="3"/>
    <x v="4"/>
    <d v="2014-12-07T00:00:00"/>
    <n v="4"/>
    <x v="1"/>
    <s v="Bill Stewart"/>
    <x v="1"/>
    <m/>
    <s v="Denver"/>
    <s v="Colorado"/>
    <s v="West"/>
    <x v="2"/>
    <x v="7"/>
    <s v="Macally Suction Cup Mount"/>
    <x v="4814"/>
    <n v="6"/>
    <n v="0.2"/>
    <n v="-14.34"/>
  </r>
  <r>
    <n v="7545"/>
    <x v="574"/>
    <x v="3"/>
    <x v="4"/>
    <d v="2014-12-07T00:00:00"/>
    <n v="4"/>
    <x v="1"/>
    <s v="Bill Stewart"/>
    <x v="1"/>
    <m/>
    <s v="Denver"/>
    <s v="Colorado"/>
    <s v="West"/>
    <x v="0"/>
    <x v="1"/>
    <s v="Hon GuestStacker Chair"/>
    <x v="4815"/>
    <n v="5"/>
    <n v="0.2"/>
    <n v="68.001000000000005"/>
  </r>
  <r>
    <n v="7546"/>
    <x v="982"/>
    <x v="2"/>
    <x v="2"/>
    <d v="2011-10-15T00:00:00"/>
    <n v="5"/>
    <x v="1"/>
    <s v="Craig Molinari"/>
    <x v="1"/>
    <m/>
    <s v="Huntsville"/>
    <s v="Texas"/>
    <s v="Central"/>
    <x v="2"/>
    <x v="7"/>
    <s v="Motorola Droid Maxx"/>
    <x v="4816"/>
    <n v="6"/>
    <n v="0.2"/>
    <n v="71.995199999999997"/>
  </r>
  <r>
    <n v="7547"/>
    <x v="982"/>
    <x v="2"/>
    <x v="2"/>
    <d v="2011-10-15T00:00:00"/>
    <n v="5"/>
    <x v="1"/>
    <s v="Craig Molinari"/>
    <x v="1"/>
    <m/>
    <s v="Huntsville"/>
    <s v="Texas"/>
    <s v="Central"/>
    <x v="2"/>
    <x v="7"/>
    <s v="Cisco 8x8 Inc. 6753i IP Business Phone System"/>
    <x v="4817"/>
    <n v="7"/>
    <n v="0.2"/>
    <n v="66.145099999999999"/>
  </r>
  <r>
    <n v="7548"/>
    <x v="982"/>
    <x v="2"/>
    <x v="2"/>
    <d v="2011-10-15T00:00:00"/>
    <n v="5"/>
    <x v="1"/>
    <s v="Craig Molinari"/>
    <x v="1"/>
    <m/>
    <s v="Huntsville"/>
    <s v="Texas"/>
    <s v="Central"/>
    <x v="1"/>
    <x v="8"/>
    <s v="GBC Personal VeloBind Strips"/>
    <x v="4818"/>
    <n v="5"/>
    <n v="0.8"/>
    <n v="-19.167999999999999"/>
  </r>
  <r>
    <n v="7549"/>
    <x v="982"/>
    <x v="2"/>
    <x v="2"/>
    <d v="2011-10-15T00:00:00"/>
    <n v="5"/>
    <x v="1"/>
    <s v="Craig Molinari"/>
    <x v="1"/>
    <m/>
    <s v="Huntsville"/>
    <s v="Texas"/>
    <s v="Central"/>
    <x v="1"/>
    <x v="8"/>
    <s v="Avery Non-Stick Binders"/>
    <x v="4819"/>
    <n v="1"/>
    <n v="0.8"/>
    <n v="-1.5714999999999999"/>
  </r>
  <r>
    <n v="7550"/>
    <x v="64"/>
    <x v="0"/>
    <x v="8"/>
    <d v="2013-09-08T00:00:00"/>
    <n v="2"/>
    <x v="2"/>
    <s v="Elizabeth Moffitt"/>
    <x v="1"/>
    <m/>
    <s v="Houston"/>
    <s v="Texas"/>
    <s v="Central"/>
    <x v="0"/>
    <x v="5"/>
    <s v="Executive Impressions 12&quot; Wall Clock"/>
    <x v="4820"/>
    <n v="3"/>
    <n v="0.6"/>
    <n v="-11.6622"/>
  </r>
  <r>
    <n v="7551"/>
    <x v="1164"/>
    <x v="2"/>
    <x v="0"/>
    <d v="2011-11-25T00:00:00"/>
    <n v="5"/>
    <x v="1"/>
    <s v="Katharine Harms"/>
    <x v="1"/>
    <m/>
    <s v="New York City"/>
    <s v="New York"/>
    <s v="East"/>
    <x v="1"/>
    <x v="12"/>
    <s v="Peel &amp; Seel Recycled Catalog Envelopes, Brown"/>
    <x v="4821"/>
    <n v="3"/>
    <n v="0"/>
    <n v="17.37"/>
  </r>
  <r>
    <n v="7552"/>
    <x v="1164"/>
    <x v="2"/>
    <x v="0"/>
    <d v="2011-11-25T00:00:00"/>
    <n v="5"/>
    <x v="1"/>
    <s v="Katharine Harms"/>
    <x v="1"/>
    <m/>
    <s v="New York City"/>
    <s v="New York"/>
    <s v="East"/>
    <x v="2"/>
    <x v="7"/>
    <s v="Toshiba IPT2010-SD IP Telephone"/>
    <x v="4822"/>
    <n v="6"/>
    <n v="0"/>
    <n v="216.8244"/>
  </r>
  <r>
    <n v="7553"/>
    <x v="1164"/>
    <x v="2"/>
    <x v="0"/>
    <d v="2011-11-25T00:00:00"/>
    <n v="5"/>
    <x v="1"/>
    <s v="Katharine Harms"/>
    <x v="1"/>
    <m/>
    <s v="New York City"/>
    <s v="New York"/>
    <s v="East"/>
    <x v="1"/>
    <x v="8"/>
    <s v="3M Organizer Strips"/>
    <x v="91"/>
    <n v="3"/>
    <n v="0.2"/>
    <n v="4.5359999999999996"/>
  </r>
  <r>
    <n v="7554"/>
    <x v="1164"/>
    <x v="2"/>
    <x v="0"/>
    <d v="2011-11-25T00:00:00"/>
    <n v="5"/>
    <x v="1"/>
    <s v="Katharine Harms"/>
    <x v="1"/>
    <m/>
    <s v="New York City"/>
    <s v="New York"/>
    <s v="East"/>
    <x v="1"/>
    <x v="10"/>
    <s v="Xerox 2000"/>
    <x v="233"/>
    <n v="4"/>
    <n v="0"/>
    <n v="12.441599999999999"/>
  </r>
  <r>
    <n v="7555"/>
    <x v="1025"/>
    <x v="2"/>
    <x v="5"/>
    <d v="2011-05-14T00:00:00"/>
    <n v="4"/>
    <x v="0"/>
    <s v="Art Foster"/>
    <x v="0"/>
    <m/>
    <s v="Philadelphia"/>
    <s v="Pennsylvania"/>
    <s v="East"/>
    <x v="0"/>
    <x v="0"/>
    <s v="Bestar Classic Bookcase"/>
    <x v="4823"/>
    <n v="7"/>
    <n v="0.5"/>
    <n v="-216.97829999999999"/>
  </r>
  <r>
    <n v="7556"/>
    <x v="1025"/>
    <x v="2"/>
    <x v="5"/>
    <d v="2011-05-14T00:00:00"/>
    <n v="4"/>
    <x v="0"/>
    <s v="Art Foster"/>
    <x v="0"/>
    <m/>
    <s v="Philadelphia"/>
    <s v="Pennsylvania"/>
    <s v="East"/>
    <x v="1"/>
    <x v="6"/>
    <s v="DIXON Ticonderoga Erasable Checking Pencils"/>
    <x v="4545"/>
    <n v="5"/>
    <n v="0.2"/>
    <n v="5.3010000000000002"/>
  </r>
  <r>
    <n v="7557"/>
    <x v="344"/>
    <x v="3"/>
    <x v="0"/>
    <d v="2014-12-03T00:00:00"/>
    <n v="5"/>
    <x v="1"/>
    <s v="Justin Ritter"/>
    <x v="1"/>
    <m/>
    <s v="Columbus"/>
    <s v="Indiana"/>
    <s v="Central"/>
    <x v="1"/>
    <x v="10"/>
    <s v="Xerox 1909"/>
    <x v="4824"/>
    <n v="6"/>
    <n v="0"/>
    <n v="72.808800000000005"/>
  </r>
  <r>
    <n v="7558"/>
    <x v="344"/>
    <x v="3"/>
    <x v="0"/>
    <d v="2014-12-03T00:00:00"/>
    <n v="5"/>
    <x v="1"/>
    <s v="Justin Ritter"/>
    <x v="1"/>
    <m/>
    <s v="Columbus"/>
    <s v="Indiana"/>
    <s v="Central"/>
    <x v="1"/>
    <x v="8"/>
    <s v="GBC DocuBind P100 Manual Binding Machine"/>
    <x v="4825"/>
    <n v="3"/>
    <n v="0"/>
    <n v="224.07300000000001"/>
  </r>
  <r>
    <n v="7559"/>
    <x v="301"/>
    <x v="2"/>
    <x v="0"/>
    <d v="2011-11-05T00:00:00"/>
    <n v="4"/>
    <x v="1"/>
    <s v="Daniel Lacy"/>
    <x v="0"/>
    <m/>
    <s v="Long Beach"/>
    <s v="New York"/>
    <s v="East"/>
    <x v="1"/>
    <x v="9"/>
    <s v="Kensington 7 Outlet MasterPiece Power Center"/>
    <x v="4826"/>
    <n v="3"/>
    <n v="0"/>
    <n v="154.8426"/>
  </r>
  <r>
    <n v="7560"/>
    <x v="301"/>
    <x v="2"/>
    <x v="0"/>
    <d v="2011-11-05T00:00:00"/>
    <n v="4"/>
    <x v="1"/>
    <s v="Daniel Lacy"/>
    <x v="0"/>
    <m/>
    <s v="Long Beach"/>
    <s v="New York"/>
    <s v="East"/>
    <x v="1"/>
    <x v="10"/>
    <s v="Xerox 1934"/>
    <x v="3730"/>
    <n v="3"/>
    <n v="0"/>
    <n v="82.290599999999998"/>
  </r>
  <r>
    <n v="7561"/>
    <x v="301"/>
    <x v="2"/>
    <x v="0"/>
    <d v="2011-11-05T00:00:00"/>
    <n v="4"/>
    <x v="1"/>
    <s v="Daniel Lacy"/>
    <x v="0"/>
    <m/>
    <s v="Long Beach"/>
    <s v="New York"/>
    <s v="East"/>
    <x v="0"/>
    <x v="5"/>
    <s v="Master Big Foot Doorstop, Beige"/>
    <x v="2458"/>
    <n v="6"/>
    <n v="0"/>
    <n v="9.8208000000000002"/>
  </r>
  <r>
    <n v="7562"/>
    <x v="945"/>
    <x v="0"/>
    <x v="4"/>
    <d v="2014-01-02T00:00:00"/>
    <n v="2"/>
    <x v="2"/>
    <s v="Brian Dahlen"/>
    <x v="0"/>
    <m/>
    <s v="Lancaster"/>
    <s v="Pennsylvania"/>
    <s v="East"/>
    <x v="0"/>
    <x v="1"/>
    <s v="Hon Deluxe Fabric Upholstered Stacking Chairs, Rounded Back"/>
    <x v="4827"/>
    <n v="1"/>
    <n v="0.3"/>
    <n v="0"/>
  </r>
  <r>
    <n v="7563"/>
    <x v="323"/>
    <x v="0"/>
    <x v="8"/>
    <d v="2013-09-08T00:00:00"/>
    <n v="4"/>
    <x v="1"/>
    <s v="Rob Beeghly"/>
    <x v="0"/>
    <m/>
    <s v="Chicago"/>
    <s v="Illinois"/>
    <s v="Central"/>
    <x v="0"/>
    <x v="0"/>
    <s v="Safco Value Mate Steel Bookcase, Baked Enamel Finish on Steel, Black"/>
    <x v="4578"/>
    <n v="4"/>
    <n v="0.3"/>
    <n v="0"/>
  </r>
  <r>
    <n v="7564"/>
    <x v="361"/>
    <x v="3"/>
    <x v="2"/>
    <d v="2014-10-08T00:00:00"/>
    <n v="2"/>
    <x v="2"/>
    <s v="Ross Baird"/>
    <x v="2"/>
    <m/>
    <s v="Denver"/>
    <s v="Colorado"/>
    <s v="West"/>
    <x v="2"/>
    <x v="11"/>
    <s v="Logitech MX Performance Wireless Mouse"/>
    <x v="4226"/>
    <n v="2"/>
    <n v="0.2"/>
    <n v="13.5626"/>
  </r>
  <r>
    <n v="7565"/>
    <x v="806"/>
    <x v="0"/>
    <x v="9"/>
    <d v="2013-02-01T00:00:00"/>
    <n v="2"/>
    <x v="0"/>
    <s v="Tim Brockman"/>
    <x v="0"/>
    <m/>
    <s v="Seattle"/>
    <s v="Washington"/>
    <s v="West"/>
    <x v="0"/>
    <x v="1"/>
    <s v="Global Deluxe High-Back Office Chair in Storm"/>
    <x v="4828"/>
    <n v="4"/>
    <n v="0.2"/>
    <n v="-59.835599999999999"/>
  </r>
  <r>
    <n v="7566"/>
    <x v="806"/>
    <x v="0"/>
    <x v="9"/>
    <d v="2013-02-01T00:00:00"/>
    <n v="2"/>
    <x v="0"/>
    <s v="Tim Brockman"/>
    <x v="0"/>
    <m/>
    <s v="Seattle"/>
    <s v="Washington"/>
    <s v="West"/>
    <x v="0"/>
    <x v="0"/>
    <s v="O'Sullivan 2-Shelf Heavy-Duty Bookcases"/>
    <x v="4829"/>
    <n v="1"/>
    <n v="0"/>
    <n v="7.7728000000000002"/>
  </r>
  <r>
    <n v="7567"/>
    <x v="81"/>
    <x v="3"/>
    <x v="3"/>
    <d v="2014-04-24T00:00:00"/>
    <n v="2"/>
    <x v="2"/>
    <s v="Katherine Nockton"/>
    <x v="1"/>
    <m/>
    <s v="Houston"/>
    <s v="Texas"/>
    <s v="Central"/>
    <x v="2"/>
    <x v="11"/>
    <s v="Logitech LS21 Speaker System - PC Multimedia - 2.1-CH - Wired"/>
    <x v="331"/>
    <n v="3"/>
    <n v="0.2"/>
    <n v="8.3957999999999995"/>
  </r>
  <r>
    <n v="7568"/>
    <x v="81"/>
    <x v="3"/>
    <x v="3"/>
    <d v="2014-04-24T00:00:00"/>
    <n v="2"/>
    <x v="2"/>
    <s v="Katherine Nockton"/>
    <x v="1"/>
    <m/>
    <s v="Houston"/>
    <s v="Texas"/>
    <s v="Central"/>
    <x v="1"/>
    <x v="10"/>
    <s v="Xerox 230"/>
    <x v="557"/>
    <n v="4"/>
    <n v="0.2"/>
    <n v="7.2576000000000001"/>
  </r>
  <r>
    <n v="7569"/>
    <x v="29"/>
    <x v="2"/>
    <x v="4"/>
    <d v="2011-12-10T00:00:00"/>
    <n v="5"/>
    <x v="1"/>
    <s v="Rob Lucas"/>
    <x v="0"/>
    <m/>
    <s v="Los Angeles"/>
    <s v="California"/>
    <s v="West"/>
    <x v="1"/>
    <x v="6"/>
    <s v="Prang Colored Pencils"/>
    <x v="4830"/>
    <n v="9"/>
    <n v="0"/>
    <n v="11.907"/>
  </r>
  <r>
    <n v="7570"/>
    <x v="29"/>
    <x v="2"/>
    <x v="4"/>
    <d v="2011-12-10T00:00:00"/>
    <n v="5"/>
    <x v="1"/>
    <s v="Rob Lucas"/>
    <x v="0"/>
    <m/>
    <s v="Los Angeles"/>
    <s v="California"/>
    <s v="West"/>
    <x v="1"/>
    <x v="10"/>
    <s v="Xerox 1933"/>
    <x v="335"/>
    <n v="4"/>
    <n v="0"/>
    <n v="23.086400000000001"/>
  </r>
  <r>
    <n v="7571"/>
    <x v="29"/>
    <x v="2"/>
    <x v="4"/>
    <d v="2011-12-10T00:00:00"/>
    <n v="5"/>
    <x v="1"/>
    <s v="Rob Lucas"/>
    <x v="0"/>
    <m/>
    <s v="Los Angeles"/>
    <s v="California"/>
    <s v="West"/>
    <x v="1"/>
    <x v="13"/>
    <s v="Advantus Plastic Paper Clips"/>
    <x v="1692"/>
    <n v="3"/>
    <n v="0"/>
    <n v="7.2"/>
  </r>
  <r>
    <n v="7572"/>
    <x v="618"/>
    <x v="2"/>
    <x v="2"/>
    <d v="2011-10-26T00:00:00"/>
    <n v="5"/>
    <x v="1"/>
    <s v="Frank Hawley"/>
    <x v="1"/>
    <m/>
    <s v="Newport News"/>
    <s v="Virginia"/>
    <s v="South"/>
    <x v="1"/>
    <x v="4"/>
    <s v="Eldon Base for stackable storage shelf, platinum"/>
    <x v="4831"/>
    <n v="5"/>
    <n v="0"/>
    <n v="9.7349999999999994"/>
  </r>
  <r>
    <n v="7573"/>
    <x v="618"/>
    <x v="2"/>
    <x v="2"/>
    <d v="2011-10-26T00:00:00"/>
    <n v="5"/>
    <x v="1"/>
    <s v="Frank Hawley"/>
    <x v="1"/>
    <m/>
    <s v="Newport News"/>
    <s v="Virginia"/>
    <s v="South"/>
    <x v="0"/>
    <x v="3"/>
    <s v="Hon 2111 Invitation Series Straight Table"/>
    <x v="4832"/>
    <n v="4"/>
    <n v="0"/>
    <n v="112.35080000000001"/>
  </r>
  <r>
    <n v="7574"/>
    <x v="618"/>
    <x v="2"/>
    <x v="2"/>
    <d v="2011-10-26T00:00:00"/>
    <n v="5"/>
    <x v="1"/>
    <s v="Frank Hawley"/>
    <x v="1"/>
    <m/>
    <s v="Newport News"/>
    <s v="Virginia"/>
    <s v="South"/>
    <x v="1"/>
    <x v="6"/>
    <s v="SANFORD Liquid Accent Tank-Style Highlighters"/>
    <x v="4833"/>
    <n v="1"/>
    <n v="0"/>
    <n v="0.88039999999999996"/>
  </r>
  <r>
    <n v="7575"/>
    <x v="575"/>
    <x v="1"/>
    <x v="4"/>
    <d v="2012-12-12T00:00:00"/>
    <n v="4"/>
    <x v="1"/>
    <s v="Yana Sorensen"/>
    <x v="1"/>
    <m/>
    <s v="Los Angeles"/>
    <s v="California"/>
    <s v="West"/>
    <x v="1"/>
    <x v="4"/>
    <s v="Stur-D-Stor Shelving, Vertical 5-Shelf: 72&quot;H x 36&quot;W x 18 1/2&quot;D"/>
    <x v="4834"/>
    <n v="2"/>
    <n v="0"/>
    <n v="4.4391999999999996"/>
  </r>
  <r>
    <n v="7576"/>
    <x v="575"/>
    <x v="1"/>
    <x v="4"/>
    <d v="2012-12-12T00:00:00"/>
    <n v="4"/>
    <x v="1"/>
    <s v="Yana Sorensen"/>
    <x v="1"/>
    <m/>
    <s v="Los Angeles"/>
    <s v="California"/>
    <s v="West"/>
    <x v="2"/>
    <x v="11"/>
    <s v="WD My Passport Ultra 500GB Portable External Hard Drive"/>
    <x v="4835"/>
    <n v="4"/>
    <n v="0"/>
    <n v="40.119999999999997"/>
  </r>
  <r>
    <n v="7577"/>
    <x v="981"/>
    <x v="2"/>
    <x v="0"/>
    <d v="2011-11-07T00:00:00"/>
    <n v="5"/>
    <x v="0"/>
    <s v="Steven Ward"/>
    <x v="1"/>
    <m/>
    <s v="Seattle"/>
    <s v="Washington"/>
    <s v="West"/>
    <x v="2"/>
    <x v="11"/>
    <s v="Maxell 74 Minute CD-R Spindle, 50/Pack"/>
    <x v="4836"/>
    <n v="2"/>
    <n v="0"/>
    <n v="15.0984"/>
  </r>
  <r>
    <n v="7578"/>
    <x v="981"/>
    <x v="2"/>
    <x v="0"/>
    <d v="2011-11-07T00:00:00"/>
    <n v="5"/>
    <x v="0"/>
    <s v="Steven Ward"/>
    <x v="1"/>
    <m/>
    <s v="Seattle"/>
    <s v="Washington"/>
    <s v="West"/>
    <x v="2"/>
    <x v="7"/>
    <s v="Samsung Rugby III"/>
    <x v="4837"/>
    <n v="1"/>
    <n v="0.2"/>
    <n v="4.6193"/>
  </r>
  <r>
    <n v="7579"/>
    <x v="122"/>
    <x v="0"/>
    <x v="4"/>
    <d v="2013-12-22T00:00:00"/>
    <n v="3"/>
    <x v="2"/>
    <s v="Parhena Norris"/>
    <x v="2"/>
    <m/>
    <s v="Omaha"/>
    <s v="Nebraska"/>
    <s v="Central"/>
    <x v="0"/>
    <x v="1"/>
    <s v="Hon Every-Day Series Multi-Task Chairs"/>
    <x v="3681"/>
    <n v="3"/>
    <n v="0"/>
    <n v="112.788"/>
  </r>
  <r>
    <n v="7580"/>
    <x v="521"/>
    <x v="1"/>
    <x v="0"/>
    <d v="2012-11-27T00:00:00"/>
    <n v="4"/>
    <x v="0"/>
    <s v="Annie Thurman"/>
    <x v="0"/>
    <m/>
    <s v="Morristown"/>
    <s v="New Jersey"/>
    <s v="East"/>
    <x v="1"/>
    <x v="9"/>
    <s v="Sanyo Counter Height Refrigerator with Crisper, 3.6 Cubic Foot, Stainless Steel/Black"/>
    <x v="4838"/>
    <n v="8"/>
    <n v="0"/>
    <n v="735.03359999999998"/>
  </r>
  <r>
    <n v="7581"/>
    <x v="521"/>
    <x v="1"/>
    <x v="0"/>
    <d v="2012-11-27T00:00:00"/>
    <n v="4"/>
    <x v="0"/>
    <s v="Annie Thurman"/>
    <x v="0"/>
    <m/>
    <s v="Morristown"/>
    <s v="New Jersey"/>
    <s v="East"/>
    <x v="1"/>
    <x v="6"/>
    <s v="Newell 315"/>
    <x v="1444"/>
    <n v="3"/>
    <n v="0"/>
    <n v="4.4850000000000003"/>
  </r>
  <r>
    <n v="7582"/>
    <x v="863"/>
    <x v="1"/>
    <x v="6"/>
    <d v="2012-08-16T00:00:00"/>
    <n v="3"/>
    <x v="2"/>
    <s v="Ed Jacobs"/>
    <x v="0"/>
    <m/>
    <s v="Philadelphia"/>
    <s v="Pennsylvania"/>
    <s v="East"/>
    <x v="1"/>
    <x v="4"/>
    <s v="Fellowes High-Stak Drawer Files"/>
    <x v="4839"/>
    <n v="3"/>
    <n v="0.2"/>
    <n v="15.857100000000001"/>
  </r>
  <r>
    <n v="7583"/>
    <x v="392"/>
    <x v="1"/>
    <x v="3"/>
    <d v="2012-04-21T00:00:00"/>
    <n v="5"/>
    <x v="1"/>
    <s v="Denise Monton"/>
    <x v="1"/>
    <m/>
    <s v="New York City"/>
    <s v="New York"/>
    <s v="East"/>
    <x v="0"/>
    <x v="1"/>
    <s v="Novimex Turbo Task Chair"/>
    <x v="3947"/>
    <n v="2"/>
    <n v="0.1"/>
    <n v="2.8391999999999999"/>
  </r>
  <r>
    <n v="7584"/>
    <x v="90"/>
    <x v="2"/>
    <x v="10"/>
    <d v="2011-03-25T00:00:00"/>
    <n v="4"/>
    <x v="1"/>
    <s v="Kristen Hastings"/>
    <x v="1"/>
    <m/>
    <s v="Springfield"/>
    <s v="Virginia"/>
    <s v="South"/>
    <x v="2"/>
    <x v="7"/>
    <s v="Samsung Galaxy S4 Active"/>
    <x v="4840"/>
    <n v="7"/>
    <n v="0"/>
    <n v="909.98180000000002"/>
  </r>
  <r>
    <n v="7585"/>
    <x v="90"/>
    <x v="2"/>
    <x v="10"/>
    <d v="2011-03-25T00:00:00"/>
    <n v="4"/>
    <x v="1"/>
    <s v="Kristen Hastings"/>
    <x v="1"/>
    <m/>
    <s v="Springfield"/>
    <s v="Virginia"/>
    <s v="South"/>
    <x v="1"/>
    <x v="2"/>
    <s v="Avery 492"/>
    <x v="928"/>
    <n v="5"/>
    <n v="0"/>
    <n v="6.6239999999999997"/>
  </r>
  <r>
    <n v="7586"/>
    <x v="90"/>
    <x v="2"/>
    <x v="10"/>
    <d v="2011-03-25T00:00:00"/>
    <n v="4"/>
    <x v="1"/>
    <s v="Kristen Hastings"/>
    <x v="1"/>
    <m/>
    <s v="Springfield"/>
    <s v="Virginia"/>
    <s v="South"/>
    <x v="1"/>
    <x v="10"/>
    <s v="Xerox 1919"/>
    <x v="1232"/>
    <n v="3"/>
    <n v="0"/>
    <n v="60.255299999999998"/>
  </r>
  <r>
    <n v="7587"/>
    <x v="90"/>
    <x v="2"/>
    <x v="10"/>
    <d v="2011-03-25T00:00:00"/>
    <n v="4"/>
    <x v="1"/>
    <s v="Kristen Hastings"/>
    <x v="1"/>
    <m/>
    <s v="Springfield"/>
    <s v="Virginia"/>
    <s v="South"/>
    <x v="1"/>
    <x v="6"/>
    <s v="American Pencil"/>
    <x v="397"/>
    <n v="4"/>
    <n v="0"/>
    <n v="2.7027999999999999"/>
  </r>
  <r>
    <n v="7588"/>
    <x v="90"/>
    <x v="2"/>
    <x v="10"/>
    <d v="2011-03-25T00:00:00"/>
    <n v="4"/>
    <x v="1"/>
    <s v="Kristen Hastings"/>
    <x v="1"/>
    <m/>
    <s v="Springfield"/>
    <s v="Virginia"/>
    <s v="South"/>
    <x v="1"/>
    <x v="8"/>
    <s v="Wilson Jones Ledger-Size, Piano-Hinge Binder, 2&quot;, Blue"/>
    <x v="1522"/>
    <n v="3"/>
    <n v="0"/>
    <n v="59.011200000000002"/>
  </r>
  <r>
    <n v="7589"/>
    <x v="673"/>
    <x v="3"/>
    <x v="0"/>
    <d v="2014-11-23T00:00:00"/>
    <n v="6"/>
    <x v="1"/>
    <s v="Mick Brown"/>
    <x v="0"/>
    <m/>
    <s v="Roseville"/>
    <s v="California"/>
    <s v="West"/>
    <x v="0"/>
    <x v="5"/>
    <s v="DAX Cubicle Frames - 8x10"/>
    <x v="1732"/>
    <n v="3"/>
    <n v="0"/>
    <n v="5.1929999999999996"/>
  </r>
  <r>
    <n v="7590"/>
    <x v="12"/>
    <x v="1"/>
    <x v="8"/>
    <d v="2012-09-29T00:00:00"/>
    <n v="4"/>
    <x v="1"/>
    <s v="Dana Kaydos"/>
    <x v="0"/>
    <m/>
    <s v="Rockford"/>
    <s v="Illinois"/>
    <s v="Central"/>
    <x v="1"/>
    <x v="6"/>
    <s v="Boston KS Multi-Size Manual Pencil Sharpener"/>
    <x v="1986"/>
    <n v="7"/>
    <n v="0.2"/>
    <n v="12.8744"/>
  </r>
  <r>
    <n v="7591"/>
    <x v="64"/>
    <x v="0"/>
    <x v="8"/>
    <d v="2013-09-10T00:00:00"/>
    <n v="4"/>
    <x v="1"/>
    <s v="Dean Braden"/>
    <x v="0"/>
    <m/>
    <s v="Philadelphia"/>
    <s v="Pennsylvania"/>
    <s v="East"/>
    <x v="0"/>
    <x v="5"/>
    <s v="6&quot; Cubicle Wall Clock, Black"/>
    <x v="4841"/>
    <n v="9"/>
    <n v="0.2"/>
    <n v="11.6496"/>
  </r>
  <r>
    <n v="7592"/>
    <x v="64"/>
    <x v="0"/>
    <x v="8"/>
    <d v="2013-09-10T00:00:00"/>
    <n v="4"/>
    <x v="1"/>
    <s v="Dean Braden"/>
    <x v="0"/>
    <m/>
    <s v="Philadelphia"/>
    <s v="Pennsylvania"/>
    <s v="East"/>
    <x v="0"/>
    <x v="1"/>
    <s v="Global Task Chair, Black"/>
    <x v="4842"/>
    <n v="2"/>
    <n v="0.3"/>
    <n v="-19.338200000000001"/>
  </r>
  <r>
    <n v="7593"/>
    <x v="64"/>
    <x v="0"/>
    <x v="8"/>
    <d v="2013-09-10T00:00:00"/>
    <n v="4"/>
    <x v="1"/>
    <s v="Dean Braden"/>
    <x v="0"/>
    <m/>
    <s v="Philadelphia"/>
    <s v="Pennsylvania"/>
    <s v="East"/>
    <x v="1"/>
    <x v="6"/>
    <s v="Newell 329"/>
    <x v="956"/>
    <n v="3"/>
    <n v="0.2"/>
    <n v="0.59040000000000004"/>
  </r>
  <r>
    <n v="7594"/>
    <x v="64"/>
    <x v="0"/>
    <x v="8"/>
    <d v="2013-09-10T00:00:00"/>
    <n v="4"/>
    <x v="1"/>
    <s v="Dean Braden"/>
    <x v="0"/>
    <m/>
    <s v="Philadelphia"/>
    <s v="Pennsylvania"/>
    <s v="East"/>
    <x v="0"/>
    <x v="1"/>
    <s v="Global Comet Stacking Arm Chair"/>
    <x v="4843"/>
    <n v="3"/>
    <n v="0.3"/>
    <n v="-63.3765"/>
  </r>
  <r>
    <n v="7595"/>
    <x v="693"/>
    <x v="3"/>
    <x v="3"/>
    <d v="2014-04-25T00:00:00"/>
    <n v="4"/>
    <x v="1"/>
    <s v="Christina VanderZanden"/>
    <x v="0"/>
    <m/>
    <s v="Detroit"/>
    <s v="Michigan"/>
    <s v="Central"/>
    <x v="1"/>
    <x v="8"/>
    <s v="Premium Transparent Presentation Covers by GBC"/>
    <x v="4844"/>
    <n v="7"/>
    <n v="0"/>
    <n v="70.492800000000003"/>
  </r>
  <r>
    <n v="7596"/>
    <x v="693"/>
    <x v="3"/>
    <x v="3"/>
    <d v="2014-04-25T00:00:00"/>
    <n v="4"/>
    <x v="1"/>
    <s v="Christina VanderZanden"/>
    <x v="0"/>
    <m/>
    <s v="Detroit"/>
    <s v="Michigan"/>
    <s v="Central"/>
    <x v="1"/>
    <x v="8"/>
    <s v="Cardinal EasyOpen D-Ring Binders"/>
    <x v="3708"/>
    <n v="4"/>
    <n v="0"/>
    <n v="18.28"/>
  </r>
  <r>
    <n v="7597"/>
    <x v="925"/>
    <x v="1"/>
    <x v="1"/>
    <d v="2012-06-19T00:00:00"/>
    <n v="4"/>
    <x v="1"/>
    <s v="Grace Kelly"/>
    <x v="1"/>
    <m/>
    <s v="Los Angeles"/>
    <s v="California"/>
    <s v="West"/>
    <x v="2"/>
    <x v="7"/>
    <s v="Jabra SPEAK 410"/>
    <x v="4845"/>
    <n v="3"/>
    <n v="0.2"/>
    <n v="22.557600000000001"/>
  </r>
  <r>
    <n v="7598"/>
    <x v="328"/>
    <x v="2"/>
    <x v="8"/>
    <d v="2011-09-22T00:00:00"/>
    <n v="5"/>
    <x v="1"/>
    <s v="Joseph Airdo"/>
    <x v="0"/>
    <m/>
    <s v="Springfield"/>
    <s v="Oregon"/>
    <s v="West"/>
    <x v="1"/>
    <x v="6"/>
    <s v="Newell 313"/>
    <x v="791"/>
    <n v="2"/>
    <n v="0.2"/>
    <n v="0.4592"/>
  </r>
  <r>
    <n v="7599"/>
    <x v="328"/>
    <x v="2"/>
    <x v="8"/>
    <d v="2011-09-22T00:00:00"/>
    <n v="5"/>
    <x v="1"/>
    <s v="Joseph Airdo"/>
    <x v="0"/>
    <m/>
    <s v="Springfield"/>
    <s v="Oregon"/>
    <s v="West"/>
    <x v="1"/>
    <x v="6"/>
    <s v="Boston 16701 Slimline Battery Pencil Sharpener"/>
    <x v="4846"/>
    <n v="3"/>
    <n v="0.2"/>
    <n v="4.782"/>
  </r>
  <r>
    <n v="7600"/>
    <x v="328"/>
    <x v="2"/>
    <x v="8"/>
    <d v="2011-09-22T00:00:00"/>
    <n v="5"/>
    <x v="1"/>
    <s v="Joseph Airdo"/>
    <x v="0"/>
    <m/>
    <s v="Springfield"/>
    <s v="Oregon"/>
    <s v="West"/>
    <x v="1"/>
    <x v="10"/>
    <s v="Riverleaf Stik-Withit Designer Note Cubes"/>
    <x v="4847"/>
    <n v="5"/>
    <n v="0.2"/>
    <n v="13.077999999999999"/>
  </r>
  <r>
    <n v="7601"/>
    <x v="328"/>
    <x v="2"/>
    <x v="8"/>
    <d v="2011-09-22T00:00:00"/>
    <n v="5"/>
    <x v="1"/>
    <s v="Joseph Airdo"/>
    <x v="0"/>
    <m/>
    <s v="Springfield"/>
    <s v="Oregon"/>
    <s v="West"/>
    <x v="2"/>
    <x v="15"/>
    <s v="Plantronics Single Ear Headset"/>
    <x v="4848"/>
    <n v="5"/>
    <n v="0.7"/>
    <n v="-21.945"/>
  </r>
  <r>
    <n v="7602"/>
    <x v="328"/>
    <x v="2"/>
    <x v="8"/>
    <d v="2011-09-22T00:00:00"/>
    <n v="5"/>
    <x v="1"/>
    <s v="Joseph Airdo"/>
    <x v="0"/>
    <m/>
    <s v="Springfield"/>
    <s v="Oregon"/>
    <s v="West"/>
    <x v="1"/>
    <x v="10"/>
    <s v="Xerox 1960"/>
    <x v="4849"/>
    <n v="6"/>
    <n v="0.2"/>
    <n v="46.47"/>
  </r>
  <r>
    <n v="7603"/>
    <x v="328"/>
    <x v="2"/>
    <x v="8"/>
    <d v="2011-09-22T00:00:00"/>
    <n v="5"/>
    <x v="1"/>
    <s v="Joseph Airdo"/>
    <x v="0"/>
    <m/>
    <s v="Springfield"/>
    <s v="Oregon"/>
    <s v="West"/>
    <x v="2"/>
    <x v="11"/>
    <s v="Verbatim 25 GB 6x Blu-ray Single Layer Recordable Disc, 3/Pack"/>
    <x v="2292"/>
    <n v="10"/>
    <n v="0.2"/>
    <n v="16.776"/>
  </r>
  <r>
    <n v="7604"/>
    <x v="630"/>
    <x v="0"/>
    <x v="7"/>
    <d v="2013-07-13T00:00:00"/>
    <n v="4"/>
    <x v="1"/>
    <s v="Thea Hudgings"/>
    <x v="1"/>
    <m/>
    <s v="Providence"/>
    <s v="Rhode Island"/>
    <s v="East"/>
    <x v="1"/>
    <x v="10"/>
    <s v="Xerox 213"/>
    <x v="91"/>
    <n v="2"/>
    <n v="0"/>
    <n v="6.2207999999999997"/>
  </r>
  <r>
    <n v="7605"/>
    <x v="1022"/>
    <x v="0"/>
    <x v="5"/>
    <d v="2013-06-01T00:00:00"/>
    <n v="4"/>
    <x v="1"/>
    <s v="Brian Stugart"/>
    <x v="0"/>
    <m/>
    <s v="Chicago"/>
    <s v="Illinois"/>
    <s v="Central"/>
    <x v="0"/>
    <x v="5"/>
    <s v="36X48 HARDFLOOR CHAIRMAT"/>
    <x v="962"/>
    <n v="3"/>
    <n v="0.6"/>
    <n v="-33.358199999999997"/>
  </r>
  <r>
    <n v="7606"/>
    <x v="1022"/>
    <x v="0"/>
    <x v="5"/>
    <d v="2013-06-01T00:00:00"/>
    <n v="4"/>
    <x v="1"/>
    <s v="Brian Stugart"/>
    <x v="0"/>
    <m/>
    <s v="Chicago"/>
    <s v="Illinois"/>
    <s v="Central"/>
    <x v="0"/>
    <x v="5"/>
    <s v="G.E. Halogen Desk Lamp Bulbs"/>
    <x v="215"/>
    <n v="2"/>
    <n v="0.6"/>
    <n v="-1.6752"/>
  </r>
  <r>
    <n v="7607"/>
    <x v="1022"/>
    <x v="0"/>
    <x v="5"/>
    <d v="2013-06-01T00:00:00"/>
    <n v="4"/>
    <x v="1"/>
    <s v="Brian Stugart"/>
    <x v="0"/>
    <m/>
    <s v="Chicago"/>
    <s v="Illinois"/>
    <s v="Central"/>
    <x v="1"/>
    <x v="4"/>
    <s v="Standard Rollaway File with Lock"/>
    <x v="4850"/>
    <n v="9"/>
    <n v="0.2"/>
    <n v="97.302599999999998"/>
  </r>
  <r>
    <n v="7608"/>
    <x v="165"/>
    <x v="3"/>
    <x v="4"/>
    <d v="2014-12-28T00:00:00"/>
    <n v="3"/>
    <x v="2"/>
    <s v="Neola Schneider"/>
    <x v="0"/>
    <m/>
    <s v="Dallas"/>
    <s v="Texas"/>
    <s v="Central"/>
    <x v="1"/>
    <x v="4"/>
    <s v="Economy Rollaway Files"/>
    <x v="2071"/>
    <n v="2"/>
    <n v="0.2"/>
    <n v="19.824000000000002"/>
  </r>
  <r>
    <n v="7609"/>
    <x v="898"/>
    <x v="3"/>
    <x v="5"/>
    <d v="2014-05-08T00:00:00"/>
    <n v="4"/>
    <x v="1"/>
    <s v="Mike Kennedy"/>
    <x v="0"/>
    <m/>
    <s v="San Francisco"/>
    <s v="California"/>
    <s v="West"/>
    <x v="1"/>
    <x v="10"/>
    <s v="Xerox 2"/>
    <x v="233"/>
    <n v="4"/>
    <n v="0"/>
    <n v="12.441599999999999"/>
  </r>
  <r>
    <n v="7610"/>
    <x v="898"/>
    <x v="3"/>
    <x v="5"/>
    <d v="2014-05-08T00:00:00"/>
    <n v="4"/>
    <x v="1"/>
    <s v="Mike Kennedy"/>
    <x v="0"/>
    <m/>
    <s v="San Francisco"/>
    <s v="California"/>
    <s v="West"/>
    <x v="1"/>
    <x v="6"/>
    <s v="Newell 350"/>
    <x v="1003"/>
    <n v="7"/>
    <n v="0"/>
    <n v="6.6584000000000003"/>
  </r>
  <r>
    <n v="7611"/>
    <x v="1165"/>
    <x v="2"/>
    <x v="11"/>
    <d v="2011-02-25T00:00:00"/>
    <n v="2"/>
    <x v="2"/>
    <s v="Sue Ann Reed"/>
    <x v="0"/>
    <m/>
    <s v="Moreno Valley"/>
    <s v="California"/>
    <s v="West"/>
    <x v="1"/>
    <x v="10"/>
    <s v="Xerox 220"/>
    <x v="537"/>
    <n v="3"/>
    <n v="0"/>
    <n v="9.3312000000000008"/>
  </r>
  <r>
    <n v="7612"/>
    <x v="285"/>
    <x v="1"/>
    <x v="11"/>
    <d v="2012-02-11T00:00:00"/>
    <n v="3"/>
    <x v="2"/>
    <s v="Brosina Hoffman"/>
    <x v="0"/>
    <m/>
    <s v="Garden City"/>
    <s v="Kansas"/>
    <s v="Central"/>
    <x v="1"/>
    <x v="10"/>
    <s v="Wirebound Message Books, Four 2 3/4 x 5 Forms per Page, 200 Sets per Book"/>
    <x v="4033"/>
    <n v="2"/>
    <n v="0"/>
    <n v="4.2930000000000001"/>
  </r>
  <r>
    <n v="7613"/>
    <x v="285"/>
    <x v="1"/>
    <x v="11"/>
    <d v="2012-02-11T00:00:00"/>
    <n v="3"/>
    <x v="2"/>
    <s v="Brosina Hoffman"/>
    <x v="0"/>
    <m/>
    <s v="Garden City"/>
    <s v="Kansas"/>
    <s v="Central"/>
    <x v="1"/>
    <x v="13"/>
    <s v="Advantus Push Pins, Aluminum Head"/>
    <x v="4851"/>
    <n v="1"/>
    <n v="0"/>
    <n v="1.8010999999999999"/>
  </r>
  <r>
    <n v="7614"/>
    <x v="285"/>
    <x v="1"/>
    <x v="11"/>
    <d v="2012-02-11T00:00:00"/>
    <n v="3"/>
    <x v="2"/>
    <s v="Brosina Hoffman"/>
    <x v="0"/>
    <m/>
    <s v="Garden City"/>
    <s v="Kansas"/>
    <s v="Central"/>
    <x v="1"/>
    <x v="6"/>
    <s v="Sanford Colorific Colored Pencils, 12/Box"/>
    <x v="1755"/>
    <n v="2"/>
    <n v="0"/>
    <n v="1.728"/>
  </r>
  <r>
    <n v="7615"/>
    <x v="252"/>
    <x v="1"/>
    <x v="6"/>
    <d v="2012-08-28T00:00:00"/>
    <n v="4"/>
    <x v="0"/>
    <s v="Shahid Collister"/>
    <x v="0"/>
    <m/>
    <s v="New York City"/>
    <s v="New York"/>
    <s v="East"/>
    <x v="0"/>
    <x v="5"/>
    <s v="DAX Value U-Channel Document Frames, Easel Back"/>
    <x v="3977"/>
    <n v="3"/>
    <n v="0"/>
    <n v="4.6220999999999997"/>
  </r>
  <r>
    <n v="7616"/>
    <x v="953"/>
    <x v="2"/>
    <x v="0"/>
    <d v="2011-12-04T00:00:00"/>
    <n v="4"/>
    <x v="1"/>
    <s v="Randy Ferguson"/>
    <x v="1"/>
    <m/>
    <s v="Orlando"/>
    <s v="Florida"/>
    <s v="South"/>
    <x v="1"/>
    <x v="8"/>
    <s v="Avery Triangle Shaped Sheet Lifters, Black, 2/Pack"/>
    <x v="4852"/>
    <n v="9"/>
    <n v="0.7"/>
    <n v="-4.4279999999999999"/>
  </r>
  <r>
    <n v="7617"/>
    <x v="107"/>
    <x v="0"/>
    <x v="4"/>
    <d v="2013-12-17T00:00:00"/>
    <n v="6"/>
    <x v="1"/>
    <s v="Chris McAfee"/>
    <x v="0"/>
    <m/>
    <s v="Watertown"/>
    <s v="New York"/>
    <s v="East"/>
    <x v="1"/>
    <x v="10"/>
    <s v="Wirebound Message Books, Four 2 3/4&quot; x 5&quot; Forms per Page, 600 Sets per Book"/>
    <x v="1878"/>
    <n v="2"/>
    <n v="0"/>
    <n v="8.7138000000000009"/>
  </r>
  <r>
    <n v="7618"/>
    <x v="107"/>
    <x v="0"/>
    <x v="4"/>
    <d v="2013-12-17T00:00:00"/>
    <n v="6"/>
    <x v="1"/>
    <s v="Chris McAfee"/>
    <x v="0"/>
    <m/>
    <s v="Watertown"/>
    <s v="New York"/>
    <s v="East"/>
    <x v="1"/>
    <x v="8"/>
    <s v="Fellowes PB200 Plastic Comb Binding Machine"/>
    <x v="4853"/>
    <n v="5"/>
    <n v="0.2"/>
    <n v="220.98699999999999"/>
  </r>
  <r>
    <n v="7619"/>
    <x v="855"/>
    <x v="3"/>
    <x v="2"/>
    <d v="2014-10-30T00:00:00"/>
    <n v="2"/>
    <x v="2"/>
    <s v="Jim Mitchum"/>
    <x v="1"/>
    <m/>
    <s v="Los Angeles"/>
    <s v="California"/>
    <s v="West"/>
    <x v="0"/>
    <x v="3"/>
    <s v="Chromcraft Rectangular Conference Tables"/>
    <x v="4854"/>
    <n v="1"/>
    <n v="0.2"/>
    <n v="9.4787999999999997"/>
  </r>
  <r>
    <n v="7620"/>
    <x v="855"/>
    <x v="3"/>
    <x v="2"/>
    <d v="2014-10-30T00:00:00"/>
    <n v="2"/>
    <x v="2"/>
    <s v="Jim Mitchum"/>
    <x v="1"/>
    <m/>
    <s v="Los Angeles"/>
    <s v="California"/>
    <s v="West"/>
    <x v="2"/>
    <x v="7"/>
    <s v="Griffin GC17055 Auxiliary Audio Cable"/>
    <x v="994"/>
    <n v="5"/>
    <n v="0.2"/>
    <n v="7.1959999999999997"/>
  </r>
  <r>
    <n v="7621"/>
    <x v="641"/>
    <x v="2"/>
    <x v="0"/>
    <d v="2011-11-29T00:00:00"/>
    <n v="4"/>
    <x v="1"/>
    <s v="Richard Bierner"/>
    <x v="0"/>
    <m/>
    <s v="Los Angeles"/>
    <s v="California"/>
    <s v="West"/>
    <x v="2"/>
    <x v="7"/>
    <s v="Logitech Mobile Speakerphone P710e - speaker phone"/>
    <x v="4855"/>
    <n v="5"/>
    <n v="0.2"/>
    <n v="47.243000000000002"/>
  </r>
  <r>
    <n v="7622"/>
    <x v="641"/>
    <x v="2"/>
    <x v="0"/>
    <d v="2011-11-29T00:00:00"/>
    <n v="4"/>
    <x v="1"/>
    <s v="Richard Bierner"/>
    <x v="0"/>
    <m/>
    <s v="Los Angeles"/>
    <s v="California"/>
    <s v="West"/>
    <x v="0"/>
    <x v="1"/>
    <s v="Hon GuestStacker Chair"/>
    <x v="4856"/>
    <n v="4"/>
    <n v="0.2"/>
    <n v="54.400799999999997"/>
  </r>
  <r>
    <n v="7623"/>
    <x v="641"/>
    <x v="2"/>
    <x v="0"/>
    <d v="2011-11-29T00:00:00"/>
    <n v="4"/>
    <x v="1"/>
    <s v="Richard Bierner"/>
    <x v="0"/>
    <m/>
    <s v="Los Angeles"/>
    <s v="California"/>
    <s v="West"/>
    <x v="1"/>
    <x v="6"/>
    <s v="Staples"/>
    <x v="4857"/>
    <n v="3"/>
    <n v="0"/>
    <n v="2.6040000000000001"/>
  </r>
  <r>
    <n v="7624"/>
    <x v="686"/>
    <x v="2"/>
    <x v="7"/>
    <d v="2011-07-20T00:00:00"/>
    <n v="6"/>
    <x v="1"/>
    <s v="Shirley Schmidt"/>
    <x v="2"/>
    <m/>
    <s v="Newark"/>
    <s v="Delaware"/>
    <s v="East"/>
    <x v="1"/>
    <x v="9"/>
    <s v="Belkin 7 Outlet SurgeMaster II"/>
    <x v="4858"/>
    <n v="1"/>
    <n v="0"/>
    <n v="11.054399999999999"/>
  </r>
  <r>
    <n v="7625"/>
    <x v="293"/>
    <x v="1"/>
    <x v="5"/>
    <d v="2012-05-27T00:00:00"/>
    <n v="4"/>
    <x v="0"/>
    <s v="Nathan Mautz"/>
    <x v="2"/>
    <m/>
    <s v="Detroit"/>
    <s v="Michigan"/>
    <s v="Central"/>
    <x v="1"/>
    <x v="9"/>
    <s v="Harmony Air Purifier"/>
    <x v="4859"/>
    <n v="5"/>
    <n v="0.1"/>
    <n v="245.7"/>
  </r>
  <r>
    <n v="7626"/>
    <x v="293"/>
    <x v="1"/>
    <x v="5"/>
    <d v="2012-05-27T00:00:00"/>
    <n v="4"/>
    <x v="0"/>
    <s v="Nathan Mautz"/>
    <x v="2"/>
    <m/>
    <s v="Detroit"/>
    <s v="Michigan"/>
    <s v="Central"/>
    <x v="0"/>
    <x v="5"/>
    <s v="Westinghouse Clip-On Gooseneck Lamps"/>
    <x v="4860"/>
    <n v="9"/>
    <n v="0"/>
    <n v="19.585799999999999"/>
  </r>
  <r>
    <n v="7627"/>
    <x v="82"/>
    <x v="1"/>
    <x v="0"/>
    <d v="2012-11-23T00:00:00"/>
    <n v="2"/>
    <x v="0"/>
    <s v="Eudokia Martin"/>
    <x v="1"/>
    <m/>
    <s v="Phoenix"/>
    <s v="Arizona"/>
    <s v="West"/>
    <x v="1"/>
    <x v="9"/>
    <s v="Fellowes Command Center 5-outlet power strip"/>
    <x v="4861"/>
    <n v="6"/>
    <n v="0.2"/>
    <n v="28.492799999999999"/>
  </r>
  <r>
    <n v="7628"/>
    <x v="82"/>
    <x v="1"/>
    <x v="0"/>
    <d v="2012-11-23T00:00:00"/>
    <n v="2"/>
    <x v="0"/>
    <s v="Eudokia Martin"/>
    <x v="1"/>
    <m/>
    <s v="Phoenix"/>
    <s v="Arizona"/>
    <s v="West"/>
    <x v="2"/>
    <x v="11"/>
    <s v="Belkin Standard 104 key USB Keyboard"/>
    <x v="4862"/>
    <n v="2"/>
    <n v="0.2"/>
    <n v="-1.4590000000000001"/>
  </r>
  <r>
    <n v="7629"/>
    <x v="82"/>
    <x v="1"/>
    <x v="0"/>
    <d v="2012-11-23T00:00:00"/>
    <n v="2"/>
    <x v="0"/>
    <s v="Eudokia Martin"/>
    <x v="1"/>
    <m/>
    <s v="Phoenix"/>
    <s v="Arizona"/>
    <s v="West"/>
    <x v="1"/>
    <x v="2"/>
    <s v="Avery 506"/>
    <x v="1045"/>
    <n v="5"/>
    <n v="0.2"/>
    <n v="5.3689999999999998"/>
  </r>
  <r>
    <n v="7630"/>
    <x v="809"/>
    <x v="2"/>
    <x v="10"/>
    <d v="2011-04-01T00:00:00"/>
    <n v="2"/>
    <x v="2"/>
    <s v="Mark Packer"/>
    <x v="2"/>
    <m/>
    <s v="Brownsville"/>
    <s v="Texas"/>
    <s v="Central"/>
    <x v="1"/>
    <x v="12"/>
    <s v="Airmail Envelopes"/>
    <x v="4863"/>
    <n v="5"/>
    <n v="0.2"/>
    <n v="113.30549999999999"/>
  </r>
  <r>
    <n v="7631"/>
    <x v="809"/>
    <x v="2"/>
    <x v="10"/>
    <d v="2011-04-01T00:00:00"/>
    <n v="2"/>
    <x v="2"/>
    <s v="Mark Packer"/>
    <x v="2"/>
    <m/>
    <s v="Brownsville"/>
    <s v="Texas"/>
    <s v="Central"/>
    <x v="2"/>
    <x v="7"/>
    <s v="Innergie mMini Combo Duo USB Travel Charging Kit"/>
    <x v="4864"/>
    <n v="7"/>
    <n v="0.2"/>
    <n v="88.180400000000006"/>
  </r>
  <r>
    <n v="7632"/>
    <x v="809"/>
    <x v="2"/>
    <x v="10"/>
    <d v="2011-04-01T00:00:00"/>
    <n v="2"/>
    <x v="2"/>
    <s v="Mark Packer"/>
    <x v="2"/>
    <m/>
    <s v="Brownsville"/>
    <s v="Texas"/>
    <s v="Central"/>
    <x v="0"/>
    <x v="1"/>
    <s v="Global Stack Chair without Arms, Black"/>
    <x v="4865"/>
    <n v="7"/>
    <n v="0.3"/>
    <n v="-9.093"/>
  </r>
  <r>
    <n v="7633"/>
    <x v="614"/>
    <x v="3"/>
    <x v="4"/>
    <d v="2015-01-02T00:00:00"/>
    <n v="3"/>
    <x v="0"/>
    <s v="Katherine Hughes"/>
    <x v="0"/>
    <m/>
    <s v="Louisville"/>
    <s v="Kentucky"/>
    <s v="South"/>
    <x v="0"/>
    <x v="1"/>
    <s v="DMI Arturo Collection Mission-style Design Wood Chair"/>
    <x v="4866"/>
    <n v="8"/>
    <n v="0"/>
    <n v="314.03840000000002"/>
  </r>
  <r>
    <n v="7634"/>
    <x v="614"/>
    <x v="3"/>
    <x v="4"/>
    <d v="2015-01-02T00:00:00"/>
    <n v="3"/>
    <x v="0"/>
    <s v="Katherine Hughes"/>
    <x v="0"/>
    <m/>
    <s v="Louisville"/>
    <s v="Kentucky"/>
    <s v="South"/>
    <x v="1"/>
    <x v="8"/>
    <s v="GBC ProClick Spines for 32-Hole Punch"/>
    <x v="4867"/>
    <n v="1"/>
    <n v="0"/>
    <n v="5.8891"/>
  </r>
  <r>
    <n v="7635"/>
    <x v="614"/>
    <x v="3"/>
    <x v="4"/>
    <d v="2015-01-02T00:00:00"/>
    <n v="3"/>
    <x v="0"/>
    <s v="Katherine Hughes"/>
    <x v="0"/>
    <m/>
    <s v="Louisville"/>
    <s v="Kentucky"/>
    <s v="South"/>
    <x v="1"/>
    <x v="6"/>
    <s v="Panasonic KP-350BK Electric Pencil Sharpener with Auto Stop"/>
    <x v="722"/>
    <n v="1"/>
    <n v="0"/>
    <n v="10.0282"/>
  </r>
  <r>
    <n v="7636"/>
    <x v="614"/>
    <x v="3"/>
    <x v="4"/>
    <d v="2015-01-02T00:00:00"/>
    <n v="3"/>
    <x v="0"/>
    <s v="Katherine Hughes"/>
    <x v="0"/>
    <m/>
    <s v="Louisville"/>
    <s v="Kentucky"/>
    <s v="South"/>
    <x v="0"/>
    <x v="1"/>
    <s v="Global Leather and Oak Executive Chair, Black"/>
    <x v="4868"/>
    <n v="1"/>
    <n v="0"/>
    <n v="87.284199999999998"/>
  </r>
  <r>
    <n v="7637"/>
    <x v="614"/>
    <x v="3"/>
    <x v="4"/>
    <d v="2015-01-02T00:00:00"/>
    <n v="3"/>
    <x v="0"/>
    <s v="Katherine Hughes"/>
    <x v="0"/>
    <m/>
    <s v="Louisville"/>
    <s v="Kentucky"/>
    <s v="South"/>
    <x v="0"/>
    <x v="1"/>
    <s v="Harbour Creations Steel Folding Chair"/>
    <x v="4869"/>
    <n v="3"/>
    <n v="0"/>
    <n v="77.625"/>
  </r>
  <r>
    <n v="7638"/>
    <x v="580"/>
    <x v="3"/>
    <x v="10"/>
    <d v="2014-03-09T00:00:00"/>
    <n v="6"/>
    <x v="1"/>
    <s v="Dorothy Badders"/>
    <x v="1"/>
    <m/>
    <s v="Newark"/>
    <s v="Delaware"/>
    <s v="East"/>
    <x v="1"/>
    <x v="6"/>
    <s v="Newell 34"/>
    <x v="423"/>
    <n v="3"/>
    <n v="0"/>
    <n v="15.475199999999999"/>
  </r>
  <r>
    <n v="7639"/>
    <x v="580"/>
    <x v="3"/>
    <x v="10"/>
    <d v="2014-03-09T00:00:00"/>
    <n v="6"/>
    <x v="1"/>
    <s v="Dorothy Badders"/>
    <x v="1"/>
    <m/>
    <s v="Newark"/>
    <s v="Delaware"/>
    <s v="East"/>
    <x v="1"/>
    <x v="12"/>
    <s v="Staples"/>
    <x v="3951"/>
    <n v="7"/>
    <n v="0"/>
    <n v="27.241199999999999"/>
  </r>
  <r>
    <n v="7640"/>
    <x v="580"/>
    <x v="3"/>
    <x v="10"/>
    <d v="2014-03-09T00:00:00"/>
    <n v="6"/>
    <x v="1"/>
    <s v="Dorothy Badders"/>
    <x v="1"/>
    <m/>
    <s v="Newark"/>
    <s v="Delaware"/>
    <s v="East"/>
    <x v="0"/>
    <x v="0"/>
    <s v="Bush Cubix Collection Bookcases, Fully Assembled"/>
    <x v="4870"/>
    <n v="2"/>
    <n v="0"/>
    <n v="101.6508"/>
  </r>
  <r>
    <n v="7641"/>
    <x v="580"/>
    <x v="3"/>
    <x v="10"/>
    <d v="2014-03-09T00:00:00"/>
    <n v="6"/>
    <x v="1"/>
    <s v="Dorothy Badders"/>
    <x v="1"/>
    <m/>
    <s v="Newark"/>
    <s v="Delaware"/>
    <s v="East"/>
    <x v="1"/>
    <x v="10"/>
    <s v="Staples"/>
    <x v="120"/>
    <n v="6"/>
    <n v="0"/>
    <n v="33.339599999999997"/>
  </r>
  <r>
    <n v="7642"/>
    <x v="1099"/>
    <x v="0"/>
    <x v="2"/>
    <d v="2013-10-08T00:00:00"/>
    <n v="1"/>
    <x v="2"/>
    <s v="Laurel Beltran"/>
    <x v="2"/>
    <m/>
    <s v="Pueblo"/>
    <s v="Colorado"/>
    <s v="West"/>
    <x v="2"/>
    <x v="15"/>
    <s v="Zebra GK420t Direct Thermal/Thermal Transfer Printer"/>
    <x v="4871"/>
    <n v="6"/>
    <n v="0.7"/>
    <n v="-938.28"/>
  </r>
  <r>
    <n v="7643"/>
    <x v="1099"/>
    <x v="0"/>
    <x v="2"/>
    <d v="2013-10-08T00:00:00"/>
    <n v="1"/>
    <x v="2"/>
    <s v="Laurel Beltran"/>
    <x v="2"/>
    <m/>
    <s v="Pueblo"/>
    <s v="Colorado"/>
    <s v="West"/>
    <x v="1"/>
    <x v="8"/>
    <s v="Recycled Easel Ring Binders"/>
    <x v="3740"/>
    <n v="4"/>
    <n v="0.7"/>
    <n v="-14.92"/>
  </r>
  <r>
    <n v="7644"/>
    <x v="1099"/>
    <x v="0"/>
    <x v="2"/>
    <d v="2013-10-08T00:00:00"/>
    <n v="1"/>
    <x v="2"/>
    <s v="Laurel Beltran"/>
    <x v="2"/>
    <m/>
    <s v="Pueblo"/>
    <s v="Colorado"/>
    <s v="West"/>
    <x v="1"/>
    <x v="8"/>
    <s v="Avery Framed View Binder, EZD Ring (Locking), Navy, 1 1/2&quot;"/>
    <x v="4872"/>
    <n v="4"/>
    <n v="0.7"/>
    <n v="-9.1815999999999995"/>
  </r>
  <r>
    <n v="7645"/>
    <x v="1099"/>
    <x v="0"/>
    <x v="2"/>
    <d v="2013-10-08T00:00:00"/>
    <n v="1"/>
    <x v="2"/>
    <s v="Laurel Beltran"/>
    <x v="2"/>
    <m/>
    <s v="Pueblo"/>
    <s v="Colorado"/>
    <s v="West"/>
    <x v="2"/>
    <x v="11"/>
    <s v="Memorex 25GB 6X Branded Blu-Ray Recordable Disc, 15/Pack"/>
    <x v="4411"/>
    <n v="5"/>
    <n v="0.2"/>
    <n v="0.84950000000000003"/>
  </r>
  <r>
    <n v="7646"/>
    <x v="57"/>
    <x v="1"/>
    <x v="3"/>
    <d v="2012-04-11T00:00:00"/>
    <n v="6"/>
    <x v="1"/>
    <s v="Carol Adams"/>
    <x v="1"/>
    <m/>
    <s v="Los Angeles"/>
    <s v="California"/>
    <s v="West"/>
    <x v="0"/>
    <x v="1"/>
    <s v="GuestStacker Chair with Chrome Finish Legs"/>
    <x v="1060"/>
    <n v="3"/>
    <n v="0.2"/>
    <n v="89.222399999999993"/>
  </r>
  <r>
    <n v="7647"/>
    <x v="340"/>
    <x v="2"/>
    <x v="8"/>
    <d v="2011-09-13T00:00:00"/>
    <n v="4"/>
    <x v="1"/>
    <s v="Daniel Lacy"/>
    <x v="0"/>
    <m/>
    <s v="Greenville"/>
    <s v="North Carolina"/>
    <s v="South"/>
    <x v="2"/>
    <x v="15"/>
    <s v="3D Systems Cube Printer, 2nd Generation, White"/>
    <x v="4873"/>
    <n v="2"/>
    <n v="0.5"/>
    <n v="-571.99559999999997"/>
  </r>
  <r>
    <n v="7648"/>
    <x v="543"/>
    <x v="0"/>
    <x v="10"/>
    <d v="2013-03-17T00:00:00"/>
    <n v="1"/>
    <x v="2"/>
    <s v="Fred Chung"/>
    <x v="1"/>
    <m/>
    <s v="San Francisco"/>
    <s v="California"/>
    <s v="West"/>
    <x v="1"/>
    <x v="8"/>
    <s v="Avery Round Ring Poly Binders"/>
    <x v="4874"/>
    <n v="2"/>
    <n v="0.2"/>
    <n v="1.6472"/>
  </r>
  <r>
    <n v="7649"/>
    <x v="543"/>
    <x v="0"/>
    <x v="10"/>
    <d v="2013-03-17T00:00:00"/>
    <n v="1"/>
    <x v="2"/>
    <s v="Fred Chung"/>
    <x v="1"/>
    <m/>
    <s v="San Francisco"/>
    <s v="California"/>
    <s v="West"/>
    <x v="0"/>
    <x v="1"/>
    <s v="Global Comet Stacking Arm Chair"/>
    <x v="4875"/>
    <n v="4"/>
    <n v="0.2"/>
    <n v="84.501999999999995"/>
  </r>
  <r>
    <n v="7650"/>
    <x v="17"/>
    <x v="1"/>
    <x v="4"/>
    <d v="2012-12-31T00:00:00"/>
    <n v="4"/>
    <x v="1"/>
    <s v="David Bremer"/>
    <x v="1"/>
    <m/>
    <s v="Marion"/>
    <s v="Ohio"/>
    <s v="East"/>
    <x v="0"/>
    <x v="3"/>
    <s v="Riverside Furniture Oval Coffee Table, Oval End Table, End Table with Drawer"/>
    <x v="4876"/>
    <n v="9"/>
    <n v="0.4"/>
    <n v="-464.697"/>
  </r>
  <r>
    <n v="7651"/>
    <x v="17"/>
    <x v="1"/>
    <x v="4"/>
    <d v="2012-12-31T00:00:00"/>
    <n v="4"/>
    <x v="1"/>
    <s v="David Bremer"/>
    <x v="1"/>
    <m/>
    <s v="Marion"/>
    <s v="Ohio"/>
    <s v="East"/>
    <x v="1"/>
    <x v="12"/>
    <s v="Staples"/>
    <x v="4877"/>
    <n v="3"/>
    <n v="0.2"/>
    <n v="6.7068000000000003"/>
  </r>
  <r>
    <n v="7652"/>
    <x v="783"/>
    <x v="3"/>
    <x v="6"/>
    <d v="2014-08-09T00:00:00"/>
    <n v="1"/>
    <x v="2"/>
    <s v="Chloris Kastensmidt"/>
    <x v="0"/>
    <m/>
    <s v="Dallas"/>
    <s v="Texas"/>
    <s v="Central"/>
    <x v="2"/>
    <x v="11"/>
    <s v="Logitech K350 2.4Ghz Wireless Keyboard"/>
    <x v="4878"/>
    <n v="3"/>
    <n v="0.2"/>
    <n v="-13.437900000000001"/>
  </r>
  <r>
    <n v="7653"/>
    <x v="783"/>
    <x v="3"/>
    <x v="6"/>
    <d v="2014-08-09T00:00:00"/>
    <n v="1"/>
    <x v="2"/>
    <s v="Chloris Kastensmidt"/>
    <x v="0"/>
    <m/>
    <s v="Dallas"/>
    <s v="Texas"/>
    <s v="Central"/>
    <x v="1"/>
    <x v="4"/>
    <s v="Safco Industrial Shelving"/>
    <x v="4879"/>
    <n v="2"/>
    <n v="0.2"/>
    <n v="-25.109000000000002"/>
  </r>
  <r>
    <n v="7654"/>
    <x v="204"/>
    <x v="1"/>
    <x v="10"/>
    <d v="2012-03-27T00:00:00"/>
    <n v="5"/>
    <x v="1"/>
    <s v="Fred Wasserman"/>
    <x v="1"/>
    <m/>
    <s v="Huntsville"/>
    <s v="Alabama"/>
    <s v="South"/>
    <x v="1"/>
    <x v="6"/>
    <s v="Newell 316"/>
    <x v="634"/>
    <n v="4"/>
    <n v="0"/>
    <n v="5.4767999999999999"/>
  </r>
  <r>
    <n v="7655"/>
    <x v="672"/>
    <x v="1"/>
    <x v="0"/>
    <d v="2012-12-02T00:00:00"/>
    <n v="2"/>
    <x v="0"/>
    <s v="John Murray"/>
    <x v="0"/>
    <m/>
    <s v="Las Vegas"/>
    <s v="Nevada"/>
    <s v="West"/>
    <x v="0"/>
    <x v="5"/>
    <s v="DAX Contemporary Wood Frame with Silver Metal Mat, Desktop, 11 x 14 Size"/>
    <x v="4016"/>
    <n v="4"/>
    <n v="0"/>
    <n v="29.145600000000002"/>
  </r>
  <r>
    <n v="7656"/>
    <x v="672"/>
    <x v="1"/>
    <x v="0"/>
    <d v="2012-12-02T00:00:00"/>
    <n v="2"/>
    <x v="0"/>
    <s v="John Murray"/>
    <x v="0"/>
    <m/>
    <s v="Las Vegas"/>
    <s v="Nevada"/>
    <s v="West"/>
    <x v="1"/>
    <x v="10"/>
    <s v="Xerox 1997"/>
    <x v="233"/>
    <n v="4"/>
    <n v="0"/>
    <n v="12.441599999999999"/>
  </r>
  <r>
    <n v="7657"/>
    <x v="1166"/>
    <x v="2"/>
    <x v="3"/>
    <d v="2011-04-15T00:00:00"/>
    <n v="0"/>
    <x v="3"/>
    <s v="Paul Stevenson"/>
    <x v="2"/>
    <m/>
    <s v="Los Angeles"/>
    <s v="California"/>
    <s v="West"/>
    <x v="1"/>
    <x v="9"/>
    <s v="Belkin F9G930V10-GRY 9 Outlet Surge"/>
    <x v="1461"/>
    <n v="2"/>
    <n v="0"/>
    <n v="31.0184"/>
  </r>
  <r>
    <n v="7658"/>
    <x v="1166"/>
    <x v="2"/>
    <x v="3"/>
    <d v="2011-04-15T00:00:00"/>
    <n v="0"/>
    <x v="3"/>
    <s v="Paul Stevenson"/>
    <x v="2"/>
    <m/>
    <s v="Los Angeles"/>
    <s v="California"/>
    <s v="West"/>
    <x v="0"/>
    <x v="5"/>
    <s v="Howard Miller 13&quot; Diameter Goldtone Round Wall Clock"/>
    <x v="4880"/>
    <n v="4"/>
    <n v="0"/>
    <n v="76.9816"/>
  </r>
  <r>
    <n v="7659"/>
    <x v="245"/>
    <x v="3"/>
    <x v="7"/>
    <d v="2014-08-03T00:00:00"/>
    <n v="3"/>
    <x v="2"/>
    <s v="Tony Chapman"/>
    <x v="2"/>
    <m/>
    <s v="Lakewood"/>
    <s v="Ohio"/>
    <s v="East"/>
    <x v="1"/>
    <x v="8"/>
    <s v="GBC ProClick Punch Binding System"/>
    <x v="1963"/>
    <n v="4"/>
    <n v="0.7"/>
    <n v="-53.743200000000002"/>
  </r>
  <r>
    <n v="7660"/>
    <x v="702"/>
    <x v="3"/>
    <x v="1"/>
    <d v="2014-06-06T00:00:00"/>
    <n v="4"/>
    <x v="1"/>
    <s v="Cynthia Voltz"/>
    <x v="1"/>
    <m/>
    <s v="Fremont"/>
    <s v="Nebraska"/>
    <s v="Central"/>
    <x v="1"/>
    <x v="8"/>
    <s v="GBC Standard Recycled Report Covers, Clear Plastic Sheets"/>
    <x v="4881"/>
    <n v="5"/>
    <n v="0"/>
    <n v="25.872"/>
  </r>
  <r>
    <n v="7661"/>
    <x v="1167"/>
    <x v="2"/>
    <x v="9"/>
    <d v="2011-01-13T00:00:00"/>
    <n v="5"/>
    <x v="1"/>
    <s v="Vivek Sundaresam"/>
    <x v="0"/>
    <m/>
    <s v="Huntsville"/>
    <s v="Texas"/>
    <s v="Central"/>
    <x v="0"/>
    <x v="5"/>
    <s v="Howard Miller 14-1/2&quot; Diameter Chrome Round Wall Clock"/>
    <x v="4882"/>
    <n v="3"/>
    <n v="0.6"/>
    <n v="-53.709600000000002"/>
  </r>
  <r>
    <n v="7662"/>
    <x v="1167"/>
    <x v="2"/>
    <x v="9"/>
    <d v="2011-01-13T00:00:00"/>
    <n v="5"/>
    <x v="1"/>
    <s v="Vivek Sundaresam"/>
    <x v="0"/>
    <m/>
    <s v="Huntsville"/>
    <s v="Texas"/>
    <s v="Central"/>
    <x v="1"/>
    <x v="8"/>
    <s v="Acco Four Pocket Poly Ring Binder with Label Holder, Smoke, 1&quot;"/>
    <x v="4883"/>
    <n v="7"/>
    <n v="0.8"/>
    <n v="-18.252500000000001"/>
  </r>
  <r>
    <n v="7663"/>
    <x v="365"/>
    <x v="3"/>
    <x v="8"/>
    <d v="2014-10-02T00:00:00"/>
    <n v="2"/>
    <x v="2"/>
    <s v="Sonia Cooley"/>
    <x v="0"/>
    <m/>
    <s v="Los Angeles"/>
    <s v="California"/>
    <s v="West"/>
    <x v="1"/>
    <x v="6"/>
    <s v="Newell 334"/>
    <x v="1593"/>
    <n v="5"/>
    <n v="0"/>
    <n v="25.792000000000002"/>
  </r>
  <r>
    <n v="7664"/>
    <x v="1168"/>
    <x v="3"/>
    <x v="8"/>
    <d v="2014-09-20T00:00:00"/>
    <n v="6"/>
    <x v="1"/>
    <s v="Speros Goranitis"/>
    <x v="0"/>
    <m/>
    <s v="Asheville"/>
    <s v="North Carolina"/>
    <s v="South"/>
    <x v="1"/>
    <x v="6"/>
    <s v="Fluorescent Highlighters by Dixon"/>
    <x v="204"/>
    <n v="5"/>
    <n v="0.2"/>
    <n v="2.786"/>
  </r>
  <r>
    <n v="7665"/>
    <x v="68"/>
    <x v="2"/>
    <x v="2"/>
    <d v="2011-10-26T00:00:00"/>
    <n v="4"/>
    <x v="1"/>
    <s v="Nicole Brennan"/>
    <x v="1"/>
    <m/>
    <s v="Bossier City"/>
    <s v="Louisiana"/>
    <s v="South"/>
    <x v="0"/>
    <x v="5"/>
    <s v="Tenex Chairmats For Use with Hard Floors"/>
    <x v="677"/>
    <n v="4"/>
    <n v="0"/>
    <n v="10.393599999999999"/>
  </r>
  <r>
    <n v="7666"/>
    <x v="964"/>
    <x v="0"/>
    <x v="2"/>
    <d v="2013-10-09T00:00:00"/>
    <n v="4"/>
    <x v="1"/>
    <s v="Daniel Raglin"/>
    <x v="2"/>
    <m/>
    <s v="Providence"/>
    <s v="Rhode Island"/>
    <s v="East"/>
    <x v="1"/>
    <x v="8"/>
    <s v="Ibico Plastic Spiral Binding Combs"/>
    <x v="3265"/>
    <n v="1"/>
    <n v="0"/>
    <n v="13.984"/>
  </r>
  <r>
    <n v="7667"/>
    <x v="964"/>
    <x v="0"/>
    <x v="2"/>
    <d v="2013-10-09T00:00:00"/>
    <n v="4"/>
    <x v="1"/>
    <s v="Daniel Raglin"/>
    <x v="2"/>
    <m/>
    <s v="Providence"/>
    <s v="Rhode Island"/>
    <s v="East"/>
    <x v="2"/>
    <x v="16"/>
    <s v="Hewlett Packard LaserJet 3310 Copier"/>
    <x v="4884"/>
    <n v="9"/>
    <n v="0"/>
    <n v="2591.9567999999999"/>
  </r>
  <r>
    <n v="7668"/>
    <x v="964"/>
    <x v="0"/>
    <x v="2"/>
    <d v="2013-10-09T00:00:00"/>
    <n v="4"/>
    <x v="1"/>
    <s v="Daniel Raglin"/>
    <x v="2"/>
    <m/>
    <s v="Providence"/>
    <s v="Rhode Island"/>
    <s v="East"/>
    <x v="1"/>
    <x v="4"/>
    <s v="Letter Size File"/>
    <x v="4885"/>
    <n v="3"/>
    <n v="0"/>
    <n v="34.539000000000001"/>
  </r>
  <r>
    <n v="7669"/>
    <x v="154"/>
    <x v="1"/>
    <x v="0"/>
    <d v="2012-11-29T00:00:00"/>
    <n v="2"/>
    <x v="0"/>
    <s v="Matt Abelman"/>
    <x v="2"/>
    <m/>
    <s v="Everett"/>
    <s v="Massachusetts"/>
    <s v="East"/>
    <x v="1"/>
    <x v="10"/>
    <s v="Xerox 1977"/>
    <x v="1574"/>
    <n v="6"/>
    <n v="0"/>
    <n v="19.238399999999999"/>
  </r>
  <r>
    <n v="7670"/>
    <x v="154"/>
    <x v="1"/>
    <x v="0"/>
    <d v="2012-11-29T00:00:00"/>
    <n v="2"/>
    <x v="0"/>
    <s v="Matt Abelman"/>
    <x v="2"/>
    <m/>
    <s v="Everett"/>
    <s v="Massachusetts"/>
    <s v="East"/>
    <x v="1"/>
    <x v="10"/>
    <s v="Xerox 1884"/>
    <x v="725"/>
    <n v="3"/>
    <n v="0"/>
    <n v="28.171800000000001"/>
  </r>
  <r>
    <n v="7671"/>
    <x v="154"/>
    <x v="1"/>
    <x v="0"/>
    <d v="2012-11-29T00:00:00"/>
    <n v="2"/>
    <x v="0"/>
    <s v="Matt Abelman"/>
    <x v="2"/>
    <m/>
    <s v="Everett"/>
    <s v="Massachusetts"/>
    <s v="East"/>
    <x v="2"/>
    <x v="11"/>
    <s v="Logitech G35 7.1-Channel Surround Sound Headset"/>
    <x v="4886"/>
    <n v="2"/>
    <n v="0"/>
    <n v="88.393199999999993"/>
  </r>
  <r>
    <n v="7672"/>
    <x v="154"/>
    <x v="1"/>
    <x v="0"/>
    <d v="2012-11-29T00:00:00"/>
    <n v="2"/>
    <x v="0"/>
    <s v="Matt Abelman"/>
    <x v="2"/>
    <m/>
    <s v="Everett"/>
    <s v="Massachusetts"/>
    <s v="East"/>
    <x v="0"/>
    <x v="0"/>
    <s v="Rush Hierlooms Collection 1&quot; Thick Stackable Bookcases"/>
    <x v="4887"/>
    <n v="1"/>
    <n v="0"/>
    <n v="32.486199999999997"/>
  </r>
  <r>
    <n v="7673"/>
    <x v="154"/>
    <x v="1"/>
    <x v="0"/>
    <d v="2012-11-29T00:00:00"/>
    <n v="2"/>
    <x v="0"/>
    <s v="Matt Abelman"/>
    <x v="2"/>
    <m/>
    <s v="Everett"/>
    <s v="Massachusetts"/>
    <s v="East"/>
    <x v="0"/>
    <x v="5"/>
    <s v="Tensor &quot;Hersey Kiss&quot; Styled Floor Lamp"/>
    <x v="2731"/>
    <n v="3"/>
    <n v="0"/>
    <n v="4.6764000000000001"/>
  </r>
  <r>
    <n v="7674"/>
    <x v="154"/>
    <x v="1"/>
    <x v="0"/>
    <d v="2012-11-29T00:00:00"/>
    <n v="2"/>
    <x v="0"/>
    <s v="Matt Abelman"/>
    <x v="2"/>
    <m/>
    <s v="Everett"/>
    <s v="Massachusetts"/>
    <s v="East"/>
    <x v="1"/>
    <x v="10"/>
    <s v="Xerox 197"/>
    <x v="894"/>
    <n v="5"/>
    <n v="0"/>
    <n v="69.704999999999998"/>
  </r>
  <r>
    <n v="7675"/>
    <x v="154"/>
    <x v="1"/>
    <x v="0"/>
    <d v="2012-11-29T00:00:00"/>
    <n v="2"/>
    <x v="0"/>
    <s v="Matt Abelman"/>
    <x v="2"/>
    <m/>
    <s v="Everett"/>
    <s v="Massachusetts"/>
    <s v="East"/>
    <x v="0"/>
    <x v="3"/>
    <s v="Hon Non-Folding Utility Tables"/>
    <x v="4888"/>
    <n v="4"/>
    <n v="0.3"/>
    <n v="0"/>
  </r>
  <r>
    <n v="7676"/>
    <x v="636"/>
    <x v="3"/>
    <x v="5"/>
    <d v="2014-05-10T00:00:00"/>
    <n v="3"/>
    <x v="0"/>
    <s v="Trudy Schmidt"/>
    <x v="0"/>
    <m/>
    <s v="Rancho Cucamonga"/>
    <s v="California"/>
    <s v="West"/>
    <x v="1"/>
    <x v="9"/>
    <s v="Eureka The Boss Cordless Rechargeable Stick Vac"/>
    <x v="509"/>
    <n v="3"/>
    <n v="0"/>
    <n v="41.293799999999997"/>
  </r>
  <r>
    <n v="7677"/>
    <x v="1169"/>
    <x v="2"/>
    <x v="2"/>
    <d v="2011-10-08T00:00:00"/>
    <n v="0"/>
    <x v="3"/>
    <s v="Jack Garza"/>
    <x v="0"/>
    <m/>
    <s v="Charlotte"/>
    <s v="North Carolina"/>
    <s v="South"/>
    <x v="2"/>
    <x v="11"/>
    <s v="Maxell 74 Minute CDR, 10/Pack"/>
    <x v="2953"/>
    <n v="3"/>
    <n v="0.2"/>
    <n v="4.9878"/>
  </r>
  <r>
    <n v="7678"/>
    <x v="520"/>
    <x v="2"/>
    <x v="4"/>
    <d v="2012-01-07T00:00:00"/>
    <n v="7"/>
    <x v="1"/>
    <s v="Katherine Murray"/>
    <x v="2"/>
    <m/>
    <s v="Providence"/>
    <s v="Rhode Island"/>
    <s v="East"/>
    <x v="1"/>
    <x v="10"/>
    <s v="Xerox 1917"/>
    <x v="3483"/>
    <n v="4"/>
    <n v="0"/>
    <n v="91.950800000000001"/>
  </r>
  <r>
    <n v="7679"/>
    <x v="520"/>
    <x v="2"/>
    <x v="4"/>
    <d v="2012-01-07T00:00:00"/>
    <n v="7"/>
    <x v="1"/>
    <s v="Katherine Murray"/>
    <x v="2"/>
    <m/>
    <s v="Providence"/>
    <s v="Rhode Island"/>
    <s v="East"/>
    <x v="1"/>
    <x v="10"/>
    <s v="Xerox 1970"/>
    <x v="1801"/>
    <n v="3"/>
    <n v="0"/>
    <n v="7.0217999999999998"/>
  </r>
  <r>
    <n v="7680"/>
    <x v="520"/>
    <x v="2"/>
    <x v="4"/>
    <d v="2012-01-07T00:00:00"/>
    <n v="7"/>
    <x v="1"/>
    <s v="Katherine Murray"/>
    <x v="2"/>
    <m/>
    <s v="Providence"/>
    <s v="Rhode Island"/>
    <s v="East"/>
    <x v="2"/>
    <x v="11"/>
    <s v="Plantronics Savi W720 Multi-Device Wireless Headset System"/>
    <x v="2761"/>
    <n v="4"/>
    <n v="0"/>
    <n v="742.63199999999995"/>
  </r>
  <r>
    <n v="7681"/>
    <x v="520"/>
    <x v="2"/>
    <x v="4"/>
    <d v="2012-01-07T00:00:00"/>
    <n v="7"/>
    <x v="1"/>
    <s v="Katherine Murray"/>
    <x v="2"/>
    <m/>
    <s v="Providence"/>
    <s v="Rhode Island"/>
    <s v="East"/>
    <x v="0"/>
    <x v="0"/>
    <s v="Sauder Inglewood Library Bookcases"/>
    <x v="2600"/>
    <n v="2"/>
    <n v="0"/>
    <n v="78.650800000000004"/>
  </r>
  <r>
    <n v="7682"/>
    <x v="520"/>
    <x v="2"/>
    <x v="4"/>
    <d v="2012-01-07T00:00:00"/>
    <n v="7"/>
    <x v="1"/>
    <s v="Katherine Murray"/>
    <x v="2"/>
    <m/>
    <s v="Providence"/>
    <s v="Rhode Island"/>
    <s v="East"/>
    <x v="0"/>
    <x v="1"/>
    <s v="Global Fabric Manager's Chair, Dark Gray"/>
    <x v="4889"/>
    <n v="6"/>
    <n v="0"/>
    <n v="151.47"/>
  </r>
  <r>
    <n v="7683"/>
    <x v="152"/>
    <x v="1"/>
    <x v="3"/>
    <d v="2012-05-01T00:00:00"/>
    <n v="3"/>
    <x v="2"/>
    <s v="Shirley Daniels"/>
    <x v="2"/>
    <m/>
    <s v="Midland"/>
    <s v="Michigan"/>
    <s v="Central"/>
    <x v="1"/>
    <x v="9"/>
    <s v="Kensington 7 Outlet MasterPiece Power Center with Fax/Phone Line Protection"/>
    <x v="4890"/>
    <n v="1"/>
    <n v="0.1"/>
    <n v="41.496000000000002"/>
  </r>
  <r>
    <n v="7684"/>
    <x v="152"/>
    <x v="1"/>
    <x v="3"/>
    <d v="2012-05-01T00:00:00"/>
    <n v="3"/>
    <x v="2"/>
    <s v="Shirley Daniels"/>
    <x v="2"/>
    <m/>
    <s v="Midland"/>
    <s v="Michigan"/>
    <s v="Central"/>
    <x v="1"/>
    <x v="8"/>
    <s v="Fellowes PB500 Electric Punch Plastic Comb Binding Machine with Manual Bind"/>
    <x v="4891"/>
    <n v="3"/>
    <n v="0"/>
    <n v="1906.4849999999999"/>
  </r>
  <r>
    <n v="7685"/>
    <x v="966"/>
    <x v="1"/>
    <x v="11"/>
    <d v="2012-02-21T00:00:00"/>
    <n v="7"/>
    <x v="1"/>
    <s v="Ted Trevino"/>
    <x v="0"/>
    <m/>
    <s v="Rochester"/>
    <s v="New York"/>
    <s v="East"/>
    <x v="1"/>
    <x v="8"/>
    <s v="Black Avery Memo-Size 3-Ring Binder, 5 1/2&quot; x 8 1/2&quot;"/>
    <x v="4892"/>
    <n v="9"/>
    <n v="0.2"/>
    <n v="9.5786999999999995"/>
  </r>
  <r>
    <n v="7686"/>
    <x v="966"/>
    <x v="1"/>
    <x v="11"/>
    <d v="2012-02-21T00:00:00"/>
    <n v="7"/>
    <x v="1"/>
    <s v="Ted Trevino"/>
    <x v="0"/>
    <m/>
    <s v="Rochester"/>
    <s v="New York"/>
    <s v="East"/>
    <x v="2"/>
    <x v="7"/>
    <s v="Samsung Galaxy S4"/>
    <x v="4893"/>
    <n v="1"/>
    <n v="0"/>
    <n v="187.797"/>
  </r>
  <r>
    <n v="7687"/>
    <x v="881"/>
    <x v="0"/>
    <x v="0"/>
    <d v="2013-11-30T00:00:00"/>
    <n v="4"/>
    <x v="1"/>
    <s v="Brenda Bowman"/>
    <x v="1"/>
    <m/>
    <s v="Jackson"/>
    <s v="Michigan"/>
    <s v="Central"/>
    <x v="0"/>
    <x v="3"/>
    <s v="Chromcraft Round Conference Tables"/>
    <x v="4894"/>
    <n v="9"/>
    <n v="0"/>
    <n v="329.40809999999999"/>
  </r>
  <r>
    <n v="7688"/>
    <x v="881"/>
    <x v="0"/>
    <x v="0"/>
    <d v="2013-11-30T00:00:00"/>
    <n v="4"/>
    <x v="1"/>
    <s v="Brenda Bowman"/>
    <x v="1"/>
    <m/>
    <s v="Jackson"/>
    <s v="Michigan"/>
    <s v="Central"/>
    <x v="1"/>
    <x v="8"/>
    <s v="Wilson Jones International Size A4 Ring Binders"/>
    <x v="4895"/>
    <n v="1"/>
    <n v="0"/>
    <n v="8.3040000000000003"/>
  </r>
  <r>
    <n v="7689"/>
    <x v="881"/>
    <x v="0"/>
    <x v="0"/>
    <d v="2013-11-30T00:00:00"/>
    <n v="4"/>
    <x v="1"/>
    <s v="Brenda Bowman"/>
    <x v="1"/>
    <m/>
    <s v="Jackson"/>
    <s v="Michigan"/>
    <s v="Central"/>
    <x v="2"/>
    <x v="11"/>
    <s v="Memorex Mini Travel Drive 32 GB USB 2.0 Flash Drive"/>
    <x v="4896"/>
    <n v="8"/>
    <n v="0"/>
    <n v="62.4"/>
  </r>
  <r>
    <n v="7690"/>
    <x v="663"/>
    <x v="3"/>
    <x v="7"/>
    <d v="2014-07-18T00:00:00"/>
    <n v="2"/>
    <x v="2"/>
    <s v="Ricardo Sperren"/>
    <x v="1"/>
    <m/>
    <s v="Suffolk"/>
    <s v="Virginia"/>
    <s v="South"/>
    <x v="1"/>
    <x v="9"/>
    <s v="Belkin 8 Outlet SurgeMaster II Gold Surge Protector"/>
    <x v="3857"/>
    <n v="3"/>
    <n v="0"/>
    <n v="50.383200000000002"/>
  </r>
  <r>
    <n v="7691"/>
    <x v="663"/>
    <x v="3"/>
    <x v="7"/>
    <d v="2014-07-18T00:00:00"/>
    <n v="2"/>
    <x v="2"/>
    <s v="Ricardo Sperren"/>
    <x v="1"/>
    <m/>
    <s v="Suffolk"/>
    <s v="Virginia"/>
    <s v="South"/>
    <x v="0"/>
    <x v="3"/>
    <s v="Hon 5100 Series Wood Tables"/>
    <x v="1295"/>
    <n v="3"/>
    <n v="0"/>
    <n v="157.1292"/>
  </r>
  <r>
    <n v="7692"/>
    <x v="663"/>
    <x v="3"/>
    <x v="7"/>
    <d v="2014-07-18T00:00:00"/>
    <n v="2"/>
    <x v="2"/>
    <s v="Ricardo Sperren"/>
    <x v="1"/>
    <m/>
    <s v="Suffolk"/>
    <s v="Virginia"/>
    <s v="South"/>
    <x v="1"/>
    <x v="10"/>
    <s v="Xerox 1999"/>
    <x v="91"/>
    <n v="2"/>
    <n v="0"/>
    <n v="6.2207999999999997"/>
  </r>
  <r>
    <n v="7693"/>
    <x v="282"/>
    <x v="2"/>
    <x v="4"/>
    <d v="2012-01-03T00:00:00"/>
    <n v="5"/>
    <x v="1"/>
    <s v="Arianne Irving"/>
    <x v="0"/>
    <m/>
    <s v="Brentwood"/>
    <s v="California"/>
    <s v="West"/>
    <x v="1"/>
    <x v="2"/>
    <s v="Alphabetical Labels for Top Tab Filing"/>
    <x v="330"/>
    <n v="6"/>
    <n v="0"/>
    <n v="44.4"/>
  </r>
  <r>
    <n v="7694"/>
    <x v="282"/>
    <x v="2"/>
    <x v="4"/>
    <d v="2012-01-03T00:00:00"/>
    <n v="5"/>
    <x v="1"/>
    <s v="Arianne Irving"/>
    <x v="0"/>
    <m/>
    <s v="Brentwood"/>
    <s v="California"/>
    <s v="West"/>
    <x v="2"/>
    <x v="7"/>
    <s v="HTC One"/>
    <x v="1864"/>
    <n v="4"/>
    <n v="0.2"/>
    <n v="35.996400000000001"/>
  </r>
  <r>
    <n v="7695"/>
    <x v="554"/>
    <x v="0"/>
    <x v="10"/>
    <d v="2013-03-23T00:00:00"/>
    <n v="0"/>
    <x v="3"/>
    <s v="Marc Crier"/>
    <x v="0"/>
    <m/>
    <s v="Seattle"/>
    <s v="Washington"/>
    <s v="West"/>
    <x v="0"/>
    <x v="1"/>
    <s v="Global Stack Chair with Arms, Black"/>
    <x v="4897"/>
    <n v="7"/>
    <n v="0.2"/>
    <n v="14.690200000000001"/>
  </r>
  <r>
    <n v="7696"/>
    <x v="1170"/>
    <x v="3"/>
    <x v="7"/>
    <d v="2014-07-06T00:00:00"/>
    <n v="3"/>
    <x v="2"/>
    <s v="Adrian Hane"/>
    <x v="2"/>
    <m/>
    <s v="Houston"/>
    <s v="Texas"/>
    <s v="Central"/>
    <x v="1"/>
    <x v="10"/>
    <s v="White Dual Perf Computer Printout Paper, 2700 Sheets, 1 Part, Heavyweight, 20 lbs., 14 7/8 x 11"/>
    <x v="2844"/>
    <n v="5"/>
    <n v="0.2"/>
    <n v="59.435499999999998"/>
  </r>
  <r>
    <n v="7697"/>
    <x v="1170"/>
    <x v="3"/>
    <x v="7"/>
    <d v="2014-07-06T00:00:00"/>
    <n v="3"/>
    <x v="2"/>
    <s v="Adrian Hane"/>
    <x v="2"/>
    <m/>
    <s v="Houston"/>
    <s v="Texas"/>
    <s v="Central"/>
    <x v="1"/>
    <x v="8"/>
    <s v="Wilson Jones Four-Pocket Poly Binders"/>
    <x v="1836"/>
    <n v="4"/>
    <n v="0.8"/>
    <n v="-8.1096000000000004"/>
  </r>
  <r>
    <n v="7698"/>
    <x v="817"/>
    <x v="3"/>
    <x v="4"/>
    <d v="2014-12-19T00:00:00"/>
    <n v="4"/>
    <x v="1"/>
    <s v="Ben Ferrer"/>
    <x v="2"/>
    <m/>
    <s v="Lawrence"/>
    <s v="Massachusetts"/>
    <s v="East"/>
    <x v="2"/>
    <x v="16"/>
    <s v="Canon PC1080F Personal Copier"/>
    <x v="4898"/>
    <n v="2"/>
    <n v="0"/>
    <n v="467.99220000000003"/>
  </r>
  <r>
    <n v="7699"/>
    <x v="817"/>
    <x v="3"/>
    <x v="4"/>
    <d v="2014-12-19T00:00:00"/>
    <n v="4"/>
    <x v="1"/>
    <s v="Ben Ferrer"/>
    <x v="2"/>
    <m/>
    <s v="Lawrence"/>
    <s v="Massachusetts"/>
    <s v="East"/>
    <x v="1"/>
    <x v="4"/>
    <s v="Safco Industrial Shelving"/>
    <x v="4899"/>
    <n v="1"/>
    <n v="0"/>
    <n v="2.2155"/>
  </r>
  <r>
    <n v="7700"/>
    <x v="817"/>
    <x v="3"/>
    <x v="4"/>
    <d v="2014-12-19T00:00:00"/>
    <n v="4"/>
    <x v="1"/>
    <s v="Ben Ferrer"/>
    <x v="2"/>
    <m/>
    <s v="Lawrence"/>
    <s v="Massachusetts"/>
    <s v="East"/>
    <x v="1"/>
    <x v="14"/>
    <s v="Acme Office Executive Series Stainless Steel Trimmers"/>
    <x v="3462"/>
    <n v="3"/>
    <n v="0"/>
    <n v="6.6845999999999997"/>
  </r>
  <r>
    <n v="7701"/>
    <x v="817"/>
    <x v="3"/>
    <x v="4"/>
    <d v="2014-12-19T00:00:00"/>
    <n v="4"/>
    <x v="1"/>
    <s v="Ben Ferrer"/>
    <x v="2"/>
    <m/>
    <s v="Lawrence"/>
    <s v="Massachusetts"/>
    <s v="East"/>
    <x v="1"/>
    <x v="13"/>
    <s v="Acco Banker's Clasps, 5 3/4&quot;-Long"/>
    <x v="1300"/>
    <n v="6"/>
    <n v="0"/>
    <n v="8.1216000000000008"/>
  </r>
  <r>
    <n v="7702"/>
    <x v="817"/>
    <x v="3"/>
    <x v="4"/>
    <d v="2014-12-19T00:00:00"/>
    <n v="4"/>
    <x v="1"/>
    <s v="Ben Ferrer"/>
    <x v="2"/>
    <m/>
    <s v="Lawrence"/>
    <s v="Massachusetts"/>
    <s v="East"/>
    <x v="0"/>
    <x v="3"/>
    <s v="Bretford Rectangular Conference Table Tops"/>
    <x v="4900"/>
    <n v="2"/>
    <n v="0.3"/>
    <n v="-52.658200000000001"/>
  </r>
  <r>
    <n v="7703"/>
    <x v="370"/>
    <x v="0"/>
    <x v="6"/>
    <d v="2013-09-03T00:00:00"/>
    <n v="7"/>
    <x v="1"/>
    <s v="Andrew Allen"/>
    <x v="0"/>
    <m/>
    <s v="Detroit"/>
    <s v="Michigan"/>
    <s v="Central"/>
    <x v="1"/>
    <x v="10"/>
    <s v="Xerox 1950"/>
    <x v="1049"/>
    <n v="2"/>
    <n v="0"/>
    <n v="5.6643999999999997"/>
  </r>
  <r>
    <n v="7704"/>
    <x v="370"/>
    <x v="0"/>
    <x v="6"/>
    <d v="2013-09-03T00:00:00"/>
    <n v="7"/>
    <x v="1"/>
    <s v="Andrew Allen"/>
    <x v="0"/>
    <m/>
    <s v="Detroit"/>
    <s v="Michigan"/>
    <s v="Central"/>
    <x v="2"/>
    <x v="7"/>
    <s v="ClearSounds CSC500 Amplified Spirit Phone Corded phone"/>
    <x v="2713"/>
    <n v="3"/>
    <n v="0"/>
    <n v="58.791600000000003"/>
  </r>
  <r>
    <n v="7705"/>
    <x v="370"/>
    <x v="0"/>
    <x v="6"/>
    <d v="2013-09-03T00:00:00"/>
    <n v="7"/>
    <x v="1"/>
    <s v="Andrew Allen"/>
    <x v="0"/>
    <m/>
    <s v="Detroit"/>
    <s v="Michigan"/>
    <s v="Central"/>
    <x v="0"/>
    <x v="3"/>
    <s v="Hon 4060 Series Tables"/>
    <x v="982"/>
    <n v="4"/>
    <n v="0"/>
    <n v="98.524799999999999"/>
  </r>
  <r>
    <n v="7706"/>
    <x v="370"/>
    <x v="0"/>
    <x v="6"/>
    <d v="2013-09-03T00:00:00"/>
    <n v="7"/>
    <x v="1"/>
    <s v="Andrew Allen"/>
    <x v="0"/>
    <m/>
    <s v="Detroit"/>
    <s v="Michigan"/>
    <s v="Central"/>
    <x v="2"/>
    <x v="11"/>
    <s v="NETGEAR AC1750 Dual Band Gigabit Smart WiFi Router"/>
    <x v="647"/>
    <n v="3"/>
    <n v="0"/>
    <n v="163.18979999999999"/>
  </r>
  <r>
    <n v="7707"/>
    <x v="370"/>
    <x v="0"/>
    <x v="6"/>
    <d v="2013-09-03T00:00:00"/>
    <n v="7"/>
    <x v="1"/>
    <s v="Andrew Allen"/>
    <x v="0"/>
    <m/>
    <s v="Detroit"/>
    <s v="Michigan"/>
    <s v="Central"/>
    <x v="1"/>
    <x v="6"/>
    <s v="Newell 335"/>
    <x v="874"/>
    <n v="3"/>
    <n v="0"/>
    <n v="2.5055999999999998"/>
  </r>
  <r>
    <n v="7708"/>
    <x v="453"/>
    <x v="3"/>
    <x v="2"/>
    <d v="2014-10-20T00:00:00"/>
    <n v="4"/>
    <x v="1"/>
    <s v="Stuart Van"/>
    <x v="1"/>
    <m/>
    <s v="Orem"/>
    <s v="Utah"/>
    <s v="West"/>
    <x v="1"/>
    <x v="6"/>
    <s v="Avery Hi-Liter Smear-Safe Highlighters"/>
    <x v="2582"/>
    <n v="2"/>
    <n v="0"/>
    <n v="4.2047999999999996"/>
  </r>
  <r>
    <n v="7709"/>
    <x v="1089"/>
    <x v="2"/>
    <x v="2"/>
    <d v="2011-10-29T00:00:00"/>
    <n v="4"/>
    <x v="1"/>
    <s v="Evan Henry"/>
    <x v="0"/>
    <m/>
    <s v="Philadelphia"/>
    <s v="Pennsylvania"/>
    <s v="East"/>
    <x v="2"/>
    <x v="11"/>
    <s v="Memorex 25GB 6X Branded Blu-Ray Recordable Disc, 15/Pack"/>
    <x v="2795"/>
    <n v="3"/>
    <n v="0.2"/>
    <n v="0.50970000000000004"/>
  </r>
  <r>
    <n v="7710"/>
    <x v="1089"/>
    <x v="2"/>
    <x v="2"/>
    <d v="2011-10-29T00:00:00"/>
    <n v="4"/>
    <x v="1"/>
    <s v="Evan Henry"/>
    <x v="0"/>
    <m/>
    <s v="Philadelphia"/>
    <s v="Pennsylvania"/>
    <s v="East"/>
    <x v="1"/>
    <x v="8"/>
    <s v="GBC Twin Loop Wire Binding Elements, 9/16&quot; Spine, Black"/>
    <x v="4901"/>
    <n v="3"/>
    <n v="0.7"/>
    <n v="-9.5885999999999996"/>
  </r>
  <r>
    <n v="7711"/>
    <x v="788"/>
    <x v="1"/>
    <x v="3"/>
    <d v="2012-04-07T00:00:00"/>
    <n v="5"/>
    <x v="1"/>
    <s v="John Lucas"/>
    <x v="0"/>
    <m/>
    <s v="Mesa"/>
    <s v="Arizona"/>
    <s v="West"/>
    <x v="2"/>
    <x v="7"/>
    <s v="Samsung HM1900 Bluetooth Headset"/>
    <x v="4253"/>
    <n v="5"/>
    <n v="0.2"/>
    <n v="32.924999999999997"/>
  </r>
  <r>
    <n v="7712"/>
    <x v="960"/>
    <x v="3"/>
    <x v="2"/>
    <d v="2014-10-31T00:00:00"/>
    <n v="2"/>
    <x v="0"/>
    <s v="Janet Martin"/>
    <x v="0"/>
    <m/>
    <s v="Fayetteville"/>
    <s v="North Carolina"/>
    <s v="South"/>
    <x v="0"/>
    <x v="5"/>
    <s v="Computer Room Manger, 14&quot;"/>
    <x v="2486"/>
    <n v="3"/>
    <n v="0.2"/>
    <n v="15.590400000000001"/>
  </r>
  <r>
    <n v="7713"/>
    <x v="960"/>
    <x v="3"/>
    <x v="2"/>
    <d v="2014-10-31T00:00:00"/>
    <n v="2"/>
    <x v="0"/>
    <s v="Janet Martin"/>
    <x v="0"/>
    <m/>
    <s v="Fayetteville"/>
    <s v="North Carolina"/>
    <s v="South"/>
    <x v="1"/>
    <x v="4"/>
    <s v="Gould Plastics 18-Pocket Panel Bin, 34w x 5-1/4d x 20-1/2h"/>
    <x v="2706"/>
    <n v="2"/>
    <n v="0.2"/>
    <n v="-29.436800000000002"/>
  </r>
  <r>
    <n v="7714"/>
    <x v="960"/>
    <x v="3"/>
    <x v="2"/>
    <d v="2014-10-31T00:00:00"/>
    <n v="2"/>
    <x v="0"/>
    <s v="Janet Martin"/>
    <x v="0"/>
    <m/>
    <s v="Fayetteville"/>
    <s v="North Carolina"/>
    <s v="South"/>
    <x v="1"/>
    <x v="10"/>
    <s v="Xerox 1936"/>
    <x v="1097"/>
    <n v="3"/>
    <n v="0.2"/>
    <n v="16.183800000000002"/>
  </r>
  <r>
    <n v="7715"/>
    <x v="29"/>
    <x v="2"/>
    <x v="4"/>
    <d v="2011-12-07T00:00:00"/>
    <n v="2"/>
    <x v="2"/>
    <s v="Joni Blumstein"/>
    <x v="0"/>
    <m/>
    <s v="Los Angeles"/>
    <s v="California"/>
    <s v="West"/>
    <x v="1"/>
    <x v="9"/>
    <s v="Fellowes 8 Outlet Superior Workstation Surge Protector"/>
    <x v="4902"/>
    <n v="6"/>
    <n v="0"/>
    <n v="72.575400000000002"/>
  </r>
  <r>
    <n v="7716"/>
    <x v="132"/>
    <x v="3"/>
    <x v="0"/>
    <d v="2014-11-09T00:00:00"/>
    <n v="5"/>
    <x v="1"/>
    <s v="Peter Bühler"/>
    <x v="0"/>
    <m/>
    <s v="Philadelphia"/>
    <s v="Pennsylvania"/>
    <s v="East"/>
    <x v="2"/>
    <x v="11"/>
    <s v="Memorex 25GB 6X Branded Blu-Ray Recordable Disc, 15/Pack"/>
    <x v="2795"/>
    <n v="3"/>
    <n v="0.2"/>
    <n v="0.50970000000000004"/>
  </r>
  <r>
    <n v="7717"/>
    <x v="1171"/>
    <x v="1"/>
    <x v="9"/>
    <d v="2012-01-12T00:00:00"/>
    <n v="6"/>
    <x v="1"/>
    <s v="Stefania Perrino"/>
    <x v="1"/>
    <m/>
    <s v="Colorado Springs"/>
    <s v="Colorado"/>
    <s v="West"/>
    <x v="1"/>
    <x v="10"/>
    <s v="It's Hot Message Books with Stickers, 2 3/4&quot; x 5&quot;"/>
    <x v="458"/>
    <n v="5"/>
    <n v="0.2"/>
    <n v="9.25"/>
  </r>
  <r>
    <n v="7718"/>
    <x v="1171"/>
    <x v="1"/>
    <x v="9"/>
    <d v="2012-01-12T00:00:00"/>
    <n v="6"/>
    <x v="1"/>
    <s v="Stefania Perrino"/>
    <x v="1"/>
    <m/>
    <s v="Colorado Springs"/>
    <s v="Colorado"/>
    <s v="West"/>
    <x v="1"/>
    <x v="8"/>
    <s v="Recycled Pressboard Report Cover with Reinforced Top Hinge"/>
    <x v="4903"/>
    <n v="2"/>
    <n v="0.7"/>
    <n v="-1.3566"/>
  </r>
  <r>
    <n v="7719"/>
    <x v="428"/>
    <x v="3"/>
    <x v="8"/>
    <d v="2014-09-15T00:00:00"/>
    <n v="5"/>
    <x v="1"/>
    <s v="Matt Connell"/>
    <x v="1"/>
    <m/>
    <s v="Los Angeles"/>
    <s v="California"/>
    <s v="West"/>
    <x v="2"/>
    <x v="11"/>
    <s v="Microsoft Wireless Mobile Mouse 4000"/>
    <x v="3092"/>
    <n v="4"/>
    <n v="0"/>
    <n v="51.187199999999997"/>
  </r>
  <r>
    <n v="7720"/>
    <x v="956"/>
    <x v="1"/>
    <x v="9"/>
    <d v="2012-01-10T00:00:00"/>
    <n v="5"/>
    <x v="1"/>
    <s v="Brooke Gillingham"/>
    <x v="1"/>
    <m/>
    <s v="New York City"/>
    <s v="New York"/>
    <s v="East"/>
    <x v="1"/>
    <x v="6"/>
    <s v="Newell 34"/>
    <x v="423"/>
    <n v="3"/>
    <n v="0"/>
    <n v="15.475199999999999"/>
  </r>
  <r>
    <n v="7721"/>
    <x v="956"/>
    <x v="1"/>
    <x v="9"/>
    <d v="2012-01-10T00:00:00"/>
    <n v="5"/>
    <x v="1"/>
    <s v="Brooke Gillingham"/>
    <x v="1"/>
    <m/>
    <s v="New York City"/>
    <s v="New York"/>
    <s v="East"/>
    <x v="1"/>
    <x v="12"/>
    <s v="#10- 4 1/8&quot; x 9 1/2&quot; Recycled Envelopes"/>
    <x v="1897"/>
    <n v="2"/>
    <n v="0"/>
    <n v="8.2156000000000002"/>
  </r>
  <r>
    <n v="7722"/>
    <x v="956"/>
    <x v="1"/>
    <x v="9"/>
    <d v="2012-01-10T00:00:00"/>
    <n v="5"/>
    <x v="1"/>
    <s v="Brooke Gillingham"/>
    <x v="1"/>
    <m/>
    <s v="New York City"/>
    <s v="New York"/>
    <s v="East"/>
    <x v="1"/>
    <x v="8"/>
    <s v="Wilson Jones data.warehouse D-Ring Binders with DublLock"/>
    <x v="4904"/>
    <n v="2"/>
    <n v="0.2"/>
    <n v="4.6087999999999996"/>
  </r>
  <r>
    <n v="7723"/>
    <x v="513"/>
    <x v="3"/>
    <x v="3"/>
    <d v="2014-04-21T00:00:00"/>
    <n v="4"/>
    <x v="1"/>
    <s v="Jesus Ocampo"/>
    <x v="2"/>
    <m/>
    <s v="San Francisco"/>
    <s v="California"/>
    <s v="West"/>
    <x v="1"/>
    <x v="9"/>
    <s v="Hoover Commercial SteamVac"/>
    <x v="1344"/>
    <n v="3"/>
    <n v="0"/>
    <n v="12.222"/>
  </r>
  <r>
    <n v="7724"/>
    <x v="229"/>
    <x v="1"/>
    <x v="8"/>
    <d v="2012-09-14T00:00:00"/>
    <n v="4"/>
    <x v="1"/>
    <s v="Alex Russell"/>
    <x v="1"/>
    <m/>
    <s v="Austin"/>
    <s v="Texas"/>
    <s v="Central"/>
    <x v="0"/>
    <x v="1"/>
    <s v="Global Commerce Series Low-Back Swivel/Tilt Chairs"/>
    <x v="4905"/>
    <n v="1"/>
    <n v="0.3"/>
    <n v="-2.5697999999999999"/>
  </r>
  <r>
    <n v="7725"/>
    <x v="477"/>
    <x v="0"/>
    <x v="8"/>
    <d v="2013-09-30T00:00:00"/>
    <n v="4"/>
    <x v="1"/>
    <s v="Tony Sayre"/>
    <x v="0"/>
    <m/>
    <s v="Cleveland"/>
    <s v="Ohio"/>
    <s v="East"/>
    <x v="1"/>
    <x v="9"/>
    <s v="Hoover Shoulder Vac Commercial Portable Vacuum"/>
    <x v="4906"/>
    <n v="1"/>
    <n v="0.2"/>
    <n v="17.890999999999998"/>
  </r>
  <r>
    <n v="7726"/>
    <x v="477"/>
    <x v="0"/>
    <x v="8"/>
    <d v="2013-09-30T00:00:00"/>
    <n v="4"/>
    <x v="1"/>
    <s v="Tony Sayre"/>
    <x v="0"/>
    <m/>
    <s v="Cleveland"/>
    <s v="Ohio"/>
    <s v="East"/>
    <x v="1"/>
    <x v="4"/>
    <s v="Eldon Gobal File Keepers"/>
    <x v="4907"/>
    <n v="2"/>
    <n v="0.2"/>
    <n v="-4.8448000000000002"/>
  </r>
  <r>
    <n v="7727"/>
    <x v="477"/>
    <x v="0"/>
    <x v="8"/>
    <d v="2013-09-30T00:00:00"/>
    <n v="4"/>
    <x v="1"/>
    <s v="Tony Sayre"/>
    <x v="0"/>
    <m/>
    <s v="Cleveland"/>
    <s v="Ohio"/>
    <s v="East"/>
    <x v="1"/>
    <x v="4"/>
    <s v="SAFCO Commercial Wire Shelving, Black"/>
    <x v="3956"/>
    <n v="3"/>
    <n v="0.2"/>
    <n v="-82.884"/>
  </r>
  <r>
    <n v="7728"/>
    <x v="199"/>
    <x v="1"/>
    <x v="10"/>
    <d v="2012-03-20T00:00:00"/>
    <n v="4"/>
    <x v="0"/>
    <s v="Jim Kriz"/>
    <x v="2"/>
    <m/>
    <s v="New York City"/>
    <s v="New York"/>
    <s v="East"/>
    <x v="1"/>
    <x v="6"/>
    <s v="Avery Hi-Liter Smear-Safe Highlighters"/>
    <x v="254"/>
    <n v="3"/>
    <n v="0"/>
    <n v="6.3071999999999999"/>
  </r>
  <r>
    <n v="7729"/>
    <x v="491"/>
    <x v="0"/>
    <x v="0"/>
    <d v="2013-12-03T00:00:00"/>
    <n v="6"/>
    <x v="1"/>
    <s v="George Ashbrook"/>
    <x v="0"/>
    <m/>
    <s v="El Paso"/>
    <s v="Texas"/>
    <s v="Central"/>
    <x v="1"/>
    <x v="6"/>
    <s v="DIXON Ticonderoga Erasable Checking Pencils"/>
    <x v="326"/>
    <n v="4"/>
    <n v="0.2"/>
    <n v="4.2408000000000001"/>
  </r>
  <r>
    <n v="7730"/>
    <x v="182"/>
    <x v="0"/>
    <x v="8"/>
    <d v="2013-10-02T00:00:00"/>
    <n v="5"/>
    <x v="1"/>
    <s v="Tanja Norvell"/>
    <x v="2"/>
    <m/>
    <s v="Tallahassee"/>
    <s v="Florida"/>
    <s v="South"/>
    <x v="2"/>
    <x v="11"/>
    <s v="Logitech VX Revolution Cordless Laser Mouse for Notebooks (Black)"/>
    <x v="2087"/>
    <n v="3"/>
    <n v="0.2"/>
    <n v="-75.595799999999997"/>
  </r>
  <r>
    <n v="7731"/>
    <x v="487"/>
    <x v="3"/>
    <x v="1"/>
    <d v="2014-06-20T00:00:00"/>
    <n v="6"/>
    <x v="1"/>
    <s v="Tamara Willingham"/>
    <x v="2"/>
    <m/>
    <s v="Seattle"/>
    <s v="Washington"/>
    <s v="West"/>
    <x v="0"/>
    <x v="1"/>
    <s v="Global Wood Trimmed Manager's Task Chair, Khaki"/>
    <x v="4908"/>
    <n v="4"/>
    <n v="0.2"/>
    <n v="-25.474399999999999"/>
  </r>
  <r>
    <n v="7732"/>
    <x v="65"/>
    <x v="3"/>
    <x v="8"/>
    <d v="2014-09-22T00:00:00"/>
    <n v="3"/>
    <x v="2"/>
    <s v="Pete Armstrong"/>
    <x v="2"/>
    <m/>
    <s v="Dallas"/>
    <s v="Texas"/>
    <s v="Central"/>
    <x v="1"/>
    <x v="12"/>
    <s v="Jet-Pak Recycled Peel 'N' Seal Padded Mailers"/>
    <x v="4909"/>
    <n v="4"/>
    <n v="0.2"/>
    <n v="35.89"/>
  </r>
  <r>
    <n v="7733"/>
    <x v="455"/>
    <x v="3"/>
    <x v="1"/>
    <d v="2014-06-09T00:00:00"/>
    <n v="6"/>
    <x v="1"/>
    <s v="John Dryer"/>
    <x v="0"/>
    <m/>
    <s v="Houston"/>
    <s v="Texas"/>
    <s v="Central"/>
    <x v="1"/>
    <x v="10"/>
    <s v="Xerox 1977"/>
    <x v="1414"/>
    <n v="2"/>
    <n v="0.2"/>
    <n v="3.7408000000000001"/>
  </r>
  <r>
    <n v="7734"/>
    <x v="666"/>
    <x v="0"/>
    <x v="5"/>
    <d v="2013-05-20T00:00:00"/>
    <n v="4"/>
    <x v="0"/>
    <s v="Michael Nguyen"/>
    <x v="0"/>
    <m/>
    <s v="Springfield"/>
    <s v="Ohio"/>
    <s v="East"/>
    <x v="1"/>
    <x v="10"/>
    <s v="TOPS Voice Message Log Book, Flash Format"/>
    <x v="300"/>
    <n v="4"/>
    <n v="0.2"/>
    <n v="5.5216000000000003"/>
  </r>
  <r>
    <n v="7735"/>
    <x v="175"/>
    <x v="3"/>
    <x v="8"/>
    <d v="2014-09-21T00:00:00"/>
    <n v="5"/>
    <x v="1"/>
    <s v="Gene McClure"/>
    <x v="0"/>
    <m/>
    <s v="Seattle"/>
    <s v="Washington"/>
    <s v="West"/>
    <x v="1"/>
    <x v="6"/>
    <s v="BIC Brite Liner Highlighters"/>
    <x v="2122"/>
    <n v="3"/>
    <n v="0"/>
    <n v="5.2164000000000001"/>
  </r>
  <r>
    <n v="7736"/>
    <x v="250"/>
    <x v="0"/>
    <x v="6"/>
    <d v="2013-08-27T00:00:00"/>
    <n v="4"/>
    <x v="1"/>
    <s v="Deirdre Greer"/>
    <x v="1"/>
    <m/>
    <s v="Seattle"/>
    <s v="Washington"/>
    <s v="West"/>
    <x v="1"/>
    <x v="10"/>
    <s v="Xerox 202"/>
    <x v="537"/>
    <n v="3"/>
    <n v="0"/>
    <n v="9.3312000000000008"/>
  </r>
  <r>
    <n v="7737"/>
    <x v="992"/>
    <x v="2"/>
    <x v="5"/>
    <d v="2011-06-06T00:00:00"/>
    <n v="7"/>
    <x v="1"/>
    <s v="James Galang"/>
    <x v="0"/>
    <m/>
    <s v="New York City"/>
    <s v="New York"/>
    <s v="East"/>
    <x v="1"/>
    <x v="8"/>
    <s v="Wilson Jones Legal Size Ring Binders"/>
    <x v="464"/>
    <n v="4"/>
    <n v="0.2"/>
    <n v="26.388000000000002"/>
  </r>
  <r>
    <n v="7738"/>
    <x v="404"/>
    <x v="3"/>
    <x v="4"/>
    <d v="2014-12-21T00:00:00"/>
    <n v="2"/>
    <x v="2"/>
    <s v="Alex Grayson"/>
    <x v="0"/>
    <m/>
    <s v="Charlotte"/>
    <s v="North Carolina"/>
    <s v="South"/>
    <x v="1"/>
    <x v="6"/>
    <s v="Newell 310"/>
    <x v="2485"/>
    <n v="9"/>
    <n v="0.2"/>
    <n v="1.4256"/>
  </r>
  <r>
    <n v="7739"/>
    <x v="245"/>
    <x v="3"/>
    <x v="7"/>
    <d v="2014-08-07T00:00:00"/>
    <n v="7"/>
    <x v="1"/>
    <s v="Jay Fein"/>
    <x v="0"/>
    <m/>
    <s v="Baltimore"/>
    <s v="Maryland"/>
    <s v="East"/>
    <x v="2"/>
    <x v="7"/>
    <s v="invisibleSHIELD by ZAGG Smudge-Free Screen Protector"/>
    <x v="4910"/>
    <n v="5"/>
    <n v="0"/>
    <n v="43.176000000000002"/>
  </r>
  <r>
    <n v="7740"/>
    <x v="871"/>
    <x v="2"/>
    <x v="0"/>
    <d v="2011-11-26T00:00:00"/>
    <n v="5"/>
    <x v="1"/>
    <s v="Steve Carroll"/>
    <x v="2"/>
    <m/>
    <s v="San Francisco"/>
    <s v="California"/>
    <s v="West"/>
    <x v="1"/>
    <x v="10"/>
    <s v="Tops Wirebound Message Log Books"/>
    <x v="1521"/>
    <n v="2"/>
    <n v="0"/>
    <n v="3.0268000000000002"/>
  </r>
  <r>
    <n v="7741"/>
    <x v="871"/>
    <x v="2"/>
    <x v="0"/>
    <d v="2011-11-26T00:00:00"/>
    <n v="5"/>
    <x v="1"/>
    <s v="Steve Carroll"/>
    <x v="2"/>
    <m/>
    <s v="San Francisco"/>
    <s v="California"/>
    <s v="West"/>
    <x v="2"/>
    <x v="11"/>
    <s v="Kensington Expert Mouse Optical USB Trackball for PC or Mac"/>
    <x v="4911"/>
    <n v="1"/>
    <n v="0"/>
    <n v="28.497"/>
  </r>
  <r>
    <n v="7742"/>
    <x v="496"/>
    <x v="1"/>
    <x v="8"/>
    <d v="2012-09-26T00:00:00"/>
    <n v="2"/>
    <x v="0"/>
    <s v="Carlos Meador"/>
    <x v="0"/>
    <m/>
    <s v="Tucson"/>
    <s v="Arizona"/>
    <s v="West"/>
    <x v="2"/>
    <x v="7"/>
    <s v="Samsung HM1900 Bluetooth Headset"/>
    <x v="427"/>
    <n v="2"/>
    <n v="0.2"/>
    <n v="13.17"/>
  </r>
  <r>
    <n v="7743"/>
    <x v="648"/>
    <x v="3"/>
    <x v="6"/>
    <d v="2014-08-28T00:00:00"/>
    <n v="7"/>
    <x v="1"/>
    <s v="Kean Thornton"/>
    <x v="0"/>
    <m/>
    <s v="Los Angeles"/>
    <s v="California"/>
    <s v="West"/>
    <x v="1"/>
    <x v="10"/>
    <s v="Xerox 203"/>
    <x v="233"/>
    <n v="4"/>
    <n v="0"/>
    <n v="12.441599999999999"/>
  </r>
  <r>
    <n v="7744"/>
    <x v="26"/>
    <x v="0"/>
    <x v="1"/>
    <d v="2013-06-23T00:00:00"/>
    <n v="5"/>
    <x v="1"/>
    <s v="Christine Phan"/>
    <x v="1"/>
    <m/>
    <s v="Waterbury"/>
    <s v="Connecticut"/>
    <s v="East"/>
    <x v="1"/>
    <x v="8"/>
    <s v="Ibico Presentation Index for Binding Systems"/>
    <x v="1181"/>
    <n v="2"/>
    <n v="0"/>
    <n v="3.7412000000000001"/>
  </r>
  <r>
    <n v="7745"/>
    <x v="26"/>
    <x v="0"/>
    <x v="1"/>
    <d v="2013-06-23T00:00:00"/>
    <n v="5"/>
    <x v="1"/>
    <s v="Christine Phan"/>
    <x v="1"/>
    <m/>
    <s v="Waterbury"/>
    <s v="Connecticut"/>
    <s v="East"/>
    <x v="2"/>
    <x v="7"/>
    <s v="Wireless Extenders zBoost YX545 SOHO Signal Booster"/>
    <x v="4912"/>
    <n v="3"/>
    <n v="0"/>
    <n v="153.08189999999999"/>
  </r>
  <r>
    <n v="7746"/>
    <x v="26"/>
    <x v="0"/>
    <x v="1"/>
    <d v="2013-06-23T00:00:00"/>
    <n v="5"/>
    <x v="1"/>
    <s v="Christine Phan"/>
    <x v="1"/>
    <m/>
    <s v="Waterbury"/>
    <s v="Connecticut"/>
    <s v="East"/>
    <x v="1"/>
    <x v="6"/>
    <s v="Newell 35"/>
    <x v="294"/>
    <n v="3"/>
    <n v="0"/>
    <n v="2.8536000000000001"/>
  </r>
  <r>
    <n v="7747"/>
    <x v="546"/>
    <x v="1"/>
    <x v="4"/>
    <d v="2012-12-23T00:00:00"/>
    <n v="4"/>
    <x v="1"/>
    <s v="Eileen Kiefer"/>
    <x v="2"/>
    <m/>
    <s v="Chicago"/>
    <s v="Illinois"/>
    <s v="Central"/>
    <x v="2"/>
    <x v="11"/>
    <s v="Maxell 4.7GB DVD+RW 3/Pack"/>
    <x v="2079"/>
    <n v="2"/>
    <n v="0.2"/>
    <n v="4.7789999999999999"/>
  </r>
  <r>
    <n v="7748"/>
    <x v="70"/>
    <x v="1"/>
    <x v="5"/>
    <d v="2012-06-02T00:00:00"/>
    <n v="2"/>
    <x v="0"/>
    <s v="Carl Weiss"/>
    <x v="2"/>
    <m/>
    <s v="Long Beach"/>
    <s v="New York"/>
    <s v="East"/>
    <x v="1"/>
    <x v="13"/>
    <s v="Bagged Rubber Bands"/>
    <x v="261"/>
    <n v="6"/>
    <n v="0"/>
    <n v="0.3024"/>
  </r>
  <r>
    <n v="7749"/>
    <x v="652"/>
    <x v="1"/>
    <x v="1"/>
    <d v="2012-06-24T00:00:00"/>
    <n v="6"/>
    <x v="1"/>
    <s v="Keith Herrera"/>
    <x v="0"/>
    <m/>
    <s v="Arlington"/>
    <s v="Virginia"/>
    <s v="South"/>
    <x v="0"/>
    <x v="5"/>
    <s v="Seth Thomas 8 1/2&quot; Cubicle Clock"/>
    <x v="3909"/>
    <n v="3"/>
    <n v="0"/>
    <n v="19.468800000000002"/>
  </r>
  <r>
    <n v="7750"/>
    <x v="652"/>
    <x v="1"/>
    <x v="1"/>
    <d v="2012-06-24T00:00:00"/>
    <n v="6"/>
    <x v="1"/>
    <s v="Keith Herrera"/>
    <x v="0"/>
    <m/>
    <s v="Arlington"/>
    <s v="Virginia"/>
    <s v="South"/>
    <x v="1"/>
    <x v="4"/>
    <s v="Tennsco Double-Tier Lockers"/>
    <x v="4913"/>
    <n v="2"/>
    <n v="0"/>
    <n v="58.505200000000002"/>
  </r>
  <r>
    <n v="7751"/>
    <x v="652"/>
    <x v="1"/>
    <x v="1"/>
    <d v="2012-06-24T00:00:00"/>
    <n v="6"/>
    <x v="1"/>
    <s v="Keith Herrera"/>
    <x v="0"/>
    <m/>
    <s v="Arlington"/>
    <s v="Virginia"/>
    <s v="South"/>
    <x v="1"/>
    <x v="8"/>
    <s v="Wilson Jones International Size A4 Ring Binders"/>
    <x v="4914"/>
    <n v="2"/>
    <n v="0"/>
    <n v="16.608000000000001"/>
  </r>
  <r>
    <n v="7752"/>
    <x v="652"/>
    <x v="1"/>
    <x v="1"/>
    <d v="2012-06-24T00:00:00"/>
    <n v="6"/>
    <x v="1"/>
    <s v="Keith Herrera"/>
    <x v="0"/>
    <m/>
    <s v="Arlington"/>
    <s v="Virginia"/>
    <s v="South"/>
    <x v="2"/>
    <x v="7"/>
    <s v="Cisco SPA301"/>
    <x v="4915"/>
    <n v="3"/>
    <n v="0"/>
    <n v="140.39099999999999"/>
  </r>
  <r>
    <n v="7753"/>
    <x v="652"/>
    <x v="1"/>
    <x v="1"/>
    <d v="2012-06-24T00:00:00"/>
    <n v="6"/>
    <x v="1"/>
    <s v="Keith Herrera"/>
    <x v="0"/>
    <m/>
    <s v="Arlington"/>
    <s v="Virginia"/>
    <s v="South"/>
    <x v="1"/>
    <x v="8"/>
    <s v="JM Magazine Binder"/>
    <x v="4916"/>
    <n v="2"/>
    <n v="0"/>
    <n v="15.849600000000001"/>
  </r>
  <r>
    <n v="7754"/>
    <x v="672"/>
    <x v="1"/>
    <x v="0"/>
    <d v="2012-12-03T00:00:00"/>
    <n v="3"/>
    <x v="2"/>
    <s v="Ann Blume"/>
    <x v="1"/>
    <m/>
    <s v="Jacksonville"/>
    <s v="North Carolina"/>
    <s v="South"/>
    <x v="0"/>
    <x v="5"/>
    <s v="Dana Swing-Arm Lamps"/>
    <x v="1217"/>
    <n v="2"/>
    <n v="0.2"/>
    <n v="1.0680000000000001"/>
  </r>
  <r>
    <n v="7755"/>
    <x v="379"/>
    <x v="1"/>
    <x v="4"/>
    <d v="2012-12-23T00:00:00"/>
    <n v="2"/>
    <x v="0"/>
    <s v="Adam Hart"/>
    <x v="1"/>
    <m/>
    <s v="Columbus"/>
    <s v="Ohio"/>
    <s v="East"/>
    <x v="1"/>
    <x v="6"/>
    <s v="OIC #2 Pencils, Medium Soft"/>
    <x v="4917"/>
    <n v="2"/>
    <n v="0.2"/>
    <n v="0.33839999999999998"/>
  </r>
  <r>
    <n v="7756"/>
    <x v="701"/>
    <x v="3"/>
    <x v="0"/>
    <d v="2014-11-22T00:00:00"/>
    <n v="4"/>
    <x v="1"/>
    <s v="Clytie Kelty"/>
    <x v="0"/>
    <m/>
    <s v="Charlotte"/>
    <s v="North Carolina"/>
    <s v="South"/>
    <x v="1"/>
    <x v="10"/>
    <s v="Xerox 1938"/>
    <x v="4918"/>
    <n v="7"/>
    <n v="0.2"/>
    <n v="93.884"/>
  </r>
  <r>
    <n v="7757"/>
    <x v="701"/>
    <x v="3"/>
    <x v="0"/>
    <d v="2014-11-22T00:00:00"/>
    <n v="4"/>
    <x v="1"/>
    <s v="Clytie Kelty"/>
    <x v="0"/>
    <m/>
    <s v="Charlotte"/>
    <s v="North Carolina"/>
    <s v="South"/>
    <x v="2"/>
    <x v="11"/>
    <s v="Plantronics S12 Corded Telephone Headset System"/>
    <x v="4919"/>
    <n v="5"/>
    <n v="0.2"/>
    <n v="107.79"/>
  </r>
  <r>
    <n v="7758"/>
    <x v="38"/>
    <x v="3"/>
    <x v="0"/>
    <d v="2014-11-17T00:00:00"/>
    <n v="3"/>
    <x v="0"/>
    <s v="Stefania Perrino"/>
    <x v="1"/>
    <m/>
    <s v="Buffalo"/>
    <s v="New York"/>
    <s v="East"/>
    <x v="2"/>
    <x v="7"/>
    <s v="LF Elite 3D Dazzle Designer Hard Case Cover, Lf Stylus Pen and Wiper For Apple Iphone 5c Mini Lite"/>
    <x v="3477"/>
    <n v="4"/>
    <n v="0"/>
    <n v="12.208"/>
  </r>
  <r>
    <n v="7759"/>
    <x v="38"/>
    <x v="3"/>
    <x v="0"/>
    <d v="2014-11-17T00:00:00"/>
    <n v="3"/>
    <x v="0"/>
    <s v="Stefania Perrino"/>
    <x v="1"/>
    <m/>
    <s v="Buffalo"/>
    <s v="New York"/>
    <s v="East"/>
    <x v="0"/>
    <x v="5"/>
    <s v="Deflect-o EconoMat Nonstudded, No Bevel Mat"/>
    <x v="4920"/>
    <n v="3"/>
    <n v="0"/>
    <n v="30.99"/>
  </r>
  <r>
    <n v="7760"/>
    <x v="1057"/>
    <x v="0"/>
    <x v="2"/>
    <d v="2013-10-29T00:00:00"/>
    <n v="4"/>
    <x v="1"/>
    <s v="Jennifer Patt"/>
    <x v="1"/>
    <m/>
    <s v="Houston"/>
    <s v="Texas"/>
    <s v="Central"/>
    <x v="1"/>
    <x v="10"/>
    <s v="Eureka Recycled Copy Paper 8 1/2&quot; x 11&quot;, Ream"/>
    <x v="12"/>
    <n v="3"/>
    <n v="0.2"/>
    <n v="5.4432"/>
  </r>
  <r>
    <n v="7761"/>
    <x v="776"/>
    <x v="2"/>
    <x v="4"/>
    <d v="2011-12-11T00:00:00"/>
    <n v="5"/>
    <x v="1"/>
    <s v="Barry Gonzalez"/>
    <x v="0"/>
    <m/>
    <s v="Memphis"/>
    <s v="Tennessee"/>
    <s v="South"/>
    <x v="1"/>
    <x v="10"/>
    <s v="Xerox 1909"/>
    <x v="4921"/>
    <n v="2"/>
    <n v="0.2"/>
    <n v="13.717599999999999"/>
  </r>
  <r>
    <n v="7762"/>
    <x v="734"/>
    <x v="3"/>
    <x v="4"/>
    <d v="2014-12-07T00:00:00"/>
    <n v="3"/>
    <x v="2"/>
    <s v="Clay Cheatham"/>
    <x v="0"/>
    <m/>
    <s v="Plano"/>
    <s v="Texas"/>
    <s v="Central"/>
    <x v="1"/>
    <x v="10"/>
    <s v="Xerox 1998"/>
    <x v="559"/>
    <n v="2"/>
    <n v="0.2"/>
    <n v="3.6288"/>
  </r>
  <r>
    <n v="7763"/>
    <x v="986"/>
    <x v="3"/>
    <x v="8"/>
    <d v="2014-09-29T00:00:00"/>
    <n v="2"/>
    <x v="2"/>
    <s v="Sara Luxemburg"/>
    <x v="2"/>
    <m/>
    <s v="Salem"/>
    <s v="Oregon"/>
    <s v="West"/>
    <x v="1"/>
    <x v="6"/>
    <s v="Prang Drawing Pencil Set"/>
    <x v="4922"/>
    <n v="1"/>
    <n v="0.2"/>
    <n v="0.55600000000000005"/>
  </r>
  <r>
    <n v="7764"/>
    <x v="302"/>
    <x v="1"/>
    <x v="11"/>
    <d v="2012-02-07T00:00:00"/>
    <n v="4"/>
    <x v="1"/>
    <s v="Frank Olsen"/>
    <x v="0"/>
    <m/>
    <s v="Columbus"/>
    <s v="Georgia"/>
    <s v="South"/>
    <x v="1"/>
    <x v="12"/>
    <s v="Staples"/>
    <x v="4923"/>
    <n v="9"/>
    <n v="0"/>
    <n v="35.0244"/>
  </r>
  <r>
    <n v="7765"/>
    <x v="801"/>
    <x v="3"/>
    <x v="6"/>
    <d v="2014-08-13T00:00:00"/>
    <n v="0"/>
    <x v="3"/>
    <s v="Brenda Bowman"/>
    <x v="1"/>
    <m/>
    <s v="Columbia"/>
    <s v="Maryland"/>
    <s v="East"/>
    <x v="1"/>
    <x v="6"/>
    <s v="Newell 312"/>
    <x v="254"/>
    <n v="3"/>
    <n v="0"/>
    <n v="5.2560000000000002"/>
  </r>
  <r>
    <n v="7766"/>
    <x v="801"/>
    <x v="3"/>
    <x v="6"/>
    <d v="2014-08-13T00:00:00"/>
    <n v="0"/>
    <x v="3"/>
    <s v="Brenda Bowman"/>
    <x v="1"/>
    <m/>
    <s v="Columbia"/>
    <s v="Maryland"/>
    <s v="East"/>
    <x v="0"/>
    <x v="1"/>
    <s v="Hon 4700 Series Mobuis Mid-Back Task Chairs with Adjustable Arms"/>
    <x v="4924"/>
    <n v="5"/>
    <n v="0"/>
    <n v="373.779"/>
  </r>
  <r>
    <n v="7767"/>
    <x v="801"/>
    <x v="3"/>
    <x v="6"/>
    <d v="2014-08-13T00:00:00"/>
    <n v="0"/>
    <x v="3"/>
    <s v="Brenda Bowman"/>
    <x v="1"/>
    <m/>
    <s v="Columbia"/>
    <s v="Maryland"/>
    <s v="East"/>
    <x v="1"/>
    <x v="6"/>
    <s v="Boston 1645 Deluxe Heavier-Duty Electric Pencil Sharpener"/>
    <x v="4925"/>
    <n v="5"/>
    <n v="0"/>
    <n v="59.372999999999998"/>
  </r>
  <r>
    <n v="7768"/>
    <x v="252"/>
    <x v="1"/>
    <x v="6"/>
    <d v="2012-08-26T00:00:00"/>
    <n v="2"/>
    <x v="2"/>
    <s v="Denny Ordway"/>
    <x v="0"/>
    <m/>
    <s v="Portland"/>
    <s v="Oregon"/>
    <s v="West"/>
    <x v="1"/>
    <x v="6"/>
    <s v="Premium Writing Pencils, Soft, #2 by Central Association for the Blind"/>
    <x v="485"/>
    <n v="3"/>
    <n v="0.2"/>
    <n v="0.71519999999999995"/>
  </r>
  <r>
    <n v="7769"/>
    <x v="105"/>
    <x v="3"/>
    <x v="0"/>
    <d v="2014-11-18T00:00:00"/>
    <n v="5"/>
    <x v="1"/>
    <s v="Larry Blacks"/>
    <x v="0"/>
    <m/>
    <s v="Tallahassee"/>
    <s v="Florida"/>
    <s v="South"/>
    <x v="1"/>
    <x v="10"/>
    <s v="Xerox 1968"/>
    <x v="2979"/>
    <n v="5"/>
    <n v="0.2"/>
    <n v="9.3520000000000003"/>
  </r>
  <r>
    <n v="7770"/>
    <x v="1147"/>
    <x v="0"/>
    <x v="6"/>
    <d v="2013-08-02T00:00:00"/>
    <n v="0"/>
    <x v="3"/>
    <s v="Thomas Seio"/>
    <x v="1"/>
    <m/>
    <s v="Riverside"/>
    <s v="California"/>
    <s v="West"/>
    <x v="2"/>
    <x v="7"/>
    <s v="Apple iPhone 5"/>
    <x v="4926"/>
    <n v="2"/>
    <n v="0.2"/>
    <n v="90.976200000000006"/>
  </r>
  <r>
    <n v="7771"/>
    <x v="1147"/>
    <x v="0"/>
    <x v="6"/>
    <d v="2013-08-02T00:00:00"/>
    <n v="0"/>
    <x v="3"/>
    <s v="Thomas Seio"/>
    <x v="1"/>
    <m/>
    <s v="Riverside"/>
    <s v="California"/>
    <s v="West"/>
    <x v="1"/>
    <x v="9"/>
    <s v="Belkin F5C206VTEL 6 Outlet Surge"/>
    <x v="4927"/>
    <n v="2"/>
    <n v="0"/>
    <n v="13.788"/>
  </r>
  <r>
    <n v="7772"/>
    <x v="881"/>
    <x v="0"/>
    <x v="0"/>
    <d v="2013-12-03T00:00:00"/>
    <n v="7"/>
    <x v="1"/>
    <s v="Cindy Stewart"/>
    <x v="0"/>
    <m/>
    <s v="Lancaster"/>
    <s v="Ohio"/>
    <s v="East"/>
    <x v="1"/>
    <x v="8"/>
    <s v="GBC Ibimaster 500 Manual ProClick Binding System"/>
    <x v="4928"/>
    <n v="2"/>
    <n v="0.7"/>
    <n v="-304.392"/>
  </r>
  <r>
    <n v="7773"/>
    <x v="881"/>
    <x v="0"/>
    <x v="0"/>
    <d v="2013-12-03T00:00:00"/>
    <n v="7"/>
    <x v="1"/>
    <s v="Cindy Stewart"/>
    <x v="0"/>
    <m/>
    <s v="Lancaster"/>
    <s v="Ohio"/>
    <s v="East"/>
    <x v="2"/>
    <x v="15"/>
    <s v="Cubify CubeX 3D Printer Double Head Print"/>
    <x v="4929"/>
    <n v="5"/>
    <n v="0.7"/>
    <n v="-6599.9780000000001"/>
  </r>
  <r>
    <n v="7774"/>
    <x v="881"/>
    <x v="0"/>
    <x v="0"/>
    <d v="2013-12-03T00:00:00"/>
    <n v="7"/>
    <x v="1"/>
    <s v="Cindy Stewart"/>
    <x v="0"/>
    <m/>
    <s v="Lancaster"/>
    <s v="Ohio"/>
    <s v="East"/>
    <x v="2"/>
    <x v="11"/>
    <s v="NETGEAR RangeMax WNR1000 Wireless Router"/>
    <x v="4930"/>
    <n v="3"/>
    <n v="0.2"/>
    <n v="11.995200000000001"/>
  </r>
  <r>
    <n v="7775"/>
    <x v="1172"/>
    <x v="0"/>
    <x v="3"/>
    <d v="2013-04-16T00:00:00"/>
    <n v="2"/>
    <x v="2"/>
    <s v="Susan Pistek"/>
    <x v="0"/>
    <m/>
    <s v="San Francisco"/>
    <s v="California"/>
    <s v="West"/>
    <x v="1"/>
    <x v="12"/>
    <s v="Poly String Tie Envelopes"/>
    <x v="4931"/>
    <n v="3"/>
    <n v="0"/>
    <n v="2.8763999999999998"/>
  </r>
  <r>
    <n v="7776"/>
    <x v="422"/>
    <x v="2"/>
    <x v="4"/>
    <d v="2011-12-31T00:00:00"/>
    <n v="4"/>
    <x v="1"/>
    <s v="Cynthia Delaney"/>
    <x v="2"/>
    <m/>
    <s v="Moreno Valley"/>
    <s v="California"/>
    <s v="West"/>
    <x v="1"/>
    <x v="9"/>
    <s v="Staples"/>
    <x v="4932"/>
    <n v="1"/>
    <n v="0"/>
    <n v="2.9645999999999999"/>
  </r>
  <r>
    <n v="7777"/>
    <x v="422"/>
    <x v="2"/>
    <x v="4"/>
    <d v="2011-12-31T00:00:00"/>
    <n v="4"/>
    <x v="1"/>
    <s v="Cynthia Delaney"/>
    <x v="2"/>
    <m/>
    <s v="Moreno Valley"/>
    <s v="California"/>
    <s v="West"/>
    <x v="1"/>
    <x v="13"/>
    <s v="Staples"/>
    <x v="1974"/>
    <n v="3"/>
    <n v="0"/>
    <n v="3.6156000000000001"/>
  </r>
  <r>
    <n v="7778"/>
    <x v="422"/>
    <x v="2"/>
    <x v="4"/>
    <d v="2011-12-31T00:00:00"/>
    <n v="4"/>
    <x v="1"/>
    <s v="Cynthia Delaney"/>
    <x v="2"/>
    <m/>
    <s v="Moreno Valley"/>
    <s v="California"/>
    <s v="West"/>
    <x v="1"/>
    <x v="4"/>
    <s v="Advantus Rolling Storage Box"/>
    <x v="488"/>
    <n v="3"/>
    <n v="0"/>
    <n v="13.891500000000001"/>
  </r>
  <r>
    <n v="7779"/>
    <x v="422"/>
    <x v="2"/>
    <x v="4"/>
    <d v="2011-12-31T00:00:00"/>
    <n v="4"/>
    <x v="1"/>
    <s v="Cynthia Delaney"/>
    <x v="2"/>
    <m/>
    <s v="Moreno Valley"/>
    <s v="California"/>
    <s v="West"/>
    <x v="1"/>
    <x v="8"/>
    <s v="GBC VeloBind Cover Sets"/>
    <x v="4505"/>
    <n v="3"/>
    <n v="0.2"/>
    <n v="13.896000000000001"/>
  </r>
  <r>
    <n v="7780"/>
    <x v="724"/>
    <x v="0"/>
    <x v="3"/>
    <d v="2013-04-23T00:00:00"/>
    <n v="4"/>
    <x v="1"/>
    <s v="Roy Französisch"/>
    <x v="0"/>
    <m/>
    <s v="Chesapeake"/>
    <s v="Virginia"/>
    <s v="South"/>
    <x v="1"/>
    <x v="9"/>
    <s v="Eureka The Boss Cordless Rechargeable Stick Vac"/>
    <x v="2572"/>
    <n v="4"/>
    <n v="0"/>
    <n v="55.058399999999999"/>
  </r>
  <r>
    <n v="7781"/>
    <x v="724"/>
    <x v="0"/>
    <x v="3"/>
    <d v="2013-04-23T00:00:00"/>
    <n v="4"/>
    <x v="1"/>
    <s v="Roy Französisch"/>
    <x v="0"/>
    <m/>
    <s v="Chesapeake"/>
    <s v="Virginia"/>
    <s v="South"/>
    <x v="2"/>
    <x v="7"/>
    <s v="SKILCRAFT Telephone Shoulder Rest, 2&quot; x 6.5&quot; x 2.5&quot;, Black"/>
    <x v="4933"/>
    <n v="4"/>
    <n v="0"/>
    <n v="7.9812000000000003"/>
  </r>
  <r>
    <n v="7782"/>
    <x v="936"/>
    <x v="1"/>
    <x v="10"/>
    <d v="2012-03-12T00:00:00"/>
    <n v="4"/>
    <x v="1"/>
    <s v="Frank Olsen"/>
    <x v="0"/>
    <m/>
    <s v="Chicago"/>
    <s v="Illinois"/>
    <s v="Central"/>
    <x v="1"/>
    <x v="8"/>
    <s v="Avery Premier Heavy-Duty Binder with Round Locking Rings"/>
    <x v="835"/>
    <n v="3"/>
    <n v="0.8"/>
    <n v="-14.5656"/>
  </r>
  <r>
    <n v="7783"/>
    <x v="254"/>
    <x v="0"/>
    <x v="0"/>
    <d v="2013-11-07T00:00:00"/>
    <n v="2"/>
    <x v="0"/>
    <s v="Elpida Rittenbach"/>
    <x v="1"/>
    <m/>
    <s v="Charlotte"/>
    <s v="North Carolina"/>
    <s v="South"/>
    <x v="1"/>
    <x v="4"/>
    <s v="Eldon Portable Mobile Manager"/>
    <x v="3395"/>
    <n v="2"/>
    <n v="0.2"/>
    <n v="3.9592000000000001"/>
  </r>
  <r>
    <n v="7784"/>
    <x v="254"/>
    <x v="0"/>
    <x v="0"/>
    <d v="2013-11-07T00:00:00"/>
    <n v="2"/>
    <x v="0"/>
    <s v="Elpida Rittenbach"/>
    <x v="1"/>
    <m/>
    <s v="Charlotte"/>
    <s v="North Carolina"/>
    <s v="South"/>
    <x v="0"/>
    <x v="3"/>
    <s v="BPI Conference Tables"/>
    <x v="4934"/>
    <n v="10"/>
    <n v="0.4"/>
    <n v="-292.10000000000002"/>
  </r>
  <r>
    <n v="7785"/>
    <x v="254"/>
    <x v="0"/>
    <x v="0"/>
    <d v="2013-11-07T00:00:00"/>
    <n v="2"/>
    <x v="0"/>
    <s v="Elpida Rittenbach"/>
    <x v="1"/>
    <m/>
    <s v="Charlotte"/>
    <s v="North Carolina"/>
    <s v="South"/>
    <x v="1"/>
    <x v="14"/>
    <s v="Premier Electric Letter Opener"/>
    <x v="439"/>
    <n v="2"/>
    <n v="0.2"/>
    <n v="-34.758000000000003"/>
  </r>
  <r>
    <n v="7786"/>
    <x v="503"/>
    <x v="2"/>
    <x v="0"/>
    <d v="2011-12-06T00:00:00"/>
    <n v="7"/>
    <x v="1"/>
    <s v="Philip Brown"/>
    <x v="0"/>
    <m/>
    <s v="New York City"/>
    <s v="New York"/>
    <s v="East"/>
    <x v="1"/>
    <x v="2"/>
    <s v="Avery 485"/>
    <x v="2910"/>
    <n v="2"/>
    <n v="0"/>
    <n v="11.7782"/>
  </r>
  <r>
    <n v="7787"/>
    <x v="624"/>
    <x v="0"/>
    <x v="5"/>
    <d v="2013-05-21T00:00:00"/>
    <n v="3"/>
    <x v="2"/>
    <s v="Luke Weiss"/>
    <x v="0"/>
    <m/>
    <s v="Chicago"/>
    <s v="Illinois"/>
    <s v="Central"/>
    <x v="1"/>
    <x v="8"/>
    <s v="Acco Recycled 2&quot; Capacity Laser Printer Hanging Data Binders"/>
    <x v="793"/>
    <n v="1"/>
    <n v="0.8"/>
    <n v="-4.7685000000000004"/>
  </r>
  <r>
    <n v="7788"/>
    <x v="624"/>
    <x v="0"/>
    <x v="5"/>
    <d v="2013-05-21T00:00:00"/>
    <n v="3"/>
    <x v="2"/>
    <s v="Luke Weiss"/>
    <x v="0"/>
    <m/>
    <s v="Chicago"/>
    <s v="Illinois"/>
    <s v="Central"/>
    <x v="1"/>
    <x v="13"/>
    <s v="Acco Hot Clips Clips to Go"/>
    <x v="4935"/>
    <n v="3"/>
    <n v="0.2"/>
    <n v="2.4674999999999998"/>
  </r>
  <r>
    <n v="7789"/>
    <x v="624"/>
    <x v="0"/>
    <x v="5"/>
    <d v="2013-05-21T00:00:00"/>
    <n v="3"/>
    <x v="2"/>
    <s v="Luke Weiss"/>
    <x v="0"/>
    <m/>
    <s v="Chicago"/>
    <s v="Illinois"/>
    <s v="Central"/>
    <x v="0"/>
    <x v="5"/>
    <s v="Flat Face Poster Frame"/>
    <x v="1803"/>
    <n v="3"/>
    <n v="0.6"/>
    <n v="-10.1736"/>
  </r>
  <r>
    <n v="7790"/>
    <x v="624"/>
    <x v="0"/>
    <x v="5"/>
    <d v="2013-05-21T00:00:00"/>
    <n v="3"/>
    <x v="2"/>
    <s v="Luke Weiss"/>
    <x v="0"/>
    <m/>
    <s v="Chicago"/>
    <s v="Illinois"/>
    <s v="Central"/>
    <x v="1"/>
    <x v="10"/>
    <s v="Wirebound Message Books, Four 2 3/4 x 5 Forms per Page, 200 Sets per Book"/>
    <x v="4936"/>
    <n v="8"/>
    <n v="0.2"/>
    <n v="9.5399999999999991"/>
  </r>
  <r>
    <n v="7791"/>
    <x v="20"/>
    <x v="3"/>
    <x v="8"/>
    <d v="2014-09-20T00:00:00"/>
    <n v="0"/>
    <x v="3"/>
    <s v="Frank Gastineau"/>
    <x v="2"/>
    <m/>
    <s v="Philadelphia"/>
    <s v="Pennsylvania"/>
    <s v="East"/>
    <x v="1"/>
    <x v="8"/>
    <s v="Acco PRESSTEX Data Binder with Storage Hooks, Dark Blue, 9 1/2&quot; X 11&quot;"/>
    <x v="4937"/>
    <n v="3"/>
    <n v="0.7"/>
    <n v="-3.3894000000000002"/>
  </r>
  <r>
    <n v="7792"/>
    <x v="1054"/>
    <x v="0"/>
    <x v="4"/>
    <d v="2013-12-25T00:00:00"/>
    <n v="5"/>
    <x v="1"/>
    <s v="Barry Pond"/>
    <x v="1"/>
    <m/>
    <s v="Chicago"/>
    <s v="Illinois"/>
    <s v="Central"/>
    <x v="1"/>
    <x v="8"/>
    <s v="Wilson Jones Easy Flow II Sheet Lifters"/>
    <x v="4938"/>
    <n v="5"/>
    <n v="0.8"/>
    <n v="-2.88"/>
  </r>
  <r>
    <n v="7793"/>
    <x v="386"/>
    <x v="3"/>
    <x v="2"/>
    <d v="2014-10-16T00:00:00"/>
    <n v="3"/>
    <x v="2"/>
    <s v="Sung Pak"/>
    <x v="1"/>
    <m/>
    <s v="Dallas"/>
    <s v="Texas"/>
    <s v="Central"/>
    <x v="2"/>
    <x v="11"/>
    <s v="Logitech Wireless Touch Keyboard K400"/>
    <x v="3806"/>
    <n v="2"/>
    <n v="0.2"/>
    <n v="-1.4994000000000001"/>
  </r>
  <r>
    <n v="7794"/>
    <x v="295"/>
    <x v="1"/>
    <x v="4"/>
    <d v="2012-12-15T00:00:00"/>
    <n v="3"/>
    <x v="0"/>
    <s v="Jonathan Doherty"/>
    <x v="1"/>
    <m/>
    <s v="Las Vegas"/>
    <s v="Nevada"/>
    <s v="West"/>
    <x v="1"/>
    <x v="10"/>
    <s v="Xerox 1930"/>
    <x v="56"/>
    <n v="5"/>
    <n v="0"/>
    <n v="15.875999999999999"/>
  </r>
  <r>
    <n v="7795"/>
    <x v="295"/>
    <x v="1"/>
    <x v="4"/>
    <d v="2012-12-15T00:00:00"/>
    <n v="3"/>
    <x v="0"/>
    <s v="Jonathan Doherty"/>
    <x v="1"/>
    <m/>
    <s v="Las Vegas"/>
    <s v="Nevada"/>
    <s v="West"/>
    <x v="1"/>
    <x v="10"/>
    <s v="Xerox 1916"/>
    <x v="3038"/>
    <n v="2"/>
    <n v="0"/>
    <n v="48.94"/>
  </r>
  <r>
    <n v="7796"/>
    <x v="984"/>
    <x v="1"/>
    <x v="7"/>
    <d v="2012-07-18T00:00:00"/>
    <n v="6"/>
    <x v="1"/>
    <s v="Fred McMath"/>
    <x v="0"/>
    <m/>
    <s v="Amarillo"/>
    <s v="Texas"/>
    <s v="Central"/>
    <x v="2"/>
    <x v="7"/>
    <s v="Vtech CS6719"/>
    <x v="4939"/>
    <n v="4"/>
    <n v="0.2"/>
    <n v="30.716799999999999"/>
  </r>
  <r>
    <n v="7797"/>
    <x v="653"/>
    <x v="1"/>
    <x v="2"/>
    <d v="2012-10-06T00:00:00"/>
    <n v="4"/>
    <x v="1"/>
    <s v="Michael Paige"/>
    <x v="1"/>
    <m/>
    <s v="Middletown"/>
    <s v="Connecticut"/>
    <s v="East"/>
    <x v="1"/>
    <x v="8"/>
    <s v="Acco PRESSTEX Data Binder with Storage Hooks, Dark Blue, 14 7/8&quot; X 11&quot;"/>
    <x v="4940"/>
    <n v="5"/>
    <n v="0"/>
    <n v="13.180999999999999"/>
  </r>
  <r>
    <n v="7798"/>
    <x v="668"/>
    <x v="3"/>
    <x v="10"/>
    <d v="2014-03-28T00:00:00"/>
    <n v="3"/>
    <x v="2"/>
    <s v="Harold Ryan"/>
    <x v="1"/>
    <m/>
    <s v="New York City"/>
    <s v="New York"/>
    <s v="East"/>
    <x v="1"/>
    <x v="12"/>
    <s v="#10 White Business Envelopes,4 1/8 x 9 1/2"/>
    <x v="4941"/>
    <n v="3"/>
    <n v="0"/>
    <n v="22.0947"/>
  </r>
  <r>
    <n v="7799"/>
    <x v="668"/>
    <x v="3"/>
    <x v="10"/>
    <d v="2014-03-28T00:00:00"/>
    <n v="3"/>
    <x v="2"/>
    <s v="Harold Ryan"/>
    <x v="1"/>
    <m/>
    <s v="New York City"/>
    <s v="New York"/>
    <s v="East"/>
    <x v="2"/>
    <x v="7"/>
    <s v="Samsung Galaxy S4 Mini"/>
    <x v="4942"/>
    <n v="1"/>
    <n v="0"/>
    <n v="136.2971"/>
  </r>
  <r>
    <n v="7800"/>
    <x v="668"/>
    <x v="3"/>
    <x v="10"/>
    <d v="2014-03-28T00:00:00"/>
    <n v="3"/>
    <x v="2"/>
    <s v="Harold Ryan"/>
    <x v="1"/>
    <m/>
    <s v="New York City"/>
    <s v="New York"/>
    <s v="East"/>
    <x v="0"/>
    <x v="1"/>
    <s v="Global Deluxe Steno Chair"/>
    <x v="415"/>
    <n v="3"/>
    <n v="0.1"/>
    <n v="2.3094000000000001"/>
  </r>
  <r>
    <n v="7801"/>
    <x v="702"/>
    <x v="3"/>
    <x v="1"/>
    <d v="2014-06-07T00:00:00"/>
    <n v="5"/>
    <x v="1"/>
    <s v="Barry Weirich"/>
    <x v="0"/>
    <m/>
    <s v="Philadelphia"/>
    <s v="Pennsylvania"/>
    <s v="East"/>
    <x v="1"/>
    <x v="4"/>
    <s v="Tennsco Stur-D-Stor Boltless Shelving, 5 Shelves, 24&quot; Deep, Sand"/>
    <x v="4943"/>
    <n v="3"/>
    <n v="0.2"/>
    <n v="-77.1267"/>
  </r>
  <r>
    <n v="7802"/>
    <x v="977"/>
    <x v="2"/>
    <x v="10"/>
    <d v="2011-03-29T00:00:00"/>
    <n v="5"/>
    <x v="0"/>
    <s v="Maurice Satty"/>
    <x v="0"/>
    <m/>
    <s v="Fresno"/>
    <s v="California"/>
    <s v="West"/>
    <x v="0"/>
    <x v="5"/>
    <s v="DAX Contemporary Wood Frame with Silver Metal Mat, Desktop, 11 x 14 Size"/>
    <x v="582"/>
    <n v="2"/>
    <n v="0"/>
    <n v="14.572800000000001"/>
  </r>
  <r>
    <n v="7803"/>
    <x v="357"/>
    <x v="1"/>
    <x v="8"/>
    <d v="2012-09-26T00:00:00"/>
    <n v="4"/>
    <x v="1"/>
    <s v="Sanjit Jacobs"/>
    <x v="2"/>
    <m/>
    <s v="Franklin"/>
    <s v="Tennessee"/>
    <s v="South"/>
    <x v="1"/>
    <x v="2"/>
    <s v="Avery 510"/>
    <x v="4944"/>
    <n v="4"/>
    <n v="0.2"/>
    <n v="4.2"/>
  </r>
  <r>
    <n v="7804"/>
    <x v="357"/>
    <x v="1"/>
    <x v="8"/>
    <d v="2012-09-26T00:00:00"/>
    <n v="4"/>
    <x v="1"/>
    <s v="Sanjit Jacobs"/>
    <x v="2"/>
    <m/>
    <s v="Franklin"/>
    <s v="Tennessee"/>
    <s v="South"/>
    <x v="1"/>
    <x v="4"/>
    <s v="Tennsco Double-Tier Lockers"/>
    <x v="2889"/>
    <n v="4"/>
    <n v="0.2"/>
    <n v="-63.005600000000001"/>
  </r>
  <r>
    <n v="7805"/>
    <x v="357"/>
    <x v="1"/>
    <x v="8"/>
    <d v="2012-09-26T00:00:00"/>
    <n v="4"/>
    <x v="1"/>
    <s v="Sanjit Jacobs"/>
    <x v="2"/>
    <m/>
    <s v="Franklin"/>
    <s v="Tennessee"/>
    <s v="South"/>
    <x v="1"/>
    <x v="4"/>
    <s v="Safco Wire Cube Shelving System, For Use as 4 or 5 14&quot; Cubes, Black"/>
    <x v="4945"/>
    <n v="1"/>
    <n v="0.2"/>
    <n v="-4.7670000000000003"/>
  </r>
  <r>
    <n v="7806"/>
    <x v="357"/>
    <x v="1"/>
    <x v="8"/>
    <d v="2012-09-26T00:00:00"/>
    <n v="4"/>
    <x v="1"/>
    <s v="Sanjit Jacobs"/>
    <x v="2"/>
    <m/>
    <s v="Franklin"/>
    <s v="Tennessee"/>
    <s v="South"/>
    <x v="1"/>
    <x v="6"/>
    <s v="Newell 310"/>
    <x v="1850"/>
    <n v="2"/>
    <n v="0.2"/>
    <n v="0.31680000000000003"/>
  </r>
  <r>
    <n v="7807"/>
    <x v="357"/>
    <x v="1"/>
    <x v="8"/>
    <d v="2012-09-26T00:00:00"/>
    <n v="4"/>
    <x v="1"/>
    <s v="Sanjit Jacobs"/>
    <x v="2"/>
    <m/>
    <s v="Franklin"/>
    <s v="Tennessee"/>
    <s v="South"/>
    <x v="1"/>
    <x v="8"/>
    <s v="Pressboard Data Binder, Crimson, 12&quot; X 8 1/2&quot;"/>
    <x v="2193"/>
    <n v="2"/>
    <n v="0.7"/>
    <n v="-2.5632000000000001"/>
  </r>
  <r>
    <n v="7808"/>
    <x v="1134"/>
    <x v="0"/>
    <x v="9"/>
    <d v="2013-01-13T00:00:00"/>
    <n v="5"/>
    <x v="1"/>
    <s v="Vivek Sundaresam"/>
    <x v="0"/>
    <m/>
    <s v="Raleigh"/>
    <s v="North Carolina"/>
    <s v="South"/>
    <x v="1"/>
    <x v="8"/>
    <s v="XtraLife ClearVue Slant-D Ring Binder, White, 3&quot;"/>
    <x v="4946"/>
    <n v="7"/>
    <n v="0.7"/>
    <n v="-24.662400000000002"/>
  </r>
  <r>
    <n v="7809"/>
    <x v="1134"/>
    <x v="0"/>
    <x v="9"/>
    <d v="2013-01-13T00:00:00"/>
    <n v="5"/>
    <x v="1"/>
    <s v="Vivek Sundaresam"/>
    <x v="0"/>
    <m/>
    <s v="Raleigh"/>
    <s v="North Carolina"/>
    <s v="South"/>
    <x v="1"/>
    <x v="6"/>
    <s v="Newell 319"/>
    <x v="1634"/>
    <n v="3"/>
    <n v="0.2"/>
    <n v="5.952"/>
  </r>
  <r>
    <n v="7810"/>
    <x v="1134"/>
    <x v="0"/>
    <x v="9"/>
    <d v="2013-01-13T00:00:00"/>
    <n v="5"/>
    <x v="1"/>
    <s v="Vivek Sundaresam"/>
    <x v="0"/>
    <m/>
    <s v="Raleigh"/>
    <s v="North Carolina"/>
    <s v="South"/>
    <x v="2"/>
    <x v="7"/>
    <s v="Avaya 5410 Digital phone"/>
    <x v="2955"/>
    <n v="2"/>
    <n v="0.2"/>
    <n v="10.878399999999999"/>
  </r>
  <r>
    <n v="7811"/>
    <x v="1173"/>
    <x v="0"/>
    <x v="11"/>
    <d v="2013-02-15T00:00:00"/>
    <n v="1"/>
    <x v="2"/>
    <s v="Dave Kipp"/>
    <x v="0"/>
    <m/>
    <s v="Clinton"/>
    <s v="Maryland"/>
    <s v="East"/>
    <x v="1"/>
    <x v="10"/>
    <s v="Wirebound Message Books, Four 2 3/4 x 5 Forms per Page, 200 Sets per Book"/>
    <x v="4947"/>
    <n v="1"/>
    <n v="0"/>
    <n v="2.1465000000000001"/>
  </r>
  <r>
    <n v="7812"/>
    <x v="1173"/>
    <x v="0"/>
    <x v="11"/>
    <d v="2013-02-15T00:00:00"/>
    <n v="1"/>
    <x v="2"/>
    <s v="Dave Kipp"/>
    <x v="0"/>
    <m/>
    <s v="Clinton"/>
    <s v="Maryland"/>
    <s v="East"/>
    <x v="1"/>
    <x v="6"/>
    <s v="Economy #2 Pencils"/>
    <x v="3277"/>
    <n v="3"/>
    <n v="0"/>
    <n v="2.0748000000000002"/>
  </r>
  <r>
    <n v="7813"/>
    <x v="1173"/>
    <x v="0"/>
    <x v="11"/>
    <d v="2013-02-15T00:00:00"/>
    <n v="1"/>
    <x v="2"/>
    <s v="Dave Kipp"/>
    <x v="0"/>
    <m/>
    <s v="Clinton"/>
    <s v="Maryland"/>
    <s v="East"/>
    <x v="0"/>
    <x v="3"/>
    <s v="Bevis Boat-Shaped Conference Table"/>
    <x v="4948"/>
    <n v="3"/>
    <n v="0.3"/>
    <n v="-47.1798"/>
  </r>
  <r>
    <n v="7814"/>
    <x v="1173"/>
    <x v="0"/>
    <x v="11"/>
    <d v="2013-02-15T00:00:00"/>
    <n v="1"/>
    <x v="2"/>
    <s v="Dave Kipp"/>
    <x v="0"/>
    <m/>
    <s v="Clinton"/>
    <s v="Maryland"/>
    <s v="East"/>
    <x v="0"/>
    <x v="5"/>
    <s v="Regeneration Desk Collection"/>
    <x v="232"/>
    <n v="6"/>
    <n v="0"/>
    <n v="4.6463999999999999"/>
  </r>
  <r>
    <n v="7815"/>
    <x v="110"/>
    <x v="3"/>
    <x v="1"/>
    <d v="2014-06-11T00:00:00"/>
    <n v="2"/>
    <x v="2"/>
    <s v="Maureen Gastineau"/>
    <x v="2"/>
    <m/>
    <s v="Los Angeles"/>
    <s v="California"/>
    <s v="West"/>
    <x v="0"/>
    <x v="0"/>
    <s v="Riverside Palais Royal Lawyers Bookcase, Royale Cherry Finish"/>
    <x v="4949"/>
    <n v="2"/>
    <n v="0.15"/>
    <n v="140.95679999999999"/>
  </r>
  <r>
    <n v="7816"/>
    <x v="110"/>
    <x v="3"/>
    <x v="1"/>
    <d v="2014-06-11T00:00:00"/>
    <n v="2"/>
    <x v="2"/>
    <s v="Maureen Gastineau"/>
    <x v="2"/>
    <m/>
    <s v="Los Angeles"/>
    <s v="California"/>
    <s v="West"/>
    <x v="2"/>
    <x v="7"/>
    <s v="Shocksock Galaxy S4 Armband"/>
    <x v="254"/>
    <n v="2"/>
    <n v="0.2"/>
    <n v="-3.504"/>
  </r>
  <r>
    <n v="7817"/>
    <x v="147"/>
    <x v="0"/>
    <x v="2"/>
    <d v="2013-10-27T00:00:00"/>
    <n v="5"/>
    <x v="0"/>
    <s v="Dennis Pardue"/>
    <x v="2"/>
    <m/>
    <s v="North Las Vegas"/>
    <s v="Nevada"/>
    <s v="West"/>
    <x v="1"/>
    <x v="6"/>
    <s v="Panasonic KP-150 Electric Pencil Sharpener"/>
    <x v="4950"/>
    <n v="3"/>
    <n v="0"/>
    <n v="29.437200000000001"/>
  </r>
  <r>
    <n v="7818"/>
    <x v="147"/>
    <x v="0"/>
    <x v="2"/>
    <d v="2013-10-27T00:00:00"/>
    <n v="5"/>
    <x v="0"/>
    <s v="Dennis Pardue"/>
    <x v="2"/>
    <m/>
    <s v="North Las Vegas"/>
    <s v="Nevada"/>
    <s v="West"/>
    <x v="1"/>
    <x v="10"/>
    <s v="Xerox 193"/>
    <x v="1197"/>
    <n v="6"/>
    <n v="0"/>
    <n v="17.581199999999999"/>
  </r>
  <r>
    <n v="7819"/>
    <x v="147"/>
    <x v="0"/>
    <x v="2"/>
    <d v="2013-10-27T00:00:00"/>
    <n v="5"/>
    <x v="0"/>
    <s v="Dennis Pardue"/>
    <x v="2"/>
    <m/>
    <s v="North Las Vegas"/>
    <s v="Nevada"/>
    <s v="West"/>
    <x v="1"/>
    <x v="8"/>
    <s v="Ibico EPK-21 Electric Binding System"/>
    <x v="4951"/>
    <n v="3"/>
    <n v="0.2"/>
    <n v="1644.2913000000001"/>
  </r>
  <r>
    <n v="7820"/>
    <x v="795"/>
    <x v="3"/>
    <x v="9"/>
    <d v="2014-01-31T00:00:00"/>
    <n v="4"/>
    <x v="1"/>
    <s v="Caroline Jumper"/>
    <x v="0"/>
    <m/>
    <s v="San Francisco"/>
    <s v="California"/>
    <s v="West"/>
    <x v="1"/>
    <x v="13"/>
    <s v="Binder Clips by OIC"/>
    <x v="1559"/>
    <n v="8"/>
    <n v="0"/>
    <n v="5.6832000000000003"/>
  </r>
  <r>
    <n v="7821"/>
    <x v="166"/>
    <x v="3"/>
    <x v="4"/>
    <d v="2014-12-11T00:00:00"/>
    <n v="2"/>
    <x v="0"/>
    <s v="Carl Weiss"/>
    <x v="2"/>
    <m/>
    <s v="Cranston"/>
    <s v="Rhode Island"/>
    <s v="East"/>
    <x v="1"/>
    <x v="4"/>
    <s v="Recycled Data-Pak for Archival Bound Computer Printouts, 12-1/2 x 12-1/2 x 16"/>
    <x v="4952"/>
    <n v="6"/>
    <n v="0"/>
    <n v="160.03980000000001"/>
  </r>
  <r>
    <n v="7822"/>
    <x v="147"/>
    <x v="0"/>
    <x v="2"/>
    <d v="2013-10-25T00:00:00"/>
    <n v="3"/>
    <x v="0"/>
    <s v="Giulietta Weimer"/>
    <x v="0"/>
    <m/>
    <s v="Jackson"/>
    <s v="Tennessee"/>
    <s v="South"/>
    <x v="1"/>
    <x v="4"/>
    <s v="Tenex Personal Filing Tote With Secure Closure Lid, Black/Frost"/>
    <x v="2637"/>
    <n v="9"/>
    <n v="0.2"/>
    <n v="6.9794999999999998"/>
  </r>
  <r>
    <n v="7823"/>
    <x v="86"/>
    <x v="2"/>
    <x v="6"/>
    <d v="2011-09-01T00:00:00"/>
    <n v="6"/>
    <x v="1"/>
    <s v="Paul Prost"/>
    <x v="2"/>
    <m/>
    <s v="Newark"/>
    <s v="Delaware"/>
    <s v="East"/>
    <x v="1"/>
    <x v="6"/>
    <s v="Newell 340"/>
    <x v="874"/>
    <n v="3"/>
    <n v="0"/>
    <n v="2.5055999999999998"/>
  </r>
  <r>
    <n v="7824"/>
    <x v="86"/>
    <x v="2"/>
    <x v="6"/>
    <d v="2011-09-01T00:00:00"/>
    <n v="6"/>
    <x v="1"/>
    <s v="Paul Prost"/>
    <x v="2"/>
    <m/>
    <s v="Newark"/>
    <s v="Delaware"/>
    <s v="East"/>
    <x v="2"/>
    <x v="11"/>
    <s v="Plantronics Audio 478 Stereo USB Headset"/>
    <x v="145"/>
    <n v="3"/>
    <n v="0"/>
    <n v="52.4895"/>
  </r>
  <r>
    <n v="7825"/>
    <x v="1174"/>
    <x v="2"/>
    <x v="5"/>
    <d v="2011-05-23T00:00:00"/>
    <n v="7"/>
    <x v="1"/>
    <s v="Pauline Webber"/>
    <x v="1"/>
    <m/>
    <s v="Los Angeles"/>
    <s v="California"/>
    <s v="West"/>
    <x v="0"/>
    <x v="1"/>
    <s v="Iceberg Nesting Folding Chair, 19w x 6d x 43h"/>
    <x v="3047"/>
    <n v="5"/>
    <n v="0.2"/>
    <n v="17.466000000000001"/>
  </r>
  <r>
    <n v="7826"/>
    <x v="302"/>
    <x v="1"/>
    <x v="11"/>
    <d v="2012-02-07T00:00:00"/>
    <n v="4"/>
    <x v="1"/>
    <s v="Pauline Webber"/>
    <x v="1"/>
    <m/>
    <s v="Rome"/>
    <s v="New York"/>
    <s v="East"/>
    <x v="0"/>
    <x v="1"/>
    <s v="Global Fabric Manager's Chair, Dark Gray"/>
    <x v="4953"/>
    <n v="1"/>
    <n v="0.1"/>
    <n v="15.147"/>
  </r>
  <r>
    <n v="7827"/>
    <x v="1108"/>
    <x v="3"/>
    <x v="0"/>
    <d v="2014-11-06T00:00:00"/>
    <n v="5"/>
    <x v="1"/>
    <s v="Craig Yedwab"/>
    <x v="1"/>
    <m/>
    <s v="Chicago"/>
    <s v="Illinois"/>
    <s v="Central"/>
    <x v="2"/>
    <x v="7"/>
    <s v="ClearOne Communications CHAT 70 OC Speaker Phone"/>
    <x v="4954"/>
    <n v="4"/>
    <n v="0.2"/>
    <n v="38.157600000000002"/>
  </r>
  <r>
    <n v="7828"/>
    <x v="1108"/>
    <x v="3"/>
    <x v="0"/>
    <d v="2014-11-06T00:00:00"/>
    <n v="5"/>
    <x v="1"/>
    <s v="Craig Yedwab"/>
    <x v="1"/>
    <m/>
    <s v="Chicago"/>
    <s v="Illinois"/>
    <s v="Central"/>
    <x v="1"/>
    <x v="12"/>
    <s v="#10 Gummed Flap White Envelopes, 100/Box"/>
    <x v="4373"/>
    <n v="3"/>
    <n v="0.2"/>
    <n v="3.2214"/>
  </r>
  <r>
    <n v="7829"/>
    <x v="33"/>
    <x v="1"/>
    <x v="3"/>
    <d v="2012-05-01T00:00:00"/>
    <n v="5"/>
    <x v="1"/>
    <s v="Bart Watters"/>
    <x v="1"/>
    <m/>
    <s v="San Diego"/>
    <s v="California"/>
    <s v="West"/>
    <x v="0"/>
    <x v="1"/>
    <s v="SAFCO Optional Arm Kit for Workspace Cribbage Stacking Chair"/>
    <x v="2796"/>
    <n v="3"/>
    <n v="0.2"/>
    <n v="6.3936000000000002"/>
  </r>
  <r>
    <n v="7830"/>
    <x v="33"/>
    <x v="1"/>
    <x v="3"/>
    <d v="2012-05-01T00:00:00"/>
    <n v="5"/>
    <x v="1"/>
    <s v="Bart Watters"/>
    <x v="1"/>
    <m/>
    <s v="San Diego"/>
    <s v="California"/>
    <s v="West"/>
    <x v="1"/>
    <x v="6"/>
    <s v="Newell 345"/>
    <x v="423"/>
    <n v="3"/>
    <n v="0"/>
    <n v="15.475199999999999"/>
  </r>
  <r>
    <n v="7831"/>
    <x v="33"/>
    <x v="1"/>
    <x v="3"/>
    <d v="2012-05-01T00:00:00"/>
    <n v="5"/>
    <x v="1"/>
    <s v="Bart Watters"/>
    <x v="1"/>
    <m/>
    <s v="San Diego"/>
    <s v="California"/>
    <s v="West"/>
    <x v="2"/>
    <x v="7"/>
    <s v="RCA ViSYS 25825 Wireless digital phone"/>
    <x v="2977"/>
    <n v="3"/>
    <n v="0.2"/>
    <n v="38.997"/>
  </r>
  <r>
    <n v="7832"/>
    <x v="33"/>
    <x v="1"/>
    <x v="3"/>
    <d v="2012-05-01T00:00:00"/>
    <n v="5"/>
    <x v="1"/>
    <s v="Bart Watters"/>
    <x v="1"/>
    <m/>
    <s v="San Diego"/>
    <s v="California"/>
    <s v="West"/>
    <x v="1"/>
    <x v="8"/>
    <s v="GBC Premium Transparent Covers with Diagonal Lined Pattern"/>
    <x v="4338"/>
    <n v="3"/>
    <n v="0.2"/>
    <n v="17.623200000000001"/>
  </r>
  <r>
    <n v="7833"/>
    <x v="195"/>
    <x v="0"/>
    <x v="5"/>
    <d v="2013-05-14T00:00:00"/>
    <n v="4"/>
    <x v="1"/>
    <s v="Mick Brown"/>
    <x v="0"/>
    <m/>
    <s v="Houston"/>
    <s v="Texas"/>
    <s v="Central"/>
    <x v="2"/>
    <x v="7"/>
    <s v="I Need's 3d Hello Kitty Hybrid Silicone Case Cover for HTC One X 4g with 3d Hello Kitty Stylus Pen Green/pink"/>
    <x v="4336"/>
    <n v="2"/>
    <n v="0.2"/>
    <n v="1.9136"/>
  </r>
  <r>
    <n v="7834"/>
    <x v="1175"/>
    <x v="1"/>
    <x v="9"/>
    <d v="2012-01-28T00:00:00"/>
    <n v="4"/>
    <x v="1"/>
    <s v="Cyra Reiten"/>
    <x v="2"/>
    <m/>
    <s v="West Palm Beach"/>
    <s v="Florida"/>
    <s v="South"/>
    <x v="1"/>
    <x v="6"/>
    <s v="Crayola Colored Pencils"/>
    <x v="1317"/>
    <n v="5"/>
    <n v="0.2"/>
    <n v="2.1320000000000001"/>
  </r>
  <r>
    <n v="7835"/>
    <x v="657"/>
    <x v="1"/>
    <x v="3"/>
    <d v="2012-04-17T00:00:00"/>
    <n v="4"/>
    <x v="0"/>
    <s v="Eugene Barchas"/>
    <x v="0"/>
    <m/>
    <s v="Los Angeles"/>
    <s v="California"/>
    <s v="West"/>
    <x v="0"/>
    <x v="3"/>
    <s v="Iceberg OfficeWorks 42&quot; Round Tables"/>
    <x v="472"/>
    <n v="2"/>
    <n v="0.2"/>
    <n v="-15.098000000000001"/>
  </r>
  <r>
    <n v="7836"/>
    <x v="657"/>
    <x v="1"/>
    <x v="3"/>
    <d v="2012-04-17T00:00:00"/>
    <n v="4"/>
    <x v="0"/>
    <s v="Eugene Barchas"/>
    <x v="0"/>
    <m/>
    <s v="Los Angeles"/>
    <s v="California"/>
    <s v="West"/>
    <x v="2"/>
    <x v="7"/>
    <s v="Polycom CX600 IP Phone VoIP phone"/>
    <x v="4955"/>
    <n v="2"/>
    <n v="0.2"/>
    <n v="41.993000000000002"/>
  </r>
  <r>
    <n v="7837"/>
    <x v="12"/>
    <x v="1"/>
    <x v="8"/>
    <d v="2012-09-30T00:00:00"/>
    <n v="5"/>
    <x v="1"/>
    <s v="Sally Hughsby"/>
    <x v="1"/>
    <m/>
    <s v="Seattle"/>
    <s v="Washington"/>
    <s v="West"/>
    <x v="0"/>
    <x v="1"/>
    <s v="Global Super Steno Chair"/>
    <x v="393"/>
    <n v="4"/>
    <n v="0.2"/>
    <n v="-11.5176"/>
  </r>
  <r>
    <n v="7838"/>
    <x v="12"/>
    <x v="1"/>
    <x v="8"/>
    <d v="2012-09-30T00:00:00"/>
    <n v="5"/>
    <x v="1"/>
    <s v="Sally Hughsby"/>
    <x v="1"/>
    <m/>
    <s v="Seattle"/>
    <s v="Washington"/>
    <s v="West"/>
    <x v="1"/>
    <x v="2"/>
    <s v="Permanent Self-Adhesive File Folder Labels for Typewriters, 1 1/8 x 3 1/2, White"/>
    <x v="2336"/>
    <n v="2"/>
    <n v="0"/>
    <n v="5.7960000000000003"/>
  </r>
  <r>
    <n v="7839"/>
    <x v="12"/>
    <x v="1"/>
    <x v="8"/>
    <d v="2012-09-30T00:00:00"/>
    <n v="5"/>
    <x v="1"/>
    <s v="Sally Hughsby"/>
    <x v="1"/>
    <m/>
    <s v="Seattle"/>
    <s v="Washington"/>
    <s v="West"/>
    <x v="2"/>
    <x v="11"/>
    <s v="Logitech G602 Wireless Gaming Mouse"/>
    <x v="457"/>
    <n v="2"/>
    <n v="0"/>
    <n v="57.592799999999997"/>
  </r>
  <r>
    <n v="7840"/>
    <x v="1176"/>
    <x v="2"/>
    <x v="10"/>
    <d v="2011-04-02T00:00:00"/>
    <n v="5"/>
    <x v="1"/>
    <s v="Christina VanderZanden"/>
    <x v="0"/>
    <m/>
    <s v="Des Moines"/>
    <s v="Iowa"/>
    <s v="Central"/>
    <x v="1"/>
    <x v="12"/>
    <s v="Poly String Tie Envelopes"/>
    <x v="4931"/>
    <n v="3"/>
    <n v="0"/>
    <n v="2.8763999999999998"/>
  </r>
  <r>
    <n v="7841"/>
    <x v="1176"/>
    <x v="2"/>
    <x v="10"/>
    <d v="2011-04-02T00:00:00"/>
    <n v="5"/>
    <x v="1"/>
    <s v="Christina VanderZanden"/>
    <x v="0"/>
    <m/>
    <s v="Des Moines"/>
    <s v="Iowa"/>
    <s v="Central"/>
    <x v="0"/>
    <x v="3"/>
    <s v="Hon 94000 Series Round Tables"/>
    <x v="4956"/>
    <n v="4"/>
    <n v="0"/>
    <n v="106.62479999999999"/>
  </r>
  <r>
    <n v="7842"/>
    <x v="19"/>
    <x v="0"/>
    <x v="7"/>
    <d v="2013-07-23T00:00:00"/>
    <n v="5"/>
    <x v="1"/>
    <s v="Annie Thurman"/>
    <x v="0"/>
    <m/>
    <s v="New York City"/>
    <s v="New York"/>
    <s v="East"/>
    <x v="1"/>
    <x v="9"/>
    <s v="Belkin F5C206VTEL 6 Outlet Surge"/>
    <x v="4927"/>
    <n v="2"/>
    <n v="0"/>
    <n v="13.788"/>
  </r>
  <r>
    <n v="7843"/>
    <x v="987"/>
    <x v="2"/>
    <x v="3"/>
    <d v="2011-04-23T00:00:00"/>
    <n v="4"/>
    <x v="0"/>
    <s v="Allen Goldenen"/>
    <x v="0"/>
    <m/>
    <s v="Arlington"/>
    <s v="Virginia"/>
    <s v="South"/>
    <x v="1"/>
    <x v="8"/>
    <s v="GBC Durable Plastic Covers"/>
    <x v="701"/>
    <n v="3"/>
    <n v="0"/>
    <n v="26.702999999999999"/>
  </r>
  <r>
    <n v="7844"/>
    <x v="987"/>
    <x v="2"/>
    <x v="3"/>
    <d v="2011-04-23T00:00:00"/>
    <n v="4"/>
    <x v="0"/>
    <s v="Allen Goldenen"/>
    <x v="0"/>
    <m/>
    <s v="Arlington"/>
    <s v="Virginia"/>
    <s v="South"/>
    <x v="1"/>
    <x v="10"/>
    <s v="Xerox 232"/>
    <x v="4204"/>
    <n v="11"/>
    <n v="0"/>
    <n v="34.214399999999998"/>
  </r>
  <r>
    <n v="7845"/>
    <x v="246"/>
    <x v="3"/>
    <x v="7"/>
    <d v="2014-07-26T00:00:00"/>
    <n v="4"/>
    <x v="1"/>
    <s v="Gene McClure"/>
    <x v="0"/>
    <m/>
    <s v="Pharr"/>
    <s v="Texas"/>
    <s v="Central"/>
    <x v="0"/>
    <x v="3"/>
    <s v="Hon 61000 Series Interactive Training Tables"/>
    <x v="4957"/>
    <n v="4"/>
    <n v="0.3"/>
    <n v="-21.3264"/>
  </r>
  <r>
    <n v="7846"/>
    <x v="874"/>
    <x v="1"/>
    <x v="8"/>
    <d v="2012-10-02T00:00:00"/>
    <n v="5"/>
    <x v="1"/>
    <s v="Jamie Kunitz"/>
    <x v="0"/>
    <m/>
    <s v="Arlington"/>
    <s v="Virginia"/>
    <s v="South"/>
    <x v="1"/>
    <x v="10"/>
    <s v="Xerox 1988"/>
    <x v="894"/>
    <n v="5"/>
    <n v="0"/>
    <n v="69.704999999999998"/>
  </r>
  <r>
    <n v="7847"/>
    <x v="874"/>
    <x v="1"/>
    <x v="8"/>
    <d v="2012-10-02T00:00:00"/>
    <n v="5"/>
    <x v="1"/>
    <s v="Jamie Kunitz"/>
    <x v="0"/>
    <m/>
    <s v="Arlington"/>
    <s v="Virginia"/>
    <s v="South"/>
    <x v="2"/>
    <x v="7"/>
    <s v="Cisco SPA301"/>
    <x v="4958"/>
    <n v="12"/>
    <n v="0"/>
    <n v="561.56399999999996"/>
  </r>
  <r>
    <n v="7848"/>
    <x v="535"/>
    <x v="0"/>
    <x v="11"/>
    <d v="2013-03-03T00:00:00"/>
    <n v="4"/>
    <x v="1"/>
    <s v="Don Weiss"/>
    <x v="0"/>
    <m/>
    <s v="Houston"/>
    <s v="Texas"/>
    <s v="Central"/>
    <x v="0"/>
    <x v="5"/>
    <s v="DAX Two-Tone Silver Metal Document Frame"/>
    <x v="2674"/>
    <n v="2"/>
    <n v="0.6"/>
    <n v="-6.8815999999999997"/>
  </r>
  <r>
    <n v="7849"/>
    <x v="440"/>
    <x v="0"/>
    <x v="5"/>
    <d v="2013-05-07T00:00:00"/>
    <n v="4"/>
    <x v="1"/>
    <s v="Adam Shillingsburg"/>
    <x v="0"/>
    <m/>
    <s v="Irving"/>
    <s v="Texas"/>
    <s v="Central"/>
    <x v="1"/>
    <x v="4"/>
    <s v="Akro Stacking Bins"/>
    <x v="2206"/>
    <n v="3"/>
    <n v="0.2"/>
    <n v="-3.7871999999999999"/>
  </r>
  <r>
    <n v="7850"/>
    <x v="440"/>
    <x v="0"/>
    <x v="5"/>
    <d v="2013-05-07T00:00:00"/>
    <n v="4"/>
    <x v="1"/>
    <s v="Adam Shillingsburg"/>
    <x v="0"/>
    <m/>
    <s v="Irving"/>
    <s v="Texas"/>
    <s v="Central"/>
    <x v="1"/>
    <x v="4"/>
    <s v="Sterilite Show Offs Storage Containers"/>
    <x v="2485"/>
    <n v="3"/>
    <n v="0.2"/>
    <n v="-3.1680000000000001"/>
  </r>
  <r>
    <n v="7851"/>
    <x v="440"/>
    <x v="0"/>
    <x v="5"/>
    <d v="2013-05-07T00:00:00"/>
    <n v="4"/>
    <x v="1"/>
    <s v="Adam Shillingsburg"/>
    <x v="0"/>
    <m/>
    <s v="Irving"/>
    <s v="Texas"/>
    <s v="Central"/>
    <x v="1"/>
    <x v="2"/>
    <s v="Avery 502"/>
    <x v="1310"/>
    <n v="2"/>
    <n v="0.2"/>
    <n v="1.764"/>
  </r>
  <r>
    <n v="7852"/>
    <x v="337"/>
    <x v="2"/>
    <x v="4"/>
    <d v="2011-12-15T00:00:00"/>
    <n v="6"/>
    <x v="1"/>
    <s v="Thomas Seio"/>
    <x v="1"/>
    <m/>
    <s v="Chicago"/>
    <s v="Illinois"/>
    <s v="Central"/>
    <x v="1"/>
    <x v="10"/>
    <s v="Astroparche Fine Business Paper"/>
    <x v="578"/>
    <n v="2"/>
    <n v="0.2"/>
    <n v="2.9567999999999999"/>
  </r>
  <r>
    <n v="7853"/>
    <x v="337"/>
    <x v="2"/>
    <x v="4"/>
    <d v="2011-12-15T00:00:00"/>
    <n v="6"/>
    <x v="1"/>
    <s v="Thomas Seio"/>
    <x v="1"/>
    <m/>
    <s v="Chicago"/>
    <s v="Illinois"/>
    <s v="Central"/>
    <x v="1"/>
    <x v="9"/>
    <s v="Tripp Lite TLP810NET Broadband Surge for Modem/Fax"/>
    <x v="4959"/>
    <n v="2"/>
    <n v="0.8"/>
    <n v="-53.008800000000001"/>
  </r>
  <r>
    <n v="7854"/>
    <x v="707"/>
    <x v="1"/>
    <x v="4"/>
    <d v="2012-12-29T00:00:00"/>
    <n v="4"/>
    <x v="1"/>
    <s v="Sean Miller"/>
    <x v="2"/>
    <m/>
    <s v="Los Angeles"/>
    <s v="California"/>
    <s v="West"/>
    <x v="1"/>
    <x v="10"/>
    <s v="Xerox 1949"/>
    <x v="739"/>
    <n v="2"/>
    <n v="0"/>
    <n v="4.8803999999999998"/>
  </r>
  <r>
    <n v="7855"/>
    <x v="226"/>
    <x v="3"/>
    <x v="4"/>
    <d v="2014-12-13T00:00:00"/>
    <n v="5"/>
    <x v="1"/>
    <s v="Brosina Hoffman"/>
    <x v="0"/>
    <m/>
    <s v="Hattiesburg"/>
    <s v="Mississippi"/>
    <s v="South"/>
    <x v="1"/>
    <x v="9"/>
    <s v="Eureka The Boss Lite 10-Amp Upright Vacuum, Blue"/>
    <x v="4960"/>
    <n v="4"/>
    <n v="0"/>
    <n v="89.779200000000003"/>
  </r>
  <r>
    <n v="7856"/>
    <x v="226"/>
    <x v="3"/>
    <x v="4"/>
    <d v="2014-12-13T00:00:00"/>
    <n v="5"/>
    <x v="1"/>
    <s v="Brosina Hoffman"/>
    <x v="0"/>
    <m/>
    <s v="Hattiesburg"/>
    <s v="Mississippi"/>
    <s v="South"/>
    <x v="2"/>
    <x v="11"/>
    <s v="Memorex Micro Travel Drive 8 GB"/>
    <x v="4961"/>
    <n v="4"/>
    <n v="0"/>
    <n v="23.4"/>
  </r>
  <r>
    <n v="7857"/>
    <x v="992"/>
    <x v="2"/>
    <x v="5"/>
    <d v="2011-06-01T00:00:00"/>
    <n v="2"/>
    <x v="2"/>
    <s v="Laurel Workman"/>
    <x v="1"/>
    <m/>
    <s v="New York City"/>
    <s v="New York"/>
    <s v="East"/>
    <x v="1"/>
    <x v="8"/>
    <s v="GBC Pre-Punched Binding Paper, Plastic, White, 8-1/2&quot; x 11&quot;"/>
    <x v="2171"/>
    <n v="2"/>
    <n v="0.2"/>
    <n v="8.9543999999999997"/>
  </r>
  <r>
    <n v="7858"/>
    <x v="992"/>
    <x v="2"/>
    <x v="5"/>
    <d v="2011-06-01T00:00:00"/>
    <n v="2"/>
    <x v="2"/>
    <s v="Laurel Workman"/>
    <x v="1"/>
    <m/>
    <s v="New York City"/>
    <s v="New York"/>
    <s v="East"/>
    <x v="2"/>
    <x v="7"/>
    <s v="Geemarc AmpliPOWER60"/>
    <x v="4962"/>
    <n v="5"/>
    <n v="0"/>
    <n v="134.56"/>
  </r>
  <r>
    <n v="7859"/>
    <x v="992"/>
    <x v="2"/>
    <x v="5"/>
    <d v="2011-06-01T00:00:00"/>
    <n v="2"/>
    <x v="2"/>
    <s v="Laurel Workman"/>
    <x v="1"/>
    <m/>
    <s v="New York City"/>
    <s v="New York"/>
    <s v="East"/>
    <x v="1"/>
    <x v="9"/>
    <s v="Honeywell Quietcare HEPA Air Cleaner"/>
    <x v="4963"/>
    <n v="3"/>
    <n v="0"/>
    <n v="77.863500000000002"/>
  </r>
  <r>
    <n v="7860"/>
    <x v="992"/>
    <x v="2"/>
    <x v="5"/>
    <d v="2011-06-01T00:00:00"/>
    <n v="2"/>
    <x v="2"/>
    <s v="Laurel Workman"/>
    <x v="1"/>
    <m/>
    <s v="New York City"/>
    <s v="New York"/>
    <s v="East"/>
    <x v="1"/>
    <x v="10"/>
    <s v="Xerox 1948"/>
    <x v="786"/>
    <n v="4"/>
    <n v="0"/>
    <n v="17.981999999999999"/>
  </r>
  <r>
    <n v="7861"/>
    <x v="580"/>
    <x v="3"/>
    <x v="10"/>
    <d v="2014-03-07T00:00:00"/>
    <n v="4"/>
    <x v="1"/>
    <s v="Joseph Airdo"/>
    <x v="0"/>
    <m/>
    <s v="Cuyahoga Falls"/>
    <s v="Ohio"/>
    <s v="East"/>
    <x v="1"/>
    <x v="8"/>
    <s v="GBC VeloBind Cover Sets"/>
    <x v="4964"/>
    <n v="4"/>
    <n v="0.7"/>
    <n v="-12.352"/>
  </r>
  <r>
    <n v="7862"/>
    <x v="88"/>
    <x v="1"/>
    <x v="2"/>
    <d v="2012-10-17T00:00:00"/>
    <n v="5"/>
    <x v="1"/>
    <s v="Kelly Andreada"/>
    <x v="0"/>
    <m/>
    <s v="Seattle"/>
    <s v="Washington"/>
    <s v="West"/>
    <x v="2"/>
    <x v="11"/>
    <s v="Kingston Digital DataTraveler 16GB USB 2.0"/>
    <x v="1488"/>
    <n v="2"/>
    <n v="0"/>
    <n v="3.4009999999999998"/>
  </r>
  <r>
    <n v="7863"/>
    <x v="88"/>
    <x v="1"/>
    <x v="2"/>
    <d v="2012-10-17T00:00:00"/>
    <n v="5"/>
    <x v="1"/>
    <s v="Kelly Andreada"/>
    <x v="0"/>
    <m/>
    <s v="Seattle"/>
    <s v="Washington"/>
    <s v="West"/>
    <x v="1"/>
    <x v="4"/>
    <s v="Contico 72&quot;H Heavy-Duty Storage System"/>
    <x v="3314"/>
    <n v="2"/>
    <n v="0"/>
    <n v="0"/>
  </r>
  <r>
    <n v="7864"/>
    <x v="1177"/>
    <x v="1"/>
    <x v="7"/>
    <d v="2012-07-19T00:00:00"/>
    <n v="5"/>
    <x v="0"/>
    <s v="Toby Gnade"/>
    <x v="0"/>
    <m/>
    <s v="Mesa"/>
    <s v="Arizona"/>
    <s v="West"/>
    <x v="1"/>
    <x v="4"/>
    <s v="SAFCO Boltless Steel Shelving"/>
    <x v="693"/>
    <n v="3"/>
    <n v="0.2"/>
    <n v="-64.774799999999999"/>
  </r>
  <r>
    <n v="7865"/>
    <x v="1177"/>
    <x v="1"/>
    <x v="7"/>
    <d v="2012-07-19T00:00:00"/>
    <n v="5"/>
    <x v="0"/>
    <s v="Toby Gnade"/>
    <x v="0"/>
    <m/>
    <s v="Mesa"/>
    <s v="Arizona"/>
    <s v="West"/>
    <x v="1"/>
    <x v="10"/>
    <s v="Xerox 1899"/>
    <x v="281"/>
    <n v="4"/>
    <n v="0.2"/>
    <n v="6.7047999999999996"/>
  </r>
  <r>
    <n v="7866"/>
    <x v="1177"/>
    <x v="1"/>
    <x v="7"/>
    <d v="2012-07-19T00:00:00"/>
    <n v="5"/>
    <x v="0"/>
    <s v="Toby Gnade"/>
    <x v="0"/>
    <m/>
    <s v="Mesa"/>
    <s v="Arizona"/>
    <s v="West"/>
    <x v="0"/>
    <x v="1"/>
    <s v="SAFCO Arco Folding Chair"/>
    <x v="4965"/>
    <n v="2"/>
    <n v="0.2"/>
    <n v="49.716000000000001"/>
  </r>
  <r>
    <n v="7867"/>
    <x v="1177"/>
    <x v="1"/>
    <x v="7"/>
    <d v="2012-07-19T00:00:00"/>
    <n v="5"/>
    <x v="0"/>
    <s v="Toby Gnade"/>
    <x v="0"/>
    <m/>
    <s v="Mesa"/>
    <s v="Arizona"/>
    <s v="West"/>
    <x v="0"/>
    <x v="0"/>
    <s v="Hon Metal Bookcases, Black"/>
    <x v="3947"/>
    <n v="6"/>
    <n v="0.7"/>
    <n v="-191.64599999999999"/>
  </r>
  <r>
    <n v="7868"/>
    <x v="84"/>
    <x v="2"/>
    <x v="0"/>
    <d v="2011-11-24T00:00:00"/>
    <n v="5"/>
    <x v="0"/>
    <s v="Dennis Bolton"/>
    <x v="2"/>
    <m/>
    <s v="Salt Lake City"/>
    <s v="Utah"/>
    <s v="West"/>
    <x v="1"/>
    <x v="10"/>
    <s v="Xerox 1888"/>
    <x v="1668"/>
    <n v="3"/>
    <n v="0"/>
    <n v="79.891199999999998"/>
  </r>
  <r>
    <n v="7869"/>
    <x v="1022"/>
    <x v="0"/>
    <x v="5"/>
    <d v="2013-06-03T00:00:00"/>
    <n v="6"/>
    <x v="1"/>
    <s v="Lynn Smith"/>
    <x v="0"/>
    <m/>
    <s v="Los Angeles"/>
    <s v="California"/>
    <s v="West"/>
    <x v="1"/>
    <x v="10"/>
    <s v="Wirebound Message Books, Four 2 3/4 x 5 White Forms per Page"/>
    <x v="4966"/>
    <n v="2"/>
    <n v="0"/>
    <n v="6.1547999999999998"/>
  </r>
  <r>
    <n v="7870"/>
    <x v="445"/>
    <x v="3"/>
    <x v="7"/>
    <d v="2014-07-10T00:00:00"/>
    <n v="6"/>
    <x v="1"/>
    <s v="Michael Oakman"/>
    <x v="0"/>
    <m/>
    <s v="Jacksonville"/>
    <s v="North Carolina"/>
    <s v="South"/>
    <x v="2"/>
    <x v="11"/>
    <s v="Imation 8gb Micro Traveldrive Usb 2.0 Flash Drive"/>
    <x v="728"/>
    <n v="2"/>
    <n v="0.2"/>
    <n v="-2.7"/>
  </r>
  <r>
    <n v="7871"/>
    <x v="145"/>
    <x v="3"/>
    <x v="8"/>
    <d v="2014-09-30T00:00:00"/>
    <n v="4"/>
    <x v="1"/>
    <s v="Carol Adams"/>
    <x v="1"/>
    <m/>
    <s v="Lakewood"/>
    <s v="Ohio"/>
    <s v="East"/>
    <x v="1"/>
    <x v="12"/>
    <s v="Security-Tint Envelopes"/>
    <x v="667"/>
    <n v="4"/>
    <n v="0.2"/>
    <n v="8.8623999999999992"/>
  </r>
  <r>
    <n v="7872"/>
    <x v="339"/>
    <x v="0"/>
    <x v="2"/>
    <d v="2013-10-08T00:00:00"/>
    <n v="4"/>
    <x v="1"/>
    <s v="Daniel Byrd"/>
    <x v="2"/>
    <m/>
    <s v="Lake Forest"/>
    <s v="California"/>
    <s v="West"/>
    <x v="1"/>
    <x v="2"/>
    <s v="Smead Alpha-Z Color-Coded Second Alphabetical Labels and Starter Set"/>
    <x v="51"/>
    <n v="2"/>
    <n v="0"/>
    <n v="2.9567999999999999"/>
  </r>
  <r>
    <n v="7873"/>
    <x v="339"/>
    <x v="0"/>
    <x v="2"/>
    <d v="2013-10-08T00:00:00"/>
    <n v="4"/>
    <x v="1"/>
    <s v="Daniel Byrd"/>
    <x v="2"/>
    <m/>
    <s v="Lake Forest"/>
    <s v="California"/>
    <s v="West"/>
    <x v="0"/>
    <x v="1"/>
    <s v="Global Deluxe High-Back Manager's Chair"/>
    <x v="4232"/>
    <n v="4"/>
    <n v="0.2"/>
    <n v="102.9528"/>
  </r>
  <r>
    <n v="7874"/>
    <x v="339"/>
    <x v="0"/>
    <x v="2"/>
    <d v="2013-10-08T00:00:00"/>
    <n v="4"/>
    <x v="1"/>
    <s v="Daniel Byrd"/>
    <x v="2"/>
    <m/>
    <s v="Lake Forest"/>
    <s v="California"/>
    <s v="West"/>
    <x v="1"/>
    <x v="10"/>
    <s v="Xerox 1900"/>
    <x v="18"/>
    <n v="2"/>
    <n v="0"/>
    <n v="3.8519999999999999"/>
  </r>
  <r>
    <n v="7875"/>
    <x v="339"/>
    <x v="0"/>
    <x v="2"/>
    <d v="2013-10-08T00:00:00"/>
    <n v="4"/>
    <x v="1"/>
    <s v="Daniel Byrd"/>
    <x v="2"/>
    <m/>
    <s v="Lake Forest"/>
    <s v="California"/>
    <s v="West"/>
    <x v="1"/>
    <x v="10"/>
    <s v="Xerox 1891"/>
    <x v="615"/>
    <n v="2"/>
    <n v="0"/>
    <n v="45.9754"/>
  </r>
  <r>
    <n v="7876"/>
    <x v="428"/>
    <x v="3"/>
    <x v="8"/>
    <d v="2014-09-16T00:00:00"/>
    <n v="6"/>
    <x v="1"/>
    <s v="Damala Kotsonis"/>
    <x v="1"/>
    <m/>
    <s v="Portland"/>
    <s v="Oregon"/>
    <s v="West"/>
    <x v="1"/>
    <x v="10"/>
    <s v="Xerox 1930"/>
    <x v="276"/>
    <n v="6"/>
    <n v="0.2"/>
    <n v="11.2752"/>
  </r>
  <r>
    <n v="7877"/>
    <x v="428"/>
    <x v="3"/>
    <x v="8"/>
    <d v="2014-09-16T00:00:00"/>
    <n v="6"/>
    <x v="1"/>
    <s v="Damala Kotsonis"/>
    <x v="1"/>
    <m/>
    <s v="Portland"/>
    <s v="Oregon"/>
    <s v="West"/>
    <x v="1"/>
    <x v="9"/>
    <s v="Belkin 7-Outlet SurgeMaster Home Series"/>
    <x v="4967"/>
    <n v="1"/>
    <n v="0.2"/>
    <n v="0.83819999999999995"/>
  </r>
  <r>
    <n v="7878"/>
    <x v="899"/>
    <x v="1"/>
    <x v="10"/>
    <d v="2012-03-18T00:00:00"/>
    <n v="6"/>
    <x v="1"/>
    <s v="Evan Bailliet"/>
    <x v="0"/>
    <m/>
    <s v="Charlotte"/>
    <s v="North Carolina"/>
    <s v="South"/>
    <x v="1"/>
    <x v="2"/>
    <s v="Avery 518"/>
    <x v="1310"/>
    <n v="2"/>
    <n v="0.2"/>
    <n v="1.764"/>
  </r>
  <r>
    <n v="7879"/>
    <x v="896"/>
    <x v="0"/>
    <x v="0"/>
    <d v="2013-12-05T00:00:00"/>
    <n v="5"/>
    <x v="0"/>
    <s v="Daniel Raglin"/>
    <x v="2"/>
    <m/>
    <s v="Aurora"/>
    <s v="Illinois"/>
    <s v="Central"/>
    <x v="0"/>
    <x v="5"/>
    <s v="Tenex Chairmat w/ Average Lip, 45&quot; x 53&quot;"/>
    <x v="4968"/>
    <n v="4"/>
    <n v="0.6"/>
    <n v="-302.72000000000003"/>
  </r>
  <r>
    <n v="7880"/>
    <x v="403"/>
    <x v="0"/>
    <x v="1"/>
    <d v="2013-06-22T00:00:00"/>
    <n v="7"/>
    <x v="1"/>
    <s v="Jim Sink"/>
    <x v="1"/>
    <m/>
    <s v="Philadelphia"/>
    <s v="Pennsylvania"/>
    <s v="East"/>
    <x v="0"/>
    <x v="3"/>
    <s v="Global Adaptabilities Conference Tables"/>
    <x v="4969"/>
    <n v="2"/>
    <n v="0.4"/>
    <n v="-118.0116"/>
  </r>
  <r>
    <n v="7881"/>
    <x v="734"/>
    <x v="3"/>
    <x v="4"/>
    <d v="2014-12-07T00:00:00"/>
    <n v="3"/>
    <x v="0"/>
    <s v="Lena Cacioppo"/>
    <x v="0"/>
    <m/>
    <s v="Thornton"/>
    <s v="Colorado"/>
    <s v="West"/>
    <x v="1"/>
    <x v="6"/>
    <s v="Newell 344"/>
    <x v="3832"/>
    <n v="6"/>
    <n v="0.2"/>
    <n v="1.0007999999999999"/>
  </r>
  <r>
    <n v="7882"/>
    <x v="734"/>
    <x v="3"/>
    <x v="4"/>
    <d v="2014-12-07T00:00:00"/>
    <n v="3"/>
    <x v="0"/>
    <s v="Lena Cacioppo"/>
    <x v="0"/>
    <m/>
    <s v="Thornton"/>
    <s v="Colorado"/>
    <s v="West"/>
    <x v="2"/>
    <x v="11"/>
    <s v="Memorex Micro Travel Drive 16 GB"/>
    <x v="3398"/>
    <n v="6"/>
    <n v="0.2"/>
    <n v="10.5534"/>
  </r>
  <r>
    <n v="7883"/>
    <x v="734"/>
    <x v="3"/>
    <x v="4"/>
    <d v="2014-12-07T00:00:00"/>
    <n v="3"/>
    <x v="0"/>
    <s v="Lena Cacioppo"/>
    <x v="0"/>
    <m/>
    <s v="Thornton"/>
    <s v="Colorado"/>
    <s v="West"/>
    <x v="2"/>
    <x v="11"/>
    <s v="Memorex Micro Travel Drive 16 GB"/>
    <x v="1129"/>
    <n v="8"/>
    <n v="0.2"/>
    <n v="14.071199999999999"/>
  </r>
  <r>
    <n v="7884"/>
    <x v="734"/>
    <x v="3"/>
    <x v="4"/>
    <d v="2014-12-07T00:00:00"/>
    <n v="3"/>
    <x v="0"/>
    <s v="Lena Cacioppo"/>
    <x v="0"/>
    <m/>
    <s v="Thornton"/>
    <s v="Colorado"/>
    <s v="West"/>
    <x v="1"/>
    <x v="10"/>
    <s v="Wirebound Four 2-3/4 x 5 Forms per Page, 400 Sets per Book"/>
    <x v="4970"/>
    <n v="2"/>
    <n v="0.2"/>
    <n v="3.7410000000000001"/>
  </r>
  <r>
    <n v="7885"/>
    <x v="734"/>
    <x v="3"/>
    <x v="4"/>
    <d v="2014-12-07T00:00:00"/>
    <n v="3"/>
    <x v="0"/>
    <s v="Lena Cacioppo"/>
    <x v="0"/>
    <m/>
    <s v="Thornton"/>
    <s v="Colorado"/>
    <s v="West"/>
    <x v="1"/>
    <x v="14"/>
    <s v="Elite 5&quot; Scissors"/>
    <x v="4971"/>
    <n v="7"/>
    <n v="0.2"/>
    <n v="5.915"/>
  </r>
  <r>
    <n v="7886"/>
    <x v="734"/>
    <x v="3"/>
    <x v="4"/>
    <d v="2014-12-07T00:00:00"/>
    <n v="3"/>
    <x v="0"/>
    <s v="Lena Cacioppo"/>
    <x v="0"/>
    <m/>
    <s v="Thornton"/>
    <s v="Colorado"/>
    <s v="West"/>
    <x v="0"/>
    <x v="5"/>
    <s v="Staples"/>
    <x v="4972"/>
    <n v="3"/>
    <n v="0.2"/>
    <n v="7.0128000000000004"/>
  </r>
  <r>
    <n v="7887"/>
    <x v="734"/>
    <x v="3"/>
    <x v="4"/>
    <d v="2014-12-07T00:00:00"/>
    <n v="3"/>
    <x v="0"/>
    <s v="Lena Cacioppo"/>
    <x v="0"/>
    <m/>
    <s v="Thornton"/>
    <s v="Colorado"/>
    <s v="West"/>
    <x v="0"/>
    <x v="5"/>
    <s v="Eldon Image Series Desk Accessories, Burgundy"/>
    <x v="2423"/>
    <n v="5"/>
    <n v="0.2"/>
    <n v="3.3439999999999999"/>
  </r>
  <r>
    <n v="7888"/>
    <x v="734"/>
    <x v="3"/>
    <x v="4"/>
    <d v="2014-12-07T00:00:00"/>
    <n v="3"/>
    <x v="0"/>
    <s v="Lena Cacioppo"/>
    <x v="0"/>
    <m/>
    <s v="Thornton"/>
    <s v="Colorado"/>
    <s v="West"/>
    <x v="0"/>
    <x v="5"/>
    <s v="DAX Two-Tone Silver Metal Document Frame"/>
    <x v="2674"/>
    <n v="1"/>
    <n v="0.2"/>
    <n v="4.6551999999999998"/>
  </r>
  <r>
    <n v="7889"/>
    <x v="765"/>
    <x v="0"/>
    <x v="6"/>
    <d v="2013-08-23T00:00:00"/>
    <n v="6"/>
    <x v="1"/>
    <s v="Jeremy Pistek"/>
    <x v="0"/>
    <m/>
    <s v="Davis"/>
    <s v="California"/>
    <s v="West"/>
    <x v="1"/>
    <x v="10"/>
    <s v="Xerox 1931"/>
    <x v="56"/>
    <n v="5"/>
    <n v="0"/>
    <n v="15.552"/>
  </r>
  <r>
    <n v="7890"/>
    <x v="591"/>
    <x v="0"/>
    <x v="4"/>
    <d v="2013-12-30T00:00:00"/>
    <n v="4"/>
    <x v="1"/>
    <s v="Trudy Schmidt"/>
    <x v="0"/>
    <m/>
    <s v="Fayetteville"/>
    <s v="Arkansas"/>
    <s v="South"/>
    <x v="1"/>
    <x v="6"/>
    <s v="Newell 327"/>
    <x v="4973"/>
    <n v="9"/>
    <n v="0"/>
    <n v="5.3703000000000003"/>
  </r>
  <r>
    <n v="7891"/>
    <x v="591"/>
    <x v="0"/>
    <x v="4"/>
    <d v="2013-12-30T00:00:00"/>
    <n v="4"/>
    <x v="1"/>
    <s v="Trudy Schmidt"/>
    <x v="0"/>
    <m/>
    <s v="Fayetteville"/>
    <s v="Arkansas"/>
    <s v="South"/>
    <x v="2"/>
    <x v="11"/>
    <s v="Razer Tiamat Over Ear 7.1 Surround Sound PC Gaming Headset"/>
    <x v="4974"/>
    <n v="2"/>
    <n v="0"/>
    <n v="171.9914"/>
  </r>
  <r>
    <n v="7892"/>
    <x v="591"/>
    <x v="0"/>
    <x v="4"/>
    <d v="2013-12-30T00:00:00"/>
    <n v="4"/>
    <x v="1"/>
    <s v="Trudy Schmidt"/>
    <x v="0"/>
    <m/>
    <s v="Fayetteville"/>
    <s v="Arkansas"/>
    <s v="South"/>
    <x v="0"/>
    <x v="5"/>
    <s v="Howard Miller 13-1/2&quot; Diameter Rosebrook Wall Clock"/>
    <x v="4975"/>
    <n v="5"/>
    <n v="0"/>
    <n v="137.54"/>
  </r>
  <r>
    <n v="7893"/>
    <x v="591"/>
    <x v="0"/>
    <x v="4"/>
    <d v="2013-12-30T00:00:00"/>
    <n v="4"/>
    <x v="1"/>
    <s v="Trudy Schmidt"/>
    <x v="0"/>
    <m/>
    <s v="Fayetteville"/>
    <s v="Arkansas"/>
    <s v="South"/>
    <x v="1"/>
    <x v="10"/>
    <s v="Xerox 1906"/>
    <x v="1907"/>
    <n v="3"/>
    <n v="0"/>
    <n v="49.970399999999998"/>
  </r>
  <r>
    <n v="7894"/>
    <x v="283"/>
    <x v="3"/>
    <x v="7"/>
    <d v="2014-07-31T00:00:00"/>
    <n v="7"/>
    <x v="1"/>
    <s v="Nathan Mautz"/>
    <x v="2"/>
    <m/>
    <s v="New York City"/>
    <s v="New York"/>
    <s v="East"/>
    <x v="1"/>
    <x v="8"/>
    <s v="Wilson Jones “Snap” Scratch Pad Binder Tool for Ring Binders"/>
    <x v="3961"/>
    <n v="3"/>
    <n v="0.2"/>
    <n v="4.3499999999999996"/>
  </r>
  <r>
    <n v="7895"/>
    <x v="548"/>
    <x v="3"/>
    <x v="1"/>
    <d v="2014-06-26T00:00:00"/>
    <n v="4"/>
    <x v="1"/>
    <s v="Eugene Hildebrand"/>
    <x v="2"/>
    <m/>
    <s v="Wheeling"/>
    <s v="West Virginia"/>
    <s v="East"/>
    <x v="1"/>
    <x v="8"/>
    <s v="Ibico Standard Transparent Covers"/>
    <x v="4976"/>
    <n v="5"/>
    <n v="0"/>
    <n v="40.375999999999998"/>
  </r>
  <r>
    <n v="7896"/>
    <x v="548"/>
    <x v="3"/>
    <x v="1"/>
    <d v="2014-06-26T00:00:00"/>
    <n v="4"/>
    <x v="1"/>
    <s v="Eugene Hildebrand"/>
    <x v="2"/>
    <m/>
    <s v="Wheeling"/>
    <s v="West Virginia"/>
    <s v="East"/>
    <x v="1"/>
    <x v="8"/>
    <s v="Zipper Ring Binder Pockets"/>
    <x v="869"/>
    <n v="2"/>
    <n v="0"/>
    <n v="3.0575999999999999"/>
  </r>
  <r>
    <n v="7897"/>
    <x v="548"/>
    <x v="3"/>
    <x v="1"/>
    <d v="2014-06-26T00:00:00"/>
    <n v="4"/>
    <x v="1"/>
    <s v="Eugene Hildebrand"/>
    <x v="2"/>
    <m/>
    <s v="Wheeling"/>
    <s v="West Virginia"/>
    <s v="East"/>
    <x v="1"/>
    <x v="10"/>
    <s v="Xerox 1908"/>
    <x v="982"/>
    <n v="8"/>
    <n v="0"/>
    <n v="219.44159999999999"/>
  </r>
  <r>
    <n v="7898"/>
    <x v="802"/>
    <x v="3"/>
    <x v="6"/>
    <d v="2014-08-19T00:00:00"/>
    <n v="5"/>
    <x v="1"/>
    <s v="Dan Campbell"/>
    <x v="0"/>
    <m/>
    <s v="Memphis"/>
    <s v="Tennessee"/>
    <s v="South"/>
    <x v="1"/>
    <x v="9"/>
    <s v="Belkin Premiere Surge Master II 8-outlet surge protector"/>
    <x v="4977"/>
    <n v="7"/>
    <n v="0.2"/>
    <n v="30.605399999999999"/>
  </r>
  <r>
    <n v="7899"/>
    <x v="802"/>
    <x v="3"/>
    <x v="6"/>
    <d v="2014-08-19T00:00:00"/>
    <n v="5"/>
    <x v="1"/>
    <s v="Dan Campbell"/>
    <x v="0"/>
    <m/>
    <s v="Memphis"/>
    <s v="Tennessee"/>
    <s v="South"/>
    <x v="1"/>
    <x v="8"/>
    <s v="GBC DocuBind TL300 Electric Binding System"/>
    <x v="4978"/>
    <n v="6"/>
    <n v="0.7"/>
    <n v="-1237.8462"/>
  </r>
  <r>
    <n v="7900"/>
    <x v="802"/>
    <x v="3"/>
    <x v="6"/>
    <d v="2014-08-19T00:00:00"/>
    <n v="5"/>
    <x v="1"/>
    <s v="Dan Campbell"/>
    <x v="0"/>
    <m/>
    <s v="Memphis"/>
    <s v="Tennessee"/>
    <s v="South"/>
    <x v="1"/>
    <x v="13"/>
    <s v="Staples"/>
    <x v="1867"/>
    <n v="5"/>
    <n v="0.2"/>
    <n v="9.1199999999999992"/>
  </r>
  <r>
    <n v="7901"/>
    <x v="802"/>
    <x v="3"/>
    <x v="6"/>
    <d v="2014-08-19T00:00:00"/>
    <n v="5"/>
    <x v="1"/>
    <s v="Dan Campbell"/>
    <x v="0"/>
    <m/>
    <s v="Memphis"/>
    <s v="Tennessee"/>
    <s v="South"/>
    <x v="2"/>
    <x v="11"/>
    <s v="Maxell 4.7GB DVD-R 5/Pack"/>
    <x v="4979"/>
    <n v="2"/>
    <n v="0.2"/>
    <n v="0.47520000000000001"/>
  </r>
  <r>
    <n v="7902"/>
    <x v="802"/>
    <x v="3"/>
    <x v="6"/>
    <d v="2014-08-19T00:00:00"/>
    <n v="5"/>
    <x v="1"/>
    <s v="Dan Campbell"/>
    <x v="0"/>
    <m/>
    <s v="Memphis"/>
    <s v="Tennessee"/>
    <s v="South"/>
    <x v="0"/>
    <x v="5"/>
    <s v="Eldon Radial Chair Mat for Low to Medium Pile Carpets"/>
    <x v="236"/>
    <n v="1"/>
    <n v="0.2"/>
    <n v="0"/>
  </r>
  <r>
    <n v="7903"/>
    <x v="802"/>
    <x v="3"/>
    <x v="6"/>
    <d v="2014-08-19T00:00:00"/>
    <n v="5"/>
    <x v="1"/>
    <s v="Dan Campbell"/>
    <x v="0"/>
    <m/>
    <s v="Memphis"/>
    <s v="Tennessee"/>
    <s v="South"/>
    <x v="1"/>
    <x v="12"/>
    <s v="Colored Envelopes"/>
    <x v="1787"/>
    <n v="5"/>
    <n v="0.2"/>
    <n v="4.7969999999999997"/>
  </r>
  <r>
    <n v="7904"/>
    <x v="802"/>
    <x v="3"/>
    <x v="6"/>
    <d v="2014-08-19T00:00:00"/>
    <n v="5"/>
    <x v="1"/>
    <s v="Dan Campbell"/>
    <x v="0"/>
    <m/>
    <s v="Memphis"/>
    <s v="Tennessee"/>
    <s v="South"/>
    <x v="0"/>
    <x v="1"/>
    <s v="Hon Olson Stacker Chairs"/>
    <x v="4980"/>
    <n v="2"/>
    <n v="0.2"/>
    <n v="47.660400000000003"/>
  </r>
  <r>
    <n v="7905"/>
    <x v="209"/>
    <x v="1"/>
    <x v="0"/>
    <d v="2012-11-13T00:00:00"/>
    <n v="6"/>
    <x v="1"/>
    <s v="Doug O'Connell"/>
    <x v="0"/>
    <m/>
    <s v="Houston"/>
    <s v="Texas"/>
    <s v="Central"/>
    <x v="1"/>
    <x v="10"/>
    <s v="Xerox 1886"/>
    <x v="4981"/>
    <n v="2"/>
    <n v="0.2"/>
    <n v="26.824000000000002"/>
  </r>
  <r>
    <n v="7906"/>
    <x v="52"/>
    <x v="1"/>
    <x v="2"/>
    <d v="2012-10-22T00:00:00"/>
    <n v="7"/>
    <x v="1"/>
    <s v="Lindsay Shagiari"/>
    <x v="2"/>
    <m/>
    <s v="Dallas"/>
    <s v="Texas"/>
    <s v="Central"/>
    <x v="1"/>
    <x v="12"/>
    <s v="Staples"/>
    <x v="3743"/>
    <n v="1"/>
    <n v="0.2"/>
    <n v="1.6739999999999999"/>
  </r>
  <r>
    <n v="7907"/>
    <x v="52"/>
    <x v="1"/>
    <x v="2"/>
    <d v="2012-10-22T00:00:00"/>
    <n v="7"/>
    <x v="1"/>
    <s v="Lindsay Shagiari"/>
    <x v="2"/>
    <m/>
    <s v="Dallas"/>
    <s v="Texas"/>
    <s v="Central"/>
    <x v="1"/>
    <x v="8"/>
    <s v="Avery Reinforcements for Hole-Punch Pages"/>
    <x v="532"/>
    <n v="10"/>
    <n v="0.8"/>
    <n v="-6.93"/>
  </r>
  <r>
    <n v="7908"/>
    <x v="679"/>
    <x v="0"/>
    <x v="7"/>
    <d v="2013-08-03T00:00:00"/>
    <n v="3"/>
    <x v="2"/>
    <s v="Rob Williams"/>
    <x v="1"/>
    <m/>
    <s v="San Francisco"/>
    <s v="California"/>
    <s v="West"/>
    <x v="1"/>
    <x v="9"/>
    <s v="Hoover Shoulder Vac Commercial Portable Vacuum"/>
    <x v="4019"/>
    <n v="2"/>
    <n v="0"/>
    <n v="178.91"/>
  </r>
  <r>
    <n v="7909"/>
    <x v="275"/>
    <x v="0"/>
    <x v="4"/>
    <d v="2013-12-08T00:00:00"/>
    <n v="4"/>
    <x v="1"/>
    <s v="Roger Demir"/>
    <x v="0"/>
    <m/>
    <s v="Morgan Hill"/>
    <s v="California"/>
    <s v="West"/>
    <x v="0"/>
    <x v="3"/>
    <s v="Hon 4060 Series Tables"/>
    <x v="4982"/>
    <n v="3"/>
    <n v="0.2"/>
    <n v="6.7176"/>
  </r>
  <r>
    <n v="7910"/>
    <x v="275"/>
    <x v="0"/>
    <x v="4"/>
    <d v="2013-12-08T00:00:00"/>
    <n v="4"/>
    <x v="1"/>
    <s v="Roger Demir"/>
    <x v="0"/>
    <m/>
    <s v="Morgan Hill"/>
    <s v="California"/>
    <s v="West"/>
    <x v="1"/>
    <x v="6"/>
    <s v="Rogers Handheld Barrel Pencil Sharpener"/>
    <x v="4983"/>
    <n v="8"/>
    <n v="0"/>
    <n v="5.9184000000000001"/>
  </r>
  <r>
    <n v="7911"/>
    <x v="275"/>
    <x v="0"/>
    <x v="4"/>
    <d v="2013-12-08T00:00:00"/>
    <n v="4"/>
    <x v="1"/>
    <s v="Roger Demir"/>
    <x v="0"/>
    <m/>
    <s v="Morgan Hill"/>
    <s v="California"/>
    <s v="West"/>
    <x v="1"/>
    <x v="4"/>
    <s v="Acco Perma 4000 Stacking Storage Drawers"/>
    <x v="4984"/>
    <n v="3"/>
    <n v="0"/>
    <n v="7.3079999999999998"/>
  </r>
  <r>
    <n v="7912"/>
    <x v="275"/>
    <x v="0"/>
    <x v="4"/>
    <d v="2013-12-08T00:00:00"/>
    <n v="4"/>
    <x v="1"/>
    <s v="Roger Demir"/>
    <x v="0"/>
    <m/>
    <s v="Morgan Hill"/>
    <s v="California"/>
    <s v="West"/>
    <x v="0"/>
    <x v="0"/>
    <s v="O'Sullivan Living Dimensions 2-Shelf Bookcases"/>
    <x v="4153"/>
    <n v="2"/>
    <n v="0.15"/>
    <n v="-12.098000000000001"/>
  </r>
  <r>
    <n v="7913"/>
    <x v="236"/>
    <x v="0"/>
    <x v="3"/>
    <d v="2013-05-01T00:00:00"/>
    <n v="2"/>
    <x v="0"/>
    <s v="Rob Beeghly"/>
    <x v="0"/>
    <m/>
    <s v="Saint Charles"/>
    <s v="Illinois"/>
    <s v="Central"/>
    <x v="0"/>
    <x v="5"/>
    <s v="Eldon Delta Triangular Chair Mat, 52&quot; x 58&quot;, Clear"/>
    <x v="4985"/>
    <n v="2"/>
    <n v="0.6"/>
    <n v="-31.8612"/>
  </r>
  <r>
    <n v="7914"/>
    <x v="326"/>
    <x v="3"/>
    <x v="6"/>
    <d v="2014-08-28T00:00:00"/>
    <n v="2"/>
    <x v="2"/>
    <s v="Joe Elijah"/>
    <x v="0"/>
    <m/>
    <s v="Cleveland"/>
    <s v="Ohio"/>
    <s v="East"/>
    <x v="1"/>
    <x v="4"/>
    <s v="Letter/Legal File Tote with Clear Snap-On Lid, Black Granite"/>
    <x v="4986"/>
    <n v="2"/>
    <n v="0.2"/>
    <n v="1.9272"/>
  </r>
  <r>
    <n v="7915"/>
    <x v="46"/>
    <x v="3"/>
    <x v="1"/>
    <d v="2014-06-22T00:00:00"/>
    <n v="4"/>
    <x v="1"/>
    <s v="Steven Roelle"/>
    <x v="2"/>
    <m/>
    <s v="New York City"/>
    <s v="New York"/>
    <s v="East"/>
    <x v="2"/>
    <x v="15"/>
    <s v="Hewlett-Packard Desktjet 6988DT Refurbished Printer"/>
    <x v="4987"/>
    <n v="5"/>
    <n v="0"/>
    <n v="1668.2049999999999"/>
  </r>
  <r>
    <n v="7916"/>
    <x v="46"/>
    <x v="3"/>
    <x v="1"/>
    <d v="2014-06-22T00:00:00"/>
    <n v="4"/>
    <x v="1"/>
    <s v="Steven Roelle"/>
    <x v="2"/>
    <m/>
    <s v="New York City"/>
    <s v="New York"/>
    <s v="East"/>
    <x v="2"/>
    <x v="11"/>
    <s v="Kingston Digital DataTraveler 64GB USB 2.0"/>
    <x v="3803"/>
    <n v="3"/>
    <n v="0"/>
    <n v="8.1072000000000006"/>
  </r>
  <r>
    <n v="7917"/>
    <x v="312"/>
    <x v="1"/>
    <x v="0"/>
    <d v="2012-11-24T00:00:00"/>
    <n v="4"/>
    <x v="1"/>
    <s v="Phillina Ober"/>
    <x v="2"/>
    <m/>
    <s v="Philadelphia"/>
    <s v="Pennsylvania"/>
    <s v="East"/>
    <x v="0"/>
    <x v="1"/>
    <s v="Global High-Back Leather Tilter, Burgundy"/>
    <x v="4988"/>
    <n v="4"/>
    <n v="0.3"/>
    <n v="-93.472399999999993"/>
  </r>
  <r>
    <n v="7918"/>
    <x v="507"/>
    <x v="3"/>
    <x v="8"/>
    <d v="2014-09-09T00:00:00"/>
    <n v="4"/>
    <x v="0"/>
    <s v="Julie Kriz"/>
    <x v="2"/>
    <m/>
    <s v="Garland"/>
    <s v="Texas"/>
    <s v="Central"/>
    <x v="1"/>
    <x v="6"/>
    <s v="Hunt PowerHouse Electric Pencil Sharpener, Blue"/>
    <x v="4989"/>
    <n v="1"/>
    <n v="0.2"/>
    <n v="3.798"/>
  </r>
  <r>
    <n v="7919"/>
    <x v="433"/>
    <x v="1"/>
    <x v="7"/>
    <d v="2012-07-08T00:00:00"/>
    <n v="4"/>
    <x v="0"/>
    <s v="Julie Prescott"/>
    <x v="2"/>
    <m/>
    <s v="San Diego"/>
    <s v="California"/>
    <s v="West"/>
    <x v="1"/>
    <x v="8"/>
    <s v="Avery Premier Heavy-Duty Binder with Round Locking Rings"/>
    <x v="2489"/>
    <n v="2"/>
    <n v="0.2"/>
    <n v="7.4256000000000002"/>
  </r>
  <r>
    <n v="7920"/>
    <x v="175"/>
    <x v="3"/>
    <x v="8"/>
    <d v="2014-09-22T00:00:00"/>
    <n v="6"/>
    <x v="1"/>
    <s v="Dean percer"/>
    <x v="2"/>
    <m/>
    <s v="Waterbury"/>
    <s v="Connecticut"/>
    <s v="East"/>
    <x v="1"/>
    <x v="4"/>
    <s v="Eldon ProFile File 'N Store Portable File Tub Letter/Legal Size Black"/>
    <x v="4990"/>
    <n v="2"/>
    <n v="0"/>
    <n v="10.813599999999999"/>
  </r>
  <r>
    <n v="7921"/>
    <x v="175"/>
    <x v="3"/>
    <x v="8"/>
    <d v="2014-09-22T00:00:00"/>
    <n v="6"/>
    <x v="1"/>
    <s v="Dean percer"/>
    <x v="2"/>
    <m/>
    <s v="Waterbury"/>
    <s v="Connecticut"/>
    <s v="East"/>
    <x v="2"/>
    <x v="11"/>
    <s v="Micro Innovations Wireless Classic Keyboard with Mouse"/>
    <x v="2759"/>
    <n v="2"/>
    <n v="0"/>
    <n v="10.7964"/>
  </r>
  <r>
    <n v="7922"/>
    <x v="677"/>
    <x v="3"/>
    <x v="10"/>
    <d v="2014-03-18T00:00:00"/>
    <n v="4"/>
    <x v="1"/>
    <s v="Joy Bell-"/>
    <x v="0"/>
    <m/>
    <s v="Columbia"/>
    <s v="Maryland"/>
    <s v="East"/>
    <x v="1"/>
    <x v="8"/>
    <s v="Avery Arch Ring Binders"/>
    <x v="4991"/>
    <n v="3"/>
    <n v="0"/>
    <n v="81.921000000000006"/>
  </r>
  <r>
    <n v="7923"/>
    <x v="241"/>
    <x v="3"/>
    <x v="8"/>
    <d v="2014-09-30T00:00:00"/>
    <n v="5"/>
    <x v="1"/>
    <s v="Paul Prost"/>
    <x v="2"/>
    <m/>
    <s v="Hollywood"/>
    <s v="Florida"/>
    <s v="South"/>
    <x v="2"/>
    <x v="7"/>
    <s v="Vtech CS6719"/>
    <x v="3202"/>
    <n v="5"/>
    <n v="0.2"/>
    <n v="38.396000000000001"/>
  </r>
  <r>
    <n v="7924"/>
    <x v="241"/>
    <x v="3"/>
    <x v="8"/>
    <d v="2014-09-30T00:00:00"/>
    <n v="5"/>
    <x v="1"/>
    <s v="Paul Prost"/>
    <x v="2"/>
    <m/>
    <s v="Hollywood"/>
    <s v="Florida"/>
    <s v="South"/>
    <x v="1"/>
    <x v="8"/>
    <s v="Wilson Jones International Size A4 Ring Binders"/>
    <x v="4735"/>
    <n v="3"/>
    <n v="0.7"/>
    <n v="-11.417999999999999"/>
  </r>
  <r>
    <n v="7925"/>
    <x v="572"/>
    <x v="0"/>
    <x v="6"/>
    <d v="2013-08-17T00:00:00"/>
    <n v="3"/>
    <x v="2"/>
    <s v="Roy Französisch"/>
    <x v="0"/>
    <m/>
    <s v="Springfield"/>
    <s v="Virginia"/>
    <s v="South"/>
    <x v="1"/>
    <x v="8"/>
    <s v="Avery Heavy-Duty EZD  Binder With Locking Rings"/>
    <x v="4545"/>
    <n v="4"/>
    <n v="0"/>
    <n v="10.7136"/>
  </r>
  <r>
    <n v="7926"/>
    <x v="572"/>
    <x v="0"/>
    <x v="6"/>
    <d v="2013-08-17T00:00:00"/>
    <n v="3"/>
    <x v="2"/>
    <s v="Roy Französisch"/>
    <x v="0"/>
    <m/>
    <s v="Springfield"/>
    <s v="Virginia"/>
    <s v="South"/>
    <x v="1"/>
    <x v="2"/>
    <s v="Alphabetical Labels for Top Tab Filing"/>
    <x v="819"/>
    <n v="7"/>
    <n v="0"/>
    <n v="51.8"/>
  </r>
  <r>
    <n v="7927"/>
    <x v="225"/>
    <x v="3"/>
    <x v="0"/>
    <d v="2014-11-25T00:00:00"/>
    <n v="4"/>
    <x v="0"/>
    <s v="Katharine Harms"/>
    <x v="1"/>
    <m/>
    <s v="New York City"/>
    <s v="New York"/>
    <s v="East"/>
    <x v="2"/>
    <x v="11"/>
    <s v="Maxell 4.7GB DVD+R 5/Pack"/>
    <x v="1179"/>
    <n v="3"/>
    <n v="0"/>
    <n v="1.3365"/>
  </r>
  <r>
    <n v="7928"/>
    <x v="225"/>
    <x v="3"/>
    <x v="0"/>
    <d v="2014-11-25T00:00:00"/>
    <n v="4"/>
    <x v="0"/>
    <s v="Katharine Harms"/>
    <x v="1"/>
    <m/>
    <s v="New York City"/>
    <s v="New York"/>
    <s v="East"/>
    <x v="2"/>
    <x v="7"/>
    <s v="Apple iPhone 5S"/>
    <x v="4992"/>
    <n v="1"/>
    <n v="0"/>
    <n v="170.99700000000001"/>
  </r>
  <r>
    <n v="7929"/>
    <x v="225"/>
    <x v="3"/>
    <x v="0"/>
    <d v="2014-11-25T00:00:00"/>
    <n v="4"/>
    <x v="0"/>
    <s v="Katharine Harms"/>
    <x v="1"/>
    <m/>
    <s v="New York City"/>
    <s v="New York"/>
    <s v="East"/>
    <x v="0"/>
    <x v="5"/>
    <s v="Tensor Brushed Steel Torchiere Floor Lamp"/>
    <x v="4187"/>
    <n v="3"/>
    <n v="0"/>
    <n v="9.1745999999999999"/>
  </r>
  <r>
    <n v="7930"/>
    <x v="800"/>
    <x v="3"/>
    <x v="7"/>
    <d v="2014-07-28T00:00:00"/>
    <n v="2"/>
    <x v="2"/>
    <s v="Evan Minnotte"/>
    <x v="2"/>
    <m/>
    <s v="Dallas"/>
    <s v="Texas"/>
    <s v="Central"/>
    <x v="0"/>
    <x v="3"/>
    <s v="Safco Drafting Table"/>
    <x v="4993"/>
    <n v="6"/>
    <n v="0.3"/>
    <n v="-4.2587999999999999"/>
  </r>
  <r>
    <n v="7931"/>
    <x v="869"/>
    <x v="0"/>
    <x v="10"/>
    <d v="2013-03-28T00:00:00"/>
    <n v="2"/>
    <x v="0"/>
    <s v="Damala Kotsonis"/>
    <x v="1"/>
    <m/>
    <s v="New York City"/>
    <s v="New York"/>
    <s v="East"/>
    <x v="1"/>
    <x v="6"/>
    <s v="Newell 319"/>
    <x v="423"/>
    <n v="3"/>
    <n v="0"/>
    <n v="17.856000000000002"/>
  </r>
  <r>
    <n v="7932"/>
    <x v="692"/>
    <x v="0"/>
    <x v="7"/>
    <d v="2013-07-21T00:00:00"/>
    <n v="5"/>
    <x v="1"/>
    <s v="Mark Cousins"/>
    <x v="1"/>
    <m/>
    <s v="Portland"/>
    <s v="Oregon"/>
    <s v="West"/>
    <x v="0"/>
    <x v="1"/>
    <s v="Bevis Steel Folding Chairs"/>
    <x v="2145"/>
    <n v="3"/>
    <n v="0.2"/>
    <n v="23.027999999999999"/>
  </r>
  <r>
    <n v="7933"/>
    <x v="692"/>
    <x v="0"/>
    <x v="7"/>
    <d v="2013-07-21T00:00:00"/>
    <n v="5"/>
    <x v="1"/>
    <s v="Mark Cousins"/>
    <x v="1"/>
    <m/>
    <s v="Portland"/>
    <s v="Oregon"/>
    <s v="West"/>
    <x v="1"/>
    <x v="10"/>
    <s v="Xerox 1909"/>
    <x v="151"/>
    <n v="5"/>
    <n v="0.2"/>
    <n v="34.293999999999997"/>
  </r>
  <r>
    <n v="7934"/>
    <x v="629"/>
    <x v="3"/>
    <x v="6"/>
    <d v="2014-08-25T00:00:00"/>
    <n v="7"/>
    <x v="1"/>
    <s v="Rick Wilson"/>
    <x v="1"/>
    <m/>
    <s v="Brentwood"/>
    <s v="California"/>
    <s v="West"/>
    <x v="1"/>
    <x v="12"/>
    <s v="Staples"/>
    <x v="368"/>
    <n v="2"/>
    <n v="0"/>
    <n v="11.68"/>
  </r>
  <r>
    <n v="7935"/>
    <x v="629"/>
    <x v="3"/>
    <x v="6"/>
    <d v="2014-08-25T00:00:00"/>
    <n v="7"/>
    <x v="1"/>
    <s v="Rick Wilson"/>
    <x v="1"/>
    <m/>
    <s v="Brentwood"/>
    <s v="California"/>
    <s v="West"/>
    <x v="2"/>
    <x v="7"/>
    <s v="OtterBox Defender Series Case - Samsung Galaxy S4"/>
    <x v="973"/>
    <n v="3"/>
    <n v="0.2"/>
    <n v="8.9969999999999999"/>
  </r>
  <r>
    <n v="7936"/>
    <x v="629"/>
    <x v="3"/>
    <x v="6"/>
    <d v="2014-08-25T00:00:00"/>
    <n v="7"/>
    <x v="1"/>
    <s v="Rick Wilson"/>
    <x v="1"/>
    <m/>
    <s v="Brentwood"/>
    <s v="California"/>
    <s v="West"/>
    <x v="1"/>
    <x v="10"/>
    <s v="Xerox 1962"/>
    <x v="18"/>
    <n v="2"/>
    <n v="0"/>
    <n v="3.8519999999999999"/>
  </r>
  <r>
    <n v="7937"/>
    <x v="629"/>
    <x v="3"/>
    <x v="6"/>
    <d v="2014-08-25T00:00:00"/>
    <n v="7"/>
    <x v="1"/>
    <s v="Rick Wilson"/>
    <x v="1"/>
    <m/>
    <s v="Brentwood"/>
    <s v="California"/>
    <s v="West"/>
    <x v="1"/>
    <x v="8"/>
    <s v="Wilson Jones Clip &amp; Carry Folder Binder Tool for Ring Binders, Clear"/>
    <x v="3961"/>
    <n v="3"/>
    <n v="0.2"/>
    <n v="4.8719999999999999"/>
  </r>
  <r>
    <n v="7938"/>
    <x v="629"/>
    <x v="3"/>
    <x v="6"/>
    <d v="2014-08-25T00:00:00"/>
    <n v="7"/>
    <x v="1"/>
    <s v="Rick Wilson"/>
    <x v="1"/>
    <m/>
    <s v="Brentwood"/>
    <s v="California"/>
    <s v="West"/>
    <x v="1"/>
    <x v="9"/>
    <s v="Sanyo 2.5 Cubic Foot Mid-Size Office Refrigerators"/>
    <x v="4994"/>
    <n v="9"/>
    <n v="0"/>
    <n v="654.75540000000001"/>
  </r>
  <r>
    <n v="7939"/>
    <x v="629"/>
    <x v="3"/>
    <x v="6"/>
    <d v="2014-08-25T00:00:00"/>
    <n v="7"/>
    <x v="1"/>
    <s v="Rick Wilson"/>
    <x v="1"/>
    <m/>
    <s v="Brentwood"/>
    <s v="California"/>
    <s v="West"/>
    <x v="1"/>
    <x v="4"/>
    <s v="Standard Rollaway File with Lock"/>
    <x v="857"/>
    <n v="3"/>
    <n v="0"/>
    <n v="140.54820000000001"/>
  </r>
  <r>
    <n v="7940"/>
    <x v="629"/>
    <x v="3"/>
    <x v="6"/>
    <d v="2014-08-25T00:00:00"/>
    <n v="7"/>
    <x v="1"/>
    <s v="Rick Wilson"/>
    <x v="1"/>
    <m/>
    <s v="Brentwood"/>
    <s v="California"/>
    <s v="West"/>
    <x v="1"/>
    <x v="8"/>
    <s v="GBC Recycled Grain Textured Covers"/>
    <x v="4995"/>
    <n v="8"/>
    <n v="0.2"/>
    <n v="77.369600000000005"/>
  </r>
  <r>
    <n v="7941"/>
    <x v="882"/>
    <x v="0"/>
    <x v="4"/>
    <d v="2013-12-18T00:00:00"/>
    <n v="3"/>
    <x v="2"/>
    <s v="David Smith"/>
    <x v="1"/>
    <m/>
    <s v="San Diego"/>
    <s v="California"/>
    <s v="West"/>
    <x v="0"/>
    <x v="1"/>
    <s v="Global Task Chair, Black"/>
    <x v="125"/>
    <n v="2"/>
    <n v="0.2"/>
    <n v="-9.1601999999999997"/>
  </r>
  <r>
    <n v="7942"/>
    <x v="882"/>
    <x v="0"/>
    <x v="4"/>
    <d v="2013-12-18T00:00:00"/>
    <n v="3"/>
    <x v="2"/>
    <s v="David Smith"/>
    <x v="1"/>
    <m/>
    <s v="San Diego"/>
    <s v="California"/>
    <s v="West"/>
    <x v="1"/>
    <x v="4"/>
    <s v="Tenex Personal Project File with Scoop Front Design, Black"/>
    <x v="4996"/>
    <n v="10"/>
    <n v="0"/>
    <n v="35.048000000000002"/>
  </r>
  <r>
    <n v="7943"/>
    <x v="53"/>
    <x v="3"/>
    <x v="4"/>
    <d v="2015-01-02T00:00:00"/>
    <n v="7"/>
    <x v="1"/>
    <s v="Guy Armstrong"/>
    <x v="0"/>
    <m/>
    <s v="Dallas"/>
    <s v="Texas"/>
    <s v="Central"/>
    <x v="1"/>
    <x v="8"/>
    <s v="Wilson Jones Legal Size Ring Binders"/>
    <x v="4997"/>
    <n v="9"/>
    <n v="0.8"/>
    <n v="-59.372999999999998"/>
  </r>
  <r>
    <n v="7944"/>
    <x v="53"/>
    <x v="3"/>
    <x v="4"/>
    <d v="2015-01-02T00:00:00"/>
    <n v="7"/>
    <x v="1"/>
    <s v="Guy Armstrong"/>
    <x v="0"/>
    <m/>
    <s v="Dallas"/>
    <s v="Texas"/>
    <s v="Central"/>
    <x v="1"/>
    <x v="14"/>
    <s v="Staples"/>
    <x v="4998"/>
    <n v="7"/>
    <n v="0.2"/>
    <n v="5.0274000000000001"/>
  </r>
  <r>
    <n v="7945"/>
    <x v="53"/>
    <x v="3"/>
    <x v="4"/>
    <d v="2015-01-02T00:00:00"/>
    <n v="7"/>
    <x v="1"/>
    <s v="Guy Armstrong"/>
    <x v="0"/>
    <m/>
    <s v="Dallas"/>
    <s v="Texas"/>
    <s v="Central"/>
    <x v="1"/>
    <x v="6"/>
    <s v="Newell 34"/>
    <x v="3993"/>
    <n v="2"/>
    <n v="0.2"/>
    <n v="2.3807999999999998"/>
  </r>
  <r>
    <n v="7946"/>
    <x v="53"/>
    <x v="3"/>
    <x v="4"/>
    <d v="2015-01-02T00:00:00"/>
    <n v="7"/>
    <x v="1"/>
    <s v="Guy Armstrong"/>
    <x v="0"/>
    <m/>
    <s v="Dallas"/>
    <s v="Texas"/>
    <s v="Central"/>
    <x v="1"/>
    <x v="8"/>
    <s v="Wilson Jones Ledger-Size, Piano-Hinge Binder, 2&quot;, Blue"/>
    <x v="4999"/>
    <n v="5"/>
    <n v="0.8"/>
    <n v="-65.567999999999998"/>
  </r>
  <r>
    <n v="7947"/>
    <x v="53"/>
    <x v="3"/>
    <x v="4"/>
    <d v="2015-01-02T00:00:00"/>
    <n v="7"/>
    <x v="1"/>
    <s v="Guy Armstrong"/>
    <x v="0"/>
    <m/>
    <s v="Dallas"/>
    <s v="Texas"/>
    <s v="Central"/>
    <x v="1"/>
    <x v="8"/>
    <s v="Wilson Jones 1&quot; Hanging DublLock Ring Binders"/>
    <x v="754"/>
    <n v="3"/>
    <n v="0.8"/>
    <n v="-5.0688000000000004"/>
  </r>
  <r>
    <n v="7948"/>
    <x v="72"/>
    <x v="2"/>
    <x v="10"/>
    <d v="2011-03-05T00:00:00"/>
    <n v="4"/>
    <x v="1"/>
    <s v="Shahid Collister"/>
    <x v="0"/>
    <m/>
    <s v="El Paso"/>
    <s v="Texas"/>
    <s v="Central"/>
    <x v="1"/>
    <x v="13"/>
    <s v="Plymouth Boxed Rubber Bands by Plymouth"/>
    <x v="605"/>
    <n v="5"/>
    <n v="0.2"/>
    <n v="-3.5325000000000002"/>
  </r>
  <r>
    <n v="7949"/>
    <x v="72"/>
    <x v="2"/>
    <x v="10"/>
    <d v="2011-03-05T00:00:00"/>
    <n v="4"/>
    <x v="1"/>
    <s v="Shahid Collister"/>
    <x v="0"/>
    <m/>
    <s v="El Paso"/>
    <s v="Texas"/>
    <s v="Central"/>
    <x v="0"/>
    <x v="1"/>
    <s v="Harbour Creations Steel Folding Chair"/>
    <x v="5000"/>
    <n v="6"/>
    <n v="0.3"/>
    <n v="0"/>
  </r>
  <r>
    <n v="7950"/>
    <x v="72"/>
    <x v="2"/>
    <x v="10"/>
    <d v="2011-03-05T00:00:00"/>
    <n v="4"/>
    <x v="1"/>
    <s v="Shahid Collister"/>
    <x v="0"/>
    <m/>
    <s v="El Paso"/>
    <s v="Texas"/>
    <s v="Central"/>
    <x v="0"/>
    <x v="5"/>
    <s v="DAX Black Cherry Wood-Tone Poster Frame"/>
    <x v="3020"/>
    <n v="6"/>
    <n v="0.6"/>
    <n v="-34.953600000000002"/>
  </r>
  <r>
    <n v="7951"/>
    <x v="72"/>
    <x v="2"/>
    <x v="10"/>
    <d v="2011-03-05T00:00:00"/>
    <n v="4"/>
    <x v="1"/>
    <s v="Shahid Collister"/>
    <x v="0"/>
    <m/>
    <s v="El Paso"/>
    <s v="Texas"/>
    <s v="Central"/>
    <x v="1"/>
    <x v="4"/>
    <s v="Fellowes Bankers Box Recycled Super Stor/Drawer"/>
    <x v="5001"/>
    <n v="3"/>
    <n v="0.2"/>
    <n v="-22.671600000000002"/>
  </r>
  <r>
    <n v="7952"/>
    <x v="902"/>
    <x v="1"/>
    <x v="0"/>
    <d v="2012-11-24T00:00:00"/>
    <n v="5"/>
    <x v="1"/>
    <s v="Katherine Ducich"/>
    <x v="0"/>
    <m/>
    <s v="New York City"/>
    <s v="New York"/>
    <s v="East"/>
    <x v="1"/>
    <x v="8"/>
    <s v="Accohide Poly Flexible Ring Binders"/>
    <x v="4290"/>
    <n v="2"/>
    <n v="0.2"/>
    <n v="2.2440000000000002"/>
  </r>
  <r>
    <n v="7953"/>
    <x v="902"/>
    <x v="1"/>
    <x v="0"/>
    <d v="2012-11-24T00:00:00"/>
    <n v="5"/>
    <x v="1"/>
    <s v="Katherine Ducich"/>
    <x v="0"/>
    <m/>
    <s v="New York City"/>
    <s v="New York"/>
    <s v="East"/>
    <x v="2"/>
    <x v="7"/>
    <s v="Aastra 6757i CT Wireless VoIP phone"/>
    <x v="5002"/>
    <n v="4"/>
    <n v="0"/>
    <n v="249.91040000000001"/>
  </r>
  <r>
    <n v="7954"/>
    <x v="470"/>
    <x v="2"/>
    <x v="3"/>
    <d v="2011-04-06T00:00:00"/>
    <n v="5"/>
    <x v="1"/>
    <s v="Katharine Harms"/>
    <x v="1"/>
    <m/>
    <s v="Revere"/>
    <s v="Massachusetts"/>
    <s v="East"/>
    <x v="1"/>
    <x v="4"/>
    <s v="Rogers Profile Extra Capacity Storage Tub"/>
    <x v="5003"/>
    <n v="4"/>
    <n v="0"/>
    <n v="2.6783999999999999"/>
  </r>
  <r>
    <n v="7955"/>
    <x v="470"/>
    <x v="2"/>
    <x v="3"/>
    <d v="2011-04-06T00:00:00"/>
    <n v="5"/>
    <x v="1"/>
    <s v="Katharine Harms"/>
    <x v="1"/>
    <m/>
    <s v="Revere"/>
    <s v="Massachusetts"/>
    <s v="East"/>
    <x v="1"/>
    <x v="8"/>
    <s v="Zipper Ring Binder Pockets"/>
    <x v="869"/>
    <n v="2"/>
    <n v="0"/>
    <n v="3.0575999999999999"/>
  </r>
  <r>
    <n v="7956"/>
    <x v="361"/>
    <x v="3"/>
    <x v="2"/>
    <d v="2014-10-11T00:00:00"/>
    <n v="5"/>
    <x v="1"/>
    <s v="Greg Guthrie"/>
    <x v="1"/>
    <m/>
    <s v="Chico"/>
    <s v="California"/>
    <s v="West"/>
    <x v="0"/>
    <x v="1"/>
    <s v="Global Deluxe High-Back Office Chair in Storm"/>
    <x v="4828"/>
    <n v="4"/>
    <n v="0.2"/>
    <n v="-59.835599999999999"/>
  </r>
  <r>
    <n v="7957"/>
    <x v="361"/>
    <x v="3"/>
    <x v="2"/>
    <d v="2014-10-11T00:00:00"/>
    <n v="5"/>
    <x v="1"/>
    <s v="Greg Guthrie"/>
    <x v="1"/>
    <m/>
    <s v="Chico"/>
    <s v="California"/>
    <s v="West"/>
    <x v="1"/>
    <x v="13"/>
    <s v="Staples"/>
    <x v="81"/>
    <n v="5"/>
    <n v="0"/>
    <n v="6.8540000000000001"/>
  </r>
  <r>
    <n v="7958"/>
    <x v="361"/>
    <x v="3"/>
    <x v="2"/>
    <d v="2014-10-11T00:00:00"/>
    <n v="5"/>
    <x v="1"/>
    <s v="Greg Guthrie"/>
    <x v="1"/>
    <m/>
    <s v="Chico"/>
    <s v="California"/>
    <s v="West"/>
    <x v="1"/>
    <x v="9"/>
    <s v="Hoover Replacement Belts For Soft Guard &amp; Commercial Ltweight Upright Vacs, 2/Pk"/>
    <x v="2347"/>
    <n v="4"/>
    <n v="0"/>
    <n v="4.1079999999999997"/>
  </r>
  <r>
    <n v="7959"/>
    <x v="361"/>
    <x v="3"/>
    <x v="2"/>
    <d v="2014-10-11T00:00:00"/>
    <n v="5"/>
    <x v="1"/>
    <s v="Greg Guthrie"/>
    <x v="1"/>
    <m/>
    <s v="Chico"/>
    <s v="California"/>
    <s v="West"/>
    <x v="0"/>
    <x v="5"/>
    <s v="DAX Clear Channel Poster Frame"/>
    <x v="5004"/>
    <n v="5"/>
    <n v="0"/>
    <n v="26.972999999999999"/>
  </r>
  <r>
    <n v="7960"/>
    <x v="361"/>
    <x v="3"/>
    <x v="2"/>
    <d v="2014-10-11T00:00:00"/>
    <n v="5"/>
    <x v="1"/>
    <s v="Greg Guthrie"/>
    <x v="1"/>
    <m/>
    <s v="Chico"/>
    <s v="California"/>
    <s v="West"/>
    <x v="0"/>
    <x v="3"/>
    <s v="KI Adjustable-Height Table"/>
    <x v="5005"/>
    <n v="3"/>
    <n v="0.2"/>
    <n v="5.1588000000000003"/>
  </r>
  <r>
    <n v="7961"/>
    <x v="361"/>
    <x v="3"/>
    <x v="2"/>
    <d v="2014-10-11T00:00:00"/>
    <n v="5"/>
    <x v="1"/>
    <s v="Greg Guthrie"/>
    <x v="1"/>
    <m/>
    <s v="Chico"/>
    <s v="California"/>
    <s v="West"/>
    <x v="2"/>
    <x v="7"/>
    <s v="Square Credit Card Reader, 4 1/2&quot; x 4 1/2&quot; x 1&quot;, White"/>
    <x v="462"/>
    <n v="1"/>
    <n v="0.2"/>
    <n v="2.6972999999999998"/>
  </r>
  <r>
    <n v="7962"/>
    <x v="551"/>
    <x v="3"/>
    <x v="0"/>
    <d v="2014-11-24T00:00:00"/>
    <n v="5"/>
    <x v="0"/>
    <s v="Jim Sink"/>
    <x v="1"/>
    <m/>
    <s v="Miramar"/>
    <s v="Florida"/>
    <s v="South"/>
    <x v="1"/>
    <x v="4"/>
    <s v="Tennsco Commercial Shelving"/>
    <x v="5006"/>
    <n v="5"/>
    <n v="0.2"/>
    <n v="-19.323"/>
  </r>
  <r>
    <n v="7963"/>
    <x v="551"/>
    <x v="3"/>
    <x v="0"/>
    <d v="2014-11-24T00:00:00"/>
    <n v="5"/>
    <x v="0"/>
    <s v="Jim Sink"/>
    <x v="1"/>
    <m/>
    <s v="Miramar"/>
    <s v="Florida"/>
    <s v="South"/>
    <x v="1"/>
    <x v="8"/>
    <s v="Ibico Plastic and Wire Spiral Binding Combs"/>
    <x v="3163"/>
    <n v="8"/>
    <n v="0.7"/>
    <n v="-16.185600000000001"/>
  </r>
  <r>
    <n v="7964"/>
    <x v="551"/>
    <x v="3"/>
    <x v="0"/>
    <d v="2014-11-24T00:00:00"/>
    <n v="5"/>
    <x v="0"/>
    <s v="Jim Sink"/>
    <x v="1"/>
    <m/>
    <s v="Miramar"/>
    <s v="Florida"/>
    <s v="South"/>
    <x v="1"/>
    <x v="9"/>
    <s v="Acco 7-Outlet Masterpiece Power Center, Wihtout Fax/Phone Line Protection"/>
    <x v="5007"/>
    <n v="4"/>
    <n v="0.2"/>
    <n v="48.631999999999998"/>
  </r>
  <r>
    <n v="7965"/>
    <x v="551"/>
    <x v="3"/>
    <x v="0"/>
    <d v="2014-11-24T00:00:00"/>
    <n v="5"/>
    <x v="0"/>
    <s v="Jim Sink"/>
    <x v="1"/>
    <m/>
    <s v="Miramar"/>
    <s v="Florida"/>
    <s v="South"/>
    <x v="1"/>
    <x v="10"/>
    <s v="Xerox 221"/>
    <x v="557"/>
    <n v="4"/>
    <n v="0.2"/>
    <n v="7.2576000000000001"/>
  </r>
  <r>
    <n v="7966"/>
    <x v="551"/>
    <x v="3"/>
    <x v="0"/>
    <d v="2014-11-24T00:00:00"/>
    <n v="5"/>
    <x v="0"/>
    <s v="Jim Sink"/>
    <x v="1"/>
    <m/>
    <s v="Miramar"/>
    <s v="Florida"/>
    <s v="South"/>
    <x v="1"/>
    <x v="10"/>
    <s v="Xerox 211"/>
    <x v="753"/>
    <n v="8"/>
    <n v="0.2"/>
    <n v="14.5152"/>
  </r>
  <r>
    <n v="7967"/>
    <x v="391"/>
    <x v="1"/>
    <x v="10"/>
    <d v="2012-03-30T00:00:00"/>
    <n v="7"/>
    <x v="1"/>
    <s v="Bart Pistole"/>
    <x v="1"/>
    <m/>
    <s v="Los Angeles"/>
    <s v="California"/>
    <s v="West"/>
    <x v="1"/>
    <x v="10"/>
    <s v="REDIFORM Incoming/Outgoing Call Register, 11&quot; X 8 1/2&quot;, 100 Messages"/>
    <x v="1707"/>
    <n v="4"/>
    <n v="0"/>
    <n v="16.68"/>
  </r>
  <r>
    <n v="7968"/>
    <x v="1155"/>
    <x v="0"/>
    <x v="2"/>
    <d v="2013-10-13T00:00:00"/>
    <n v="2"/>
    <x v="2"/>
    <s v="Corey Catlett"/>
    <x v="1"/>
    <m/>
    <s v="Denver"/>
    <s v="Colorado"/>
    <s v="West"/>
    <x v="0"/>
    <x v="0"/>
    <s v="Bush Westfield Collection Bookcases, Dark Cherry Finish, Fully Assembled"/>
    <x v="4953"/>
    <n v="3"/>
    <n v="0.7"/>
    <n v="-190.85220000000001"/>
  </r>
  <r>
    <n v="7969"/>
    <x v="1155"/>
    <x v="0"/>
    <x v="2"/>
    <d v="2013-10-13T00:00:00"/>
    <n v="2"/>
    <x v="2"/>
    <s v="Corey Catlett"/>
    <x v="1"/>
    <m/>
    <s v="Denver"/>
    <s v="Colorado"/>
    <s v="West"/>
    <x v="2"/>
    <x v="7"/>
    <s v="iOttie HLCRIO102 Car Mount"/>
    <x v="312"/>
    <n v="1"/>
    <n v="0.2"/>
    <n v="-2.9984999999999999"/>
  </r>
  <r>
    <n v="7970"/>
    <x v="1155"/>
    <x v="0"/>
    <x v="2"/>
    <d v="2013-10-13T00:00:00"/>
    <n v="2"/>
    <x v="2"/>
    <s v="Corey Catlett"/>
    <x v="1"/>
    <m/>
    <s v="Denver"/>
    <s v="Colorado"/>
    <s v="West"/>
    <x v="0"/>
    <x v="1"/>
    <s v="Global Manager's Adjustable Task Chair, Storm"/>
    <x v="3115"/>
    <n v="1"/>
    <n v="0.2"/>
    <n v="13.588200000000001"/>
  </r>
  <r>
    <n v="7971"/>
    <x v="748"/>
    <x v="1"/>
    <x v="6"/>
    <d v="2012-08-20T00:00:00"/>
    <n v="4"/>
    <x v="1"/>
    <s v="Sung Pak"/>
    <x v="1"/>
    <m/>
    <s v="Philadelphia"/>
    <s v="Pennsylvania"/>
    <s v="East"/>
    <x v="2"/>
    <x v="7"/>
    <s v="Cisco IP Phone 7961G-GE VoIP phone"/>
    <x v="5008"/>
    <n v="4"/>
    <n v="0.4"/>
    <n v="-112.6216"/>
  </r>
  <r>
    <n v="7972"/>
    <x v="748"/>
    <x v="1"/>
    <x v="6"/>
    <d v="2012-08-20T00:00:00"/>
    <n v="4"/>
    <x v="1"/>
    <s v="Sung Pak"/>
    <x v="1"/>
    <m/>
    <s v="Philadelphia"/>
    <s v="Pennsylvania"/>
    <s v="East"/>
    <x v="2"/>
    <x v="11"/>
    <s v="SanDisk Ultra 16 GB MicroSDHC Class 10 Memory Card"/>
    <x v="5009"/>
    <n v="3"/>
    <n v="0.2"/>
    <n v="-5.4558"/>
  </r>
  <r>
    <n v="7973"/>
    <x v="748"/>
    <x v="1"/>
    <x v="6"/>
    <d v="2012-08-20T00:00:00"/>
    <n v="4"/>
    <x v="1"/>
    <s v="Sung Pak"/>
    <x v="1"/>
    <m/>
    <s v="Philadelphia"/>
    <s v="Pennsylvania"/>
    <s v="East"/>
    <x v="1"/>
    <x v="10"/>
    <s v="Xerox 227"/>
    <x v="559"/>
    <n v="2"/>
    <n v="0.2"/>
    <n v="3.6288"/>
  </r>
  <r>
    <n v="7974"/>
    <x v="748"/>
    <x v="1"/>
    <x v="6"/>
    <d v="2012-08-20T00:00:00"/>
    <n v="4"/>
    <x v="1"/>
    <s v="Sung Pak"/>
    <x v="1"/>
    <m/>
    <s v="Philadelphia"/>
    <s v="Pennsylvania"/>
    <s v="East"/>
    <x v="1"/>
    <x v="8"/>
    <s v="Avery Durable Plastic 1&quot; Binders"/>
    <x v="625"/>
    <n v="2"/>
    <n v="0.7"/>
    <n v="-1.9068000000000001"/>
  </r>
  <r>
    <n v="7975"/>
    <x v="748"/>
    <x v="1"/>
    <x v="6"/>
    <d v="2012-08-20T00:00:00"/>
    <n v="4"/>
    <x v="1"/>
    <s v="Sung Pak"/>
    <x v="1"/>
    <m/>
    <s v="Philadelphia"/>
    <s v="Pennsylvania"/>
    <s v="East"/>
    <x v="0"/>
    <x v="5"/>
    <s v="Tenex 46&quot; x 60&quot; Computer Anti-Static Chairmat, Rectangular Shaped"/>
    <x v="1796"/>
    <n v="3"/>
    <n v="0.2"/>
    <n v="0"/>
  </r>
  <r>
    <n v="7976"/>
    <x v="748"/>
    <x v="1"/>
    <x v="6"/>
    <d v="2012-08-20T00:00:00"/>
    <n v="4"/>
    <x v="1"/>
    <s v="Sung Pak"/>
    <x v="1"/>
    <m/>
    <s v="Philadelphia"/>
    <s v="Pennsylvania"/>
    <s v="East"/>
    <x v="1"/>
    <x v="8"/>
    <s v="Avery Durable Slant Ring Binders With Label Holder"/>
    <x v="5010"/>
    <n v="3"/>
    <n v="0.7"/>
    <n v="-2.7587999999999999"/>
  </r>
  <r>
    <n v="7977"/>
    <x v="748"/>
    <x v="1"/>
    <x v="6"/>
    <d v="2012-08-20T00:00:00"/>
    <n v="4"/>
    <x v="1"/>
    <s v="Sung Pak"/>
    <x v="1"/>
    <m/>
    <s v="Philadelphia"/>
    <s v="Pennsylvania"/>
    <s v="East"/>
    <x v="1"/>
    <x v="10"/>
    <s v="Xerox 199"/>
    <x v="1495"/>
    <n v="3"/>
    <n v="0.2"/>
    <n v="3.21"/>
  </r>
  <r>
    <n v="7978"/>
    <x v="1178"/>
    <x v="2"/>
    <x v="5"/>
    <d v="2011-06-05T00:00:00"/>
    <n v="5"/>
    <x v="1"/>
    <s v="Jim Karlsson"/>
    <x v="0"/>
    <m/>
    <s v="Jackson"/>
    <s v="Mississippi"/>
    <s v="South"/>
    <x v="2"/>
    <x v="7"/>
    <s v="Samsung Galaxy Note 3"/>
    <x v="5011"/>
    <n v="3"/>
    <n v="0"/>
    <n v="197.99100000000001"/>
  </r>
  <r>
    <n v="7979"/>
    <x v="1178"/>
    <x v="2"/>
    <x v="5"/>
    <d v="2011-06-05T00:00:00"/>
    <n v="5"/>
    <x v="1"/>
    <s v="Jim Karlsson"/>
    <x v="0"/>
    <m/>
    <s v="Jackson"/>
    <s v="Mississippi"/>
    <s v="South"/>
    <x v="2"/>
    <x v="7"/>
    <s v="Grandstream GXP1160 VoIP phone"/>
    <x v="4175"/>
    <n v="3"/>
    <n v="0"/>
    <n v="32.981699999999996"/>
  </r>
  <r>
    <n v="7980"/>
    <x v="375"/>
    <x v="1"/>
    <x v="6"/>
    <d v="2012-08-31T00:00:00"/>
    <n v="4"/>
    <x v="1"/>
    <s v="Chad Cunningham"/>
    <x v="2"/>
    <m/>
    <s v="Los Angeles"/>
    <s v="California"/>
    <s v="West"/>
    <x v="1"/>
    <x v="8"/>
    <s v="Avery Heavy-Duty EZD View Binder with Locking Rings"/>
    <x v="1670"/>
    <n v="1"/>
    <n v="0.2"/>
    <n v="1.6588000000000001"/>
  </r>
  <r>
    <n v="7981"/>
    <x v="1179"/>
    <x v="2"/>
    <x v="9"/>
    <d v="2011-01-08T00:00:00"/>
    <n v="4"/>
    <x v="1"/>
    <s v="Darren Powers"/>
    <x v="0"/>
    <m/>
    <s v="Houston"/>
    <s v="Texas"/>
    <s v="Central"/>
    <x v="1"/>
    <x v="10"/>
    <s v="Message Book, Wirebound, Four 5 1/2&quot; X 4&quot; Forms/Pg., 200 Dupl. Sets/Book"/>
    <x v="2789"/>
    <n v="2"/>
    <n v="0.2"/>
    <n v="5.5511999999999997"/>
  </r>
  <r>
    <n v="7982"/>
    <x v="1076"/>
    <x v="2"/>
    <x v="8"/>
    <d v="2011-09-13T00:00:00"/>
    <n v="3"/>
    <x v="2"/>
    <s v="Sandra Flanagan"/>
    <x v="0"/>
    <m/>
    <s v="Clifton"/>
    <s v="New Jersey"/>
    <s v="East"/>
    <x v="1"/>
    <x v="9"/>
    <s v="Kensington 6 Outlet Guardian Standard Surge Protector"/>
    <x v="1058"/>
    <n v="4"/>
    <n v="0"/>
    <n v="22.118400000000001"/>
  </r>
  <r>
    <n v="7983"/>
    <x v="1076"/>
    <x v="2"/>
    <x v="8"/>
    <d v="2011-09-13T00:00:00"/>
    <n v="3"/>
    <x v="2"/>
    <s v="Sandra Flanagan"/>
    <x v="0"/>
    <m/>
    <s v="Clifton"/>
    <s v="New Jersey"/>
    <s v="East"/>
    <x v="0"/>
    <x v="5"/>
    <s v="Dana Fluorescent Magnifying Lamp, White, 36&quot;"/>
    <x v="2518"/>
    <n v="5"/>
    <n v="0"/>
    <n v="76.47"/>
  </r>
  <r>
    <n v="7984"/>
    <x v="203"/>
    <x v="3"/>
    <x v="9"/>
    <d v="2014-01-26T00:00:00"/>
    <n v="3"/>
    <x v="0"/>
    <s v="Edward Hooks"/>
    <x v="1"/>
    <m/>
    <s v="Chicago"/>
    <s v="Illinois"/>
    <s v="Central"/>
    <x v="1"/>
    <x v="13"/>
    <s v="Staples"/>
    <x v="1138"/>
    <n v="5"/>
    <n v="0.2"/>
    <n v="4.9139999999999997"/>
  </r>
  <r>
    <n v="7985"/>
    <x v="203"/>
    <x v="3"/>
    <x v="9"/>
    <d v="2014-01-26T00:00:00"/>
    <n v="3"/>
    <x v="0"/>
    <s v="Edward Hooks"/>
    <x v="1"/>
    <m/>
    <s v="Chicago"/>
    <s v="Illinois"/>
    <s v="Central"/>
    <x v="1"/>
    <x v="6"/>
    <s v="Newell 348"/>
    <x v="956"/>
    <n v="3"/>
    <n v="0.2"/>
    <n v="0.88560000000000005"/>
  </r>
  <r>
    <n v="7986"/>
    <x v="438"/>
    <x v="0"/>
    <x v="3"/>
    <d v="2013-04-25T00:00:00"/>
    <n v="3"/>
    <x v="2"/>
    <s v="Duane Noonan"/>
    <x v="0"/>
    <m/>
    <s v="Seattle"/>
    <s v="Washington"/>
    <s v="West"/>
    <x v="1"/>
    <x v="8"/>
    <s v="Round Ring Binders"/>
    <x v="1350"/>
    <n v="5"/>
    <n v="0.2"/>
    <n v="2.8079999999999998"/>
  </r>
  <r>
    <n v="7987"/>
    <x v="1180"/>
    <x v="0"/>
    <x v="7"/>
    <d v="2013-07-24T00:00:00"/>
    <n v="3"/>
    <x v="0"/>
    <s v="Pauline Johnson"/>
    <x v="0"/>
    <m/>
    <s v="Long Beach"/>
    <s v="New York"/>
    <s v="East"/>
    <x v="2"/>
    <x v="7"/>
    <s v="invisibleSHIELD by ZAGG Smudge-Free Screen Protector"/>
    <x v="4910"/>
    <n v="5"/>
    <n v="0"/>
    <n v="43.176000000000002"/>
  </r>
  <r>
    <n v="7988"/>
    <x v="828"/>
    <x v="0"/>
    <x v="6"/>
    <d v="2013-08-30T00:00:00"/>
    <n v="6"/>
    <x v="1"/>
    <s v="Matt Abelman"/>
    <x v="2"/>
    <m/>
    <s v="Sheboygan"/>
    <s v="Wisconsin"/>
    <s v="Central"/>
    <x v="1"/>
    <x v="2"/>
    <s v="Permanent Self-Adhesive File Folder Labels for Typewriters, 1 1/8 x 3 1/2, White"/>
    <x v="5012"/>
    <n v="4"/>
    <n v="0"/>
    <n v="11.592000000000001"/>
  </r>
  <r>
    <n v="7989"/>
    <x v="828"/>
    <x v="0"/>
    <x v="6"/>
    <d v="2013-08-30T00:00:00"/>
    <n v="6"/>
    <x v="1"/>
    <s v="Matt Abelman"/>
    <x v="2"/>
    <m/>
    <s v="Sheboygan"/>
    <s v="Wisconsin"/>
    <s v="Central"/>
    <x v="1"/>
    <x v="2"/>
    <s v="Avery 515"/>
    <x v="3101"/>
    <n v="3"/>
    <n v="0"/>
    <n v="17.667300000000001"/>
  </r>
  <r>
    <n v="7990"/>
    <x v="828"/>
    <x v="0"/>
    <x v="6"/>
    <d v="2013-08-30T00:00:00"/>
    <n v="6"/>
    <x v="1"/>
    <s v="Matt Abelman"/>
    <x v="2"/>
    <m/>
    <s v="Sheboygan"/>
    <s v="Wisconsin"/>
    <s v="Central"/>
    <x v="1"/>
    <x v="4"/>
    <s v="Pizazz Global Quick File"/>
    <x v="2684"/>
    <n v="1"/>
    <n v="0"/>
    <n v="4.1916000000000002"/>
  </r>
  <r>
    <n v="7991"/>
    <x v="828"/>
    <x v="0"/>
    <x v="6"/>
    <d v="2013-08-30T00:00:00"/>
    <n v="6"/>
    <x v="1"/>
    <s v="Matt Abelman"/>
    <x v="2"/>
    <m/>
    <s v="Sheboygan"/>
    <s v="Wisconsin"/>
    <s v="Central"/>
    <x v="2"/>
    <x v="11"/>
    <s v="Maxell 4.7GB DVD+R 5/Pack"/>
    <x v="5013"/>
    <n v="2"/>
    <n v="0"/>
    <n v="0.89100000000000001"/>
  </r>
  <r>
    <n v="7992"/>
    <x v="403"/>
    <x v="0"/>
    <x v="1"/>
    <d v="2013-06-18T00:00:00"/>
    <n v="3"/>
    <x v="2"/>
    <s v="Vivian Mathis"/>
    <x v="0"/>
    <m/>
    <s v="Boca Raton"/>
    <s v="Florida"/>
    <s v="South"/>
    <x v="1"/>
    <x v="8"/>
    <s v="GBC Twin Loop Wire Binding Elements"/>
    <x v="5014"/>
    <n v="4"/>
    <n v="0.7"/>
    <n v="-26.623999999999999"/>
  </r>
  <r>
    <n v="7993"/>
    <x v="403"/>
    <x v="0"/>
    <x v="1"/>
    <d v="2013-06-18T00:00:00"/>
    <n v="3"/>
    <x v="2"/>
    <s v="Vivian Mathis"/>
    <x v="0"/>
    <m/>
    <s v="Boca Raton"/>
    <s v="Florida"/>
    <s v="South"/>
    <x v="2"/>
    <x v="11"/>
    <s v="Verbatim Slim CD and DVD Storage Cases, 50/Pack"/>
    <x v="4792"/>
    <n v="2"/>
    <n v="0.2"/>
    <n v="2.3079999999999998"/>
  </r>
  <r>
    <n v="7994"/>
    <x v="312"/>
    <x v="1"/>
    <x v="0"/>
    <d v="2012-11-23T00:00:00"/>
    <n v="3"/>
    <x v="0"/>
    <s v="Michelle Moray"/>
    <x v="0"/>
    <m/>
    <s v="Aurora"/>
    <s v="Colorado"/>
    <s v="West"/>
    <x v="1"/>
    <x v="8"/>
    <s v="Wilson Jones Custom Binder Spines &amp; Labels"/>
    <x v="319"/>
    <n v="3"/>
    <n v="0.7"/>
    <n v="-3.4272"/>
  </r>
  <r>
    <n v="7995"/>
    <x v="312"/>
    <x v="1"/>
    <x v="0"/>
    <d v="2012-11-23T00:00:00"/>
    <n v="3"/>
    <x v="0"/>
    <s v="Michelle Moray"/>
    <x v="0"/>
    <m/>
    <s v="Aurora"/>
    <s v="Colorado"/>
    <s v="West"/>
    <x v="0"/>
    <x v="0"/>
    <s v="Sauder Barrister Bookcases"/>
    <x v="3388"/>
    <n v="6"/>
    <n v="0.7"/>
    <n v="-247.7988"/>
  </r>
  <r>
    <n v="7996"/>
    <x v="312"/>
    <x v="1"/>
    <x v="0"/>
    <d v="2012-11-23T00:00:00"/>
    <n v="3"/>
    <x v="0"/>
    <s v="Michelle Moray"/>
    <x v="0"/>
    <m/>
    <s v="Aurora"/>
    <s v="Colorado"/>
    <s v="West"/>
    <x v="1"/>
    <x v="8"/>
    <s v="Wilson Jones 14 Line Acrylic Coated Pressboard Data Binders"/>
    <x v="5015"/>
    <n v="6"/>
    <n v="0.7"/>
    <n v="-7.3692000000000002"/>
  </r>
  <r>
    <n v="7997"/>
    <x v="132"/>
    <x v="3"/>
    <x v="0"/>
    <d v="2014-11-06T00:00:00"/>
    <n v="2"/>
    <x v="2"/>
    <s v="Clay Rozendal"/>
    <x v="2"/>
    <m/>
    <s v="San Diego"/>
    <s v="California"/>
    <s v="West"/>
    <x v="2"/>
    <x v="11"/>
    <s v="Microsoft Sculpt Comfort Mouse"/>
    <x v="5016"/>
    <n v="5"/>
    <n v="0"/>
    <n v="87.89"/>
  </r>
  <r>
    <n v="7998"/>
    <x v="132"/>
    <x v="3"/>
    <x v="0"/>
    <d v="2014-11-06T00:00:00"/>
    <n v="2"/>
    <x v="2"/>
    <s v="Clay Rozendal"/>
    <x v="2"/>
    <m/>
    <s v="San Diego"/>
    <s v="California"/>
    <s v="West"/>
    <x v="0"/>
    <x v="3"/>
    <s v="Chromcraft Round Conference Tables"/>
    <x v="5017"/>
    <n v="12"/>
    <n v="0.2"/>
    <n v="20.9148"/>
  </r>
  <r>
    <n v="7999"/>
    <x v="417"/>
    <x v="2"/>
    <x v="5"/>
    <d v="2011-05-07T00:00:00"/>
    <n v="3"/>
    <x v="2"/>
    <s v="Bill Shonely"/>
    <x v="1"/>
    <m/>
    <s v="Seattle"/>
    <s v="Washington"/>
    <s v="West"/>
    <x v="0"/>
    <x v="5"/>
    <s v="Eldon Regeneration Recycled Desk Accessories, Smoke"/>
    <x v="5018"/>
    <n v="7"/>
    <n v="0"/>
    <n v="3.8976000000000002"/>
  </r>
  <r>
    <n v="8000"/>
    <x v="417"/>
    <x v="2"/>
    <x v="5"/>
    <d v="2011-05-07T00:00:00"/>
    <n v="3"/>
    <x v="2"/>
    <s v="Bill Shonely"/>
    <x v="1"/>
    <m/>
    <s v="Seattle"/>
    <s v="Washington"/>
    <s v="West"/>
    <x v="1"/>
    <x v="9"/>
    <s v="Holmes Odor Grabber"/>
    <x v="5019"/>
    <n v="4"/>
    <n v="0"/>
    <n v="19.034400000000002"/>
  </r>
  <r>
    <n v="8001"/>
    <x v="627"/>
    <x v="1"/>
    <x v="0"/>
    <d v="2012-11-12T00:00:00"/>
    <n v="4"/>
    <x v="1"/>
    <s v="Rob Dowd"/>
    <x v="0"/>
    <m/>
    <s v="Dubuque"/>
    <s v="Iowa"/>
    <s v="Central"/>
    <x v="2"/>
    <x v="7"/>
    <s v="Cisco SPA508G"/>
    <x v="1259"/>
    <n v="4"/>
    <n v="0"/>
    <n v="76.548400000000001"/>
  </r>
  <r>
    <n v="8002"/>
    <x v="295"/>
    <x v="1"/>
    <x v="4"/>
    <d v="2012-12-15T00:00:00"/>
    <n v="3"/>
    <x v="2"/>
    <s v="Karen Daniels"/>
    <x v="0"/>
    <m/>
    <s v="Los Angeles"/>
    <s v="California"/>
    <s v="West"/>
    <x v="2"/>
    <x v="11"/>
    <s v="Logitech Wireless Marathon Mouse M705"/>
    <x v="5020"/>
    <n v="6"/>
    <n v="0"/>
    <n v="128.9742"/>
  </r>
  <r>
    <n v="8003"/>
    <x v="295"/>
    <x v="1"/>
    <x v="4"/>
    <d v="2012-12-15T00:00:00"/>
    <n v="3"/>
    <x v="2"/>
    <s v="Karen Daniels"/>
    <x v="0"/>
    <m/>
    <s v="Los Angeles"/>
    <s v="California"/>
    <s v="West"/>
    <x v="1"/>
    <x v="14"/>
    <s v="Staples"/>
    <x v="4564"/>
    <n v="7"/>
    <n v="0"/>
    <n v="0.51519999999999999"/>
  </r>
  <r>
    <n v="8004"/>
    <x v="588"/>
    <x v="2"/>
    <x v="4"/>
    <d v="2011-12-03T00:00:00"/>
    <n v="2"/>
    <x v="2"/>
    <s v="Anna Andreadi"/>
    <x v="0"/>
    <m/>
    <s v="Lowell"/>
    <s v="Massachusetts"/>
    <s v="East"/>
    <x v="2"/>
    <x v="7"/>
    <s v="Cisco IP Phone 7961G VoIP phone - Dark gray"/>
    <x v="5021"/>
    <n v="2"/>
    <n v="0"/>
    <n v="78.850999999999999"/>
  </r>
  <r>
    <n v="8005"/>
    <x v="588"/>
    <x v="2"/>
    <x v="4"/>
    <d v="2011-12-03T00:00:00"/>
    <n v="2"/>
    <x v="2"/>
    <s v="Anna Andreadi"/>
    <x v="0"/>
    <m/>
    <s v="Lowell"/>
    <s v="Massachusetts"/>
    <s v="East"/>
    <x v="0"/>
    <x v="5"/>
    <s v="Linden 10&quot; Round Wall Clock, Black"/>
    <x v="2732"/>
    <n v="3"/>
    <n v="0"/>
    <n v="15.585599999999999"/>
  </r>
  <r>
    <n v="8006"/>
    <x v="588"/>
    <x v="2"/>
    <x v="4"/>
    <d v="2011-12-03T00:00:00"/>
    <n v="2"/>
    <x v="2"/>
    <s v="Anna Andreadi"/>
    <x v="0"/>
    <m/>
    <s v="Lowell"/>
    <s v="Massachusetts"/>
    <s v="East"/>
    <x v="0"/>
    <x v="5"/>
    <s v="Ultra Door Push Plate"/>
    <x v="759"/>
    <n v="2"/>
    <n v="0"/>
    <n v="3.2406000000000001"/>
  </r>
  <r>
    <n v="8007"/>
    <x v="877"/>
    <x v="0"/>
    <x v="2"/>
    <d v="2013-10-12T00:00:00"/>
    <n v="4"/>
    <x v="1"/>
    <s v="Mick Crebagga"/>
    <x v="0"/>
    <m/>
    <s v="Marysville"/>
    <s v="Washington"/>
    <s v="West"/>
    <x v="1"/>
    <x v="13"/>
    <s v="Alliance Super-Size Bands, Assorted Sizes"/>
    <x v="5022"/>
    <n v="12"/>
    <n v="0"/>
    <n v="0.93359999999999999"/>
  </r>
  <r>
    <n v="8008"/>
    <x v="972"/>
    <x v="1"/>
    <x v="0"/>
    <d v="2012-11-24T00:00:00"/>
    <n v="7"/>
    <x v="1"/>
    <s v="Anna Andreadi"/>
    <x v="0"/>
    <m/>
    <s v="Oklahoma City"/>
    <s v="Oklahoma"/>
    <s v="Central"/>
    <x v="1"/>
    <x v="4"/>
    <s v="Tennsco Stur-D-Stor Boltless Shelving, 5 Shelves, 24&quot; Deep, Sand"/>
    <x v="5023"/>
    <n v="4"/>
    <n v="0"/>
    <n v="5.4123999999999999"/>
  </r>
  <r>
    <n v="8009"/>
    <x v="972"/>
    <x v="1"/>
    <x v="0"/>
    <d v="2012-11-24T00:00:00"/>
    <n v="7"/>
    <x v="1"/>
    <s v="Anna Andreadi"/>
    <x v="0"/>
    <m/>
    <s v="Oklahoma City"/>
    <s v="Oklahoma"/>
    <s v="Central"/>
    <x v="1"/>
    <x v="10"/>
    <s v="Staples"/>
    <x v="1907"/>
    <n v="3"/>
    <n v="0"/>
    <n v="49.970399999999998"/>
  </r>
  <r>
    <n v="8010"/>
    <x v="972"/>
    <x v="1"/>
    <x v="0"/>
    <d v="2012-11-24T00:00:00"/>
    <n v="7"/>
    <x v="1"/>
    <s v="Anna Andreadi"/>
    <x v="0"/>
    <m/>
    <s v="Oklahoma City"/>
    <s v="Oklahoma"/>
    <s v="Central"/>
    <x v="0"/>
    <x v="1"/>
    <s v="Hon Olson Stacker Chairs"/>
    <x v="5024"/>
    <n v="5"/>
    <n v="0"/>
    <n v="383.93099999999998"/>
  </r>
  <r>
    <n v="8011"/>
    <x v="461"/>
    <x v="2"/>
    <x v="10"/>
    <d v="2011-03-20T00:00:00"/>
    <n v="3"/>
    <x v="0"/>
    <s v="Quincy Jones"/>
    <x v="1"/>
    <m/>
    <s v="Philadelphia"/>
    <s v="Pennsylvania"/>
    <s v="East"/>
    <x v="1"/>
    <x v="10"/>
    <s v="Xerox 1909"/>
    <x v="5025"/>
    <n v="6"/>
    <n v="0.2"/>
    <n v="41.152799999999999"/>
  </r>
  <r>
    <n v="8012"/>
    <x v="782"/>
    <x v="1"/>
    <x v="1"/>
    <d v="2012-06-23T00:00:00"/>
    <n v="3"/>
    <x v="2"/>
    <s v="Justin MacKendrick"/>
    <x v="0"/>
    <m/>
    <s v="Aurora"/>
    <s v="Colorado"/>
    <s v="West"/>
    <x v="2"/>
    <x v="7"/>
    <s v="Griffin GC36547 PowerJolt SE Lightning Charger"/>
    <x v="5026"/>
    <n v="7"/>
    <n v="0.2"/>
    <n v="15.743"/>
  </r>
  <r>
    <n v="8013"/>
    <x v="1126"/>
    <x v="3"/>
    <x v="5"/>
    <d v="2014-05-26T00:00:00"/>
    <n v="0"/>
    <x v="3"/>
    <s v="Trudy Brown"/>
    <x v="0"/>
    <m/>
    <s v="New York City"/>
    <s v="New York"/>
    <s v="East"/>
    <x v="1"/>
    <x v="8"/>
    <s v="GBC DocuBind P100 Manual Binding Machine"/>
    <x v="5027"/>
    <n v="5"/>
    <n v="0.2"/>
    <n v="207.47499999999999"/>
  </r>
  <r>
    <n v="8014"/>
    <x v="1126"/>
    <x v="3"/>
    <x v="5"/>
    <d v="2014-05-26T00:00:00"/>
    <n v="0"/>
    <x v="3"/>
    <s v="Trudy Brown"/>
    <x v="0"/>
    <m/>
    <s v="New York City"/>
    <s v="New York"/>
    <s v="East"/>
    <x v="2"/>
    <x v="11"/>
    <s v="Imation 8gb Micro Traveldrive Usb 2.0 Flash Drive"/>
    <x v="5028"/>
    <n v="8"/>
    <n v="0"/>
    <n v="13.2"/>
  </r>
  <r>
    <n v="8015"/>
    <x v="1126"/>
    <x v="3"/>
    <x v="5"/>
    <d v="2014-05-26T00:00:00"/>
    <n v="0"/>
    <x v="3"/>
    <s v="Trudy Brown"/>
    <x v="0"/>
    <m/>
    <s v="New York City"/>
    <s v="New York"/>
    <s v="East"/>
    <x v="1"/>
    <x v="13"/>
    <s v="Acco Hot Clips Clips to Go"/>
    <x v="5029"/>
    <n v="1"/>
    <n v="0"/>
    <n v="1.4804999999999999"/>
  </r>
  <r>
    <n v="8016"/>
    <x v="1126"/>
    <x v="3"/>
    <x v="5"/>
    <d v="2014-05-26T00:00:00"/>
    <n v="0"/>
    <x v="3"/>
    <s v="Trudy Brown"/>
    <x v="0"/>
    <m/>
    <s v="New York City"/>
    <s v="New York"/>
    <s v="East"/>
    <x v="0"/>
    <x v="5"/>
    <s v="Eldon 200 Class Desk Accessories"/>
    <x v="605"/>
    <n v="3"/>
    <n v="0"/>
    <n v="6.0288000000000004"/>
  </r>
  <r>
    <n v="8017"/>
    <x v="340"/>
    <x v="2"/>
    <x v="8"/>
    <d v="2011-09-11T00:00:00"/>
    <n v="2"/>
    <x v="2"/>
    <s v="Nicole Fjeld"/>
    <x v="2"/>
    <m/>
    <s v="Lancaster"/>
    <s v="Ohio"/>
    <s v="East"/>
    <x v="0"/>
    <x v="5"/>
    <s v="Nu-Dell Executive Frame"/>
    <x v="1256"/>
    <n v="6"/>
    <n v="0.2"/>
    <n v="12.892799999999999"/>
  </r>
  <r>
    <n v="8018"/>
    <x v="340"/>
    <x v="2"/>
    <x v="8"/>
    <d v="2011-09-11T00:00:00"/>
    <n v="2"/>
    <x v="2"/>
    <s v="Nicole Fjeld"/>
    <x v="2"/>
    <m/>
    <s v="Lancaster"/>
    <s v="Ohio"/>
    <s v="East"/>
    <x v="1"/>
    <x v="6"/>
    <s v="Newell 320"/>
    <x v="2723"/>
    <n v="9"/>
    <n v="0.2"/>
    <n v="2.6964000000000001"/>
  </r>
  <r>
    <n v="8019"/>
    <x v="161"/>
    <x v="3"/>
    <x v="2"/>
    <d v="2014-10-20T00:00:00"/>
    <n v="2"/>
    <x v="0"/>
    <s v="Barry Französisch"/>
    <x v="1"/>
    <m/>
    <s v="Modesto"/>
    <s v="California"/>
    <s v="West"/>
    <x v="2"/>
    <x v="7"/>
    <s v="Panasonic KX-TG6844B Expandable Digital Cordless Telephone"/>
    <x v="4837"/>
    <n v="1"/>
    <n v="0.2"/>
    <n v="4.6193"/>
  </r>
  <r>
    <n v="8020"/>
    <x v="808"/>
    <x v="3"/>
    <x v="0"/>
    <d v="2014-11-06T00:00:00"/>
    <n v="3"/>
    <x v="2"/>
    <s v="Nora Paige"/>
    <x v="0"/>
    <m/>
    <s v="Saint Louis"/>
    <s v="Missouri"/>
    <s v="Central"/>
    <x v="1"/>
    <x v="9"/>
    <s v="Black &amp; Decker Filter for Double Action Dustbuster Cordless Vac BLDV7210"/>
    <x v="4412"/>
    <n v="10"/>
    <n v="0"/>
    <n v="20.975000000000001"/>
  </r>
  <r>
    <n v="8021"/>
    <x v="808"/>
    <x v="3"/>
    <x v="0"/>
    <d v="2014-11-06T00:00:00"/>
    <n v="3"/>
    <x v="2"/>
    <s v="Nora Paige"/>
    <x v="0"/>
    <m/>
    <s v="Saint Louis"/>
    <s v="Missouri"/>
    <s v="Central"/>
    <x v="1"/>
    <x v="10"/>
    <s v="Adams Telephone Message Book W/Dividers/Space For Phone Numbers, 5 1/4&quot;X8 1/2&quot;, 300/Messages"/>
    <x v="2660"/>
    <n v="2"/>
    <n v="0"/>
    <n v="5.7624000000000004"/>
  </r>
  <r>
    <n v="8022"/>
    <x v="609"/>
    <x v="2"/>
    <x v="7"/>
    <d v="2011-07-25T00:00:00"/>
    <n v="4"/>
    <x v="1"/>
    <s v="Harry Marie"/>
    <x v="1"/>
    <m/>
    <s v="Dallas"/>
    <s v="Texas"/>
    <s v="Central"/>
    <x v="1"/>
    <x v="9"/>
    <s v="Acco 6 Outlet Guardian Basic Surge Suppressor"/>
    <x v="3688"/>
    <n v="3"/>
    <n v="0.8"/>
    <n v="-12.979200000000001"/>
  </r>
  <r>
    <n v="8023"/>
    <x v="609"/>
    <x v="2"/>
    <x v="7"/>
    <d v="2011-07-25T00:00:00"/>
    <n v="4"/>
    <x v="1"/>
    <s v="Harry Marie"/>
    <x v="1"/>
    <m/>
    <s v="Dallas"/>
    <s v="Texas"/>
    <s v="Central"/>
    <x v="1"/>
    <x v="12"/>
    <s v="Inter-Office Recycled Envelopes, Brown Kraft, Button-String,10&quot; x 13&quot; , 100/Box"/>
    <x v="1177"/>
    <n v="5"/>
    <n v="0.2"/>
    <n v="29.672999999999998"/>
  </r>
  <r>
    <n v="8024"/>
    <x v="609"/>
    <x v="2"/>
    <x v="7"/>
    <d v="2011-07-25T00:00:00"/>
    <n v="4"/>
    <x v="1"/>
    <s v="Harry Marie"/>
    <x v="1"/>
    <m/>
    <s v="Dallas"/>
    <s v="Texas"/>
    <s v="Central"/>
    <x v="0"/>
    <x v="1"/>
    <s v="Hon Every-Day Series Multi-Task Chairs"/>
    <x v="2782"/>
    <n v="5"/>
    <n v="0.3"/>
    <n v="-93.99"/>
  </r>
  <r>
    <n v="8025"/>
    <x v="609"/>
    <x v="2"/>
    <x v="7"/>
    <d v="2011-07-25T00:00:00"/>
    <n v="4"/>
    <x v="1"/>
    <s v="Harry Marie"/>
    <x v="1"/>
    <m/>
    <s v="Dallas"/>
    <s v="Texas"/>
    <s v="Central"/>
    <x v="1"/>
    <x v="8"/>
    <s v="Acco Economy Flexible Poly Round Ring Binder"/>
    <x v="5030"/>
    <n v="1"/>
    <n v="0.8"/>
    <n v="-1.827"/>
  </r>
  <r>
    <n v="8026"/>
    <x v="861"/>
    <x v="1"/>
    <x v="8"/>
    <d v="2012-09-15T00:00:00"/>
    <n v="4"/>
    <x v="0"/>
    <s v="Don Miller"/>
    <x v="1"/>
    <m/>
    <s v="New York City"/>
    <s v="New York"/>
    <s v="East"/>
    <x v="0"/>
    <x v="5"/>
    <s v="Deflect-o DuraMat Antistatic Studded Beveled Mat for Medium Pile Carpeting"/>
    <x v="5031"/>
    <n v="2"/>
    <n v="0"/>
    <n v="50.563200000000002"/>
  </r>
  <r>
    <n v="8027"/>
    <x v="861"/>
    <x v="1"/>
    <x v="8"/>
    <d v="2012-09-15T00:00:00"/>
    <n v="4"/>
    <x v="0"/>
    <s v="Don Miller"/>
    <x v="1"/>
    <m/>
    <s v="New York City"/>
    <s v="New York"/>
    <s v="East"/>
    <x v="1"/>
    <x v="4"/>
    <s v="Space Solutions Industrial Galvanized Steel Shelving."/>
    <x v="5032"/>
    <n v="1"/>
    <n v="0"/>
    <n v="1.5760000000000001"/>
  </r>
  <r>
    <n v="8028"/>
    <x v="861"/>
    <x v="1"/>
    <x v="8"/>
    <d v="2012-09-15T00:00:00"/>
    <n v="4"/>
    <x v="0"/>
    <s v="Don Miller"/>
    <x v="1"/>
    <m/>
    <s v="New York City"/>
    <s v="New York"/>
    <s v="East"/>
    <x v="2"/>
    <x v="11"/>
    <s v="Logitech LS21 Speaker System - PC Multimedia - 2.1-CH - Wired"/>
    <x v="86"/>
    <n v="1"/>
    <n v="0"/>
    <n v="6.7965999999999998"/>
  </r>
  <r>
    <n v="8029"/>
    <x v="861"/>
    <x v="1"/>
    <x v="8"/>
    <d v="2012-09-15T00:00:00"/>
    <n v="4"/>
    <x v="0"/>
    <s v="Don Miller"/>
    <x v="1"/>
    <m/>
    <s v="New York City"/>
    <s v="New York"/>
    <s v="East"/>
    <x v="1"/>
    <x v="4"/>
    <s v="Fellowes Staxonsteel Drawer Files"/>
    <x v="3404"/>
    <n v="4"/>
    <n v="0"/>
    <n v="108.1752"/>
  </r>
  <r>
    <n v="8030"/>
    <x v="147"/>
    <x v="0"/>
    <x v="2"/>
    <d v="2013-10-26T00:00:00"/>
    <n v="4"/>
    <x v="1"/>
    <s v="Jill Fjeld"/>
    <x v="0"/>
    <m/>
    <s v="San Antonio"/>
    <s v="Texas"/>
    <s v="Central"/>
    <x v="2"/>
    <x v="11"/>
    <s v="SanDisk Ultra 32 GB MicroSDHC Class 10 Memory Card"/>
    <x v="5033"/>
    <n v="6"/>
    <n v="0.2"/>
    <n v="-9.282"/>
  </r>
  <r>
    <n v="8031"/>
    <x v="676"/>
    <x v="0"/>
    <x v="9"/>
    <d v="2013-01-11T00:00:00"/>
    <n v="4"/>
    <x v="1"/>
    <s v="Neoma Murray"/>
    <x v="0"/>
    <m/>
    <s v="Amarillo"/>
    <s v="Texas"/>
    <s v="Central"/>
    <x v="0"/>
    <x v="5"/>
    <s v="Executive Impressions 13&quot; Clairmont Wall Clock"/>
    <x v="5034"/>
    <n v="3"/>
    <n v="0.6"/>
    <n v="-10.9611"/>
  </r>
  <r>
    <n v="8032"/>
    <x v="676"/>
    <x v="0"/>
    <x v="9"/>
    <d v="2013-01-11T00:00:00"/>
    <n v="4"/>
    <x v="1"/>
    <s v="Neoma Murray"/>
    <x v="0"/>
    <m/>
    <s v="Amarillo"/>
    <s v="Texas"/>
    <s v="Central"/>
    <x v="1"/>
    <x v="10"/>
    <s v="Xerox 212"/>
    <x v="233"/>
    <n v="5"/>
    <n v="0.2"/>
    <n v="9.0719999999999992"/>
  </r>
  <r>
    <n v="8033"/>
    <x v="608"/>
    <x v="1"/>
    <x v="1"/>
    <d v="2012-06-28T00:00:00"/>
    <n v="3"/>
    <x v="2"/>
    <s v="Mark Van Huff"/>
    <x v="0"/>
    <m/>
    <s v="Houston"/>
    <s v="Texas"/>
    <s v="Central"/>
    <x v="1"/>
    <x v="10"/>
    <s v="Xerox 1884"/>
    <x v="1097"/>
    <n v="3"/>
    <n v="0.2"/>
    <n v="16.183800000000002"/>
  </r>
  <r>
    <n v="8034"/>
    <x v="608"/>
    <x v="1"/>
    <x v="1"/>
    <d v="2012-06-28T00:00:00"/>
    <n v="3"/>
    <x v="2"/>
    <s v="Mark Van Huff"/>
    <x v="0"/>
    <m/>
    <s v="Houston"/>
    <s v="Texas"/>
    <s v="Central"/>
    <x v="1"/>
    <x v="8"/>
    <s v="Avery Triangle Shaped Sheet Lifters, Black, 2/Pack"/>
    <x v="5035"/>
    <n v="2"/>
    <n v="0.8"/>
    <n v="-1.476"/>
  </r>
  <r>
    <n v="8035"/>
    <x v="608"/>
    <x v="1"/>
    <x v="1"/>
    <d v="2012-06-28T00:00:00"/>
    <n v="3"/>
    <x v="2"/>
    <s v="Mark Van Huff"/>
    <x v="0"/>
    <m/>
    <s v="Houston"/>
    <s v="Texas"/>
    <s v="Central"/>
    <x v="0"/>
    <x v="5"/>
    <s v="GE General Use Halogen Bulbs, 100 Watts, 1 Bulb per Pack"/>
    <x v="5036"/>
    <n v="9"/>
    <n v="0.6"/>
    <n v="-20.730599999999999"/>
  </r>
  <r>
    <n v="8036"/>
    <x v="608"/>
    <x v="1"/>
    <x v="1"/>
    <d v="2012-06-28T00:00:00"/>
    <n v="3"/>
    <x v="2"/>
    <s v="Mark Van Huff"/>
    <x v="0"/>
    <m/>
    <s v="Houston"/>
    <s v="Texas"/>
    <s v="Central"/>
    <x v="1"/>
    <x v="2"/>
    <s v="Avery File Folder Labels"/>
    <x v="871"/>
    <n v="2"/>
    <n v="0.2"/>
    <n v="1.6704000000000001"/>
  </r>
  <r>
    <n v="8037"/>
    <x v="1181"/>
    <x v="1"/>
    <x v="8"/>
    <d v="2012-09-22T00:00:00"/>
    <n v="2"/>
    <x v="2"/>
    <s v="Alejandro Grove"/>
    <x v="0"/>
    <m/>
    <s v="Lawrence"/>
    <s v="Massachusetts"/>
    <s v="East"/>
    <x v="1"/>
    <x v="8"/>
    <s v="GBC Standard Plastic Binding Systems' Combs"/>
    <x v="1015"/>
    <n v="6"/>
    <n v="0"/>
    <n v="16.956"/>
  </r>
  <r>
    <n v="8038"/>
    <x v="815"/>
    <x v="3"/>
    <x v="7"/>
    <d v="2014-07-15T00:00:00"/>
    <n v="4"/>
    <x v="1"/>
    <s v="Beth Fritzler"/>
    <x v="1"/>
    <m/>
    <s v="Columbus"/>
    <s v="Georgia"/>
    <s v="South"/>
    <x v="1"/>
    <x v="9"/>
    <s v="Belkin 7-Outlet SurgeMaster Home Series"/>
    <x v="5037"/>
    <n v="3"/>
    <n v="0"/>
    <n v="10.896599999999999"/>
  </r>
  <r>
    <n v="8039"/>
    <x v="160"/>
    <x v="3"/>
    <x v="7"/>
    <d v="2014-07-03T00:00:00"/>
    <n v="2"/>
    <x v="0"/>
    <s v="John Castell"/>
    <x v="0"/>
    <m/>
    <s v="Los Angeles"/>
    <s v="California"/>
    <s v="West"/>
    <x v="0"/>
    <x v="0"/>
    <s v="Sauder Facets Collection Library, Sky Alder Finish"/>
    <x v="2621"/>
    <n v="3"/>
    <n v="0.15"/>
    <n v="5.1294000000000004"/>
  </r>
  <r>
    <n v="8040"/>
    <x v="170"/>
    <x v="3"/>
    <x v="6"/>
    <d v="2014-08-26T00:00:00"/>
    <n v="4"/>
    <x v="0"/>
    <s v="Candace McMahon"/>
    <x v="1"/>
    <m/>
    <s v="Seattle"/>
    <s v="Washington"/>
    <s v="West"/>
    <x v="0"/>
    <x v="1"/>
    <s v="Padded Folding Chairs, Black, 4/Carton"/>
    <x v="337"/>
    <n v="6"/>
    <n v="0.2"/>
    <n v="38.870399999999997"/>
  </r>
  <r>
    <n v="8041"/>
    <x v="170"/>
    <x v="3"/>
    <x v="6"/>
    <d v="2014-08-26T00:00:00"/>
    <n v="4"/>
    <x v="0"/>
    <s v="Candace McMahon"/>
    <x v="1"/>
    <m/>
    <s v="Seattle"/>
    <s v="Washington"/>
    <s v="West"/>
    <x v="1"/>
    <x v="4"/>
    <s v="Fellowes Stor/Drawer Steel Plus Storage Drawers"/>
    <x v="714"/>
    <n v="6"/>
    <n v="0"/>
    <n v="34.354799999999997"/>
  </r>
  <r>
    <n v="8042"/>
    <x v="170"/>
    <x v="3"/>
    <x v="6"/>
    <d v="2014-08-26T00:00:00"/>
    <n v="4"/>
    <x v="0"/>
    <s v="Candace McMahon"/>
    <x v="1"/>
    <m/>
    <s v="Seattle"/>
    <s v="Washington"/>
    <s v="West"/>
    <x v="2"/>
    <x v="11"/>
    <s v="Kensington K72356US Mouse-in-a-Box USB Desktop Mouse"/>
    <x v="5038"/>
    <n v="2"/>
    <n v="0"/>
    <n v="11.613"/>
  </r>
  <r>
    <n v="8043"/>
    <x v="825"/>
    <x v="3"/>
    <x v="10"/>
    <d v="2014-03-16T00:00:00"/>
    <n v="4"/>
    <x v="1"/>
    <s v="Paul Van Hugh"/>
    <x v="2"/>
    <m/>
    <s v="Cambridge"/>
    <s v="Massachusetts"/>
    <s v="East"/>
    <x v="2"/>
    <x v="11"/>
    <s v="Memorex Mini Travel Drive 16 GB USB 2.0 Flash Drive"/>
    <x v="430"/>
    <n v="4"/>
    <n v="0"/>
    <n v="24.9132"/>
  </r>
  <r>
    <n v="8044"/>
    <x v="825"/>
    <x v="3"/>
    <x v="10"/>
    <d v="2014-03-16T00:00:00"/>
    <n v="4"/>
    <x v="1"/>
    <s v="Paul Van Hugh"/>
    <x v="2"/>
    <m/>
    <s v="Cambridge"/>
    <s v="Massachusetts"/>
    <s v="East"/>
    <x v="0"/>
    <x v="5"/>
    <s v="Executive Impressions 16-1/2&quot; Circular Wall Clock"/>
    <x v="2979"/>
    <n v="1"/>
    <n v="0"/>
    <n v="11.7568"/>
  </r>
  <r>
    <n v="8045"/>
    <x v="175"/>
    <x v="3"/>
    <x v="8"/>
    <d v="2014-09-18T00:00:00"/>
    <n v="2"/>
    <x v="0"/>
    <s v="Doug O'Connell"/>
    <x v="0"/>
    <m/>
    <s v="Salt Lake City"/>
    <s v="Utah"/>
    <s v="West"/>
    <x v="1"/>
    <x v="8"/>
    <s v="Avery Trapezoid Ring Binder, 3&quot; Capacity, Black, 1040 sheets"/>
    <x v="5039"/>
    <n v="9"/>
    <n v="0.2"/>
    <n v="106.95780000000001"/>
  </r>
  <r>
    <n v="8046"/>
    <x v="873"/>
    <x v="0"/>
    <x v="8"/>
    <d v="2013-09-25T00:00:00"/>
    <n v="4"/>
    <x v="1"/>
    <s v="Helen Abelman"/>
    <x v="0"/>
    <m/>
    <s v="New York City"/>
    <s v="New York"/>
    <s v="East"/>
    <x v="1"/>
    <x v="9"/>
    <s v="Honeywell Quietcare HEPA Air Cleaner"/>
    <x v="5040"/>
    <n v="5"/>
    <n v="0"/>
    <n v="129.77250000000001"/>
  </r>
  <r>
    <n v="8047"/>
    <x v="272"/>
    <x v="0"/>
    <x v="4"/>
    <d v="2013-12-18T00:00:00"/>
    <n v="2"/>
    <x v="0"/>
    <s v="Shahid Hopkins"/>
    <x v="0"/>
    <m/>
    <s v="Cuyahoga Falls"/>
    <s v="Ohio"/>
    <s v="East"/>
    <x v="1"/>
    <x v="8"/>
    <s v="Avery Triangle Shaped Sheet Lifters, Black, 2/Pack"/>
    <x v="3520"/>
    <n v="3"/>
    <n v="0.7"/>
    <n v="-1.476"/>
  </r>
  <r>
    <n v="8048"/>
    <x v="132"/>
    <x v="3"/>
    <x v="0"/>
    <d v="2014-11-07T00:00:00"/>
    <n v="3"/>
    <x v="0"/>
    <s v="Justin MacKendrick"/>
    <x v="0"/>
    <m/>
    <s v="Wilmington"/>
    <s v="North Carolina"/>
    <s v="South"/>
    <x v="1"/>
    <x v="10"/>
    <s v="Strathmore Photo Mount Cards"/>
    <x v="3834"/>
    <n v="3"/>
    <n v="0.2"/>
    <n v="5.2884000000000002"/>
  </r>
  <r>
    <n v="8049"/>
    <x v="894"/>
    <x v="0"/>
    <x v="7"/>
    <d v="2013-07-08T00:00:00"/>
    <n v="4"/>
    <x v="1"/>
    <s v="Dean Katz"/>
    <x v="1"/>
    <m/>
    <s v="New York City"/>
    <s v="New York"/>
    <s v="East"/>
    <x v="1"/>
    <x v="9"/>
    <s v="Avanti 1.7 Cu. Ft. Refrigerator"/>
    <x v="3706"/>
    <n v="7"/>
    <n v="0"/>
    <n v="197.92080000000001"/>
  </r>
  <r>
    <n v="8050"/>
    <x v="467"/>
    <x v="2"/>
    <x v="8"/>
    <d v="2011-09-30T00:00:00"/>
    <n v="4"/>
    <x v="1"/>
    <s v="Craig Molinari"/>
    <x v="1"/>
    <m/>
    <s v="Philadelphia"/>
    <s v="Pennsylvania"/>
    <s v="East"/>
    <x v="1"/>
    <x v="8"/>
    <s v="Avery Durable Slant Ring Binders, No Labels"/>
    <x v="3537"/>
    <n v="5"/>
    <n v="0.7"/>
    <n v="-4.577"/>
  </r>
  <r>
    <n v="8051"/>
    <x v="467"/>
    <x v="2"/>
    <x v="8"/>
    <d v="2011-09-30T00:00:00"/>
    <n v="4"/>
    <x v="1"/>
    <s v="Craig Molinari"/>
    <x v="1"/>
    <m/>
    <s v="Philadelphia"/>
    <s v="Pennsylvania"/>
    <s v="East"/>
    <x v="0"/>
    <x v="5"/>
    <s v="DAX Black Cherry Wood-Tone Poster Frame"/>
    <x v="4399"/>
    <n v="1"/>
    <n v="0.2"/>
    <n v="4.7664"/>
  </r>
  <r>
    <n v="8052"/>
    <x v="467"/>
    <x v="2"/>
    <x v="8"/>
    <d v="2011-09-30T00:00:00"/>
    <n v="4"/>
    <x v="1"/>
    <s v="Craig Molinari"/>
    <x v="1"/>
    <m/>
    <s v="Philadelphia"/>
    <s v="Pennsylvania"/>
    <s v="East"/>
    <x v="1"/>
    <x v="9"/>
    <s v="Acco Six-Outlet Power Strip, 4' Cord Length"/>
    <x v="3021"/>
    <n v="6"/>
    <n v="0.2"/>
    <n v="3.1032000000000002"/>
  </r>
  <r>
    <n v="8053"/>
    <x v="686"/>
    <x v="2"/>
    <x v="7"/>
    <d v="2011-07-17T00:00:00"/>
    <n v="3"/>
    <x v="0"/>
    <s v="Barbara Fisher"/>
    <x v="1"/>
    <m/>
    <s v="New York City"/>
    <s v="New York"/>
    <s v="East"/>
    <x v="1"/>
    <x v="6"/>
    <s v="Newell 315"/>
    <x v="1444"/>
    <n v="3"/>
    <n v="0"/>
    <n v="4.4850000000000003"/>
  </r>
  <r>
    <n v="8054"/>
    <x v="394"/>
    <x v="3"/>
    <x v="8"/>
    <d v="2014-10-06T00:00:00"/>
    <n v="7"/>
    <x v="1"/>
    <s v="Sylvia Foulston"/>
    <x v="1"/>
    <m/>
    <s v="Philadelphia"/>
    <s v="Pennsylvania"/>
    <s v="East"/>
    <x v="1"/>
    <x v="8"/>
    <s v="GBC Standard Plastic Binding Systems Combs"/>
    <x v="5041"/>
    <n v="1"/>
    <n v="0.7"/>
    <n v="-1.8585"/>
  </r>
  <r>
    <n v="8055"/>
    <x v="834"/>
    <x v="1"/>
    <x v="6"/>
    <d v="2012-09-04T00:00:00"/>
    <n v="7"/>
    <x v="1"/>
    <s v="Cassandra Brandow"/>
    <x v="0"/>
    <m/>
    <s v="Los Angeles"/>
    <s v="California"/>
    <s v="West"/>
    <x v="1"/>
    <x v="4"/>
    <s v="Hot File 7-Pocket, Floor Stand"/>
    <x v="5042"/>
    <n v="5"/>
    <n v="0"/>
    <n v="267.70499999999998"/>
  </r>
  <r>
    <n v="8056"/>
    <x v="834"/>
    <x v="1"/>
    <x v="6"/>
    <d v="2012-09-04T00:00:00"/>
    <n v="7"/>
    <x v="1"/>
    <s v="Cassandra Brandow"/>
    <x v="0"/>
    <m/>
    <s v="Los Angeles"/>
    <s v="California"/>
    <s v="West"/>
    <x v="0"/>
    <x v="0"/>
    <s v="O'Sullivan 2-Door Barrister Bookcase in Odessa Pine"/>
    <x v="1473"/>
    <n v="2"/>
    <n v="0.15"/>
    <n v="28.956800000000001"/>
  </r>
  <r>
    <n v="8057"/>
    <x v="834"/>
    <x v="1"/>
    <x v="6"/>
    <d v="2012-09-04T00:00:00"/>
    <n v="7"/>
    <x v="1"/>
    <s v="Cassandra Brandow"/>
    <x v="0"/>
    <m/>
    <s v="Los Angeles"/>
    <s v="California"/>
    <s v="West"/>
    <x v="1"/>
    <x v="4"/>
    <s v="Carina Double Wide Media Storage Towers in Natural &amp; Black"/>
    <x v="5043"/>
    <n v="9"/>
    <n v="0"/>
    <n v="29.152799999999999"/>
  </r>
  <r>
    <n v="8058"/>
    <x v="834"/>
    <x v="1"/>
    <x v="6"/>
    <d v="2012-09-04T00:00:00"/>
    <n v="7"/>
    <x v="1"/>
    <s v="Cassandra Brandow"/>
    <x v="0"/>
    <m/>
    <s v="Los Angeles"/>
    <s v="California"/>
    <s v="West"/>
    <x v="1"/>
    <x v="8"/>
    <s v="GBC Wire Binding Combs"/>
    <x v="5044"/>
    <n v="5"/>
    <n v="0.2"/>
    <n v="13.959"/>
  </r>
  <r>
    <n v="8059"/>
    <x v="834"/>
    <x v="1"/>
    <x v="6"/>
    <d v="2012-09-04T00:00:00"/>
    <n v="7"/>
    <x v="1"/>
    <s v="Cassandra Brandow"/>
    <x v="0"/>
    <m/>
    <s v="Los Angeles"/>
    <s v="California"/>
    <s v="West"/>
    <x v="2"/>
    <x v="7"/>
    <s v="invisibleSHIELD by ZAGG Smudge-Free Screen Protector"/>
    <x v="746"/>
    <n v="3"/>
    <n v="0.2"/>
    <n v="15.111599999999999"/>
  </r>
  <r>
    <n v="8060"/>
    <x v="834"/>
    <x v="1"/>
    <x v="6"/>
    <d v="2012-09-04T00:00:00"/>
    <n v="7"/>
    <x v="1"/>
    <s v="Cassandra Brandow"/>
    <x v="0"/>
    <m/>
    <s v="Los Angeles"/>
    <s v="California"/>
    <s v="West"/>
    <x v="0"/>
    <x v="5"/>
    <s v="Eldon Wave Desk Accessories"/>
    <x v="1337"/>
    <n v="2"/>
    <n v="0"/>
    <n v="1.7472000000000001"/>
  </r>
  <r>
    <n v="8061"/>
    <x v="1181"/>
    <x v="1"/>
    <x v="8"/>
    <d v="2012-09-26T00:00:00"/>
    <n v="6"/>
    <x v="1"/>
    <s v="Tamara Chand"/>
    <x v="1"/>
    <m/>
    <s v="Long Beach"/>
    <s v="New York"/>
    <s v="East"/>
    <x v="1"/>
    <x v="10"/>
    <s v="Xerox 1881"/>
    <x v="3618"/>
    <n v="5"/>
    <n v="0"/>
    <n v="28.858000000000001"/>
  </r>
  <r>
    <n v="8062"/>
    <x v="1181"/>
    <x v="1"/>
    <x v="8"/>
    <d v="2012-09-26T00:00:00"/>
    <n v="6"/>
    <x v="1"/>
    <s v="Tamara Chand"/>
    <x v="1"/>
    <m/>
    <s v="Long Beach"/>
    <s v="New York"/>
    <s v="East"/>
    <x v="1"/>
    <x v="8"/>
    <s v="Recycled Premium Regency Composition Covers"/>
    <x v="667"/>
    <n v="2"/>
    <n v="0.2"/>
    <n v="8.8623999999999992"/>
  </r>
  <r>
    <n v="8063"/>
    <x v="77"/>
    <x v="0"/>
    <x v="0"/>
    <d v="2013-11-10T00:00:00"/>
    <n v="2"/>
    <x v="2"/>
    <s v="Luke Weiss"/>
    <x v="0"/>
    <m/>
    <s v="Rochester"/>
    <s v="New York"/>
    <s v="East"/>
    <x v="2"/>
    <x v="7"/>
    <s v="AT&amp;T SB67148 SynJ"/>
    <x v="1259"/>
    <n v="4"/>
    <n v="0"/>
    <n v="71.269199999999998"/>
  </r>
  <r>
    <n v="8064"/>
    <x v="77"/>
    <x v="0"/>
    <x v="0"/>
    <d v="2013-11-10T00:00:00"/>
    <n v="2"/>
    <x v="2"/>
    <s v="Luke Weiss"/>
    <x v="0"/>
    <m/>
    <s v="Rochester"/>
    <s v="New York"/>
    <s v="East"/>
    <x v="2"/>
    <x v="7"/>
    <s v="Jabra Supreme Plus Driver Edition Headset"/>
    <x v="1880"/>
    <n v="3"/>
    <n v="0"/>
    <n v="100.7916"/>
  </r>
  <r>
    <n v="8065"/>
    <x v="77"/>
    <x v="0"/>
    <x v="0"/>
    <d v="2013-11-10T00:00:00"/>
    <n v="2"/>
    <x v="2"/>
    <s v="Luke Weiss"/>
    <x v="0"/>
    <m/>
    <s v="Rochester"/>
    <s v="New York"/>
    <s v="East"/>
    <x v="1"/>
    <x v="10"/>
    <s v="Xerox 23"/>
    <x v="91"/>
    <n v="2"/>
    <n v="0"/>
    <n v="6.2207999999999997"/>
  </r>
  <r>
    <n v="8066"/>
    <x v="77"/>
    <x v="0"/>
    <x v="0"/>
    <d v="2013-11-10T00:00:00"/>
    <n v="2"/>
    <x v="2"/>
    <s v="Luke Weiss"/>
    <x v="0"/>
    <m/>
    <s v="Rochester"/>
    <s v="New York"/>
    <s v="East"/>
    <x v="1"/>
    <x v="4"/>
    <s v="Eldon Base for stackable storage shelf, platinum"/>
    <x v="5045"/>
    <n v="3"/>
    <n v="0"/>
    <n v="5.8410000000000002"/>
  </r>
  <r>
    <n v="8067"/>
    <x v="77"/>
    <x v="0"/>
    <x v="0"/>
    <d v="2013-11-10T00:00:00"/>
    <n v="2"/>
    <x v="2"/>
    <s v="Luke Weiss"/>
    <x v="0"/>
    <m/>
    <s v="Rochester"/>
    <s v="New York"/>
    <s v="East"/>
    <x v="1"/>
    <x v="8"/>
    <s v="Ibico EB-19 Dual Function Manual Binding System"/>
    <x v="4604"/>
    <n v="2"/>
    <n v="0.2"/>
    <n v="89.954800000000006"/>
  </r>
  <r>
    <n v="8068"/>
    <x v="1182"/>
    <x v="1"/>
    <x v="2"/>
    <d v="2012-10-24T00:00:00"/>
    <n v="4"/>
    <x v="1"/>
    <s v="Noel Staavos"/>
    <x v="1"/>
    <m/>
    <s v="San Francisco"/>
    <s v="California"/>
    <s v="West"/>
    <x v="2"/>
    <x v="11"/>
    <s v="Logitech G602 Wireless Gaming Mouse"/>
    <x v="758"/>
    <n v="3"/>
    <n v="0"/>
    <n v="86.389200000000002"/>
  </r>
  <r>
    <n v="8069"/>
    <x v="1182"/>
    <x v="1"/>
    <x v="2"/>
    <d v="2012-10-24T00:00:00"/>
    <n v="4"/>
    <x v="1"/>
    <s v="Noel Staavos"/>
    <x v="1"/>
    <m/>
    <s v="San Francisco"/>
    <s v="California"/>
    <s v="West"/>
    <x v="0"/>
    <x v="5"/>
    <s v="Acrylic Self-Standing Desk Frames"/>
    <x v="1970"/>
    <n v="6"/>
    <n v="0"/>
    <n v="6.0876000000000001"/>
  </r>
  <r>
    <n v="8070"/>
    <x v="314"/>
    <x v="3"/>
    <x v="9"/>
    <d v="2014-01-06T00:00:00"/>
    <n v="4"/>
    <x v="1"/>
    <s v="Janet Martin"/>
    <x v="0"/>
    <m/>
    <s v="Huntsville"/>
    <s v="Texas"/>
    <s v="Central"/>
    <x v="1"/>
    <x v="4"/>
    <s v="SAFCO Boltless Steel Shelving"/>
    <x v="5046"/>
    <n v="5"/>
    <n v="0.2"/>
    <n v="-107.958"/>
  </r>
  <r>
    <n v="8071"/>
    <x v="314"/>
    <x v="3"/>
    <x v="9"/>
    <d v="2014-01-06T00:00:00"/>
    <n v="4"/>
    <x v="1"/>
    <s v="Janet Martin"/>
    <x v="0"/>
    <m/>
    <s v="Huntsville"/>
    <s v="Texas"/>
    <s v="Central"/>
    <x v="0"/>
    <x v="5"/>
    <s v="Tenex Carpeted, Granite-Look or Clear Contemporary Contour Shape Chair Mats"/>
    <x v="5047"/>
    <n v="5"/>
    <n v="0.6"/>
    <n v="-187.38149999999999"/>
  </r>
  <r>
    <n v="8072"/>
    <x v="314"/>
    <x v="3"/>
    <x v="9"/>
    <d v="2014-01-06T00:00:00"/>
    <n v="4"/>
    <x v="1"/>
    <s v="Janet Martin"/>
    <x v="0"/>
    <m/>
    <s v="Huntsville"/>
    <s v="Texas"/>
    <s v="Central"/>
    <x v="0"/>
    <x v="1"/>
    <s v="Office Star - Contemporary Task Swivel Chair"/>
    <x v="5048"/>
    <n v="4"/>
    <n v="0.3"/>
    <n v="-26.635200000000001"/>
  </r>
  <r>
    <n v="8073"/>
    <x v="314"/>
    <x v="3"/>
    <x v="9"/>
    <d v="2014-01-06T00:00:00"/>
    <n v="4"/>
    <x v="1"/>
    <s v="Janet Martin"/>
    <x v="0"/>
    <m/>
    <s v="Huntsville"/>
    <s v="Texas"/>
    <s v="Central"/>
    <x v="1"/>
    <x v="6"/>
    <s v="Fluorescent Highlighters by Dixon"/>
    <x v="5049"/>
    <n v="4"/>
    <n v="0.2"/>
    <n v="2.2288000000000001"/>
  </r>
  <r>
    <n v="8074"/>
    <x v="314"/>
    <x v="3"/>
    <x v="9"/>
    <d v="2014-01-06T00:00:00"/>
    <n v="4"/>
    <x v="1"/>
    <s v="Janet Martin"/>
    <x v="0"/>
    <m/>
    <s v="Huntsville"/>
    <s v="Texas"/>
    <s v="Central"/>
    <x v="1"/>
    <x v="8"/>
    <s v="GBC Instant Report Kit"/>
    <x v="5050"/>
    <n v="5"/>
    <n v="0.8"/>
    <n v="-9.7050000000000001"/>
  </r>
  <r>
    <n v="8075"/>
    <x v="314"/>
    <x v="3"/>
    <x v="9"/>
    <d v="2014-01-06T00:00:00"/>
    <n v="4"/>
    <x v="1"/>
    <s v="Janet Martin"/>
    <x v="0"/>
    <m/>
    <s v="Huntsville"/>
    <s v="Texas"/>
    <s v="Central"/>
    <x v="1"/>
    <x v="8"/>
    <s v="Pressboard Covers with Storage Hooks, 9 1/2&quot; x 11&quot;, Light Blue"/>
    <x v="5051"/>
    <n v="14"/>
    <n v="0.8"/>
    <n v="-22.684200000000001"/>
  </r>
  <r>
    <n v="8076"/>
    <x v="314"/>
    <x v="3"/>
    <x v="9"/>
    <d v="2014-01-06T00:00:00"/>
    <n v="4"/>
    <x v="1"/>
    <s v="Janet Martin"/>
    <x v="0"/>
    <m/>
    <s v="Huntsville"/>
    <s v="Texas"/>
    <s v="Central"/>
    <x v="1"/>
    <x v="9"/>
    <s v="Fellowes Superior 10 Outlet Split Surge Protector"/>
    <x v="5052"/>
    <n v="2"/>
    <n v="0.8"/>
    <n v="-38.821199999999997"/>
  </r>
  <r>
    <n v="8077"/>
    <x v="537"/>
    <x v="1"/>
    <x v="1"/>
    <d v="2012-06-29T00:00:00"/>
    <n v="6"/>
    <x v="1"/>
    <s v="Randy Ferguson"/>
    <x v="1"/>
    <m/>
    <s v="East Point"/>
    <s v="Georgia"/>
    <s v="South"/>
    <x v="0"/>
    <x v="5"/>
    <s v="Eldon Stackable Tray, Side-Load, Legal, Smoke"/>
    <x v="1846"/>
    <n v="3"/>
    <n v="0"/>
    <n v="9.3228000000000009"/>
  </r>
  <r>
    <n v="8078"/>
    <x v="537"/>
    <x v="1"/>
    <x v="1"/>
    <d v="2012-06-29T00:00:00"/>
    <n v="6"/>
    <x v="1"/>
    <s v="Randy Ferguson"/>
    <x v="1"/>
    <m/>
    <s v="East Point"/>
    <s v="Georgia"/>
    <s v="South"/>
    <x v="1"/>
    <x v="8"/>
    <s v="GBC DocuBind P100 Manual Binding Machine"/>
    <x v="5053"/>
    <n v="1"/>
    <n v="0"/>
    <n v="74.691000000000003"/>
  </r>
  <r>
    <n v="8079"/>
    <x v="537"/>
    <x v="1"/>
    <x v="1"/>
    <d v="2012-06-29T00:00:00"/>
    <n v="6"/>
    <x v="1"/>
    <s v="Randy Ferguson"/>
    <x v="1"/>
    <m/>
    <s v="East Point"/>
    <s v="Georgia"/>
    <s v="South"/>
    <x v="2"/>
    <x v="11"/>
    <s v="Dell Slim USB Multimedia Keyboard"/>
    <x v="5054"/>
    <n v="3"/>
    <n v="0"/>
    <n v="18"/>
  </r>
  <r>
    <n v="8080"/>
    <x v="441"/>
    <x v="0"/>
    <x v="0"/>
    <d v="2013-11-28T00:00:00"/>
    <n v="5"/>
    <x v="1"/>
    <s v="Cathy Armstrong"/>
    <x v="2"/>
    <m/>
    <s v="New York City"/>
    <s v="New York"/>
    <s v="East"/>
    <x v="1"/>
    <x v="8"/>
    <s v="GBC Premium Transparent Covers with Diagonal Lined Pattern"/>
    <x v="5055"/>
    <n v="8"/>
    <n v="0.2"/>
    <n v="46.995199999999997"/>
  </r>
  <r>
    <n v="8081"/>
    <x v="662"/>
    <x v="1"/>
    <x v="2"/>
    <d v="2012-11-01T00:00:00"/>
    <n v="6"/>
    <x v="1"/>
    <s v="Kristen Hastings"/>
    <x v="1"/>
    <m/>
    <s v="Springfield"/>
    <s v="Oregon"/>
    <s v="West"/>
    <x v="1"/>
    <x v="2"/>
    <s v="Avery 477"/>
    <x v="5056"/>
    <n v="6"/>
    <n v="0.2"/>
    <n v="47.626800000000003"/>
  </r>
  <r>
    <n v="8082"/>
    <x v="662"/>
    <x v="1"/>
    <x v="2"/>
    <d v="2012-11-01T00:00:00"/>
    <n v="6"/>
    <x v="1"/>
    <s v="Kristen Hastings"/>
    <x v="1"/>
    <m/>
    <s v="Springfield"/>
    <s v="Oregon"/>
    <s v="West"/>
    <x v="1"/>
    <x v="10"/>
    <s v="Xerox 1914"/>
    <x v="572"/>
    <n v="3"/>
    <n v="0.2"/>
    <n v="47.815199999999997"/>
  </r>
  <r>
    <n v="8083"/>
    <x v="662"/>
    <x v="1"/>
    <x v="2"/>
    <d v="2012-11-01T00:00:00"/>
    <n v="6"/>
    <x v="1"/>
    <s v="Kristen Hastings"/>
    <x v="1"/>
    <m/>
    <s v="Springfield"/>
    <s v="Oregon"/>
    <s v="West"/>
    <x v="1"/>
    <x v="9"/>
    <s v="Tripp Lite TLP810NET Broadband Surge for Modem/Fax"/>
    <x v="5057"/>
    <n v="5"/>
    <n v="0.2"/>
    <n v="20.388000000000002"/>
  </r>
  <r>
    <n v="8084"/>
    <x v="662"/>
    <x v="1"/>
    <x v="2"/>
    <d v="2012-11-01T00:00:00"/>
    <n v="6"/>
    <x v="1"/>
    <s v="Kristen Hastings"/>
    <x v="1"/>
    <m/>
    <s v="Springfield"/>
    <s v="Oregon"/>
    <s v="West"/>
    <x v="1"/>
    <x v="8"/>
    <s v="Avery Self-Adhesive Photo Pockets for Polaroid Photos"/>
    <x v="4297"/>
    <n v="7"/>
    <n v="0.7"/>
    <n v="-10.487399999999999"/>
  </r>
  <r>
    <n v="8085"/>
    <x v="662"/>
    <x v="1"/>
    <x v="2"/>
    <d v="2012-11-01T00:00:00"/>
    <n v="6"/>
    <x v="1"/>
    <s v="Kristen Hastings"/>
    <x v="1"/>
    <m/>
    <s v="Springfield"/>
    <s v="Oregon"/>
    <s v="West"/>
    <x v="1"/>
    <x v="4"/>
    <s v="Fellowes Officeware Wire Shelving"/>
    <x v="5058"/>
    <n v="10"/>
    <n v="0.2"/>
    <n v="-161.69399999999999"/>
  </r>
  <r>
    <n v="8086"/>
    <x v="201"/>
    <x v="0"/>
    <x v="2"/>
    <d v="2013-10-27T00:00:00"/>
    <n v="6"/>
    <x v="1"/>
    <s v="Lindsay Castell"/>
    <x v="2"/>
    <m/>
    <s v="Arlington"/>
    <s v="Virginia"/>
    <s v="South"/>
    <x v="0"/>
    <x v="5"/>
    <s v="Aluminum Document Frame"/>
    <x v="5059"/>
    <n v="5"/>
    <n v="0"/>
    <n v="18.329999999999998"/>
  </r>
  <r>
    <n v="8087"/>
    <x v="1045"/>
    <x v="3"/>
    <x v="3"/>
    <d v="2014-05-03T00:00:00"/>
    <n v="4"/>
    <x v="1"/>
    <s v="Jack Lebron"/>
    <x v="0"/>
    <m/>
    <s v="Wilmington"/>
    <s v="North Carolina"/>
    <s v="South"/>
    <x v="1"/>
    <x v="9"/>
    <s v="Harmony HEPA Quiet Air Purifiers"/>
    <x v="5060"/>
    <n v="3"/>
    <n v="0.2"/>
    <n v="5.2649999999999997"/>
  </r>
  <r>
    <n v="8088"/>
    <x v="321"/>
    <x v="0"/>
    <x v="8"/>
    <d v="2013-10-02T00:00:00"/>
    <n v="2"/>
    <x v="0"/>
    <s v="Dario Medina"/>
    <x v="1"/>
    <m/>
    <s v="Yuma"/>
    <s v="Arizona"/>
    <s v="West"/>
    <x v="1"/>
    <x v="6"/>
    <s v="Newell 351"/>
    <x v="5061"/>
    <n v="4"/>
    <n v="0.2"/>
    <n v="1.1808000000000001"/>
  </r>
  <r>
    <n v="8089"/>
    <x v="848"/>
    <x v="1"/>
    <x v="7"/>
    <d v="2012-07-14T00:00:00"/>
    <n v="4"/>
    <x v="1"/>
    <s v="Mike Vittorini"/>
    <x v="0"/>
    <m/>
    <s v="San Bernardino"/>
    <s v="California"/>
    <s v="West"/>
    <x v="1"/>
    <x v="8"/>
    <s v="Large Capacity Hanging Post Binders"/>
    <x v="3009"/>
    <n v="2"/>
    <n v="0.2"/>
    <n v="12.974"/>
  </r>
  <r>
    <n v="8090"/>
    <x v="976"/>
    <x v="1"/>
    <x v="6"/>
    <d v="2012-08-09T00:00:00"/>
    <n v="2"/>
    <x v="2"/>
    <s v="Noel Staavos"/>
    <x v="1"/>
    <m/>
    <s v="Baltimore"/>
    <s v="Maryland"/>
    <s v="East"/>
    <x v="1"/>
    <x v="9"/>
    <s v="Acco Six-Outlet Power Strip, 4' Cord Length"/>
    <x v="5062"/>
    <n v="9"/>
    <n v="0"/>
    <n v="20.1708"/>
  </r>
  <r>
    <n v="8091"/>
    <x v="1035"/>
    <x v="2"/>
    <x v="4"/>
    <d v="2011-12-13T00:00:00"/>
    <n v="6"/>
    <x v="1"/>
    <s v="Ann Steele"/>
    <x v="2"/>
    <m/>
    <s v="Seattle"/>
    <s v="Washington"/>
    <s v="West"/>
    <x v="1"/>
    <x v="4"/>
    <s v="Advantus Rolling Drawer Organizers"/>
    <x v="5063"/>
    <n v="7"/>
    <n v="0"/>
    <n v="70.033600000000007"/>
  </r>
  <r>
    <n v="8092"/>
    <x v="895"/>
    <x v="1"/>
    <x v="4"/>
    <d v="2012-12-14T00:00:00"/>
    <n v="4"/>
    <x v="1"/>
    <s v="Meg Tillman"/>
    <x v="0"/>
    <m/>
    <s v="San Francisco"/>
    <s v="California"/>
    <s v="West"/>
    <x v="1"/>
    <x v="2"/>
    <s v="Avery File Folder Labels"/>
    <x v="1755"/>
    <n v="2"/>
    <n v="0"/>
    <n v="2.8224"/>
  </r>
  <r>
    <n v="8093"/>
    <x v="1183"/>
    <x v="3"/>
    <x v="0"/>
    <d v="2014-11-14T00:00:00"/>
    <n v="5"/>
    <x v="0"/>
    <s v="Sharelle Roach"/>
    <x v="2"/>
    <m/>
    <s v="New York City"/>
    <s v="New York"/>
    <s v="East"/>
    <x v="1"/>
    <x v="6"/>
    <s v="Panasonic KP-310 Heavy-Duty Electric Pencil Sharpener"/>
    <x v="2198"/>
    <n v="5"/>
    <n v="0"/>
    <n v="32.97"/>
  </r>
  <r>
    <n v="8094"/>
    <x v="944"/>
    <x v="3"/>
    <x v="7"/>
    <d v="2014-08-02T00:00:00"/>
    <n v="5"/>
    <x v="0"/>
    <s v="Dennis Kane"/>
    <x v="0"/>
    <m/>
    <s v="Seattle"/>
    <s v="Washington"/>
    <s v="West"/>
    <x v="0"/>
    <x v="5"/>
    <s v="Staples"/>
    <x v="1680"/>
    <n v="3"/>
    <n v="0"/>
    <n v="10.507199999999999"/>
  </r>
  <r>
    <n v="8095"/>
    <x v="944"/>
    <x v="3"/>
    <x v="7"/>
    <d v="2014-08-02T00:00:00"/>
    <n v="5"/>
    <x v="0"/>
    <s v="Dennis Kane"/>
    <x v="0"/>
    <m/>
    <s v="Seattle"/>
    <s v="Washington"/>
    <s v="West"/>
    <x v="1"/>
    <x v="10"/>
    <s v="Message Book, Phone, Wirebound Standard Line Memo, 2 3/4&quot; X 5&quot;"/>
    <x v="2183"/>
    <n v="4"/>
    <n v="0"/>
    <n v="12.052"/>
  </r>
  <r>
    <n v="8096"/>
    <x v="944"/>
    <x v="3"/>
    <x v="7"/>
    <d v="2014-08-02T00:00:00"/>
    <n v="5"/>
    <x v="0"/>
    <s v="Dennis Kane"/>
    <x v="0"/>
    <m/>
    <s v="Seattle"/>
    <s v="Washington"/>
    <s v="West"/>
    <x v="1"/>
    <x v="10"/>
    <s v="Xerox 227"/>
    <x v="91"/>
    <n v="2"/>
    <n v="0"/>
    <n v="6.2207999999999997"/>
  </r>
  <r>
    <n v="8097"/>
    <x v="944"/>
    <x v="3"/>
    <x v="7"/>
    <d v="2014-08-02T00:00:00"/>
    <n v="5"/>
    <x v="0"/>
    <s v="Dennis Kane"/>
    <x v="0"/>
    <m/>
    <s v="Seattle"/>
    <s v="Washington"/>
    <s v="West"/>
    <x v="2"/>
    <x v="11"/>
    <s v="Sony Micro Vault Click 8 GB USB 2.0 Flash Drive"/>
    <x v="5064"/>
    <n v="5"/>
    <n v="0"/>
    <n v="32.893000000000001"/>
  </r>
  <r>
    <n v="8098"/>
    <x v="116"/>
    <x v="3"/>
    <x v="4"/>
    <d v="2015-01-02T00:00:00"/>
    <n v="4"/>
    <x v="1"/>
    <s v="Susan Vittorini"/>
    <x v="0"/>
    <m/>
    <s v="Albuquerque"/>
    <s v="New Mexico"/>
    <s v="West"/>
    <x v="1"/>
    <x v="4"/>
    <s v="Eldon Mobile Mega Data Cart  Mega Stackable  Add-On Trays"/>
    <x v="2871"/>
    <n v="5"/>
    <n v="0"/>
    <n v="34.292499999999997"/>
  </r>
  <r>
    <n v="8099"/>
    <x v="116"/>
    <x v="3"/>
    <x v="4"/>
    <d v="2015-01-02T00:00:00"/>
    <n v="4"/>
    <x v="1"/>
    <s v="Susan Vittorini"/>
    <x v="0"/>
    <m/>
    <s v="Albuquerque"/>
    <s v="New Mexico"/>
    <s v="West"/>
    <x v="1"/>
    <x v="10"/>
    <s v="Xerox 1953"/>
    <x v="726"/>
    <n v="1"/>
    <n v="0"/>
    <n v="1.9259999999999999"/>
  </r>
  <r>
    <n v="8100"/>
    <x v="612"/>
    <x v="0"/>
    <x v="10"/>
    <d v="2013-03-14T00:00:00"/>
    <n v="3"/>
    <x v="2"/>
    <s v="Rick Huthwaite"/>
    <x v="2"/>
    <m/>
    <s v="Los Angeles"/>
    <s v="California"/>
    <s v="West"/>
    <x v="2"/>
    <x v="11"/>
    <s v="Kingston Digital DataTraveler 16GB USB 2.0"/>
    <x v="3858"/>
    <n v="3"/>
    <n v="0"/>
    <n v="5.1014999999999997"/>
  </r>
  <r>
    <n v="8101"/>
    <x v="612"/>
    <x v="0"/>
    <x v="10"/>
    <d v="2013-03-14T00:00:00"/>
    <n v="3"/>
    <x v="2"/>
    <s v="Rick Huthwaite"/>
    <x v="2"/>
    <m/>
    <s v="Los Angeles"/>
    <s v="California"/>
    <s v="West"/>
    <x v="2"/>
    <x v="15"/>
    <s v="Okidata MB760 Printer"/>
    <x v="5065"/>
    <n v="3"/>
    <n v="0.2"/>
    <n v="377.73"/>
  </r>
  <r>
    <n v="8102"/>
    <x v="1184"/>
    <x v="1"/>
    <x v="5"/>
    <d v="2012-05-26T00:00:00"/>
    <n v="4"/>
    <x v="1"/>
    <s v="Sarah Brown"/>
    <x v="0"/>
    <m/>
    <s v="Los Angeles"/>
    <s v="California"/>
    <s v="West"/>
    <x v="1"/>
    <x v="2"/>
    <s v="Avery 476"/>
    <x v="338"/>
    <n v="2"/>
    <n v="0"/>
    <n v="3.7995999999999999"/>
  </r>
  <r>
    <n v="8103"/>
    <x v="1184"/>
    <x v="1"/>
    <x v="5"/>
    <d v="2012-05-26T00:00:00"/>
    <n v="4"/>
    <x v="1"/>
    <s v="Sarah Brown"/>
    <x v="0"/>
    <m/>
    <s v="Los Angeles"/>
    <s v="California"/>
    <s v="West"/>
    <x v="2"/>
    <x v="15"/>
    <s v="Zebra GX420t Direct Thermal/Thermal Transfer Printer"/>
    <x v="5066"/>
    <n v="7"/>
    <n v="0.2"/>
    <n v="334.49849999999998"/>
  </r>
  <r>
    <n v="8104"/>
    <x v="1184"/>
    <x v="1"/>
    <x v="5"/>
    <d v="2012-05-26T00:00:00"/>
    <n v="4"/>
    <x v="1"/>
    <s v="Sarah Brown"/>
    <x v="0"/>
    <m/>
    <s v="Los Angeles"/>
    <s v="California"/>
    <s v="West"/>
    <x v="1"/>
    <x v="4"/>
    <s v="Pizazz Global Quick File"/>
    <x v="349"/>
    <n v="7"/>
    <n v="0"/>
    <n v="29.341200000000001"/>
  </r>
  <r>
    <n v="8105"/>
    <x v="1184"/>
    <x v="1"/>
    <x v="5"/>
    <d v="2012-05-26T00:00:00"/>
    <n v="4"/>
    <x v="1"/>
    <s v="Sarah Brown"/>
    <x v="0"/>
    <m/>
    <s v="Los Angeles"/>
    <s v="California"/>
    <s v="West"/>
    <x v="2"/>
    <x v="7"/>
    <s v="Aastra 57i VoIP phone"/>
    <x v="5067"/>
    <n v="6"/>
    <n v="0.2"/>
    <n v="58.179600000000001"/>
  </r>
  <r>
    <n v="8106"/>
    <x v="922"/>
    <x v="3"/>
    <x v="11"/>
    <d v="2014-02-20T00:00:00"/>
    <n v="2"/>
    <x v="2"/>
    <s v="Cyra Reiten"/>
    <x v="2"/>
    <m/>
    <s v="Houston"/>
    <s v="Texas"/>
    <s v="Central"/>
    <x v="0"/>
    <x v="0"/>
    <s v="Sauder Mission Library with Doors, Fruitwood Finish"/>
    <x v="5068"/>
    <n v="1"/>
    <n v="0.32"/>
    <n v="-17.0274"/>
  </r>
  <r>
    <n v="8107"/>
    <x v="922"/>
    <x v="3"/>
    <x v="11"/>
    <d v="2014-02-20T00:00:00"/>
    <n v="2"/>
    <x v="2"/>
    <s v="Cyra Reiten"/>
    <x v="2"/>
    <m/>
    <s v="Houston"/>
    <s v="Texas"/>
    <s v="Central"/>
    <x v="1"/>
    <x v="6"/>
    <s v="Dixon Ticonderoga Core-Lock Colored Pencils, 48-Color Set"/>
    <x v="5069"/>
    <n v="6"/>
    <n v="0.2"/>
    <n v="52.631999999999998"/>
  </r>
  <r>
    <n v="8108"/>
    <x v="922"/>
    <x v="3"/>
    <x v="11"/>
    <d v="2014-02-20T00:00:00"/>
    <n v="2"/>
    <x v="2"/>
    <s v="Cyra Reiten"/>
    <x v="2"/>
    <m/>
    <s v="Houston"/>
    <s v="Texas"/>
    <s v="Central"/>
    <x v="2"/>
    <x v="7"/>
    <s v="Jawbone MINI JAMBOX Wireless Bluetooth Speaker"/>
    <x v="1417"/>
    <n v="4"/>
    <n v="0.2"/>
    <n v="-87.667199999999994"/>
  </r>
  <r>
    <n v="8109"/>
    <x v="166"/>
    <x v="3"/>
    <x v="4"/>
    <d v="2014-12-16T00:00:00"/>
    <n v="7"/>
    <x v="1"/>
    <s v="Emily Grady"/>
    <x v="0"/>
    <m/>
    <s v="Philadelphia"/>
    <s v="Pennsylvania"/>
    <s v="East"/>
    <x v="0"/>
    <x v="1"/>
    <s v="Global Deluxe Steno Chair"/>
    <x v="5070"/>
    <n v="4"/>
    <n v="0.3"/>
    <n v="-58.504800000000003"/>
  </r>
  <r>
    <n v="8110"/>
    <x v="551"/>
    <x v="3"/>
    <x v="0"/>
    <d v="2014-11-24T00:00:00"/>
    <n v="5"/>
    <x v="1"/>
    <s v="Russell D'Ascenzo"/>
    <x v="0"/>
    <m/>
    <s v="Chicago"/>
    <s v="Illinois"/>
    <s v="Central"/>
    <x v="1"/>
    <x v="12"/>
    <s v="Peel &amp; Seel Recycled Catalog Envelopes, Brown"/>
    <x v="5071"/>
    <n v="6"/>
    <n v="0.2"/>
    <n v="20.844000000000001"/>
  </r>
  <r>
    <n v="8111"/>
    <x v="551"/>
    <x v="3"/>
    <x v="0"/>
    <d v="2014-11-24T00:00:00"/>
    <n v="5"/>
    <x v="1"/>
    <s v="Russell D'Ascenzo"/>
    <x v="0"/>
    <m/>
    <s v="Chicago"/>
    <s v="Illinois"/>
    <s v="Central"/>
    <x v="0"/>
    <x v="1"/>
    <s v="Global Highback Leather Tilter in Burgundy"/>
    <x v="5072"/>
    <n v="2"/>
    <n v="0.3"/>
    <n v="-25.4772"/>
  </r>
  <r>
    <n v="8112"/>
    <x v="49"/>
    <x v="0"/>
    <x v="4"/>
    <d v="2013-12-04T00:00:00"/>
    <n v="2"/>
    <x v="0"/>
    <s v="John Murray"/>
    <x v="0"/>
    <m/>
    <s v="San Angelo"/>
    <s v="Texas"/>
    <s v="Central"/>
    <x v="0"/>
    <x v="1"/>
    <s v="Situations Contoured Folding Chairs, 4/Set"/>
    <x v="5073"/>
    <n v="5"/>
    <n v="0.3"/>
    <n v="-17.745000000000001"/>
  </r>
  <r>
    <n v="8113"/>
    <x v="49"/>
    <x v="0"/>
    <x v="4"/>
    <d v="2013-12-04T00:00:00"/>
    <n v="2"/>
    <x v="0"/>
    <s v="John Murray"/>
    <x v="0"/>
    <m/>
    <s v="San Angelo"/>
    <s v="Texas"/>
    <s v="Central"/>
    <x v="1"/>
    <x v="9"/>
    <s v="Acco 6 Outlet Guardian Premium Surge Suppressor"/>
    <x v="25"/>
    <n v="4"/>
    <n v="0.8"/>
    <n v="-30.8672"/>
  </r>
  <r>
    <n v="8114"/>
    <x v="49"/>
    <x v="0"/>
    <x v="4"/>
    <d v="2013-12-04T00:00:00"/>
    <n v="2"/>
    <x v="0"/>
    <s v="John Murray"/>
    <x v="0"/>
    <m/>
    <s v="San Angelo"/>
    <s v="Texas"/>
    <s v="Central"/>
    <x v="0"/>
    <x v="1"/>
    <s v="Global Push Button Manager's Chair, Indigo"/>
    <x v="4763"/>
    <n v="2"/>
    <n v="0.3"/>
    <n v="-1.2178"/>
  </r>
  <r>
    <n v="8115"/>
    <x v="621"/>
    <x v="3"/>
    <x v="2"/>
    <d v="2014-10-08T00:00:00"/>
    <n v="4"/>
    <x v="0"/>
    <s v="Laurel Workman"/>
    <x v="1"/>
    <m/>
    <s v="Pasadena"/>
    <s v="Texas"/>
    <s v="Central"/>
    <x v="1"/>
    <x v="6"/>
    <s v="Colorific Watercolor Pencils"/>
    <x v="5074"/>
    <n v="5"/>
    <n v="0.2"/>
    <n v="2.3220000000000001"/>
  </r>
  <r>
    <n v="8116"/>
    <x v="635"/>
    <x v="3"/>
    <x v="6"/>
    <d v="2014-09-05T00:00:00"/>
    <n v="6"/>
    <x v="1"/>
    <s v="Rick Wilson"/>
    <x v="1"/>
    <m/>
    <s v="Los Angeles"/>
    <s v="California"/>
    <s v="West"/>
    <x v="0"/>
    <x v="5"/>
    <s v="Electrix Fluorescent Magnifier Lamps &amp; Weighted Base"/>
    <x v="5075"/>
    <n v="3"/>
    <n v="0"/>
    <n v="41.445599999999999"/>
  </r>
  <r>
    <n v="8117"/>
    <x v="221"/>
    <x v="3"/>
    <x v="0"/>
    <d v="2014-11-25T00:00:00"/>
    <n v="0"/>
    <x v="3"/>
    <s v="Brooke Gillingham"/>
    <x v="1"/>
    <m/>
    <s v="Garden City"/>
    <s v="Kansas"/>
    <s v="Central"/>
    <x v="1"/>
    <x v="4"/>
    <s v="Fellowes Bases and Tops For Staxonsteel/High-Stak Systems"/>
    <x v="3212"/>
    <n v="1"/>
    <n v="0"/>
    <n v="7.9896000000000003"/>
  </r>
  <r>
    <n v="8118"/>
    <x v="160"/>
    <x v="3"/>
    <x v="7"/>
    <d v="2014-07-06T00:00:00"/>
    <n v="5"/>
    <x v="1"/>
    <s v="Thomas Thornton"/>
    <x v="0"/>
    <m/>
    <s v="Los Angeles"/>
    <s v="California"/>
    <s v="West"/>
    <x v="1"/>
    <x v="10"/>
    <s v="Xerox 1919"/>
    <x v="2854"/>
    <n v="5"/>
    <n v="0"/>
    <n v="100.4255"/>
  </r>
  <r>
    <n v="8119"/>
    <x v="847"/>
    <x v="3"/>
    <x v="7"/>
    <d v="2014-07-28T00:00:00"/>
    <n v="5"/>
    <x v="1"/>
    <s v="Eric Barreto"/>
    <x v="0"/>
    <m/>
    <s v="Chicago"/>
    <s v="Illinois"/>
    <s v="Central"/>
    <x v="0"/>
    <x v="1"/>
    <s v="Hon Every-Day Series Multi-Task Chairs"/>
    <x v="5076"/>
    <n v="4"/>
    <n v="0.3"/>
    <n v="-75.191999999999993"/>
  </r>
  <r>
    <n v="8120"/>
    <x v="583"/>
    <x v="0"/>
    <x v="0"/>
    <d v="2013-11-17T00:00:00"/>
    <n v="5"/>
    <x v="1"/>
    <s v="Liz Pelletier"/>
    <x v="0"/>
    <m/>
    <s v="San Francisco"/>
    <s v="California"/>
    <s v="West"/>
    <x v="0"/>
    <x v="5"/>
    <s v="Magnifier Swing Arm Lamp"/>
    <x v="108"/>
    <n v="2"/>
    <n v="0"/>
    <n v="10.909599999999999"/>
  </r>
  <r>
    <n v="8121"/>
    <x v="583"/>
    <x v="0"/>
    <x v="0"/>
    <d v="2013-11-17T00:00:00"/>
    <n v="5"/>
    <x v="1"/>
    <s v="Liz Pelletier"/>
    <x v="0"/>
    <m/>
    <s v="San Francisco"/>
    <s v="California"/>
    <s v="West"/>
    <x v="0"/>
    <x v="1"/>
    <s v="Hon Every-Day Series Multi-Task Chairs"/>
    <x v="538"/>
    <n v="3"/>
    <n v="0.2"/>
    <n v="0"/>
  </r>
  <r>
    <n v="8122"/>
    <x v="583"/>
    <x v="0"/>
    <x v="0"/>
    <d v="2013-11-17T00:00:00"/>
    <n v="5"/>
    <x v="1"/>
    <s v="Liz Pelletier"/>
    <x v="0"/>
    <m/>
    <s v="San Francisco"/>
    <s v="California"/>
    <s v="West"/>
    <x v="1"/>
    <x v="8"/>
    <s v="Avery Poly Binder Pockets"/>
    <x v="5077"/>
    <n v="11"/>
    <n v="0.2"/>
    <n v="11.026400000000001"/>
  </r>
  <r>
    <n v="8123"/>
    <x v="337"/>
    <x v="2"/>
    <x v="4"/>
    <d v="2011-12-15T00:00:00"/>
    <n v="6"/>
    <x v="1"/>
    <s v="Frank Preis"/>
    <x v="0"/>
    <m/>
    <s v="Philadelphia"/>
    <s v="Pennsylvania"/>
    <s v="East"/>
    <x v="1"/>
    <x v="12"/>
    <s v="Globe Weis Peel &amp; Seel First Class Envelopes"/>
    <x v="5078"/>
    <n v="3"/>
    <n v="0.2"/>
    <n v="9.5850000000000009"/>
  </r>
  <r>
    <n v="8124"/>
    <x v="337"/>
    <x v="2"/>
    <x v="4"/>
    <d v="2011-12-15T00:00:00"/>
    <n v="6"/>
    <x v="1"/>
    <s v="Frank Preis"/>
    <x v="0"/>
    <m/>
    <s v="Philadelphia"/>
    <s v="Pennsylvania"/>
    <s v="East"/>
    <x v="2"/>
    <x v="16"/>
    <s v="Canon PC940 Copier"/>
    <x v="5079"/>
    <n v="4"/>
    <n v="0.4"/>
    <n v="125.99720000000001"/>
  </r>
  <r>
    <n v="8125"/>
    <x v="210"/>
    <x v="3"/>
    <x v="8"/>
    <d v="2014-09-13T00:00:00"/>
    <n v="5"/>
    <x v="1"/>
    <s v="Joseph Airdo"/>
    <x v="0"/>
    <m/>
    <s v="Modesto"/>
    <s v="California"/>
    <s v="West"/>
    <x v="0"/>
    <x v="1"/>
    <s v="Global Low Back Tilter Chair"/>
    <x v="224"/>
    <n v="2"/>
    <n v="0.2"/>
    <n v="-28.2744"/>
  </r>
  <r>
    <n v="8126"/>
    <x v="525"/>
    <x v="1"/>
    <x v="11"/>
    <d v="2012-02-13T00:00:00"/>
    <n v="7"/>
    <x v="1"/>
    <s v="Trudy Schmidt"/>
    <x v="0"/>
    <m/>
    <s v="Houston"/>
    <s v="Texas"/>
    <s v="Central"/>
    <x v="1"/>
    <x v="8"/>
    <s v="UniKeep View Case Binders"/>
    <x v="987"/>
    <n v="3"/>
    <n v="0.8"/>
    <n v="-4.9878"/>
  </r>
  <r>
    <n v="8127"/>
    <x v="525"/>
    <x v="1"/>
    <x v="11"/>
    <d v="2012-02-13T00:00:00"/>
    <n v="7"/>
    <x v="1"/>
    <s v="Trudy Schmidt"/>
    <x v="0"/>
    <m/>
    <s v="Houston"/>
    <s v="Texas"/>
    <s v="Central"/>
    <x v="2"/>
    <x v="11"/>
    <s v="Memorex Mini Travel Drive 8 GB USB 2.0 Flash Drive"/>
    <x v="4964"/>
    <n v="2"/>
    <n v="0.2"/>
    <n v="4.4004000000000003"/>
  </r>
  <r>
    <n v="8128"/>
    <x v="525"/>
    <x v="1"/>
    <x v="11"/>
    <d v="2012-02-13T00:00:00"/>
    <n v="7"/>
    <x v="1"/>
    <s v="Trudy Schmidt"/>
    <x v="0"/>
    <m/>
    <s v="Houston"/>
    <s v="Texas"/>
    <s v="Central"/>
    <x v="1"/>
    <x v="4"/>
    <s v="Tennsco Snap-Together Open Shelving Units, Starter Sets and Add-On Units"/>
    <x v="5080"/>
    <n v="3"/>
    <n v="0.2"/>
    <n v="-125.76600000000001"/>
  </r>
  <r>
    <n v="8129"/>
    <x v="775"/>
    <x v="3"/>
    <x v="6"/>
    <d v="2014-09-02T00:00:00"/>
    <n v="6"/>
    <x v="1"/>
    <s v="Darren Powers"/>
    <x v="0"/>
    <m/>
    <s v="Chicago"/>
    <s v="Illinois"/>
    <s v="Central"/>
    <x v="0"/>
    <x v="5"/>
    <s v="Seth Thomas 16&quot; Steel Case Clock"/>
    <x v="643"/>
    <n v="5"/>
    <n v="0.6"/>
    <n v="-43.847999999999999"/>
  </r>
  <r>
    <n v="8130"/>
    <x v="836"/>
    <x v="2"/>
    <x v="7"/>
    <d v="2011-07-23T00:00:00"/>
    <n v="3"/>
    <x v="2"/>
    <s v="Jonathan Doherty"/>
    <x v="1"/>
    <m/>
    <s v="Riverside"/>
    <s v="California"/>
    <s v="West"/>
    <x v="2"/>
    <x v="11"/>
    <s v="Maxell 74 Minute CD-R Spindle, 50/Pack"/>
    <x v="4836"/>
    <n v="2"/>
    <n v="0"/>
    <n v="15.0984"/>
  </r>
  <r>
    <n v="8131"/>
    <x v="836"/>
    <x v="2"/>
    <x v="7"/>
    <d v="2011-07-23T00:00:00"/>
    <n v="3"/>
    <x v="2"/>
    <s v="Jonathan Doherty"/>
    <x v="1"/>
    <m/>
    <s v="Riverside"/>
    <s v="California"/>
    <s v="West"/>
    <x v="1"/>
    <x v="10"/>
    <s v="Xerox 1965"/>
    <x v="489"/>
    <n v="2"/>
    <n v="0"/>
    <n v="5.8604000000000003"/>
  </r>
  <r>
    <n v="8132"/>
    <x v="836"/>
    <x v="2"/>
    <x v="7"/>
    <d v="2011-07-23T00:00:00"/>
    <n v="3"/>
    <x v="2"/>
    <s v="Jonathan Doherty"/>
    <x v="1"/>
    <m/>
    <s v="Riverside"/>
    <s v="California"/>
    <s v="West"/>
    <x v="1"/>
    <x v="6"/>
    <s v="Newell 348"/>
    <x v="1317"/>
    <n v="4"/>
    <n v="0"/>
    <n v="3.8048000000000002"/>
  </r>
  <r>
    <n v="8133"/>
    <x v="836"/>
    <x v="2"/>
    <x v="7"/>
    <d v="2011-07-23T00:00:00"/>
    <n v="3"/>
    <x v="2"/>
    <s v="Jonathan Doherty"/>
    <x v="1"/>
    <m/>
    <s v="Riverside"/>
    <s v="California"/>
    <s v="West"/>
    <x v="1"/>
    <x v="4"/>
    <s v="Hot File 7-Pocket, Floor Stand"/>
    <x v="3370"/>
    <n v="3"/>
    <n v="0"/>
    <n v="160.62299999999999"/>
  </r>
  <r>
    <n v="8134"/>
    <x v="1049"/>
    <x v="1"/>
    <x v="2"/>
    <d v="2012-10-13T00:00:00"/>
    <n v="5"/>
    <x v="1"/>
    <s v="Gene Hale"/>
    <x v="1"/>
    <m/>
    <s v="Dallas"/>
    <s v="Texas"/>
    <s v="Central"/>
    <x v="0"/>
    <x v="5"/>
    <s v="Tenex Traditional Chairmats for Medium Pile Carpet, Standard Lip, 36&quot; x 48&quot;"/>
    <x v="5081"/>
    <n v="3"/>
    <n v="0.6"/>
    <n v="-70.960499999999996"/>
  </r>
  <r>
    <n v="8135"/>
    <x v="1130"/>
    <x v="1"/>
    <x v="11"/>
    <d v="2012-02-21T00:00:00"/>
    <n v="5"/>
    <x v="1"/>
    <s v="Rob Dowd"/>
    <x v="0"/>
    <m/>
    <s v="Los Angeles"/>
    <s v="California"/>
    <s v="West"/>
    <x v="1"/>
    <x v="10"/>
    <s v="Xerox 1881"/>
    <x v="651"/>
    <n v="3"/>
    <n v="0"/>
    <n v="17.314800000000002"/>
  </r>
  <r>
    <n v="8136"/>
    <x v="1130"/>
    <x v="1"/>
    <x v="11"/>
    <d v="2012-02-21T00:00:00"/>
    <n v="5"/>
    <x v="1"/>
    <s v="Rob Dowd"/>
    <x v="0"/>
    <m/>
    <s v="Los Angeles"/>
    <s v="California"/>
    <s v="West"/>
    <x v="1"/>
    <x v="2"/>
    <s v="Avery 485"/>
    <x v="2041"/>
    <n v="7"/>
    <n v="0"/>
    <n v="41.223700000000001"/>
  </r>
  <r>
    <n v="8137"/>
    <x v="399"/>
    <x v="0"/>
    <x v="6"/>
    <d v="2013-08-17T00:00:00"/>
    <n v="4"/>
    <x v="1"/>
    <s v="Cindy Schnelling"/>
    <x v="1"/>
    <m/>
    <s v="Lakeland"/>
    <s v="Florida"/>
    <s v="South"/>
    <x v="0"/>
    <x v="3"/>
    <s v="BPI Conference Tables"/>
    <x v="5082"/>
    <n v="7"/>
    <n v="0.45"/>
    <n v="-255.58750000000001"/>
  </r>
  <r>
    <n v="8138"/>
    <x v="187"/>
    <x v="2"/>
    <x v="0"/>
    <d v="2011-11-13T00:00:00"/>
    <n v="4"/>
    <x v="1"/>
    <s v="Benjamin Farhat"/>
    <x v="2"/>
    <m/>
    <s v="New York City"/>
    <s v="New York"/>
    <s v="East"/>
    <x v="0"/>
    <x v="5"/>
    <s v="Eldon 200 Class Desk Accessories, Black"/>
    <x v="3012"/>
    <n v="9"/>
    <n v="0"/>
    <n v="21.477599999999999"/>
  </r>
  <r>
    <n v="8139"/>
    <x v="427"/>
    <x v="0"/>
    <x v="7"/>
    <d v="2013-07-23T00:00:00"/>
    <n v="4"/>
    <x v="1"/>
    <s v="Neil Knudson"/>
    <x v="2"/>
    <m/>
    <s v="Philadelphia"/>
    <s v="Pennsylvania"/>
    <s v="East"/>
    <x v="1"/>
    <x v="6"/>
    <s v="Newell 326"/>
    <x v="2387"/>
    <n v="8"/>
    <n v="0.2"/>
    <n v="1.2672000000000001"/>
  </r>
  <r>
    <n v="8140"/>
    <x v="427"/>
    <x v="0"/>
    <x v="7"/>
    <d v="2013-07-23T00:00:00"/>
    <n v="4"/>
    <x v="1"/>
    <s v="Neil Knudson"/>
    <x v="2"/>
    <m/>
    <s v="Philadelphia"/>
    <s v="Pennsylvania"/>
    <s v="East"/>
    <x v="1"/>
    <x v="4"/>
    <s v="Steel Personal Filing/Posting Tote"/>
    <x v="5083"/>
    <n v="10"/>
    <n v="0.2"/>
    <n v="24.856999999999999"/>
  </r>
  <r>
    <n v="8141"/>
    <x v="427"/>
    <x v="0"/>
    <x v="7"/>
    <d v="2013-07-23T00:00:00"/>
    <n v="4"/>
    <x v="1"/>
    <s v="Neil Knudson"/>
    <x v="2"/>
    <m/>
    <s v="Philadelphia"/>
    <s v="Pennsylvania"/>
    <s v="East"/>
    <x v="1"/>
    <x v="10"/>
    <s v="Xerox 196"/>
    <x v="281"/>
    <n v="4"/>
    <n v="0.2"/>
    <n v="6.7047999999999996"/>
  </r>
  <r>
    <n v="8142"/>
    <x v="473"/>
    <x v="0"/>
    <x v="11"/>
    <d v="2013-02-10T00:00:00"/>
    <n v="5"/>
    <x v="1"/>
    <s v="Annie Zypern"/>
    <x v="0"/>
    <m/>
    <s v="San Diego"/>
    <s v="California"/>
    <s v="West"/>
    <x v="1"/>
    <x v="2"/>
    <s v="Avery 508"/>
    <x v="1646"/>
    <n v="3"/>
    <n v="0"/>
    <n v="7.2176999999999998"/>
  </r>
  <r>
    <n v="8143"/>
    <x v="473"/>
    <x v="0"/>
    <x v="11"/>
    <d v="2013-02-10T00:00:00"/>
    <n v="5"/>
    <x v="1"/>
    <s v="Annie Zypern"/>
    <x v="0"/>
    <m/>
    <s v="San Diego"/>
    <s v="California"/>
    <s v="West"/>
    <x v="1"/>
    <x v="4"/>
    <s v="Fellowes Mobile File Cart, Black"/>
    <x v="4519"/>
    <n v="3"/>
    <n v="0"/>
    <n v="50.3658"/>
  </r>
  <r>
    <n v="8144"/>
    <x v="473"/>
    <x v="0"/>
    <x v="11"/>
    <d v="2013-02-10T00:00:00"/>
    <n v="5"/>
    <x v="1"/>
    <s v="Annie Zypern"/>
    <x v="0"/>
    <m/>
    <s v="San Diego"/>
    <s v="California"/>
    <s v="West"/>
    <x v="0"/>
    <x v="3"/>
    <s v="Chromcraft Round Conference Tables"/>
    <x v="5084"/>
    <n v="4"/>
    <n v="0.2"/>
    <n v="6.9715999999999996"/>
  </r>
  <r>
    <n v="8145"/>
    <x v="473"/>
    <x v="0"/>
    <x v="11"/>
    <d v="2013-02-10T00:00:00"/>
    <n v="5"/>
    <x v="1"/>
    <s v="Annie Zypern"/>
    <x v="0"/>
    <m/>
    <s v="San Diego"/>
    <s v="California"/>
    <s v="West"/>
    <x v="2"/>
    <x v="7"/>
    <s v="Anker Astro 15000mAh USB Portable Charger"/>
    <x v="3955"/>
    <n v="4"/>
    <n v="0.2"/>
    <n v="-31.993600000000001"/>
  </r>
  <r>
    <n v="8146"/>
    <x v="886"/>
    <x v="2"/>
    <x v="1"/>
    <d v="2011-06-27T00:00:00"/>
    <n v="7"/>
    <x v="1"/>
    <s v="Corey-Lock"/>
    <x v="0"/>
    <m/>
    <s v="Lawton"/>
    <s v="Oklahoma"/>
    <s v="Central"/>
    <x v="1"/>
    <x v="9"/>
    <s v="Honeywell Quietcare HEPA Air Cleaner"/>
    <x v="5085"/>
    <n v="6"/>
    <n v="0"/>
    <n v="155.727"/>
  </r>
  <r>
    <n v="8147"/>
    <x v="886"/>
    <x v="2"/>
    <x v="1"/>
    <d v="2011-06-27T00:00:00"/>
    <n v="7"/>
    <x v="1"/>
    <s v="Corey-Lock"/>
    <x v="0"/>
    <m/>
    <s v="Lawton"/>
    <s v="Oklahoma"/>
    <s v="Central"/>
    <x v="1"/>
    <x v="6"/>
    <s v="Nontoxic Chalk"/>
    <x v="2799"/>
    <n v="2"/>
    <n v="0"/>
    <n v="1.6896"/>
  </r>
  <r>
    <n v="8148"/>
    <x v="255"/>
    <x v="3"/>
    <x v="1"/>
    <d v="2014-06-15T00:00:00"/>
    <n v="5"/>
    <x v="1"/>
    <s v="Anna Gayman"/>
    <x v="0"/>
    <m/>
    <s v="Salem"/>
    <s v="Virginia"/>
    <s v="South"/>
    <x v="1"/>
    <x v="10"/>
    <s v="Staples"/>
    <x v="335"/>
    <n v="4"/>
    <n v="0"/>
    <n v="23.086400000000001"/>
  </r>
  <r>
    <n v="8149"/>
    <x v="797"/>
    <x v="0"/>
    <x v="4"/>
    <d v="2014-01-01T00:00:00"/>
    <n v="4"/>
    <x v="1"/>
    <s v="Eugene Moren"/>
    <x v="2"/>
    <m/>
    <s v="Santa Ana"/>
    <s v="California"/>
    <s v="West"/>
    <x v="1"/>
    <x v="2"/>
    <s v="Avery File Folder Labels"/>
    <x v="171"/>
    <n v="7"/>
    <n v="0"/>
    <n v="9.8783999999999992"/>
  </r>
  <r>
    <n v="8150"/>
    <x v="755"/>
    <x v="2"/>
    <x v="9"/>
    <d v="2011-01-30T00:00:00"/>
    <n v="3"/>
    <x v="2"/>
    <s v="Carol Adams"/>
    <x v="1"/>
    <m/>
    <s v="Rapid City"/>
    <s v="South Dakota"/>
    <s v="Central"/>
    <x v="1"/>
    <x v="8"/>
    <s v="Wilson Jones 14 Line Acrylic Coated Pressboard Data Binders"/>
    <x v="3766"/>
    <n v="2"/>
    <n v="0"/>
    <n v="5.0195999999999996"/>
  </r>
  <r>
    <n v="8151"/>
    <x v="755"/>
    <x v="2"/>
    <x v="9"/>
    <d v="2011-01-30T00:00:00"/>
    <n v="3"/>
    <x v="2"/>
    <s v="Carol Adams"/>
    <x v="1"/>
    <m/>
    <s v="Rapid City"/>
    <s v="South Dakota"/>
    <s v="Central"/>
    <x v="0"/>
    <x v="0"/>
    <s v="Safco Value Mate Series Steel Bookcases, Baked Enamel Finish on Steel, Gray"/>
    <x v="1713"/>
    <n v="2"/>
    <n v="0"/>
    <n v="39.748800000000003"/>
  </r>
  <r>
    <n v="8152"/>
    <x v="721"/>
    <x v="3"/>
    <x v="10"/>
    <d v="2014-03-26T00:00:00"/>
    <n v="2"/>
    <x v="2"/>
    <s v="Raymond Buch"/>
    <x v="0"/>
    <m/>
    <s v="Seattle"/>
    <s v="Washington"/>
    <s v="West"/>
    <x v="1"/>
    <x v="4"/>
    <s v="Acco Perma 4000 Stacking Storage Drawers"/>
    <x v="4482"/>
    <n v="2"/>
    <n v="0"/>
    <n v="4.8719999999999999"/>
  </r>
  <r>
    <n v="8153"/>
    <x v="721"/>
    <x v="3"/>
    <x v="10"/>
    <d v="2014-03-26T00:00:00"/>
    <n v="2"/>
    <x v="2"/>
    <s v="Raymond Buch"/>
    <x v="0"/>
    <m/>
    <s v="Seattle"/>
    <s v="Washington"/>
    <s v="West"/>
    <x v="1"/>
    <x v="10"/>
    <s v="Xerox 1898"/>
    <x v="130"/>
    <n v="3"/>
    <n v="0"/>
    <n v="9.6191999999999993"/>
  </r>
  <r>
    <n v="8154"/>
    <x v="721"/>
    <x v="3"/>
    <x v="10"/>
    <d v="2014-03-26T00:00:00"/>
    <n v="2"/>
    <x v="2"/>
    <s v="Raymond Buch"/>
    <x v="0"/>
    <m/>
    <s v="Seattle"/>
    <s v="Washington"/>
    <s v="West"/>
    <x v="2"/>
    <x v="16"/>
    <s v="Canon imageCLASS 2200 Advanced Copier"/>
    <x v="5086"/>
    <n v="4"/>
    <n v="0"/>
    <n v="6719.9808000000003"/>
  </r>
  <r>
    <n v="8155"/>
    <x v="177"/>
    <x v="3"/>
    <x v="10"/>
    <d v="2014-03-25T00:00:00"/>
    <n v="4"/>
    <x v="1"/>
    <s v="Roger Demir"/>
    <x v="0"/>
    <m/>
    <s v="Middletown"/>
    <s v="Connecticut"/>
    <s v="East"/>
    <x v="2"/>
    <x v="11"/>
    <s v="WD My Passport Ultra 2TB Portable External Hard Drive"/>
    <x v="1657"/>
    <n v="2"/>
    <n v="0"/>
    <n v="38.08"/>
  </r>
  <r>
    <n v="8156"/>
    <x v="177"/>
    <x v="3"/>
    <x v="10"/>
    <d v="2014-03-25T00:00:00"/>
    <n v="4"/>
    <x v="1"/>
    <s v="Roger Demir"/>
    <x v="0"/>
    <m/>
    <s v="Middletown"/>
    <s v="Connecticut"/>
    <s v="East"/>
    <x v="1"/>
    <x v="10"/>
    <s v="Xerox 1988"/>
    <x v="1156"/>
    <n v="2"/>
    <n v="0"/>
    <n v="27.882000000000001"/>
  </r>
  <r>
    <n v="8157"/>
    <x v="964"/>
    <x v="0"/>
    <x v="2"/>
    <d v="2013-10-10T00:00:00"/>
    <n v="5"/>
    <x v="1"/>
    <s v="Melanie Seite"/>
    <x v="0"/>
    <m/>
    <s v="Baltimore"/>
    <s v="Maryland"/>
    <s v="East"/>
    <x v="0"/>
    <x v="3"/>
    <s v="Bush Andora Conference Table, Maple/Graphite Gray Finish"/>
    <x v="5087"/>
    <n v="2"/>
    <n v="0.3"/>
    <n v="-23.937200000000001"/>
  </r>
  <r>
    <n v="8158"/>
    <x v="741"/>
    <x v="0"/>
    <x v="0"/>
    <d v="2013-11-23T00:00:00"/>
    <n v="4"/>
    <x v="1"/>
    <s v="Patrick Gardner"/>
    <x v="0"/>
    <m/>
    <s v="San Diego"/>
    <s v="California"/>
    <s v="West"/>
    <x v="2"/>
    <x v="11"/>
    <s v="WD My Passport Ultra 2TB Portable External Hard Drive"/>
    <x v="1993"/>
    <n v="5"/>
    <n v="0"/>
    <n v="95.2"/>
  </r>
  <r>
    <n v="8159"/>
    <x v="377"/>
    <x v="3"/>
    <x v="4"/>
    <d v="2015-01-02T00:00:00"/>
    <n v="6"/>
    <x v="1"/>
    <s v="Karen Bern"/>
    <x v="1"/>
    <m/>
    <s v="Odessa"/>
    <s v="Texas"/>
    <s v="Central"/>
    <x v="1"/>
    <x v="10"/>
    <s v="Xerox 1959"/>
    <x v="2897"/>
    <n v="3"/>
    <n v="0.2"/>
    <n v="5.6112000000000002"/>
  </r>
  <r>
    <n v="8160"/>
    <x v="1185"/>
    <x v="0"/>
    <x v="10"/>
    <d v="2013-03-14T00:00:00"/>
    <n v="4"/>
    <x v="1"/>
    <s v="Rick Bensley"/>
    <x v="2"/>
    <m/>
    <s v="Milford"/>
    <s v="Connecticut"/>
    <s v="East"/>
    <x v="2"/>
    <x v="11"/>
    <s v="Microsoft Sculpt Comfort Mouse"/>
    <x v="5016"/>
    <n v="5"/>
    <n v="0"/>
    <n v="87.89"/>
  </r>
  <r>
    <n v="8161"/>
    <x v="595"/>
    <x v="0"/>
    <x v="11"/>
    <d v="2013-02-20T00:00:00"/>
    <n v="4"/>
    <x v="1"/>
    <s v="John Dryer"/>
    <x v="0"/>
    <m/>
    <s v="Belleville"/>
    <s v="New Jersey"/>
    <s v="East"/>
    <x v="0"/>
    <x v="1"/>
    <s v="Hon Comfortask Task/Swivel Chairs"/>
    <x v="5088"/>
    <n v="2"/>
    <n v="0"/>
    <n v="36.473599999999998"/>
  </r>
  <r>
    <n v="8162"/>
    <x v="694"/>
    <x v="1"/>
    <x v="8"/>
    <d v="2012-10-03T00:00:00"/>
    <n v="5"/>
    <x v="0"/>
    <s v="Jennifer Jackson"/>
    <x v="0"/>
    <m/>
    <s v="New York City"/>
    <s v="New York"/>
    <s v="East"/>
    <x v="1"/>
    <x v="9"/>
    <s v="Fellowes Premier Superior Surge Suppressor, 10-Outlet, With Phone and Remote"/>
    <x v="5089"/>
    <n v="6"/>
    <n v="0"/>
    <n v="76.315200000000004"/>
  </r>
  <r>
    <n v="8163"/>
    <x v="694"/>
    <x v="1"/>
    <x v="8"/>
    <d v="2012-10-03T00:00:00"/>
    <n v="5"/>
    <x v="0"/>
    <s v="Jennifer Jackson"/>
    <x v="0"/>
    <m/>
    <s v="New York City"/>
    <s v="New York"/>
    <s v="East"/>
    <x v="2"/>
    <x v="7"/>
    <s v="Nortel Meridian M3904 Professional Digital phone"/>
    <x v="669"/>
    <n v="2"/>
    <n v="0"/>
    <n v="89.3142"/>
  </r>
  <r>
    <n v="8164"/>
    <x v="121"/>
    <x v="1"/>
    <x v="0"/>
    <d v="2012-11-06T00:00:00"/>
    <n v="4"/>
    <x v="1"/>
    <s v="Liz Thompson"/>
    <x v="0"/>
    <m/>
    <s v="San Diego"/>
    <s v="California"/>
    <s v="West"/>
    <x v="0"/>
    <x v="5"/>
    <s v="Contemporary Wood/Metal Frame"/>
    <x v="5090"/>
    <n v="6"/>
    <n v="0"/>
    <n v="33.936"/>
  </r>
  <r>
    <n v="8165"/>
    <x v="121"/>
    <x v="1"/>
    <x v="0"/>
    <d v="2012-11-06T00:00:00"/>
    <n v="4"/>
    <x v="1"/>
    <s v="Liz Thompson"/>
    <x v="0"/>
    <m/>
    <s v="San Diego"/>
    <s v="California"/>
    <s v="West"/>
    <x v="1"/>
    <x v="8"/>
    <s v="GBC Premium Transparent Covers with Diagonal Lined Pattern"/>
    <x v="3553"/>
    <n v="7"/>
    <n v="0.2"/>
    <n v="41.120800000000003"/>
  </r>
  <r>
    <n v="8166"/>
    <x v="121"/>
    <x v="1"/>
    <x v="0"/>
    <d v="2012-11-06T00:00:00"/>
    <n v="4"/>
    <x v="1"/>
    <s v="Liz Thompson"/>
    <x v="0"/>
    <m/>
    <s v="San Diego"/>
    <s v="California"/>
    <s v="West"/>
    <x v="1"/>
    <x v="8"/>
    <s v="Cardinal Holdit Business Card Pockets"/>
    <x v="1627"/>
    <n v="3"/>
    <n v="0.2"/>
    <n v="4.1832000000000003"/>
  </r>
  <r>
    <n v="8167"/>
    <x v="121"/>
    <x v="1"/>
    <x v="0"/>
    <d v="2012-11-06T00:00:00"/>
    <n v="4"/>
    <x v="1"/>
    <s v="Liz Thompson"/>
    <x v="0"/>
    <m/>
    <s v="San Diego"/>
    <s v="California"/>
    <s v="West"/>
    <x v="0"/>
    <x v="0"/>
    <s v="O'Sullivan Living Dimensions 3-Shelf Bookcases"/>
    <x v="5091"/>
    <n v="3"/>
    <n v="0.15"/>
    <n v="-30.146999999999998"/>
  </r>
  <r>
    <n v="8168"/>
    <x v="995"/>
    <x v="0"/>
    <x v="6"/>
    <d v="2013-08-06T00:00:00"/>
    <n v="5"/>
    <x v="1"/>
    <s v="Anna Häberlin"/>
    <x v="1"/>
    <m/>
    <s v="San Francisco"/>
    <s v="California"/>
    <s v="West"/>
    <x v="0"/>
    <x v="3"/>
    <s v="Laminate Occasional Tables"/>
    <x v="3178"/>
    <n v="7"/>
    <n v="0.2"/>
    <n v="-32.3673"/>
  </r>
  <r>
    <n v="8169"/>
    <x v="44"/>
    <x v="3"/>
    <x v="0"/>
    <d v="2014-11-14T00:00:00"/>
    <n v="7"/>
    <x v="1"/>
    <s v="Adam Bellavance"/>
    <x v="2"/>
    <m/>
    <s v="Seattle"/>
    <s v="Washington"/>
    <s v="West"/>
    <x v="0"/>
    <x v="3"/>
    <s v="Hon 5100 Series Wood Tables"/>
    <x v="5092"/>
    <n v="7"/>
    <n v="0"/>
    <n v="366.63479999999998"/>
  </r>
  <r>
    <n v="8170"/>
    <x v="44"/>
    <x v="3"/>
    <x v="0"/>
    <d v="2014-11-14T00:00:00"/>
    <n v="7"/>
    <x v="1"/>
    <s v="Adam Bellavance"/>
    <x v="2"/>
    <m/>
    <s v="Seattle"/>
    <s v="Washington"/>
    <s v="West"/>
    <x v="0"/>
    <x v="1"/>
    <s v="Hon 2090 “Pillow Soft” Series Mid Back Swivel/Tilt Chairs"/>
    <x v="4718"/>
    <n v="2"/>
    <n v="0.2"/>
    <n v="-73.0548"/>
  </r>
  <r>
    <n v="8171"/>
    <x v="44"/>
    <x v="3"/>
    <x v="0"/>
    <d v="2014-11-14T00:00:00"/>
    <n v="7"/>
    <x v="1"/>
    <s v="Adam Bellavance"/>
    <x v="2"/>
    <m/>
    <s v="Seattle"/>
    <s v="Washington"/>
    <s v="West"/>
    <x v="2"/>
    <x v="11"/>
    <s v="SanDisk Cruzer 64 GB USB Flash Drive"/>
    <x v="4342"/>
    <n v="3"/>
    <n v="0"/>
    <n v="32.688000000000002"/>
  </r>
  <r>
    <n v="8172"/>
    <x v="1173"/>
    <x v="0"/>
    <x v="11"/>
    <d v="2013-02-19T00:00:00"/>
    <n v="5"/>
    <x v="1"/>
    <s v="Fred McMath"/>
    <x v="0"/>
    <m/>
    <s v="Jackson"/>
    <s v="Mississippi"/>
    <s v="South"/>
    <x v="1"/>
    <x v="6"/>
    <s v="Panasonic KP-150 Electric Pencil Sharpener"/>
    <x v="5093"/>
    <n v="7"/>
    <n v="0"/>
    <n v="68.686800000000005"/>
  </r>
  <r>
    <n v="8173"/>
    <x v="868"/>
    <x v="2"/>
    <x v="7"/>
    <d v="2011-07-13T00:00:00"/>
    <n v="4"/>
    <x v="1"/>
    <s v="Gary Hansen"/>
    <x v="2"/>
    <m/>
    <s v="Los Angeles"/>
    <s v="California"/>
    <s v="West"/>
    <x v="1"/>
    <x v="2"/>
    <s v="Avery 49"/>
    <x v="704"/>
    <n v="1"/>
    <n v="0"/>
    <n v="1.4112"/>
  </r>
  <r>
    <n v="8174"/>
    <x v="868"/>
    <x v="2"/>
    <x v="7"/>
    <d v="2011-07-13T00:00:00"/>
    <n v="4"/>
    <x v="1"/>
    <s v="Gary Hansen"/>
    <x v="2"/>
    <m/>
    <s v="Los Angeles"/>
    <s v="California"/>
    <s v="West"/>
    <x v="1"/>
    <x v="8"/>
    <s v="Wilson Jones Leather-Like Binders with DublLock Round Rings"/>
    <x v="4144"/>
    <n v="6"/>
    <n v="0.2"/>
    <n v="14.1426"/>
  </r>
  <r>
    <n v="8175"/>
    <x v="868"/>
    <x v="2"/>
    <x v="7"/>
    <d v="2011-07-13T00:00:00"/>
    <n v="4"/>
    <x v="1"/>
    <s v="Gary Hansen"/>
    <x v="2"/>
    <m/>
    <s v="Los Angeles"/>
    <s v="California"/>
    <s v="West"/>
    <x v="1"/>
    <x v="4"/>
    <s v="Perma STOR-ALL Hanging File Box, 13 1/8&quot;W x 12 1/4&quot;D x 10 1/2&quot;H"/>
    <x v="100"/>
    <n v="4"/>
    <n v="0"/>
    <n v="4.0663999999999998"/>
  </r>
  <r>
    <n v="8176"/>
    <x v="806"/>
    <x v="0"/>
    <x v="9"/>
    <d v="2013-02-04T00:00:00"/>
    <n v="5"/>
    <x v="1"/>
    <s v="Harold Engle"/>
    <x v="1"/>
    <m/>
    <s v="Chicago"/>
    <s v="Illinois"/>
    <s v="Central"/>
    <x v="1"/>
    <x v="10"/>
    <s v="Xerox 1943"/>
    <x v="4256"/>
    <n v="4"/>
    <n v="0.2"/>
    <n v="52.822800000000001"/>
  </r>
  <r>
    <n v="8177"/>
    <x v="897"/>
    <x v="0"/>
    <x v="8"/>
    <d v="2013-09-26T00:00:00"/>
    <n v="3"/>
    <x v="2"/>
    <s v="Sam Zeldin"/>
    <x v="2"/>
    <m/>
    <s v="New York City"/>
    <s v="New York"/>
    <s v="East"/>
    <x v="1"/>
    <x v="4"/>
    <s v="Sortfiler Multipurpose Personal File Organizer, Black"/>
    <x v="5094"/>
    <n v="6"/>
    <n v="0"/>
    <n v="37.218600000000002"/>
  </r>
  <r>
    <n v="8178"/>
    <x v="66"/>
    <x v="3"/>
    <x v="4"/>
    <d v="2014-12-25T00:00:00"/>
    <n v="2"/>
    <x v="2"/>
    <s v="Chad McGuire"/>
    <x v="0"/>
    <m/>
    <s v="Los Angeles"/>
    <s v="California"/>
    <s v="West"/>
    <x v="2"/>
    <x v="11"/>
    <s v="Kensington Expert Mouse Optical USB Trackball for PC or Mac"/>
    <x v="5095"/>
    <n v="5"/>
    <n v="0"/>
    <n v="142.48500000000001"/>
  </r>
  <r>
    <n v="8179"/>
    <x v="476"/>
    <x v="0"/>
    <x v="8"/>
    <d v="2013-09-09T00:00:00"/>
    <n v="6"/>
    <x v="1"/>
    <s v="Toby Gnade"/>
    <x v="0"/>
    <m/>
    <s v="Des Moines"/>
    <s v="Washington"/>
    <s v="West"/>
    <x v="2"/>
    <x v="16"/>
    <s v="Hewlett Packard 610 Color Digital Copier / Printer"/>
    <x v="3074"/>
    <n v="2"/>
    <n v="0"/>
    <n v="449.99099999999999"/>
  </r>
  <r>
    <n v="8180"/>
    <x v="991"/>
    <x v="1"/>
    <x v="6"/>
    <d v="2012-08-06T00:00:00"/>
    <n v="4"/>
    <x v="1"/>
    <s v="Darren Koutras"/>
    <x v="0"/>
    <m/>
    <s v="Springfield"/>
    <s v="Oregon"/>
    <s v="West"/>
    <x v="0"/>
    <x v="3"/>
    <s v="Balt Split Level Computer Training Table"/>
    <x v="5096"/>
    <n v="4"/>
    <n v="0.5"/>
    <n v="-188.7"/>
  </r>
  <r>
    <n v="8181"/>
    <x v="82"/>
    <x v="1"/>
    <x v="0"/>
    <d v="2012-11-25T00:00:00"/>
    <n v="4"/>
    <x v="1"/>
    <s v="Shahid Shariari"/>
    <x v="0"/>
    <m/>
    <s v="Philadelphia"/>
    <s v="Pennsylvania"/>
    <s v="East"/>
    <x v="0"/>
    <x v="3"/>
    <s v="Bevis Oval Conference Table, Walnut"/>
    <x v="5097"/>
    <n v="8"/>
    <n v="0.4"/>
    <n v="-480.20319999999998"/>
  </r>
  <r>
    <n v="8182"/>
    <x v="82"/>
    <x v="1"/>
    <x v="0"/>
    <d v="2012-11-25T00:00:00"/>
    <n v="4"/>
    <x v="1"/>
    <s v="Shahid Shariari"/>
    <x v="0"/>
    <m/>
    <s v="Philadelphia"/>
    <s v="Pennsylvania"/>
    <s v="East"/>
    <x v="2"/>
    <x v="7"/>
    <s v="Logitech B530 USB Headset - headset - Full size, Binaural"/>
    <x v="5098"/>
    <n v="5"/>
    <n v="0.4"/>
    <n v="-24.043500000000002"/>
  </r>
  <r>
    <n v="8183"/>
    <x v="796"/>
    <x v="3"/>
    <x v="5"/>
    <d v="2014-05-23T00:00:00"/>
    <n v="4"/>
    <x v="1"/>
    <s v="Brendan Murry"/>
    <x v="1"/>
    <m/>
    <s v="Chicago"/>
    <s v="Illinois"/>
    <s v="Central"/>
    <x v="0"/>
    <x v="5"/>
    <s v="Flat Face Poster Frame"/>
    <x v="1803"/>
    <n v="3"/>
    <n v="0.6"/>
    <n v="-10.1736"/>
  </r>
  <r>
    <n v="8184"/>
    <x v="796"/>
    <x v="3"/>
    <x v="5"/>
    <d v="2014-05-23T00:00:00"/>
    <n v="4"/>
    <x v="1"/>
    <s v="Brendan Murry"/>
    <x v="1"/>
    <m/>
    <s v="Chicago"/>
    <s v="Illinois"/>
    <s v="Central"/>
    <x v="0"/>
    <x v="5"/>
    <s v="C-Line Cubicle Keepers Polyproplyene Holder With Velcro Backings"/>
    <x v="5099"/>
    <n v="1"/>
    <n v="0.6"/>
    <n v="-0.99329999999999996"/>
  </r>
  <r>
    <n v="8185"/>
    <x v="283"/>
    <x v="3"/>
    <x v="7"/>
    <d v="2014-07-28T00:00:00"/>
    <n v="4"/>
    <x v="1"/>
    <s v="Maribeth Yedwab"/>
    <x v="1"/>
    <m/>
    <s v="Chicago"/>
    <s v="Illinois"/>
    <s v="Central"/>
    <x v="1"/>
    <x v="10"/>
    <s v="Xerox 1909"/>
    <x v="922"/>
    <n v="3"/>
    <n v="0.2"/>
    <n v="20.5764"/>
  </r>
  <r>
    <n v="8186"/>
    <x v="1023"/>
    <x v="1"/>
    <x v="8"/>
    <d v="2012-09-17T00:00:00"/>
    <n v="4"/>
    <x v="0"/>
    <s v="Arthur Gainer"/>
    <x v="0"/>
    <m/>
    <s v="Chicago"/>
    <s v="Illinois"/>
    <s v="Central"/>
    <x v="1"/>
    <x v="12"/>
    <s v="Staples"/>
    <x v="1608"/>
    <n v="1"/>
    <n v="0.2"/>
    <n v="2.9340000000000002"/>
  </r>
  <r>
    <n v="8187"/>
    <x v="1023"/>
    <x v="1"/>
    <x v="8"/>
    <d v="2012-09-17T00:00:00"/>
    <n v="4"/>
    <x v="0"/>
    <s v="Arthur Gainer"/>
    <x v="0"/>
    <m/>
    <s v="Chicago"/>
    <s v="Illinois"/>
    <s v="Central"/>
    <x v="0"/>
    <x v="1"/>
    <s v="Global Value Steno Chair, Gray"/>
    <x v="5100"/>
    <n v="4"/>
    <n v="0.3"/>
    <n v="-12.148"/>
  </r>
  <r>
    <n v="8188"/>
    <x v="107"/>
    <x v="0"/>
    <x v="4"/>
    <d v="2013-12-17T00:00:00"/>
    <n v="6"/>
    <x v="1"/>
    <s v="Bart Watters"/>
    <x v="1"/>
    <m/>
    <s v="New York City"/>
    <s v="New York"/>
    <s v="East"/>
    <x v="1"/>
    <x v="10"/>
    <s v="Adams Phone Message Book, Professional, 400 Message Capacity, 5 3/6” x 11”"/>
    <x v="2119"/>
    <n v="9"/>
    <n v="0"/>
    <n v="29.525400000000001"/>
  </r>
  <r>
    <n v="8189"/>
    <x v="653"/>
    <x v="1"/>
    <x v="2"/>
    <d v="2012-10-05T00:00:00"/>
    <n v="3"/>
    <x v="0"/>
    <s v="Sheri Gordon"/>
    <x v="0"/>
    <m/>
    <s v="Rockville"/>
    <s v="Maryland"/>
    <s v="East"/>
    <x v="1"/>
    <x v="10"/>
    <s v="Xerox 202"/>
    <x v="537"/>
    <n v="3"/>
    <n v="0"/>
    <n v="9.3312000000000008"/>
  </r>
  <r>
    <n v="8190"/>
    <x v="653"/>
    <x v="1"/>
    <x v="2"/>
    <d v="2012-10-05T00:00:00"/>
    <n v="3"/>
    <x v="0"/>
    <s v="Sheri Gordon"/>
    <x v="0"/>
    <m/>
    <s v="Rockville"/>
    <s v="Maryland"/>
    <s v="East"/>
    <x v="1"/>
    <x v="8"/>
    <s v="GBC Plastic Binding Combs"/>
    <x v="1552"/>
    <n v="1"/>
    <n v="0"/>
    <n v="3.6162000000000001"/>
  </r>
  <r>
    <n v="8191"/>
    <x v="701"/>
    <x v="3"/>
    <x v="0"/>
    <d v="2014-11-22T00:00:00"/>
    <n v="4"/>
    <x v="1"/>
    <s v="Christopher Conant"/>
    <x v="0"/>
    <m/>
    <s v="New York City"/>
    <s v="New York"/>
    <s v="East"/>
    <x v="1"/>
    <x v="10"/>
    <s v="Xerox 1905"/>
    <x v="783"/>
    <n v="6"/>
    <n v="0"/>
    <n v="18.662400000000002"/>
  </r>
  <r>
    <n v="8192"/>
    <x v="701"/>
    <x v="3"/>
    <x v="0"/>
    <d v="2014-11-22T00:00:00"/>
    <n v="4"/>
    <x v="1"/>
    <s v="Christopher Conant"/>
    <x v="0"/>
    <m/>
    <s v="New York City"/>
    <s v="New York"/>
    <s v="East"/>
    <x v="0"/>
    <x v="5"/>
    <s v="Howard Miller 13&quot; Diameter Goldtone Round Wall Clock"/>
    <x v="4880"/>
    <n v="4"/>
    <n v="0"/>
    <n v="76.9816"/>
  </r>
  <r>
    <n v="8193"/>
    <x v="672"/>
    <x v="1"/>
    <x v="0"/>
    <d v="2012-12-03T00:00:00"/>
    <n v="3"/>
    <x v="2"/>
    <s v="Lena Radford"/>
    <x v="0"/>
    <m/>
    <s v="Durham"/>
    <s v="North Carolina"/>
    <s v="South"/>
    <x v="1"/>
    <x v="8"/>
    <s v="Avery Durable Binders"/>
    <x v="192"/>
    <n v="7"/>
    <n v="0.7"/>
    <n v="-4.2336"/>
  </r>
  <r>
    <n v="8194"/>
    <x v="672"/>
    <x v="1"/>
    <x v="0"/>
    <d v="2012-12-03T00:00:00"/>
    <n v="3"/>
    <x v="2"/>
    <s v="Lena Radford"/>
    <x v="0"/>
    <m/>
    <s v="Durham"/>
    <s v="North Carolina"/>
    <s v="South"/>
    <x v="1"/>
    <x v="9"/>
    <s v="Belkin 8 Outlet Surge Protector"/>
    <x v="2031"/>
    <n v="3"/>
    <n v="0.2"/>
    <n v="9.8352000000000004"/>
  </r>
  <r>
    <n v="8195"/>
    <x v="672"/>
    <x v="1"/>
    <x v="0"/>
    <d v="2012-12-03T00:00:00"/>
    <n v="3"/>
    <x v="2"/>
    <s v="Lena Radford"/>
    <x v="0"/>
    <m/>
    <s v="Durham"/>
    <s v="North Carolina"/>
    <s v="South"/>
    <x v="0"/>
    <x v="5"/>
    <s v="Luxo Professional Fluorescent Magnifier Lamp with Clamp-Mount Base"/>
    <x v="5101"/>
    <n v="2"/>
    <n v="0.2"/>
    <n v="25.180800000000001"/>
  </r>
  <r>
    <n v="8196"/>
    <x v="401"/>
    <x v="1"/>
    <x v="4"/>
    <d v="2012-12-11T00:00:00"/>
    <n v="5"/>
    <x v="0"/>
    <s v="David Bremer"/>
    <x v="1"/>
    <m/>
    <s v="Santa Barbara"/>
    <s v="California"/>
    <s v="West"/>
    <x v="1"/>
    <x v="10"/>
    <s v="Spiral Phone Message Books with Labels by Adams"/>
    <x v="2431"/>
    <n v="2"/>
    <n v="0"/>
    <n v="4.3903999999999996"/>
  </r>
  <r>
    <n v="8197"/>
    <x v="528"/>
    <x v="3"/>
    <x v="8"/>
    <d v="2014-09-10T00:00:00"/>
    <n v="4"/>
    <x v="1"/>
    <s v="Liz Preis"/>
    <x v="0"/>
    <m/>
    <s v="Knoxville"/>
    <s v="Tennessee"/>
    <s v="South"/>
    <x v="2"/>
    <x v="11"/>
    <s v="Maxell LTO Ultrium - 800 GB"/>
    <x v="2806"/>
    <n v="4"/>
    <n v="0.2"/>
    <n v="-1.1195999999999999"/>
  </r>
  <r>
    <n v="8198"/>
    <x v="528"/>
    <x v="3"/>
    <x v="8"/>
    <d v="2014-09-10T00:00:00"/>
    <n v="4"/>
    <x v="1"/>
    <s v="Liz Preis"/>
    <x v="0"/>
    <m/>
    <s v="Knoxville"/>
    <s v="Tennessee"/>
    <s v="South"/>
    <x v="1"/>
    <x v="6"/>
    <s v="Model L Table or Wall-Mount Pencil Sharpener"/>
    <x v="994"/>
    <n v="5"/>
    <n v="0.2"/>
    <n v="7.1959999999999997"/>
  </r>
  <r>
    <n v="8199"/>
    <x v="528"/>
    <x v="3"/>
    <x v="8"/>
    <d v="2014-09-10T00:00:00"/>
    <n v="4"/>
    <x v="1"/>
    <s v="Liz Preis"/>
    <x v="0"/>
    <m/>
    <s v="Knoxville"/>
    <s v="Tennessee"/>
    <s v="South"/>
    <x v="1"/>
    <x v="10"/>
    <s v="Xerox 220"/>
    <x v="12"/>
    <n v="3"/>
    <n v="0.2"/>
    <n v="5.4432"/>
  </r>
  <r>
    <n v="8200"/>
    <x v="558"/>
    <x v="3"/>
    <x v="3"/>
    <d v="2014-05-01T00:00:00"/>
    <n v="6"/>
    <x v="1"/>
    <s v="Art Ferguson"/>
    <x v="0"/>
    <m/>
    <s v="Chicago"/>
    <s v="Illinois"/>
    <s v="Central"/>
    <x v="1"/>
    <x v="8"/>
    <s v="Acco Data Flex Cable Posts For Top &amp; Bottom Load Binders, 6&quot; Capacity"/>
    <x v="4883"/>
    <n v="5"/>
    <n v="0.8"/>
    <n v="-18.252500000000001"/>
  </r>
  <r>
    <n v="8201"/>
    <x v="558"/>
    <x v="3"/>
    <x v="3"/>
    <d v="2014-05-01T00:00:00"/>
    <n v="6"/>
    <x v="1"/>
    <s v="Art Ferguson"/>
    <x v="0"/>
    <m/>
    <s v="Chicago"/>
    <s v="Illinois"/>
    <s v="Central"/>
    <x v="1"/>
    <x v="4"/>
    <s v="Safco Industrial Wire Shelving System"/>
    <x v="74"/>
    <n v="1"/>
    <n v="0.2"/>
    <n v="-18.196000000000002"/>
  </r>
  <r>
    <n v="8202"/>
    <x v="627"/>
    <x v="1"/>
    <x v="0"/>
    <d v="2012-11-08T00:00:00"/>
    <n v="0"/>
    <x v="3"/>
    <s v="Keith Dawkins"/>
    <x v="1"/>
    <m/>
    <s v="New York City"/>
    <s v="New York"/>
    <s v="East"/>
    <x v="1"/>
    <x v="4"/>
    <s v="Fellowes Desktop Hanging File Manager"/>
    <x v="5102"/>
    <n v="5"/>
    <n v="0"/>
    <n v="16.787500000000001"/>
  </r>
  <r>
    <n v="8203"/>
    <x v="627"/>
    <x v="1"/>
    <x v="0"/>
    <d v="2012-11-08T00:00:00"/>
    <n v="0"/>
    <x v="3"/>
    <s v="Keith Dawkins"/>
    <x v="1"/>
    <m/>
    <s v="New York City"/>
    <s v="New York"/>
    <s v="East"/>
    <x v="2"/>
    <x v="7"/>
    <s v="Mitel MiVoice 5330e IP Phone"/>
    <x v="5103"/>
    <n v="2"/>
    <n v="0"/>
    <n v="142.9948"/>
  </r>
  <r>
    <n v="8204"/>
    <x v="627"/>
    <x v="1"/>
    <x v="0"/>
    <d v="2012-11-08T00:00:00"/>
    <n v="0"/>
    <x v="3"/>
    <s v="Keith Dawkins"/>
    <x v="1"/>
    <m/>
    <s v="New York City"/>
    <s v="New York"/>
    <s v="East"/>
    <x v="0"/>
    <x v="5"/>
    <s v="Nu-Dell EZ-Mount Plastic Wall Frames"/>
    <x v="5104"/>
    <n v="3"/>
    <n v="0"/>
    <n v="4.7279999999999998"/>
  </r>
  <r>
    <n v="8205"/>
    <x v="627"/>
    <x v="1"/>
    <x v="0"/>
    <d v="2012-11-08T00:00:00"/>
    <n v="0"/>
    <x v="3"/>
    <s v="Keith Dawkins"/>
    <x v="1"/>
    <m/>
    <s v="New York City"/>
    <s v="New York"/>
    <s v="East"/>
    <x v="2"/>
    <x v="15"/>
    <s v="Zebra ZM400 Thermal Label Printer"/>
    <x v="5105"/>
    <n v="4"/>
    <n v="0"/>
    <n v="2229.0239999999999"/>
  </r>
  <r>
    <n v="8206"/>
    <x v="627"/>
    <x v="1"/>
    <x v="0"/>
    <d v="2012-11-08T00:00:00"/>
    <n v="0"/>
    <x v="3"/>
    <s v="Keith Dawkins"/>
    <x v="1"/>
    <m/>
    <s v="New York City"/>
    <s v="New York"/>
    <s v="East"/>
    <x v="0"/>
    <x v="1"/>
    <s v="Hon 4070 Series Pagoda Round Back Stacking Chairs"/>
    <x v="5106"/>
    <n v="2"/>
    <n v="0.1"/>
    <n v="115.5528"/>
  </r>
  <r>
    <n v="8207"/>
    <x v="33"/>
    <x v="1"/>
    <x v="3"/>
    <d v="2012-04-30T00:00:00"/>
    <n v="4"/>
    <x v="1"/>
    <s v="Sue Ann Reed"/>
    <x v="0"/>
    <m/>
    <s v="Daytona Beach"/>
    <s v="Florida"/>
    <s v="South"/>
    <x v="0"/>
    <x v="3"/>
    <s v="Bretford CR4500 Series Slim Rectangular Table"/>
    <x v="5107"/>
    <n v="1"/>
    <n v="0.45"/>
    <n v="-76.606200000000001"/>
  </r>
  <r>
    <n v="8208"/>
    <x v="33"/>
    <x v="1"/>
    <x v="3"/>
    <d v="2012-04-30T00:00:00"/>
    <n v="4"/>
    <x v="1"/>
    <s v="Sue Ann Reed"/>
    <x v="0"/>
    <m/>
    <s v="Daytona Beach"/>
    <s v="Florida"/>
    <s v="South"/>
    <x v="1"/>
    <x v="6"/>
    <s v="Crayola Colored Pencils"/>
    <x v="367"/>
    <n v="1"/>
    <n v="0.2"/>
    <n v="0.4264"/>
  </r>
  <r>
    <n v="8209"/>
    <x v="1181"/>
    <x v="1"/>
    <x v="8"/>
    <d v="2012-09-24T00:00:00"/>
    <n v="4"/>
    <x v="1"/>
    <s v="Barry Gonzalez"/>
    <x v="0"/>
    <m/>
    <s v="Nashville"/>
    <s v="Tennessee"/>
    <s v="South"/>
    <x v="1"/>
    <x v="8"/>
    <s v="GBC Ibimaster 500 Manual ProClick Binding System"/>
    <x v="5108"/>
    <n v="6"/>
    <n v="0.7"/>
    <n v="-913.17600000000004"/>
  </r>
  <r>
    <n v="8210"/>
    <x v="1181"/>
    <x v="1"/>
    <x v="8"/>
    <d v="2012-09-24T00:00:00"/>
    <n v="4"/>
    <x v="1"/>
    <s v="Barry Gonzalez"/>
    <x v="0"/>
    <m/>
    <s v="Nashville"/>
    <s v="Tennessee"/>
    <s v="South"/>
    <x v="1"/>
    <x v="4"/>
    <s v="Gould Plastics 18-Pocket Panel Bin, 34w x 5-1/4d x 20-1/2h"/>
    <x v="5109"/>
    <n v="4"/>
    <n v="0.2"/>
    <n v="-58.873600000000003"/>
  </r>
  <r>
    <n v="8211"/>
    <x v="210"/>
    <x v="3"/>
    <x v="8"/>
    <d v="2014-09-13T00:00:00"/>
    <n v="5"/>
    <x v="1"/>
    <s v="Dario Medina"/>
    <x v="1"/>
    <m/>
    <s v="Nashville"/>
    <s v="Tennessee"/>
    <s v="South"/>
    <x v="1"/>
    <x v="9"/>
    <s v="Eureka The Boss Cordless Rechargeable Stick Vac"/>
    <x v="2375"/>
    <n v="2"/>
    <n v="0.2"/>
    <n v="7.1372"/>
  </r>
  <r>
    <n v="8212"/>
    <x v="77"/>
    <x v="0"/>
    <x v="0"/>
    <d v="2013-11-13T00:00:00"/>
    <n v="5"/>
    <x v="1"/>
    <s v="Michael Chen"/>
    <x v="0"/>
    <m/>
    <s v="Dallas"/>
    <s v="Texas"/>
    <s v="Central"/>
    <x v="0"/>
    <x v="5"/>
    <s v="Executive Impressions 14&quot; Contract Wall Clock with Quartz Movement"/>
    <x v="785"/>
    <n v="5"/>
    <n v="0.6"/>
    <n v="-17.783999999999999"/>
  </r>
  <r>
    <n v="8213"/>
    <x v="77"/>
    <x v="0"/>
    <x v="0"/>
    <d v="2013-11-13T00:00:00"/>
    <n v="5"/>
    <x v="1"/>
    <s v="Michael Chen"/>
    <x v="0"/>
    <m/>
    <s v="Dallas"/>
    <s v="Texas"/>
    <s v="Central"/>
    <x v="1"/>
    <x v="4"/>
    <s v="Mini 13-1/2 Capacity Data Binder Rack, Pearl"/>
    <x v="5110"/>
    <n v="3"/>
    <n v="0.2"/>
    <n v="19.630500000000001"/>
  </r>
  <r>
    <n v="8214"/>
    <x v="12"/>
    <x v="1"/>
    <x v="8"/>
    <d v="2012-10-02T00:00:00"/>
    <n v="7"/>
    <x v="1"/>
    <s v="Marina Lichtenstein"/>
    <x v="1"/>
    <m/>
    <s v="Murfreesboro"/>
    <s v="Tennessee"/>
    <s v="South"/>
    <x v="1"/>
    <x v="8"/>
    <s v="Wilson Jones 1&quot; Hanging DublLock Ring Binders"/>
    <x v="5111"/>
    <n v="4"/>
    <n v="0.7"/>
    <n v="-4.6463999999999999"/>
  </r>
  <r>
    <n v="8215"/>
    <x v="12"/>
    <x v="1"/>
    <x v="8"/>
    <d v="2012-10-02T00:00:00"/>
    <n v="7"/>
    <x v="1"/>
    <s v="Marina Lichtenstein"/>
    <x v="1"/>
    <m/>
    <s v="Murfreesboro"/>
    <s v="Tennessee"/>
    <s v="South"/>
    <x v="1"/>
    <x v="10"/>
    <s v="Advantus Motivational Note Cards"/>
    <x v="3639"/>
    <n v="1"/>
    <n v="0.2"/>
    <n v="3.7989999999999999"/>
  </r>
  <r>
    <n v="8216"/>
    <x v="12"/>
    <x v="1"/>
    <x v="8"/>
    <d v="2012-10-02T00:00:00"/>
    <n v="7"/>
    <x v="1"/>
    <s v="Marina Lichtenstein"/>
    <x v="1"/>
    <m/>
    <s v="Murfreesboro"/>
    <s v="Tennessee"/>
    <s v="South"/>
    <x v="1"/>
    <x v="8"/>
    <s v="Wilson Jones data.warehouse D-Ring Binders with DublLock"/>
    <x v="5112"/>
    <n v="1"/>
    <n v="0.7"/>
    <n v="-1.8106"/>
  </r>
  <r>
    <n v="8217"/>
    <x v="12"/>
    <x v="1"/>
    <x v="8"/>
    <d v="2012-10-02T00:00:00"/>
    <n v="7"/>
    <x v="1"/>
    <s v="Marina Lichtenstein"/>
    <x v="1"/>
    <m/>
    <s v="Murfreesboro"/>
    <s v="Tennessee"/>
    <s v="South"/>
    <x v="1"/>
    <x v="8"/>
    <s v="Wilson Jones Custom Binder Spines &amp; Labels"/>
    <x v="30"/>
    <n v="2"/>
    <n v="0.7"/>
    <n v="-2.2848000000000002"/>
  </r>
  <r>
    <n v="8218"/>
    <x v="462"/>
    <x v="2"/>
    <x v="2"/>
    <d v="2011-10-07T00:00:00"/>
    <n v="4"/>
    <x v="1"/>
    <s v="Russell D'Ascenzo"/>
    <x v="0"/>
    <m/>
    <s v="Dallas"/>
    <s v="Texas"/>
    <s v="Central"/>
    <x v="1"/>
    <x v="13"/>
    <s v="Colored Push Pins"/>
    <x v="1435"/>
    <n v="3"/>
    <n v="0.2"/>
    <n v="0.86880000000000002"/>
  </r>
  <r>
    <n v="8219"/>
    <x v="462"/>
    <x v="2"/>
    <x v="2"/>
    <d v="2011-10-07T00:00:00"/>
    <n v="4"/>
    <x v="1"/>
    <s v="Russell D'Ascenzo"/>
    <x v="0"/>
    <m/>
    <s v="Dallas"/>
    <s v="Texas"/>
    <s v="Central"/>
    <x v="0"/>
    <x v="5"/>
    <s v="DAX Natural Wood-Tone Poster Frame"/>
    <x v="2792"/>
    <n v="3"/>
    <n v="0.6"/>
    <n v="-19.0656"/>
  </r>
  <r>
    <n v="8220"/>
    <x v="462"/>
    <x v="2"/>
    <x v="2"/>
    <d v="2011-10-07T00:00:00"/>
    <n v="4"/>
    <x v="1"/>
    <s v="Russell D'Ascenzo"/>
    <x v="0"/>
    <m/>
    <s v="Dallas"/>
    <s v="Texas"/>
    <s v="Central"/>
    <x v="1"/>
    <x v="2"/>
    <s v="Smead Alpha-Z Color-Coded Second Alphabetical Labels and Starter Set"/>
    <x v="1253"/>
    <n v="2"/>
    <n v="0.2"/>
    <n v="1.7248000000000001"/>
  </r>
  <r>
    <n v="8221"/>
    <x v="462"/>
    <x v="2"/>
    <x v="2"/>
    <d v="2011-10-07T00:00:00"/>
    <n v="4"/>
    <x v="1"/>
    <s v="Russell D'Ascenzo"/>
    <x v="0"/>
    <m/>
    <s v="Dallas"/>
    <s v="Texas"/>
    <s v="Central"/>
    <x v="1"/>
    <x v="8"/>
    <s v="Avery Hidden Tab Dividers for Binding Systems"/>
    <x v="99"/>
    <n v="3"/>
    <n v="0.8"/>
    <n v="-3.0396000000000001"/>
  </r>
  <r>
    <n v="8222"/>
    <x v="462"/>
    <x v="2"/>
    <x v="2"/>
    <d v="2011-10-07T00:00:00"/>
    <n v="4"/>
    <x v="1"/>
    <s v="Russell D'Ascenzo"/>
    <x v="0"/>
    <m/>
    <s v="Dallas"/>
    <s v="Texas"/>
    <s v="Central"/>
    <x v="1"/>
    <x v="13"/>
    <s v="Sterling Rubber Bands by Alliance"/>
    <x v="659"/>
    <n v="4"/>
    <n v="0.2"/>
    <n v="-3.7679999999999998"/>
  </r>
  <r>
    <n v="8223"/>
    <x v="1087"/>
    <x v="2"/>
    <x v="11"/>
    <d v="2011-02-25T00:00:00"/>
    <n v="6"/>
    <x v="1"/>
    <s v="Aaron Bergman"/>
    <x v="0"/>
    <m/>
    <s v="Arlington"/>
    <s v="Texas"/>
    <s v="Central"/>
    <x v="1"/>
    <x v="4"/>
    <s v="Akro Stacking Bins"/>
    <x v="1420"/>
    <n v="2"/>
    <n v="0.2"/>
    <n v="-2.5247999999999999"/>
  </r>
  <r>
    <n v="8224"/>
    <x v="1"/>
    <x v="0"/>
    <x v="1"/>
    <d v="2013-06-17T00:00:00"/>
    <n v="4"/>
    <x v="1"/>
    <s v="Erin Ashbrook"/>
    <x v="1"/>
    <m/>
    <s v="Pasadena"/>
    <s v="California"/>
    <s v="West"/>
    <x v="1"/>
    <x v="10"/>
    <s v="IBM Multi-Purpose Copy Paper, 8 1/2 x 11&quot;, Case"/>
    <x v="784"/>
    <n v="6"/>
    <n v="0"/>
    <n v="83.646000000000001"/>
  </r>
  <r>
    <n v="8225"/>
    <x v="1"/>
    <x v="0"/>
    <x v="1"/>
    <d v="2013-06-17T00:00:00"/>
    <n v="4"/>
    <x v="1"/>
    <s v="Erin Ashbrook"/>
    <x v="1"/>
    <m/>
    <s v="Pasadena"/>
    <s v="California"/>
    <s v="West"/>
    <x v="1"/>
    <x v="10"/>
    <s v="Xerox 228"/>
    <x v="91"/>
    <n v="2"/>
    <n v="0"/>
    <n v="6.2207999999999997"/>
  </r>
  <r>
    <n v="8226"/>
    <x v="752"/>
    <x v="3"/>
    <x v="0"/>
    <d v="2014-11-05T00:00:00"/>
    <n v="3"/>
    <x v="0"/>
    <s v="Sandra Flanagan"/>
    <x v="0"/>
    <m/>
    <s v="Everett"/>
    <s v="Massachusetts"/>
    <s v="East"/>
    <x v="1"/>
    <x v="10"/>
    <s v="Xerox 1939"/>
    <x v="2360"/>
    <n v="10"/>
    <n v="0"/>
    <n v="91.055999999999997"/>
  </r>
  <r>
    <n v="8227"/>
    <x v="752"/>
    <x v="3"/>
    <x v="0"/>
    <d v="2014-11-05T00:00:00"/>
    <n v="3"/>
    <x v="0"/>
    <s v="Sandra Flanagan"/>
    <x v="0"/>
    <m/>
    <s v="Everett"/>
    <s v="Massachusetts"/>
    <s v="East"/>
    <x v="1"/>
    <x v="10"/>
    <s v="Xerox 1893"/>
    <x v="1010"/>
    <n v="1"/>
    <n v="0"/>
    <n v="20.085100000000001"/>
  </r>
  <r>
    <n v="8228"/>
    <x v="958"/>
    <x v="0"/>
    <x v="3"/>
    <d v="2013-04-09T00:00:00"/>
    <n v="4"/>
    <x v="0"/>
    <s v="Becky Castell"/>
    <x v="2"/>
    <m/>
    <s v="Troy"/>
    <s v="New York"/>
    <s v="East"/>
    <x v="0"/>
    <x v="5"/>
    <s v="Deflect-o EconoMat Studded, No Bevel Mat for Low Pile Carpeting"/>
    <x v="5113"/>
    <n v="2"/>
    <n v="0"/>
    <n v="7.4375999999999998"/>
  </r>
  <r>
    <n v="8229"/>
    <x v="958"/>
    <x v="0"/>
    <x v="3"/>
    <d v="2013-04-09T00:00:00"/>
    <n v="4"/>
    <x v="0"/>
    <s v="Becky Castell"/>
    <x v="2"/>
    <m/>
    <s v="Troy"/>
    <s v="New York"/>
    <s v="East"/>
    <x v="1"/>
    <x v="4"/>
    <s v="Tenex File Box, Personal Filing Tote with Lid, Black"/>
    <x v="5114"/>
    <n v="2"/>
    <n v="0"/>
    <n v="8.0652000000000008"/>
  </r>
  <r>
    <n v="8230"/>
    <x v="958"/>
    <x v="0"/>
    <x v="3"/>
    <d v="2013-04-09T00:00:00"/>
    <n v="4"/>
    <x v="0"/>
    <s v="Becky Castell"/>
    <x v="2"/>
    <m/>
    <s v="Troy"/>
    <s v="New York"/>
    <s v="East"/>
    <x v="2"/>
    <x v="11"/>
    <s v="Logitech Trackman Marble Mouse"/>
    <x v="1309"/>
    <n v="3"/>
    <n v="0"/>
    <n v="37.787399999999998"/>
  </r>
  <r>
    <n v="8231"/>
    <x v="1186"/>
    <x v="0"/>
    <x v="7"/>
    <d v="2013-07-03T00:00:00"/>
    <n v="2"/>
    <x v="0"/>
    <s v="Philip Fox"/>
    <x v="0"/>
    <m/>
    <s v="Sandy Springs"/>
    <s v="Georgia"/>
    <s v="South"/>
    <x v="1"/>
    <x v="6"/>
    <s v="Bulldog Vacuum Base Pencil Sharpener"/>
    <x v="872"/>
    <n v="3"/>
    <n v="0"/>
    <n v="9.7119"/>
  </r>
  <r>
    <n v="8232"/>
    <x v="1186"/>
    <x v="0"/>
    <x v="7"/>
    <d v="2013-07-03T00:00:00"/>
    <n v="2"/>
    <x v="0"/>
    <s v="Philip Fox"/>
    <x v="0"/>
    <m/>
    <s v="Sandy Springs"/>
    <s v="Georgia"/>
    <s v="South"/>
    <x v="0"/>
    <x v="0"/>
    <s v="O'Sullivan 2-Door Barrister Bookcase in Odessa Pine"/>
    <x v="5115"/>
    <n v="7"/>
    <n v="0"/>
    <n v="291.37779999999998"/>
  </r>
  <r>
    <n v="8233"/>
    <x v="358"/>
    <x v="2"/>
    <x v="8"/>
    <d v="2011-09-28T00:00:00"/>
    <n v="6"/>
    <x v="1"/>
    <s v="Sanjit Engle"/>
    <x v="0"/>
    <m/>
    <s v="San Jose"/>
    <s v="California"/>
    <s v="West"/>
    <x v="1"/>
    <x v="4"/>
    <s v="File Shuttle II and Handi-File, Black"/>
    <x v="3285"/>
    <n v="5"/>
    <n v="0"/>
    <n v="42.362499999999997"/>
  </r>
  <r>
    <n v="8234"/>
    <x v="358"/>
    <x v="2"/>
    <x v="8"/>
    <d v="2011-09-28T00:00:00"/>
    <n v="6"/>
    <x v="1"/>
    <s v="Sanjit Engle"/>
    <x v="0"/>
    <m/>
    <s v="San Jose"/>
    <s v="California"/>
    <s v="West"/>
    <x v="1"/>
    <x v="4"/>
    <s v="Tennsco Commercial Shelving"/>
    <x v="1374"/>
    <n v="2"/>
    <n v="0"/>
    <n v="0.40679999999999999"/>
  </r>
  <r>
    <n v="8235"/>
    <x v="927"/>
    <x v="3"/>
    <x v="5"/>
    <d v="2014-05-07T00:00:00"/>
    <n v="5"/>
    <x v="1"/>
    <s v="Caroline Jumper"/>
    <x v="0"/>
    <m/>
    <s v="Jacksonville"/>
    <s v="Florida"/>
    <s v="South"/>
    <x v="1"/>
    <x v="14"/>
    <s v="Kleencut Forged Office Shears by Acme United Corporation"/>
    <x v="5116"/>
    <n v="2"/>
    <n v="0.2"/>
    <n v="0.41599999999999998"/>
  </r>
  <r>
    <n v="8236"/>
    <x v="927"/>
    <x v="3"/>
    <x v="5"/>
    <d v="2014-05-07T00:00:00"/>
    <n v="5"/>
    <x v="1"/>
    <s v="Caroline Jumper"/>
    <x v="0"/>
    <m/>
    <s v="Jacksonville"/>
    <s v="Florida"/>
    <s v="South"/>
    <x v="0"/>
    <x v="3"/>
    <s v="Bush Advantage Collection Racetrack Conference Table"/>
    <x v="5117"/>
    <n v="4"/>
    <n v="0.45"/>
    <n v="-458.14679999999998"/>
  </r>
  <r>
    <n v="8237"/>
    <x v="927"/>
    <x v="3"/>
    <x v="5"/>
    <d v="2014-05-07T00:00:00"/>
    <n v="5"/>
    <x v="1"/>
    <s v="Caroline Jumper"/>
    <x v="0"/>
    <m/>
    <s v="Jacksonville"/>
    <s v="Florida"/>
    <s v="South"/>
    <x v="0"/>
    <x v="1"/>
    <s v="HON 5400 Series Task Chairs for Big and Tall"/>
    <x v="5118"/>
    <n v="5"/>
    <n v="0.2"/>
    <n v="0"/>
  </r>
  <r>
    <n v="8238"/>
    <x v="179"/>
    <x v="3"/>
    <x v="2"/>
    <d v="2014-10-21T00:00:00"/>
    <n v="0"/>
    <x v="3"/>
    <s v="Pete Takahito"/>
    <x v="0"/>
    <m/>
    <s v="Jacksonville"/>
    <s v="Florida"/>
    <s v="South"/>
    <x v="1"/>
    <x v="4"/>
    <s v="Woodgrain Magazine Files by Perma"/>
    <x v="408"/>
    <n v="2"/>
    <n v="0.2"/>
    <n v="-0.77480000000000004"/>
  </r>
  <r>
    <n v="8239"/>
    <x v="179"/>
    <x v="3"/>
    <x v="2"/>
    <d v="2014-10-21T00:00:00"/>
    <n v="0"/>
    <x v="3"/>
    <s v="Pete Takahito"/>
    <x v="0"/>
    <m/>
    <s v="Jacksonville"/>
    <s v="Florida"/>
    <s v="South"/>
    <x v="1"/>
    <x v="10"/>
    <s v="REDIFORM Incoming/Outgoing Call Register, 11&quot; X 8 1/2&quot;, 100 Messages"/>
    <x v="405"/>
    <n v="1"/>
    <n v="0.2"/>
    <n v="2.5019999999999998"/>
  </r>
  <r>
    <n v="8240"/>
    <x v="179"/>
    <x v="3"/>
    <x v="2"/>
    <d v="2014-10-21T00:00:00"/>
    <n v="0"/>
    <x v="3"/>
    <s v="Pete Takahito"/>
    <x v="0"/>
    <m/>
    <s v="Jacksonville"/>
    <s v="Florida"/>
    <s v="South"/>
    <x v="1"/>
    <x v="6"/>
    <s v="Prang Drawing Pencil Set"/>
    <x v="2999"/>
    <n v="2"/>
    <n v="0.2"/>
    <n v="1.1120000000000001"/>
  </r>
  <r>
    <n v="8241"/>
    <x v="179"/>
    <x v="3"/>
    <x v="2"/>
    <d v="2014-10-21T00:00:00"/>
    <n v="0"/>
    <x v="3"/>
    <s v="Pete Takahito"/>
    <x v="0"/>
    <m/>
    <s v="Jacksonville"/>
    <s v="Florida"/>
    <s v="South"/>
    <x v="0"/>
    <x v="5"/>
    <s v="DAX Wood Document Frame."/>
    <x v="5119"/>
    <n v="4"/>
    <n v="0.2"/>
    <n v="6.0411999999999999"/>
  </r>
  <r>
    <n v="8242"/>
    <x v="416"/>
    <x v="2"/>
    <x v="8"/>
    <d v="2011-09-05T00:00:00"/>
    <n v="4"/>
    <x v="1"/>
    <s v="Lena Hernandez"/>
    <x v="0"/>
    <m/>
    <s v="New York City"/>
    <s v="New York"/>
    <s v="East"/>
    <x v="1"/>
    <x v="8"/>
    <s v="Wilson Jones Hanging Recycled Pressboard Data Binders"/>
    <x v="5120"/>
    <n v="2"/>
    <n v="0.2"/>
    <n v="8.3103999999999996"/>
  </r>
  <r>
    <n v="8243"/>
    <x v="416"/>
    <x v="2"/>
    <x v="8"/>
    <d v="2011-09-05T00:00:00"/>
    <n v="4"/>
    <x v="1"/>
    <s v="Lena Hernandez"/>
    <x v="0"/>
    <m/>
    <s v="New York City"/>
    <s v="New York"/>
    <s v="East"/>
    <x v="2"/>
    <x v="11"/>
    <s v="WD My Passport Ultra 2TB Portable External Hard Drive"/>
    <x v="5121"/>
    <n v="3"/>
    <n v="0"/>
    <n v="57.12"/>
  </r>
  <r>
    <n v="8244"/>
    <x v="1132"/>
    <x v="2"/>
    <x v="6"/>
    <d v="2011-08-16T00:00:00"/>
    <n v="4"/>
    <x v="1"/>
    <s v="Ben Wallace"/>
    <x v="0"/>
    <m/>
    <s v="San Francisco"/>
    <s v="California"/>
    <s v="West"/>
    <x v="2"/>
    <x v="7"/>
    <s v="BlackBerry Q10"/>
    <x v="5122"/>
    <n v="8"/>
    <n v="0.2"/>
    <n v="50.396000000000001"/>
  </r>
  <r>
    <n v="8245"/>
    <x v="1132"/>
    <x v="2"/>
    <x v="6"/>
    <d v="2011-08-16T00:00:00"/>
    <n v="4"/>
    <x v="1"/>
    <s v="Ben Wallace"/>
    <x v="0"/>
    <m/>
    <s v="San Francisco"/>
    <s v="California"/>
    <s v="West"/>
    <x v="0"/>
    <x v="5"/>
    <s v="Seth Thomas 14&quot; Day/Date Wall Clock"/>
    <x v="5123"/>
    <n v="3"/>
    <n v="0"/>
    <n v="31.6128"/>
  </r>
  <r>
    <n v="8246"/>
    <x v="710"/>
    <x v="2"/>
    <x v="6"/>
    <d v="2011-08-23T00:00:00"/>
    <n v="4"/>
    <x v="1"/>
    <s v="Bill Shonely"/>
    <x v="1"/>
    <m/>
    <s v="Columbus"/>
    <s v="Georgia"/>
    <s v="South"/>
    <x v="1"/>
    <x v="4"/>
    <s v="Space Solutions HD Industrial Steel Shelving."/>
    <x v="3129"/>
    <n v="3"/>
    <n v="0"/>
    <n v="10.347300000000001"/>
  </r>
  <r>
    <n v="8247"/>
    <x v="1187"/>
    <x v="1"/>
    <x v="5"/>
    <d v="2012-05-10T00:00:00"/>
    <n v="0"/>
    <x v="3"/>
    <s v="Dennis Pardue"/>
    <x v="2"/>
    <m/>
    <s v="Aurora"/>
    <s v="Illinois"/>
    <s v="Central"/>
    <x v="1"/>
    <x v="9"/>
    <s v="Tripp Lite Isotel 8 Ultra 8 Outlet Metal Surge"/>
    <x v="5124"/>
    <n v="5"/>
    <n v="0.8"/>
    <n v="-191.619"/>
  </r>
  <r>
    <n v="8248"/>
    <x v="1187"/>
    <x v="1"/>
    <x v="5"/>
    <d v="2012-05-10T00:00:00"/>
    <n v="0"/>
    <x v="3"/>
    <s v="Dennis Pardue"/>
    <x v="2"/>
    <m/>
    <s v="Aurora"/>
    <s v="Illinois"/>
    <s v="Central"/>
    <x v="1"/>
    <x v="6"/>
    <s v="Boston KS Multi-Size Manual Pencil Sharpener"/>
    <x v="2790"/>
    <n v="2"/>
    <n v="0.2"/>
    <n v="3.6783999999999999"/>
  </r>
  <r>
    <n v="8249"/>
    <x v="1120"/>
    <x v="0"/>
    <x v="5"/>
    <d v="2013-05-14T00:00:00"/>
    <n v="3"/>
    <x v="0"/>
    <s v="Christopher Schild"/>
    <x v="2"/>
    <m/>
    <s v="Philadelphia"/>
    <s v="Pennsylvania"/>
    <s v="East"/>
    <x v="2"/>
    <x v="7"/>
    <s v="ClearOne CHATAttach 160 - speaker phone"/>
    <x v="5125"/>
    <n v="2"/>
    <n v="0.4"/>
    <n v="-123.998"/>
  </r>
  <r>
    <n v="8250"/>
    <x v="616"/>
    <x v="1"/>
    <x v="10"/>
    <d v="2012-03-09T00:00:00"/>
    <n v="4"/>
    <x v="0"/>
    <s v="Maribeth Schnelling"/>
    <x v="0"/>
    <m/>
    <s v="Chicago"/>
    <s v="Illinois"/>
    <s v="Central"/>
    <x v="1"/>
    <x v="8"/>
    <s v="Performers Binder/Pad Holder, Black"/>
    <x v="5126"/>
    <n v="2"/>
    <n v="0.8"/>
    <n v="-16.818000000000001"/>
  </r>
  <r>
    <n v="8251"/>
    <x v="616"/>
    <x v="1"/>
    <x v="10"/>
    <d v="2012-03-09T00:00:00"/>
    <n v="4"/>
    <x v="0"/>
    <s v="Maribeth Schnelling"/>
    <x v="0"/>
    <m/>
    <s v="Chicago"/>
    <s v="Illinois"/>
    <s v="Central"/>
    <x v="0"/>
    <x v="5"/>
    <s v="Eldon Wave Desk Accessories"/>
    <x v="5127"/>
    <n v="2"/>
    <n v="0.6"/>
    <n v="-1.8848"/>
  </r>
  <r>
    <n v="8252"/>
    <x v="616"/>
    <x v="1"/>
    <x v="10"/>
    <d v="2012-03-09T00:00:00"/>
    <n v="4"/>
    <x v="0"/>
    <s v="Maribeth Schnelling"/>
    <x v="0"/>
    <m/>
    <s v="Chicago"/>
    <s v="Illinois"/>
    <s v="Central"/>
    <x v="1"/>
    <x v="9"/>
    <s v="Avanti 4.4 Cu. Ft. Refrigerator"/>
    <x v="2699"/>
    <n v="5"/>
    <n v="0.8"/>
    <n v="-470.548"/>
  </r>
  <r>
    <n v="8253"/>
    <x v="616"/>
    <x v="1"/>
    <x v="10"/>
    <d v="2012-03-09T00:00:00"/>
    <n v="4"/>
    <x v="0"/>
    <s v="Maribeth Schnelling"/>
    <x v="0"/>
    <m/>
    <s v="Chicago"/>
    <s v="Illinois"/>
    <s v="Central"/>
    <x v="1"/>
    <x v="4"/>
    <s v="Companion Letter/Legal File, Black"/>
    <x v="1532"/>
    <n v="2"/>
    <n v="0.2"/>
    <n v="6.0415999999999999"/>
  </r>
  <r>
    <n v="8254"/>
    <x v="801"/>
    <x v="3"/>
    <x v="6"/>
    <d v="2014-08-20T00:00:00"/>
    <n v="7"/>
    <x v="1"/>
    <s v="Dana Kaydos"/>
    <x v="0"/>
    <m/>
    <s v="Seattle"/>
    <s v="Washington"/>
    <s v="West"/>
    <x v="2"/>
    <x v="16"/>
    <s v="Hewlett Packard 310 Color Digital Copier"/>
    <x v="5128"/>
    <n v="1"/>
    <n v="0"/>
    <n v="89.997"/>
  </r>
  <r>
    <n v="8255"/>
    <x v="801"/>
    <x v="3"/>
    <x v="6"/>
    <d v="2014-08-20T00:00:00"/>
    <n v="7"/>
    <x v="1"/>
    <s v="Dana Kaydos"/>
    <x v="0"/>
    <m/>
    <s v="Seattle"/>
    <s v="Washington"/>
    <s v="West"/>
    <x v="1"/>
    <x v="10"/>
    <s v="Xerox 1937"/>
    <x v="801"/>
    <n v="4"/>
    <n v="0"/>
    <n v="92.236800000000002"/>
  </r>
  <r>
    <n v="8256"/>
    <x v="801"/>
    <x v="3"/>
    <x v="6"/>
    <d v="2014-08-20T00:00:00"/>
    <n v="7"/>
    <x v="1"/>
    <s v="Dana Kaydos"/>
    <x v="0"/>
    <m/>
    <s v="Seattle"/>
    <s v="Washington"/>
    <s v="West"/>
    <x v="2"/>
    <x v="7"/>
    <s v="Grandstream GXP1160 VoIP phone"/>
    <x v="5129"/>
    <n v="8"/>
    <n v="0.2"/>
    <n v="27.295200000000001"/>
  </r>
  <r>
    <n v="8257"/>
    <x v="801"/>
    <x v="3"/>
    <x v="6"/>
    <d v="2014-08-20T00:00:00"/>
    <n v="7"/>
    <x v="1"/>
    <s v="Dana Kaydos"/>
    <x v="0"/>
    <m/>
    <s v="Seattle"/>
    <s v="Washington"/>
    <s v="West"/>
    <x v="1"/>
    <x v="4"/>
    <s v="Personal File Boxes with Fold-Down Carry Handle"/>
    <x v="481"/>
    <n v="3"/>
    <n v="0"/>
    <n v="11.685"/>
  </r>
  <r>
    <n v="8258"/>
    <x v="801"/>
    <x v="3"/>
    <x v="6"/>
    <d v="2014-08-20T00:00:00"/>
    <n v="7"/>
    <x v="1"/>
    <s v="Dana Kaydos"/>
    <x v="0"/>
    <m/>
    <s v="Seattle"/>
    <s v="Washington"/>
    <s v="West"/>
    <x v="2"/>
    <x v="11"/>
    <s v="Perixx PERIBOARD-512B, Ergonomic Split Keyboard"/>
    <x v="5130"/>
    <n v="5"/>
    <n v="0"/>
    <n v="12.246499999999999"/>
  </r>
  <r>
    <n v="8259"/>
    <x v="801"/>
    <x v="3"/>
    <x v="6"/>
    <d v="2014-08-20T00:00:00"/>
    <n v="7"/>
    <x v="1"/>
    <s v="Dana Kaydos"/>
    <x v="0"/>
    <m/>
    <s v="Seattle"/>
    <s v="Washington"/>
    <s v="West"/>
    <x v="1"/>
    <x v="8"/>
    <s v="Avery Legal 4-Ring Binder"/>
    <x v="989"/>
    <n v="6"/>
    <n v="0.2"/>
    <n v="37.764000000000003"/>
  </r>
  <r>
    <n v="8260"/>
    <x v="190"/>
    <x v="0"/>
    <x v="1"/>
    <d v="2013-06-27T00:00:00"/>
    <n v="0"/>
    <x v="3"/>
    <s v="Skye Norling"/>
    <x v="2"/>
    <m/>
    <s v="Roseville"/>
    <s v="Michigan"/>
    <s v="Central"/>
    <x v="1"/>
    <x v="10"/>
    <s v="White Dual Perf Computer Printout Paper, 2700 Sheets, 1 Part, Heavyweight, 20 lbs., 14 7/8 x 11"/>
    <x v="1519"/>
    <n v="9"/>
    <n v="0"/>
    <n v="180.76589999999999"/>
  </r>
  <r>
    <n v="8261"/>
    <x v="190"/>
    <x v="0"/>
    <x v="1"/>
    <d v="2013-06-27T00:00:00"/>
    <n v="0"/>
    <x v="3"/>
    <s v="Skye Norling"/>
    <x v="2"/>
    <m/>
    <s v="Roseville"/>
    <s v="Michigan"/>
    <s v="Central"/>
    <x v="1"/>
    <x v="8"/>
    <s v="Insertable Tab Post Binder Dividers"/>
    <x v="5131"/>
    <n v="1"/>
    <n v="0"/>
    <n v="3.7694000000000001"/>
  </r>
  <r>
    <n v="8262"/>
    <x v="190"/>
    <x v="0"/>
    <x v="1"/>
    <d v="2013-06-27T00:00:00"/>
    <n v="0"/>
    <x v="3"/>
    <s v="Skye Norling"/>
    <x v="2"/>
    <m/>
    <s v="Roseville"/>
    <s v="Michigan"/>
    <s v="Central"/>
    <x v="1"/>
    <x v="4"/>
    <s v="SAFCO Mobile Desk Side File, Wire Frame"/>
    <x v="5132"/>
    <n v="4"/>
    <n v="0"/>
    <n v="44.470399999999998"/>
  </r>
  <r>
    <n v="8263"/>
    <x v="272"/>
    <x v="0"/>
    <x v="4"/>
    <d v="2013-12-20T00:00:00"/>
    <n v="4"/>
    <x v="1"/>
    <s v="Tony Chapman"/>
    <x v="2"/>
    <m/>
    <s v="Fayetteville"/>
    <s v="Arkansas"/>
    <s v="South"/>
    <x v="1"/>
    <x v="10"/>
    <s v="Xerox 1958"/>
    <x v="537"/>
    <n v="3"/>
    <n v="0"/>
    <n v="9.3312000000000008"/>
  </r>
  <r>
    <n v="8264"/>
    <x v="1023"/>
    <x v="1"/>
    <x v="8"/>
    <d v="2012-09-17T00:00:00"/>
    <n v="4"/>
    <x v="1"/>
    <s v="Anne McFarland"/>
    <x v="0"/>
    <m/>
    <s v="Jacksonville"/>
    <s v="North Carolina"/>
    <s v="South"/>
    <x v="1"/>
    <x v="8"/>
    <s v="Heavy-Duty E-Z-D Binders"/>
    <x v="3587"/>
    <n v="4"/>
    <n v="0.7"/>
    <n v="-10.0372"/>
  </r>
  <r>
    <n v="8265"/>
    <x v="125"/>
    <x v="2"/>
    <x v="4"/>
    <d v="2012-01-04T00:00:00"/>
    <n v="5"/>
    <x v="1"/>
    <s v="Astrea Jones"/>
    <x v="0"/>
    <m/>
    <s v="New York City"/>
    <s v="New York"/>
    <s v="East"/>
    <x v="1"/>
    <x v="9"/>
    <s v="Kensington 6 Outlet SmartSocket Surge Protector"/>
    <x v="1522"/>
    <n v="3"/>
    <n v="0"/>
    <n v="30.734999999999999"/>
  </r>
  <r>
    <n v="8266"/>
    <x v="125"/>
    <x v="2"/>
    <x v="4"/>
    <d v="2012-01-04T00:00:00"/>
    <n v="5"/>
    <x v="1"/>
    <s v="Astrea Jones"/>
    <x v="0"/>
    <m/>
    <s v="New York City"/>
    <s v="New York"/>
    <s v="East"/>
    <x v="1"/>
    <x v="8"/>
    <s v="Cardinal HOLDit! Binder Insert Strips,Extra Strips"/>
    <x v="5133"/>
    <n v="7"/>
    <n v="0.2"/>
    <n v="12.8499"/>
  </r>
  <r>
    <n v="8267"/>
    <x v="333"/>
    <x v="2"/>
    <x v="3"/>
    <d v="2011-05-04T00:00:00"/>
    <n v="5"/>
    <x v="1"/>
    <s v="Katherine Hughes"/>
    <x v="0"/>
    <m/>
    <s v="Dover"/>
    <s v="Delaware"/>
    <s v="East"/>
    <x v="2"/>
    <x v="7"/>
    <s v="Square Credit Card Reader"/>
    <x v="1016"/>
    <n v="2"/>
    <n v="0"/>
    <n v="5.1947999999999999"/>
  </r>
  <r>
    <n v="8268"/>
    <x v="289"/>
    <x v="3"/>
    <x v="9"/>
    <d v="2014-02-07T00:00:00"/>
    <n v="7"/>
    <x v="1"/>
    <s v="Liz Preis"/>
    <x v="0"/>
    <m/>
    <s v="Aurora"/>
    <s v="Illinois"/>
    <s v="Central"/>
    <x v="0"/>
    <x v="3"/>
    <s v="Balt Split Level Computer Training Table"/>
    <x v="5134"/>
    <n v="1"/>
    <n v="0.5"/>
    <n v="-47.174999999999997"/>
  </r>
  <r>
    <n v="8269"/>
    <x v="289"/>
    <x v="3"/>
    <x v="9"/>
    <d v="2014-02-07T00:00:00"/>
    <n v="7"/>
    <x v="1"/>
    <s v="Liz Preis"/>
    <x v="0"/>
    <m/>
    <s v="Aurora"/>
    <s v="Illinois"/>
    <s v="Central"/>
    <x v="1"/>
    <x v="14"/>
    <s v="Acme Tagit Stainless Steel Antibacterial Scissors"/>
    <x v="2458"/>
    <n v="4"/>
    <n v="0.2"/>
    <n v="2.7719999999999998"/>
  </r>
  <r>
    <n v="8270"/>
    <x v="289"/>
    <x v="3"/>
    <x v="9"/>
    <d v="2014-02-07T00:00:00"/>
    <n v="7"/>
    <x v="1"/>
    <s v="Liz Preis"/>
    <x v="0"/>
    <m/>
    <s v="Aurora"/>
    <s v="Illinois"/>
    <s v="Central"/>
    <x v="2"/>
    <x v="7"/>
    <s v="Samsung Galaxy S4"/>
    <x v="5135"/>
    <n v="4"/>
    <n v="0.2"/>
    <n v="250.39599999999999"/>
  </r>
  <r>
    <n v="8271"/>
    <x v="289"/>
    <x v="3"/>
    <x v="9"/>
    <d v="2014-02-07T00:00:00"/>
    <n v="7"/>
    <x v="1"/>
    <s v="Liz Preis"/>
    <x v="0"/>
    <m/>
    <s v="Aurora"/>
    <s v="Illinois"/>
    <s v="Central"/>
    <x v="1"/>
    <x v="6"/>
    <s v="Quartet Omega Colored Chalk, 12/Pack"/>
    <x v="560"/>
    <n v="2"/>
    <n v="0.2"/>
    <n v="3.1536"/>
  </r>
  <r>
    <n v="8272"/>
    <x v="591"/>
    <x v="0"/>
    <x v="4"/>
    <d v="2014-01-01T00:00:00"/>
    <n v="6"/>
    <x v="1"/>
    <s v="Joe Elijah"/>
    <x v="0"/>
    <m/>
    <s v="New York City"/>
    <s v="New York"/>
    <s v="East"/>
    <x v="0"/>
    <x v="1"/>
    <s v="Hon 4700 Series Mobuis Mid-Back Task Chairs with Adjustable Arms"/>
    <x v="5136"/>
    <n v="8"/>
    <n v="0.1"/>
    <n v="313.26240000000001"/>
  </r>
  <r>
    <n v="8273"/>
    <x v="201"/>
    <x v="0"/>
    <x v="2"/>
    <d v="2013-10-26T00:00:00"/>
    <n v="5"/>
    <x v="1"/>
    <s v="Muhammed Yedwab"/>
    <x v="1"/>
    <m/>
    <s v="El Cajon"/>
    <s v="California"/>
    <s v="West"/>
    <x v="0"/>
    <x v="1"/>
    <s v="Hon Every-Day Chair Series Swivel Task Chairs"/>
    <x v="2342"/>
    <n v="4"/>
    <n v="0.2"/>
    <n v="4.8391999999999999"/>
  </r>
  <r>
    <n v="8274"/>
    <x v="385"/>
    <x v="1"/>
    <x v="1"/>
    <d v="2012-06-15T00:00:00"/>
    <n v="2"/>
    <x v="0"/>
    <s v="Frank Carlisle"/>
    <x v="2"/>
    <m/>
    <s v="Springfield"/>
    <s v="Ohio"/>
    <s v="East"/>
    <x v="1"/>
    <x v="6"/>
    <s v="Newell 320"/>
    <x v="1306"/>
    <n v="1"/>
    <n v="0.2"/>
    <n v="0.29959999999999998"/>
  </r>
  <r>
    <n v="8275"/>
    <x v="160"/>
    <x v="3"/>
    <x v="7"/>
    <d v="2014-07-05T00:00:00"/>
    <n v="4"/>
    <x v="1"/>
    <s v="Neil Ducich"/>
    <x v="1"/>
    <m/>
    <s v="Mount Vernon"/>
    <s v="New York"/>
    <s v="East"/>
    <x v="1"/>
    <x v="4"/>
    <s v="Dual Level, Single-Width Filing Carts"/>
    <x v="2892"/>
    <n v="7"/>
    <n v="0"/>
    <n v="282.20920000000001"/>
  </r>
  <r>
    <n v="8276"/>
    <x v="153"/>
    <x v="1"/>
    <x v="1"/>
    <d v="2012-06-30T00:00:00"/>
    <n v="4"/>
    <x v="1"/>
    <s v="Dennis Bolton"/>
    <x v="2"/>
    <m/>
    <s v="Lakewood"/>
    <s v="Ohio"/>
    <s v="East"/>
    <x v="1"/>
    <x v="10"/>
    <s v="Universal Premium White Copier/Laser Paper (20Lb. and 87 Bright)"/>
    <x v="5137"/>
    <n v="9"/>
    <n v="0.2"/>
    <n v="15.607799999999999"/>
  </r>
  <r>
    <n v="8277"/>
    <x v="823"/>
    <x v="0"/>
    <x v="11"/>
    <d v="2013-02-25T00:00:00"/>
    <n v="4"/>
    <x v="1"/>
    <s v="Lindsay Castell"/>
    <x v="2"/>
    <m/>
    <s v="Tampa"/>
    <s v="Florida"/>
    <s v="South"/>
    <x v="1"/>
    <x v="8"/>
    <s v="Avery Durable Slant Ring Binders With Label Holder"/>
    <x v="5010"/>
    <n v="3"/>
    <n v="0.7"/>
    <n v="-2.7587999999999999"/>
  </r>
  <r>
    <n v="8278"/>
    <x v="823"/>
    <x v="0"/>
    <x v="11"/>
    <d v="2013-02-25T00:00:00"/>
    <n v="4"/>
    <x v="1"/>
    <s v="Lindsay Castell"/>
    <x v="2"/>
    <m/>
    <s v="Tampa"/>
    <s v="Florida"/>
    <s v="South"/>
    <x v="1"/>
    <x v="8"/>
    <s v="Avery Arch Ring Binders"/>
    <x v="1950"/>
    <n v="2"/>
    <n v="0.7"/>
    <n v="-26.725999999999999"/>
  </r>
  <r>
    <n v="8279"/>
    <x v="823"/>
    <x v="0"/>
    <x v="11"/>
    <d v="2013-02-25T00:00:00"/>
    <n v="4"/>
    <x v="1"/>
    <s v="Lindsay Castell"/>
    <x v="2"/>
    <m/>
    <s v="Tampa"/>
    <s v="Florida"/>
    <s v="South"/>
    <x v="1"/>
    <x v="4"/>
    <s v="Standard Rollaway File with Lock"/>
    <x v="5138"/>
    <n v="3"/>
    <n v="0.2"/>
    <n v="32.434199999999997"/>
  </r>
  <r>
    <n v="8280"/>
    <x v="300"/>
    <x v="3"/>
    <x v="3"/>
    <d v="2014-04-27T00:00:00"/>
    <n v="4"/>
    <x v="1"/>
    <s v="Bruce Degenhardt"/>
    <x v="0"/>
    <m/>
    <s v="Columbus"/>
    <s v="Georgia"/>
    <s v="South"/>
    <x v="1"/>
    <x v="4"/>
    <s v="Tennsco Double-Tier Lockers"/>
    <x v="5139"/>
    <n v="3"/>
    <n v="0"/>
    <n v="87.757800000000003"/>
  </r>
  <r>
    <n v="8281"/>
    <x v="1188"/>
    <x v="3"/>
    <x v="5"/>
    <d v="2014-05-11T00:00:00"/>
    <n v="1"/>
    <x v="2"/>
    <s v="Matt Connell"/>
    <x v="1"/>
    <m/>
    <s v="Jacksonville"/>
    <s v="North Carolina"/>
    <s v="South"/>
    <x v="1"/>
    <x v="12"/>
    <s v="Tyvek  Top-Opening Peel &amp; Seel Envelopes, Plain White"/>
    <x v="5140"/>
    <n v="3"/>
    <n v="0.2"/>
    <n v="22.015799999999999"/>
  </r>
  <r>
    <n v="8282"/>
    <x v="1188"/>
    <x v="3"/>
    <x v="5"/>
    <d v="2014-05-11T00:00:00"/>
    <n v="1"/>
    <x v="2"/>
    <s v="Matt Connell"/>
    <x v="1"/>
    <m/>
    <s v="Jacksonville"/>
    <s v="North Carolina"/>
    <s v="South"/>
    <x v="0"/>
    <x v="1"/>
    <s v="Harbour Creations Steel Folding Chair"/>
    <x v="718"/>
    <n v="3"/>
    <n v="0.2"/>
    <n v="25.875"/>
  </r>
  <r>
    <n v="8283"/>
    <x v="379"/>
    <x v="1"/>
    <x v="4"/>
    <d v="2012-12-26T00:00:00"/>
    <n v="5"/>
    <x v="0"/>
    <s v="Sam Zeldin"/>
    <x v="2"/>
    <m/>
    <s v="Saint Charles"/>
    <s v="Illinois"/>
    <s v="Central"/>
    <x v="2"/>
    <x v="15"/>
    <s v="Star Micronics TSP800 TSP847IIU Receipt Printer"/>
    <x v="5141"/>
    <n v="2"/>
    <n v="0.3"/>
    <n v="137.26400000000001"/>
  </r>
  <r>
    <n v="8284"/>
    <x v="379"/>
    <x v="1"/>
    <x v="4"/>
    <d v="2012-12-26T00:00:00"/>
    <n v="5"/>
    <x v="0"/>
    <s v="Sam Zeldin"/>
    <x v="2"/>
    <m/>
    <s v="Saint Charles"/>
    <s v="Illinois"/>
    <s v="Central"/>
    <x v="1"/>
    <x v="6"/>
    <s v="Sanford Prismacolor Professional Thick Lead Art Pencils, 36-Color Set"/>
    <x v="3396"/>
    <n v="2"/>
    <n v="0.2"/>
    <n v="14.2272"/>
  </r>
  <r>
    <n v="8285"/>
    <x v="379"/>
    <x v="1"/>
    <x v="4"/>
    <d v="2012-12-26T00:00:00"/>
    <n v="5"/>
    <x v="0"/>
    <s v="Sam Zeldin"/>
    <x v="2"/>
    <m/>
    <s v="Saint Charles"/>
    <s v="Illinois"/>
    <s v="Central"/>
    <x v="2"/>
    <x v="11"/>
    <s v="Enermax Acrylux Wireless Keyboard"/>
    <x v="5142"/>
    <n v="8"/>
    <n v="0.2"/>
    <n v="135.45599999999999"/>
  </r>
  <r>
    <n v="8286"/>
    <x v="379"/>
    <x v="1"/>
    <x v="4"/>
    <d v="2012-12-26T00:00:00"/>
    <n v="5"/>
    <x v="0"/>
    <s v="Sam Zeldin"/>
    <x v="2"/>
    <m/>
    <s v="Saint Charles"/>
    <s v="Illinois"/>
    <s v="Central"/>
    <x v="0"/>
    <x v="5"/>
    <s v="Howard Miller 11-1/2&quot; Diameter Grantwood Wall Clock"/>
    <x v="5143"/>
    <n v="3"/>
    <n v="0.6"/>
    <n v="-33.641399999999997"/>
  </r>
  <r>
    <n v="8287"/>
    <x v="1132"/>
    <x v="2"/>
    <x v="6"/>
    <d v="2011-08-16T00:00:00"/>
    <n v="4"/>
    <x v="1"/>
    <s v="Duane Huffman"/>
    <x v="2"/>
    <m/>
    <s v="Miami"/>
    <s v="Florida"/>
    <s v="South"/>
    <x v="1"/>
    <x v="10"/>
    <s v="Xerox 229"/>
    <x v="276"/>
    <n v="6"/>
    <n v="0.2"/>
    <n v="10.8864"/>
  </r>
  <r>
    <n v="8288"/>
    <x v="1132"/>
    <x v="2"/>
    <x v="6"/>
    <d v="2011-08-16T00:00:00"/>
    <n v="4"/>
    <x v="1"/>
    <s v="Duane Huffman"/>
    <x v="2"/>
    <m/>
    <s v="Miami"/>
    <s v="Florida"/>
    <s v="South"/>
    <x v="1"/>
    <x v="6"/>
    <s v="Bulldog Vacuum Base Pencil Sharpener"/>
    <x v="1883"/>
    <n v="5"/>
    <n v="0.2"/>
    <n v="4.1965000000000003"/>
  </r>
  <r>
    <n v="8289"/>
    <x v="1132"/>
    <x v="2"/>
    <x v="6"/>
    <d v="2011-08-16T00:00:00"/>
    <n v="4"/>
    <x v="1"/>
    <s v="Duane Huffman"/>
    <x v="2"/>
    <m/>
    <s v="Miami"/>
    <s v="Florida"/>
    <s v="South"/>
    <x v="2"/>
    <x v="11"/>
    <s v="Maxell 4.7GB DVD-R"/>
    <x v="1996"/>
    <n v="7"/>
    <n v="0.2"/>
    <n v="41.718600000000002"/>
  </r>
  <r>
    <n v="8290"/>
    <x v="1132"/>
    <x v="2"/>
    <x v="6"/>
    <d v="2011-08-16T00:00:00"/>
    <n v="4"/>
    <x v="1"/>
    <s v="Duane Huffman"/>
    <x v="2"/>
    <m/>
    <s v="Miami"/>
    <s v="Florida"/>
    <s v="South"/>
    <x v="1"/>
    <x v="9"/>
    <s v="Acco Smartsocket Color-Coded Six-Outlet AC Adapter Model Surge Protectors"/>
    <x v="5144"/>
    <n v="6"/>
    <n v="0.2"/>
    <n v="15.8436"/>
  </r>
  <r>
    <n v="8291"/>
    <x v="1132"/>
    <x v="2"/>
    <x v="6"/>
    <d v="2011-08-16T00:00:00"/>
    <n v="4"/>
    <x v="1"/>
    <s v="Duane Huffman"/>
    <x v="2"/>
    <m/>
    <s v="Miami"/>
    <s v="Florida"/>
    <s v="South"/>
    <x v="1"/>
    <x v="14"/>
    <s v="Acco Side-Punched Conventional Columnar Pads"/>
    <x v="4643"/>
    <n v="2"/>
    <n v="0.2"/>
    <n v="-1.0409999999999999"/>
  </r>
  <r>
    <n v="8292"/>
    <x v="1132"/>
    <x v="2"/>
    <x v="6"/>
    <d v="2011-08-16T00:00:00"/>
    <n v="4"/>
    <x v="1"/>
    <s v="Duane Huffman"/>
    <x v="2"/>
    <m/>
    <s v="Miami"/>
    <s v="Florida"/>
    <s v="South"/>
    <x v="1"/>
    <x v="2"/>
    <s v="Avery 501"/>
    <x v="1620"/>
    <n v="1"/>
    <n v="0.2"/>
    <n v="0.99629999999999996"/>
  </r>
  <r>
    <n v="8293"/>
    <x v="555"/>
    <x v="1"/>
    <x v="4"/>
    <d v="2012-12-15T00:00:00"/>
    <n v="4"/>
    <x v="1"/>
    <s v="Lena Creighton"/>
    <x v="0"/>
    <m/>
    <s v="Troy"/>
    <s v="Ohio"/>
    <s v="East"/>
    <x v="1"/>
    <x v="8"/>
    <s v="GBC Plasticlear Binding Covers"/>
    <x v="2250"/>
    <n v="3"/>
    <n v="0.7"/>
    <n v="-7.5768000000000004"/>
  </r>
  <r>
    <n v="8294"/>
    <x v="132"/>
    <x v="3"/>
    <x v="0"/>
    <d v="2014-11-08T00:00:00"/>
    <n v="4"/>
    <x v="1"/>
    <s v="Jack O'Briant"/>
    <x v="1"/>
    <m/>
    <s v="Seattle"/>
    <s v="Washington"/>
    <s v="West"/>
    <x v="1"/>
    <x v="8"/>
    <s v="Binder Posts"/>
    <x v="5145"/>
    <n v="4"/>
    <n v="0.2"/>
    <n v="5.9695999999999998"/>
  </r>
  <r>
    <n v="8295"/>
    <x v="677"/>
    <x v="3"/>
    <x v="10"/>
    <d v="2014-03-18T00:00:00"/>
    <n v="4"/>
    <x v="1"/>
    <s v="Meg Tillman"/>
    <x v="0"/>
    <m/>
    <s v="New York City"/>
    <s v="New York"/>
    <s v="East"/>
    <x v="2"/>
    <x v="7"/>
    <s v="Panasonic KX T7736-B Digital phone"/>
    <x v="1629"/>
    <n v="2"/>
    <n v="0"/>
    <n v="74.974999999999994"/>
  </r>
  <r>
    <n v="8296"/>
    <x v="198"/>
    <x v="0"/>
    <x v="5"/>
    <d v="2013-06-04T00:00:00"/>
    <n v="4"/>
    <x v="1"/>
    <s v="Edward Becker"/>
    <x v="1"/>
    <m/>
    <s v="Arlington"/>
    <s v="Virginia"/>
    <s v="South"/>
    <x v="1"/>
    <x v="12"/>
    <s v="Redi-Strip #10 Envelopes, 4 1/8 x 9 1/2"/>
    <x v="1756"/>
    <n v="9"/>
    <n v="0"/>
    <n v="12.744"/>
  </r>
  <r>
    <n v="8297"/>
    <x v="198"/>
    <x v="0"/>
    <x v="5"/>
    <d v="2013-06-04T00:00:00"/>
    <n v="4"/>
    <x v="1"/>
    <s v="Edward Becker"/>
    <x v="1"/>
    <m/>
    <s v="Arlington"/>
    <s v="Virginia"/>
    <s v="South"/>
    <x v="2"/>
    <x v="11"/>
    <s v="Sony Micro Vault Click 16 GB USB 2.0 Flash Drive"/>
    <x v="5146"/>
    <n v="2"/>
    <n v="0"/>
    <n v="26.8752"/>
  </r>
  <r>
    <n v="8298"/>
    <x v="761"/>
    <x v="1"/>
    <x v="7"/>
    <d v="2012-07-11T00:00:00"/>
    <n v="6"/>
    <x v="1"/>
    <s v="Roland Schwarz"/>
    <x v="1"/>
    <m/>
    <s v="Charlotte"/>
    <s v="North Carolina"/>
    <s v="South"/>
    <x v="0"/>
    <x v="5"/>
    <s v="Stackable Trays"/>
    <x v="1253"/>
    <n v="2"/>
    <n v="0.2"/>
    <n v="0.73919999999999997"/>
  </r>
  <r>
    <n v="8299"/>
    <x v="761"/>
    <x v="1"/>
    <x v="7"/>
    <d v="2012-07-11T00:00:00"/>
    <n v="6"/>
    <x v="1"/>
    <s v="Roland Schwarz"/>
    <x v="1"/>
    <m/>
    <s v="Charlotte"/>
    <s v="North Carolina"/>
    <s v="South"/>
    <x v="1"/>
    <x v="2"/>
    <s v="Avery 508"/>
    <x v="692"/>
    <n v="3"/>
    <n v="0.2"/>
    <n v="4.2717000000000001"/>
  </r>
  <r>
    <n v="8300"/>
    <x v="518"/>
    <x v="2"/>
    <x v="10"/>
    <d v="2011-03-15T00:00:00"/>
    <n v="4"/>
    <x v="1"/>
    <s v="Richard Bierner"/>
    <x v="0"/>
    <m/>
    <s v="Roseville"/>
    <s v="California"/>
    <s v="West"/>
    <x v="1"/>
    <x v="6"/>
    <s v="Economy #2 Pencils"/>
    <x v="3277"/>
    <n v="3"/>
    <n v="0"/>
    <n v="2.0748000000000002"/>
  </r>
  <r>
    <n v="8301"/>
    <x v="704"/>
    <x v="1"/>
    <x v="3"/>
    <d v="2012-04-24T00:00:00"/>
    <n v="4"/>
    <x v="1"/>
    <s v="Olvera Toch"/>
    <x v="0"/>
    <m/>
    <s v="Detroit"/>
    <s v="Michigan"/>
    <s v="Central"/>
    <x v="1"/>
    <x v="12"/>
    <s v="Tyvek Side-Opening Peel &amp; Seel Expanding Envelopes"/>
    <x v="2131"/>
    <n v="2"/>
    <n v="0"/>
    <n v="81.432000000000002"/>
  </r>
  <r>
    <n v="8302"/>
    <x v="1189"/>
    <x v="3"/>
    <x v="7"/>
    <d v="2014-08-02T00:00:00"/>
    <n v="6"/>
    <x v="1"/>
    <s v="George Zrebassa"/>
    <x v="1"/>
    <m/>
    <s v="Los Angeles"/>
    <s v="California"/>
    <s v="West"/>
    <x v="2"/>
    <x v="11"/>
    <s v="Logitech Z-906 Speaker sys - home theater - 5.1-CH"/>
    <x v="3808"/>
    <n v="5"/>
    <n v="0"/>
    <n v="659.98"/>
  </r>
  <r>
    <n v="8303"/>
    <x v="1189"/>
    <x v="3"/>
    <x v="7"/>
    <d v="2014-08-02T00:00:00"/>
    <n v="6"/>
    <x v="1"/>
    <s v="George Zrebassa"/>
    <x v="1"/>
    <m/>
    <s v="Los Angeles"/>
    <s v="California"/>
    <s v="West"/>
    <x v="0"/>
    <x v="1"/>
    <s v="Global Airflow Leather Mesh Back Chair, Black"/>
    <x v="1575"/>
    <n v="3"/>
    <n v="0.2"/>
    <n v="45.293999999999997"/>
  </r>
  <r>
    <n v="8304"/>
    <x v="656"/>
    <x v="2"/>
    <x v="2"/>
    <d v="2011-11-02T00:00:00"/>
    <n v="2"/>
    <x v="0"/>
    <s v="Nancy Lomonaco"/>
    <x v="2"/>
    <m/>
    <s v="San Francisco"/>
    <s v="California"/>
    <s v="West"/>
    <x v="2"/>
    <x v="7"/>
    <s v="Motorola L804"/>
    <x v="89"/>
    <n v="2"/>
    <n v="0.2"/>
    <n v="8.2782"/>
  </r>
  <r>
    <n v="8305"/>
    <x v="132"/>
    <x v="3"/>
    <x v="0"/>
    <d v="2014-11-10T00:00:00"/>
    <n v="6"/>
    <x v="1"/>
    <s v="Bruce Geld"/>
    <x v="0"/>
    <m/>
    <s v="Bakersfield"/>
    <s v="California"/>
    <s v="West"/>
    <x v="0"/>
    <x v="3"/>
    <s v="SAFCO PlanMaster Boards, 60w x 37-1/2d, White Melamine"/>
    <x v="5147"/>
    <n v="4"/>
    <n v="0.2"/>
    <n v="36.477600000000002"/>
  </r>
  <r>
    <n v="8306"/>
    <x v="1190"/>
    <x v="0"/>
    <x v="6"/>
    <d v="2013-08-17T00:00:00"/>
    <n v="5"/>
    <x v="1"/>
    <s v="Michelle Tran"/>
    <x v="2"/>
    <m/>
    <s v="Tulsa"/>
    <s v="Oklahoma"/>
    <s v="Central"/>
    <x v="1"/>
    <x v="10"/>
    <s v="Xerox 202"/>
    <x v="56"/>
    <n v="5"/>
    <n v="0"/>
    <n v="15.552"/>
  </r>
  <r>
    <n v="8307"/>
    <x v="1190"/>
    <x v="0"/>
    <x v="6"/>
    <d v="2013-08-17T00:00:00"/>
    <n v="5"/>
    <x v="1"/>
    <s v="Michelle Tran"/>
    <x v="2"/>
    <m/>
    <s v="Tulsa"/>
    <s v="Oklahoma"/>
    <s v="Central"/>
    <x v="1"/>
    <x v="8"/>
    <s v="Avery Hanging File Binders"/>
    <x v="1075"/>
    <n v="7"/>
    <n v="0"/>
    <n v="19.255600000000001"/>
  </r>
  <r>
    <n v="8308"/>
    <x v="1190"/>
    <x v="0"/>
    <x v="6"/>
    <d v="2013-08-17T00:00:00"/>
    <n v="5"/>
    <x v="1"/>
    <s v="Michelle Tran"/>
    <x v="2"/>
    <m/>
    <s v="Tulsa"/>
    <s v="Oklahoma"/>
    <s v="Central"/>
    <x v="1"/>
    <x v="8"/>
    <s v="Premium Transparent Presentation Covers, No Pattern/Clear, 8 1/2&quot; x 11&quot;"/>
    <x v="4081"/>
    <n v="2"/>
    <n v="0"/>
    <n v="35.677599999999998"/>
  </r>
  <r>
    <n v="8309"/>
    <x v="197"/>
    <x v="0"/>
    <x v="7"/>
    <d v="2013-07-26T00:00:00"/>
    <n v="0"/>
    <x v="3"/>
    <s v="Becky Castell"/>
    <x v="2"/>
    <m/>
    <s v="San Francisco"/>
    <s v="California"/>
    <s v="West"/>
    <x v="1"/>
    <x v="6"/>
    <s v="Newell 325"/>
    <x v="5148"/>
    <n v="9"/>
    <n v="0"/>
    <n v="11.151"/>
  </r>
  <r>
    <n v="8310"/>
    <x v="72"/>
    <x v="2"/>
    <x v="10"/>
    <d v="2011-03-07T00:00:00"/>
    <n v="6"/>
    <x v="1"/>
    <s v="Giulietta Weimer"/>
    <x v="0"/>
    <m/>
    <s v="Houston"/>
    <s v="Texas"/>
    <s v="Central"/>
    <x v="1"/>
    <x v="4"/>
    <s v="Recycled Steel Personal File for Hanging File Folders"/>
    <x v="5149"/>
    <n v="3"/>
    <n v="0.2"/>
    <n v="8.5845000000000002"/>
  </r>
  <r>
    <n v="8311"/>
    <x v="72"/>
    <x v="2"/>
    <x v="10"/>
    <d v="2011-03-07T00:00:00"/>
    <n v="6"/>
    <x v="1"/>
    <s v="Giulietta Weimer"/>
    <x v="0"/>
    <m/>
    <s v="Houston"/>
    <s v="Texas"/>
    <s v="Central"/>
    <x v="0"/>
    <x v="3"/>
    <s v="Bevis Round Conference Room Tables and Bases"/>
    <x v="5150"/>
    <n v="3"/>
    <n v="0.3"/>
    <n v="-43.029600000000002"/>
  </r>
  <r>
    <n v="8312"/>
    <x v="795"/>
    <x v="3"/>
    <x v="9"/>
    <d v="2014-02-01T00:00:00"/>
    <n v="5"/>
    <x v="1"/>
    <s v="Bradley Drucker"/>
    <x v="0"/>
    <m/>
    <s v="Columbus"/>
    <s v="Georgia"/>
    <s v="South"/>
    <x v="0"/>
    <x v="5"/>
    <s v="Artistic Insta-Plaque"/>
    <x v="5151"/>
    <n v="4"/>
    <n v="0"/>
    <n v="24.460799999999999"/>
  </r>
  <r>
    <n v="8313"/>
    <x v="795"/>
    <x v="3"/>
    <x v="9"/>
    <d v="2014-02-01T00:00:00"/>
    <n v="5"/>
    <x v="1"/>
    <s v="Bradley Drucker"/>
    <x v="0"/>
    <m/>
    <s v="Columbus"/>
    <s v="Georgia"/>
    <s v="South"/>
    <x v="2"/>
    <x v="7"/>
    <s v="Samsung Galaxy Mega 6.3"/>
    <x v="5152"/>
    <n v="7"/>
    <n v="0"/>
    <n v="764.3818"/>
  </r>
  <r>
    <n v="8314"/>
    <x v="136"/>
    <x v="2"/>
    <x v="7"/>
    <d v="2011-07-16T00:00:00"/>
    <n v="4"/>
    <x v="1"/>
    <s v="Paul Van Hugh"/>
    <x v="2"/>
    <m/>
    <s v="League City"/>
    <s v="Texas"/>
    <s v="Central"/>
    <x v="0"/>
    <x v="1"/>
    <s v="Hon Deluxe Fabric Upholstered Stacking Chairs"/>
    <x v="5153"/>
    <n v="3"/>
    <n v="0.3"/>
    <n v="-14.6388"/>
  </r>
  <r>
    <n v="8315"/>
    <x v="136"/>
    <x v="2"/>
    <x v="7"/>
    <d v="2011-07-16T00:00:00"/>
    <n v="4"/>
    <x v="1"/>
    <s v="Paul Van Hugh"/>
    <x v="2"/>
    <m/>
    <s v="League City"/>
    <s v="Texas"/>
    <s v="Central"/>
    <x v="1"/>
    <x v="13"/>
    <s v="Stockwell Push Pins"/>
    <x v="4120"/>
    <n v="2"/>
    <n v="0.2"/>
    <n v="0.56679999999999997"/>
  </r>
  <r>
    <n v="8316"/>
    <x v="136"/>
    <x v="2"/>
    <x v="7"/>
    <d v="2011-07-16T00:00:00"/>
    <n v="4"/>
    <x v="1"/>
    <s v="Paul Van Hugh"/>
    <x v="2"/>
    <m/>
    <s v="League City"/>
    <s v="Texas"/>
    <s v="Central"/>
    <x v="1"/>
    <x v="6"/>
    <s v="Fluorescent Highlighters by Dixon"/>
    <x v="2653"/>
    <n v="7"/>
    <n v="0.2"/>
    <n v="3.9003999999999999"/>
  </r>
  <r>
    <n v="8317"/>
    <x v="136"/>
    <x v="2"/>
    <x v="7"/>
    <d v="2011-07-16T00:00:00"/>
    <n v="4"/>
    <x v="1"/>
    <s v="Paul Van Hugh"/>
    <x v="2"/>
    <m/>
    <s v="League City"/>
    <s v="Texas"/>
    <s v="Central"/>
    <x v="1"/>
    <x v="10"/>
    <s v="Xerox 195"/>
    <x v="2897"/>
    <n v="3"/>
    <n v="0.2"/>
    <n v="5.6112000000000002"/>
  </r>
  <r>
    <n v="8318"/>
    <x v="645"/>
    <x v="3"/>
    <x v="3"/>
    <d v="2014-04-17T00:00:00"/>
    <n v="5"/>
    <x v="1"/>
    <s v="Henry MacAllister"/>
    <x v="0"/>
    <m/>
    <s v="Burlington"/>
    <s v="North Carolina"/>
    <s v="South"/>
    <x v="1"/>
    <x v="6"/>
    <s v="Pencil and Crayon Sharpener"/>
    <x v="5154"/>
    <n v="1"/>
    <n v="0.2"/>
    <n v="0.15329999999999999"/>
  </r>
  <r>
    <n v="8319"/>
    <x v="645"/>
    <x v="3"/>
    <x v="3"/>
    <d v="2014-04-17T00:00:00"/>
    <n v="5"/>
    <x v="1"/>
    <s v="Henry MacAllister"/>
    <x v="0"/>
    <m/>
    <s v="Burlington"/>
    <s v="North Carolina"/>
    <s v="South"/>
    <x v="1"/>
    <x v="6"/>
    <s v="Newell 321"/>
    <x v="5155"/>
    <n v="8"/>
    <n v="0.2"/>
    <n v="2.3616000000000001"/>
  </r>
  <r>
    <n v="8320"/>
    <x v="38"/>
    <x v="3"/>
    <x v="0"/>
    <d v="2014-11-19T00:00:00"/>
    <n v="5"/>
    <x v="1"/>
    <s v="Erin Mull"/>
    <x v="0"/>
    <m/>
    <s v="New York City"/>
    <s v="New York"/>
    <s v="East"/>
    <x v="1"/>
    <x v="4"/>
    <s v="Personal Folder Holder, Ebony"/>
    <x v="1072"/>
    <n v="1"/>
    <n v="0"/>
    <n v="3.363"/>
  </r>
  <r>
    <n v="8321"/>
    <x v="901"/>
    <x v="1"/>
    <x v="4"/>
    <d v="2012-12-06T00:00:00"/>
    <n v="1"/>
    <x v="2"/>
    <s v="Sandra Flanagan"/>
    <x v="0"/>
    <m/>
    <s v="Dallas"/>
    <s v="Texas"/>
    <s v="Central"/>
    <x v="1"/>
    <x v="6"/>
    <s v="Boston Electric Pencil Sharpener, Model 1818, Charcoal Black"/>
    <x v="3696"/>
    <n v="2"/>
    <n v="0.2"/>
    <n v="4.5039999999999996"/>
  </r>
  <r>
    <n v="8322"/>
    <x v="182"/>
    <x v="0"/>
    <x v="8"/>
    <d v="2013-10-02T00:00:00"/>
    <n v="5"/>
    <x v="1"/>
    <s v="Shahid Collister"/>
    <x v="0"/>
    <m/>
    <s v="Houston"/>
    <s v="Texas"/>
    <s v="Central"/>
    <x v="1"/>
    <x v="8"/>
    <s v="Ibico Recycled Linen-Style Covers"/>
    <x v="5156"/>
    <n v="2"/>
    <n v="0.8"/>
    <n v="-24.9984"/>
  </r>
  <r>
    <n v="8323"/>
    <x v="258"/>
    <x v="0"/>
    <x v="0"/>
    <d v="2013-11-26T00:00:00"/>
    <n v="6"/>
    <x v="1"/>
    <s v="Natalie DeCherney"/>
    <x v="0"/>
    <m/>
    <s v="Long Beach"/>
    <s v="New York"/>
    <s v="East"/>
    <x v="1"/>
    <x v="9"/>
    <s v="Disposable Triple-Filter Dust Bags"/>
    <x v="4449"/>
    <n v="2"/>
    <n v="0"/>
    <n v="2.2724000000000002"/>
  </r>
  <r>
    <n v="8324"/>
    <x v="258"/>
    <x v="0"/>
    <x v="0"/>
    <d v="2013-11-26T00:00:00"/>
    <n v="6"/>
    <x v="1"/>
    <s v="Natalie DeCherney"/>
    <x v="0"/>
    <m/>
    <s v="Long Beach"/>
    <s v="New York"/>
    <s v="East"/>
    <x v="1"/>
    <x v="10"/>
    <s v="Recycled Desk Saver Line &quot;While You Were Out&quot; Book, 5 1/2&quot; X 4&quot;"/>
    <x v="908"/>
    <n v="5"/>
    <n v="0"/>
    <n v="20.585000000000001"/>
  </r>
  <r>
    <n v="8325"/>
    <x v="565"/>
    <x v="3"/>
    <x v="8"/>
    <d v="2014-09-10T00:00:00"/>
    <n v="1"/>
    <x v="2"/>
    <s v="Frank Carlisle"/>
    <x v="2"/>
    <m/>
    <s v="Hialeah"/>
    <s v="Florida"/>
    <s v="South"/>
    <x v="1"/>
    <x v="4"/>
    <s v="Decoflex Hanging Personal Folder File, Blue"/>
    <x v="2978"/>
    <n v="5"/>
    <n v="0.2"/>
    <n v="5.3970000000000002"/>
  </r>
  <r>
    <n v="8326"/>
    <x v="565"/>
    <x v="3"/>
    <x v="8"/>
    <d v="2014-09-10T00:00:00"/>
    <n v="1"/>
    <x v="2"/>
    <s v="Frank Carlisle"/>
    <x v="2"/>
    <m/>
    <s v="Hialeah"/>
    <s v="Florida"/>
    <s v="South"/>
    <x v="2"/>
    <x v="7"/>
    <s v="Samsung Rugby III"/>
    <x v="3097"/>
    <n v="3"/>
    <n v="0.2"/>
    <n v="13.857900000000001"/>
  </r>
  <r>
    <n v="8327"/>
    <x v="246"/>
    <x v="3"/>
    <x v="7"/>
    <d v="2014-07-25T00:00:00"/>
    <n v="3"/>
    <x v="0"/>
    <s v="Kelly Lampkin"/>
    <x v="1"/>
    <m/>
    <s v="Aurora"/>
    <s v="Illinois"/>
    <s v="Central"/>
    <x v="1"/>
    <x v="8"/>
    <s v="Avery Poly Binder Pockets"/>
    <x v="5157"/>
    <n v="4"/>
    <n v="0.8"/>
    <n v="-4.5823999999999998"/>
  </r>
  <r>
    <n v="8328"/>
    <x v="246"/>
    <x v="3"/>
    <x v="7"/>
    <d v="2014-07-25T00:00:00"/>
    <n v="3"/>
    <x v="0"/>
    <s v="Kelly Lampkin"/>
    <x v="1"/>
    <m/>
    <s v="Aurora"/>
    <s v="Illinois"/>
    <s v="Central"/>
    <x v="1"/>
    <x v="8"/>
    <s v="Catalog Binders with Expanding Posts"/>
    <x v="5158"/>
    <n v="7"/>
    <n v="0.8"/>
    <n v="-164.83600000000001"/>
  </r>
  <r>
    <n v="8329"/>
    <x v="833"/>
    <x v="3"/>
    <x v="2"/>
    <d v="2014-10-12T00:00:00"/>
    <n v="5"/>
    <x v="1"/>
    <s v="Xylona Preis"/>
    <x v="0"/>
    <m/>
    <s v="Belleville"/>
    <s v="New Jersey"/>
    <s v="East"/>
    <x v="1"/>
    <x v="10"/>
    <s v="Xerox 1886"/>
    <x v="140"/>
    <n v="3"/>
    <n v="0"/>
    <n v="68.975999999999999"/>
  </r>
  <r>
    <n v="8330"/>
    <x v="833"/>
    <x v="3"/>
    <x v="2"/>
    <d v="2014-10-12T00:00:00"/>
    <n v="5"/>
    <x v="1"/>
    <s v="Xylona Preis"/>
    <x v="0"/>
    <m/>
    <s v="Belleville"/>
    <s v="New Jersey"/>
    <s v="East"/>
    <x v="1"/>
    <x v="10"/>
    <s v="Xerox 217"/>
    <x v="90"/>
    <n v="1"/>
    <n v="0"/>
    <n v="3.1103999999999998"/>
  </r>
  <r>
    <n v="8331"/>
    <x v="659"/>
    <x v="3"/>
    <x v="0"/>
    <d v="2014-11-12T00:00:00"/>
    <n v="4"/>
    <x v="1"/>
    <s v="Frank Preis"/>
    <x v="0"/>
    <m/>
    <s v="New York City"/>
    <s v="New York"/>
    <s v="East"/>
    <x v="2"/>
    <x v="11"/>
    <s v="Maxell CD-R Discs"/>
    <x v="2273"/>
    <n v="4"/>
    <n v="0"/>
    <n v="2.5215999999999998"/>
  </r>
  <r>
    <n v="8332"/>
    <x v="1185"/>
    <x v="0"/>
    <x v="10"/>
    <d v="2013-03-13T00:00:00"/>
    <n v="3"/>
    <x v="2"/>
    <s v="Pamela Stobb"/>
    <x v="0"/>
    <m/>
    <s v="Andover"/>
    <s v="Massachusetts"/>
    <s v="East"/>
    <x v="1"/>
    <x v="4"/>
    <s v="Personal Folder Holder, Ebony"/>
    <x v="1072"/>
    <n v="1"/>
    <n v="0"/>
    <n v="3.363"/>
  </r>
  <r>
    <n v="8333"/>
    <x v="1185"/>
    <x v="0"/>
    <x v="10"/>
    <d v="2013-03-13T00:00:00"/>
    <n v="3"/>
    <x v="2"/>
    <s v="Pamela Stobb"/>
    <x v="0"/>
    <m/>
    <s v="Andover"/>
    <s v="Massachusetts"/>
    <s v="East"/>
    <x v="0"/>
    <x v="1"/>
    <s v="Situations Contoured Folding Chairs, 4/Set"/>
    <x v="1367"/>
    <n v="5"/>
    <n v="0"/>
    <n v="88.724999999999994"/>
  </r>
  <r>
    <n v="8334"/>
    <x v="1185"/>
    <x v="0"/>
    <x v="10"/>
    <d v="2013-03-13T00:00:00"/>
    <n v="3"/>
    <x v="2"/>
    <s v="Pamela Stobb"/>
    <x v="0"/>
    <m/>
    <s v="Andover"/>
    <s v="Massachusetts"/>
    <s v="East"/>
    <x v="1"/>
    <x v="10"/>
    <s v="Xerox 193"/>
    <x v="1444"/>
    <n v="3"/>
    <n v="0"/>
    <n v="8.7905999999999995"/>
  </r>
  <r>
    <n v="8335"/>
    <x v="1185"/>
    <x v="0"/>
    <x v="10"/>
    <d v="2013-03-13T00:00:00"/>
    <n v="3"/>
    <x v="2"/>
    <s v="Pamela Stobb"/>
    <x v="0"/>
    <m/>
    <s v="Andover"/>
    <s v="Massachusetts"/>
    <s v="East"/>
    <x v="1"/>
    <x v="8"/>
    <s v="GBC Binding covers"/>
    <x v="5159"/>
    <n v="4"/>
    <n v="0"/>
    <n v="23.31"/>
  </r>
  <r>
    <n v="8336"/>
    <x v="726"/>
    <x v="3"/>
    <x v="5"/>
    <d v="2014-05-19T00:00:00"/>
    <n v="5"/>
    <x v="0"/>
    <s v="Carl Weiss"/>
    <x v="2"/>
    <m/>
    <s v="Newark"/>
    <s v="Delaware"/>
    <s v="East"/>
    <x v="1"/>
    <x v="8"/>
    <s v="GBC Twin Loop Wire Binding Elements"/>
    <x v="5160"/>
    <n v="9"/>
    <n v="0"/>
    <n v="149.76"/>
  </r>
  <r>
    <n v="8337"/>
    <x v="415"/>
    <x v="0"/>
    <x v="7"/>
    <d v="2013-07-09T00:00:00"/>
    <n v="6"/>
    <x v="1"/>
    <s v="Katherine Hughes"/>
    <x v="0"/>
    <m/>
    <s v="Arlington"/>
    <s v="Virginia"/>
    <s v="South"/>
    <x v="1"/>
    <x v="6"/>
    <s v="Avery Hi-Liter Pen Style Six-Color Fluorescent Set"/>
    <x v="5161"/>
    <n v="2"/>
    <n v="0"/>
    <n v="3.157"/>
  </r>
  <r>
    <n v="8338"/>
    <x v="422"/>
    <x v="2"/>
    <x v="4"/>
    <d v="2012-01-03T00:00:00"/>
    <n v="7"/>
    <x v="1"/>
    <s v="Tamara Chand"/>
    <x v="1"/>
    <m/>
    <s v="Decatur"/>
    <s v="Alabama"/>
    <s v="South"/>
    <x v="1"/>
    <x v="10"/>
    <s v="Xerox 1983"/>
    <x v="100"/>
    <n v="4"/>
    <n v="0"/>
    <n v="11.720800000000001"/>
  </r>
  <r>
    <n v="8339"/>
    <x v="422"/>
    <x v="2"/>
    <x v="4"/>
    <d v="2012-01-03T00:00:00"/>
    <n v="7"/>
    <x v="1"/>
    <s v="Tamara Chand"/>
    <x v="1"/>
    <m/>
    <s v="Decatur"/>
    <s v="Alabama"/>
    <s v="South"/>
    <x v="2"/>
    <x v="11"/>
    <s v="Enermax Acrylux Wireless Keyboard"/>
    <x v="5162"/>
    <n v="5"/>
    <n v="0"/>
    <n v="184.26"/>
  </r>
  <r>
    <n v="8340"/>
    <x v="669"/>
    <x v="3"/>
    <x v="3"/>
    <d v="2014-04-18T00:00:00"/>
    <n v="4"/>
    <x v="1"/>
    <s v="Yana Sorensen"/>
    <x v="1"/>
    <m/>
    <s v="Hesperia"/>
    <s v="California"/>
    <s v="West"/>
    <x v="0"/>
    <x v="1"/>
    <s v="Global Wood Trimmed Manager's Task Chair, Khaki"/>
    <x v="5163"/>
    <n v="6"/>
    <n v="0.2"/>
    <n v="-38.211599999999997"/>
  </r>
  <r>
    <n v="8341"/>
    <x v="687"/>
    <x v="2"/>
    <x v="0"/>
    <d v="2011-11-20T00:00:00"/>
    <n v="6"/>
    <x v="1"/>
    <s v="Chris Cortes"/>
    <x v="0"/>
    <m/>
    <s v="Chesapeake"/>
    <s v="Virginia"/>
    <s v="South"/>
    <x v="1"/>
    <x v="10"/>
    <s v="Xerox 192"/>
    <x v="56"/>
    <n v="5"/>
    <n v="0"/>
    <n v="15.552"/>
  </r>
  <r>
    <n v="8342"/>
    <x v="532"/>
    <x v="3"/>
    <x v="1"/>
    <d v="2014-06-15T00:00:00"/>
    <n v="3"/>
    <x v="2"/>
    <s v="Zuschuss Donatelli"/>
    <x v="0"/>
    <m/>
    <s v="Los Angeles"/>
    <s v="California"/>
    <s v="West"/>
    <x v="1"/>
    <x v="9"/>
    <s v="Kensington 6 Outlet Guardian Standard Surge Protector"/>
    <x v="635"/>
    <n v="3"/>
    <n v="0"/>
    <n v="16.588799999999999"/>
  </r>
  <r>
    <n v="8343"/>
    <x v="881"/>
    <x v="0"/>
    <x v="0"/>
    <d v="2013-12-01T00:00:00"/>
    <n v="5"/>
    <x v="1"/>
    <s v="Jay Kimmel"/>
    <x v="0"/>
    <m/>
    <s v="Huntsville"/>
    <s v="Alabama"/>
    <s v="South"/>
    <x v="1"/>
    <x v="4"/>
    <s v="Sterilite Officeware Hinged File Box"/>
    <x v="5164"/>
    <n v="7"/>
    <n v="0"/>
    <n v="19.807200000000002"/>
  </r>
  <r>
    <n v="8344"/>
    <x v="90"/>
    <x v="2"/>
    <x v="10"/>
    <d v="2011-03-25T00:00:00"/>
    <n v="4"/>
    <x v="1"/>
    <s v="Gary McGarr"/>
    <x v="0"/>
    <m/>
    <s v="Knoxville"/>
    <s v="Tennessee"/>
    <s v="South"/>
    <x v="1"/>
    <x v="2"/>
    <s v="Avery 505"/>
    <x v="2261"/>
    <n v="5"/>
    <n v="0.2"/>
    <n v="22.2"/>
  </r>
  <r>
    <n v="8345"/>
    <x v="90"/>
    <x v="2"/>
    <x v="10"/>
    <d v="2011-03-25T00:00:00"/>
    <n v="4"/>
    <x v="1"/>
    <s v="Gary McGarr"/>
    <x v="0"/>
    <m/>
    <s v="Knoxville"/>
    <s v="Tennessee"/>
    <s v="South"/>
    <x v="0"/>
    <x v="5"/>
    <s v="DAX Wood Document Frame"/>
    <x v="2377"/>
    <n v="3"/>
    <n v="0.2"/>
    <n v="6.5903999999999998"/>
  </r>
  <r>
    <n v="8346"/>
    <x v="90"/>
    <x v="2"/>
    <x v="10"/>
    <d v="2011-03-25T00:00:00"/>
    <n v="4"/>
    <x v="1"/>
    <s v="Gary McGarr"/>
    <x v="0"/>
    <m/>
    <s v="Knoxville"/>
    <s v="Tennessee"/>
    <s v="South"/>
    <x v="0"/>
    <x v="1"/>
    <s v="Global Highback Leather Tilter in Burgundy"/>
    <x v="5165"/>
    <n v="3"/>
    <n v="0.2"/>
    <n v="-10.918799999999999"/>
  </r>
  <r>
    <n v="8347"/>
    <x v="28"/>
    <x v="1"/>
    <x v="3"/>
    <d v="2012-05-04T00:00:00"/>
    <n v="4"/>
    <x v="1"/>
    <s v="Jane Waco"/>
    <x v="1"/>
    <m/>
    <s v="Lawrence"/>
    <s v="Massachusetts"/>
    <s v="East"/>
    <x v="0"/>
    <x v="5"/>
    <s v="Eldon 200 Class Desk Accessories, Burgundy"/>
    <x v="809"/>
    <n v="5"/>
    <n v="0"/>
    <n v="13.188000000000001"/>
  </r>
  <r>
    <n v="8348"/>
    <x v="28"/>
    <x v="1"/>
    <x v="3"/>
    <d v="2012-05-04T00:00:00"/>
    <n v="4"/>
    <x v="1"/>
    <s v="Jane Waco"/>
    <x v="1"/>
    <m/>
    <s v="Lawrence"/>
    <s v="Massachusetts"/>
    <s v="East"/>
    <x v="0"/>
    <x v="5"/>
    <s v="DAX Two-Tone Rosewood/Black Document Frame, Desktop, 5 x 7"/>
    <x v="5166"/>
    <n v="1"/>
    <n v="0"/>
    <n v="3.7919999999999998"/>
  </r>
  <r>
    <n v="8349"/>
    <x v="28"/>
    <x v="1"/>
    <x v="3"/>
    <d v="2012-05-04T00:00:00"/>
    <n v="4"/>
    <x v="1"/>
    <s v="Jane Waco"/>
    <x v="1"/>
    <m/>
    <s v="Lawrence"/>
    <s v="Massachusetts"/>
    <s v="East"/>
    <x v="2"/>
    <x v="7"/>
    <s v="iKross Bluetooth Portable Keyboard + Cell Phone Stand Holder + Brush for Apple iPhone 5S 5C 5, 4S 4"/>
    <x v="5167"/>
    <n v="10"/>
    <n v="0"/>
    <n v="58.66"/>
  </r>
  <r>
    <n v="8350"/>
    <x v="28"/>
    <x v="1"/>
    <x v="3"/>
    <d v="2012-05-04T00:00:00"/>
    <n v="4"/>
    <x v="1"/>
    <s v="Jane Waco"/>
    <x v="1"/>
    <m/>
    <s v="Lawrence"/>
    <s v="Massachusetts"/>
    <s v="East"/>
    <x v="0"/>
    <x v="5"/>
    <s v="Eldon Imàge Series Desk Accessories, Clear"/>
    <x v="5168"/>
    <n v="5"/>
    <n v="0"/>
    <n v="10.449"/>
  </r>
  <r>
    <n v="8351"/>
    <x v="28"/>
    <x v="1"/>
    <x v="3"/>
    <d v="2012-05-04T00:00:00"/>
    <n v="4"/>
    <x v="1"/>
    <s v="Jane Waco"/>
    <x v="1"/>
    <m/>
    <s v="Lawrence"/>
    <s v="Massachusetts"/>
    <s v="East"/>
    <x v="1"/>
    <x v="10"/>
    <s v="Weyerhaeuser First Choice Laser/Copy Paper (20Lb. and 88 Bright)"/>
    <x v="90"/>
    <n v="1"/>
    <n v="0"/>
    <n v="3.1103999999999998"/>
  </r>
  <r>
    <n v="8352"/>
    <x v="898"/>
    <x v="3"/>
    <x v="5"/>
    <d v="2014-05-09T00:00:00"/>
    <n v="5"/>
    <x v="1"/>
    <s v="Bill Overfelt"/>
    <x v="1"/>
    <m/>
    <s v="Philadelphia"/>
    <s v="Pennsylvania"/>
    <s v="East"/>
    <x v="0"/>
    <x v="5"/>
    <s v="Career Cubicle Clock, 8 1/4&quot;, Black"/>
    <x v="5169"/>
    <n v="2"/>
    <n v="0.2"/>
    <n v="7.3007999999999997"/>
  </r>
  <r>
    <n v="8353"/>
    <x v="898"/>
    <x v="3"/>
    <x v="5"/>
    <d v="2014-05-09T00:00:00"/>
    <n v="5"/>
    <x v="1"/>
    <s v="Bill Overfelt"/>
    <x v="1"/>
    <m/>
    <s v="Philadelphia"/>
    <s v="Pennsylvania"/>
    <s v="East"/>
    <x v="1"/>
    <x v="8"/>
    <s v="Wilson Jones Legal Size Ring Binders"/>
    <x v="5170"/>
    <n v="4"/>
    <n v="0.7"/>
    <n v="-17.591999999999999"/>
  </r>
  <r>
    <n v="8354"/>
    <x v="898"/>
    <x v="3"/>
    <x v="5"/>
    <d v="2014-05-09T00:00:00"/>
    <n v="5"/>
    <x v="1"/>
    <s v="Bill Overfelt"/>
    <x v="1"/>
    <m/>
    <s v="Philadelphia"/>
    <s v="Pennsylvania"/>
    <s v="East"/>
    <x v="0"/>
    <x v="3"/>
    <s v="Bevis 36 x 72 Conference Tables"/>
    <x v="5171"/>
    <n v="5"/>
    <n v="0.4"/>
    <n v="-112.041"/>
  </r>
  <r>
    <n v="8355"/>
    <x v="898"/>
    <x v="3"/>
    <x v="5"/>
    <d v="2014-05-09T00:00:00"/>
    <n v="5"/>
    <x v="1"/>
    <s v="Bill Overfelt"/>
    <x v="1"/>
    <m/>
    <s v="Philadelphia"/>
    <s v="Pennsylvania"/>
    <s v="East"/>
    <x v="1"/>
    <x v="8"/>
    <s v="Wilson Jones Elliptical Ring 3 1/2&quot; Capacity Binders, 800 sheets"/>
    <x v="4010"/>
    <n v="5"/>
    <n v="0.7"/>
    <n v="-44.94"/>
  </r>
  <r>
    <n v="8356"/>
    <x v="898"/>
    <x v="3"/>
    <x v="5"/>
    <d v="2014-05-09T00:00:00"/>
    <n v="5"/>
    <x v="1"/>
    <s v="Bill Overfelt"/>
    <x v="1"/>
    <m/>
    <s v="Philadelphia"/>
    <s v="Pennsylvania"/>
    <s v="East"/>
    <x v="1"/>
    <x v="13"/>
    <s v="Advantus Plastic Paper Clips"/>
    <x v="3778"/>
    <n v="2"/>
    <n v="0.2"/>
    <n v="2.8"/>
  </r>
  <r>
    <n v="8357"/>
    <x v="370"/>
    <x v="0"/>
    <x v="6"/>
    <d v="2013-08-31T00:00:00"/>
    <n v="4"/>
    <x v="1"/>
    <s v="Xylona Preis"/>
    <x v="0"/>
    <m/>
    <s v="Athens"/>
    <s v="Georgia"/>
    <s v="South"/>
    <x v="0"/>
    <x v="5"/>
    <s v="Deflect-o Glass Clear Studded Chair Mats"/>
    <x v="4519"/>
    <n v="3"/>
    <n v="0"/>
    <n v="41.038800000000002"/>
  </r>
  <r>
    <n v="8358"/>
    <x v="909"/>
    <x v="2"/>
    <x v="3"/>
    <d v="2011-04-18T00:00:00"/>
    <n v="7"/>
    <x v="1"/>
    <s v="Michelle Moray"/>
    <x v="0"/>
    <m/>
    <s v="Great Falls"/>
    <s v="Montana"/>
    <s v="West"/>
    <x v="1"/>
    <x v="4"/>
    <s v="Eldon Simplefile Box Office"/>
    <x v="5172"/>
    <n v="7"/>
    <n v="0"/>
    <n v="24.382400000000001"/>
  </r>
  <r>
    <n v="8359"/>
    <x v="909"/>
    <x v="2"/>
    <x v="3"/>
    <d v="2011-04-18T00:00:00"/>
    <n v="7"/>
    <x v="1"/>
    <s v="Michelle Moray"/>
    <x v="0"/>
    <m/>
    <s v="Great Falls"/>
    <s v="Montana"/>
    <s v="West"/>
    <x v="2"/>
    <x v="7"/>
    <s v="AT&amp;T SB67148 SynJ"/>
    <x v="550"/>
    <n v="2"/>
    <n v="0.2"/>
    <n v="9.2385999999999999"/>
  </r>
  <r>
    <n v="8360"/>
    <x v="909"/>
    <x v="2"/>
    <x v="3"/>
    <d v="2011-04-18T00:00:00"/>
    <n v="7"/>
    <x v="1"/>
    <s v="Michelle Moray"/>
    <x v="0"/>
    <m/>
    <s v="Great Falls"/>
    <s v="Montana"/>
    <s v="West"/>
    <x v="2"/>
    <x v="11"/>
    <s v="Memorex Mini Travel Drive 64 GB USB 2.0 Flash Drive"/>
    <x v="5173"/>
    <n v="6"/>
    <n v="0"/>
    <n v="91.324799999999996"/>
  </r>
  <r>
    <n v="8361"/>
    <x v="460"/>
    <x v="3"/>
    <x v="9"/>
    <d v="2014-01-05T00:00:00"/>
    <n v="2"/>
    <x v="0"/>
    <s v="Trudy Schmidt"/>
    <x v="0"/>
    <m/>
    <s v="El Paso"/>
    <s v="Texas"/>
    <s v="Central"/>
    <x v="1"/>
    <x v="6"/>
    <s v="Newell 319"/>
    <x v="3993"/>
    <n v="2"/>
    <n v="0.2"/>
    <n v="3.968"/>
  </r>
  <r>
    <n v="8362"/>
    <x v="460"/>
    <x v="3"/>
    <x v="9"/>
    <d v="2014-01-05T00:00:00"/>
    <n v="2"/>
    <x v="0"/>
    <s v="Trudy Schmidt"/>
    <x v="0"/>
    <m/>
    <s v="El Paso"/>
    <s v="Texas"/>
    <s v="Central"/>
    <x v="1"/>
    <x v="9"/>
    <s v="Hoover Commercial SteamVac"/>
    <x v="5174"/>
    <n v="2"/>
    <n v="0.8"/>
    <n v="-13.58"/>
  </r>
  <r>
    <n v="8363"/>
    <x v="460"/>
    <x v="3"/>
    <x v="9"/>
    <d v="2014-01-05T00:00:00"/>
    <n v="2"/>
    <x v="0"/>
    <s v="Trudy Schmidt"/>
    <x v="0"/>
    <m/>
    <s v="El Paso"/>
    <s v="Texas"/>
    <s v="Central"/>
    <x v="0"/>
    <x v="3"/>
    <s v="Bevis Oval Conference Table, Walnut"/>
    <x v="3245"/>
    <n v="5"/>
    <n v="0.3"/>
    <n v="-169.637"/>
  </r>
  <r>
    <n v="8364"/>
    <x v="460"/>
    <x v="3"/>
    <x v="9"/>
    <d v="2014-01-05T00:00:00"/>
    <n v="2"/>
    <x v="0"/>
    <s v="Trudy Schmidt"/>
    <x v="0"/>
    <m/>
    <s v="El Paso"/>
    <s v="Texas"/>
    <s v="Central"/>
    <x v="1"/>
    <x v="4"/>
    <s v="Dual Level, Single-Width Filing Carts"/>
    <x v="5175"/>
    <n v="3"/>
    <n v="0.2"/>
    <n v="27.910799999999998"/>
  </r>
  <r>
    <n v="8365"/>
    <x v="1045"/>
    <x v="3"/>
    <x v="3"/>
    <d v="2014-05-03T00:00:00"/>
    <n v="4"/>
    <x v="1"/>
    <s v="Janet Lee"/>
    <x v="0"/>
    <m/>
    <s v="Kissimmee"/>
    <s v="Florida"/>
    <s v="South"/>
    <x v="2"/>
    <x v="7"/>
    <s v="Samsung Galaxy S4 Mini"/>
    <x v="5176"/>
    <n v="2"/>
    <n v="0.2"/>
    <n v="84.598200000000006"/>
  </r>
  <r>
    <n v="8366"/>
    <x v="289"/>
    <x v="3"/>
    <x v="9"/>
    <d v="2014-02-03T00:00:00"/>
    <n v="3"/>
    <x v="2"/>
    <s v="Sam Zeldin"/>
    <x v="2"/>
    <m/>
    <s v="Seattle"/>
    <s v="Washington"/>
    <s v="West"/>
    <x v="2"/>
    <x v="7"/>
    <s v="Mitel 5320 IP Phone VoIP phone"/>
    <x v="5177"/>
    <n v="4"/>
    <n v="0.2"/>
    <n v="60.476799999999997"/>
  </r>
  <r>
    <n v="8367"/>
    <x v="557"/>
    <x v="2"/>
    <x v="8"/>
    <d v="2011-09-12T00:00:00"/>
    <n v="5"/>
    <x v="0"/>
    <s v="Lisa Ryan"/>
    <x v="1"/>
    <m/>
    <s v="Santa Clara"/>
    <s v="California"/>
    <s v="West"/>
    <x v="1"/>
    <x v="14"/>
    <s v="Acme Design Line 8&quot; Stainless Steel Bent Scissors w/Champagne Handles, 3-1/8&quot; Cut"/>
    <x v="3251"/>
    <n v="4"/>
    <n v="0"/>
    <n v="7.3872"/>
  </r>
  <r>
    <n v="8368"/>
    <x v="557"/>
    <x v="2"/>
    <x v="8"/>
    <d v="2011-09-12T00:00:00"/>
    <n v="5"/>
    <x v="0"/>
    <s v="Lisa Ryan"/>
    <x v="1"/>
    <m/>
    <s v="Santa Clara"/>
    <s v="California"/>
    <s v="West"/>
    <x v="1"/>
    <x v="10"/>
    <s v="Message Book, Wirebound, Four 5 1/2&quot; X 4&quot; Forms/Pg., 200 Dupl. Sets/Book"/>
    <x v="5178"/>
    <n v="2"/>
    <n v="0"/>
    <n v="9.6631999999999998"/>
  </r>
  <r>
    <n v="8369"/>
    <x v="557"/>
    <x v="2"/>
    <x v="8"/>
    <d v="2011-09-12T00:00:00"/>
    <n v="5"/>
    <x v="0"/>
    <s v="Lisa Ryan"/>
    <x v="1"/>
    <m/>
    <s v="Santa Clara"/>
    <s v="California"/>
    <s v="West"/>
    <x v="1"/>
    <x v="8"/>
    <s v="Avery Legal 4-Ring Binder"/>
    <x v="202"/>
    <n v="5"/>
    <n v="0.2"/>
    <n v="31.47"/>
  </r>
  <r>
    <n v="8370"/>
    <x v="725"/>
    <x v="0"/>
    <x v="1"/>
    <d v="2013-06-17T00:00:00"/>
    <n v="5"/>
    <x v="1"/>
    <s v="Seth Vernon"/>
    <x v="0"/>
    <m/>
    <s v="Los Angeles"/>
    <s v="California"/>
    <s v="West"/>
    <x v="0"/>
    <x v="3"/>
    <s v="Bretford Rectangular Conference Table Tops"/>
    <x v="3359"/>
    <n v="3"/>
    <n v="0.2"/>
    <n v="33.851700000000001"/>
  </r>
  <r>
    <n v="8371"/>
    <x v="508"/>
    <x v="0"/>
    <x v="2"/>
    <d v="2013-10-22T00:00:00"/>
    <n v="4"/>
    <x v="1"/>
    <s v="Michael Granlund"/>
    <x v="2"/>
    <m/>
    <s v="Fresno"/>
    <s v="California"/>
    <s v="West"/>
    <x v="0"/>
    <x v="0"/>
    <s v="Safco Value Mate Steel Bookcase, Baked Enamel Finish on Steel, Black"/>
    <x v="2446"/>
    <n v="2"/>
    <n v="0.15"/>
    <n v="21.294"/>
  </r>
  <r>
    <n v="8372"/>
    <x v="422"/>
    <x v="2"/>
    <x v="4"/>
    <d v="2011-12-30T00:00:00"/>
    <n v="3"/>
    <x v="2"/>
    <s v="Nathan Cano"/>
    <x v="0"/>
    <m/>
    <s v="Fort Worth"/>
    <s v="Texas"/>
    <s v="Central"/>
    <x v="1"/>
    <x v="8"/>
    <s v="GBC Standard Therm-A-Bind Covers"/>
    <x v="5179"/>
    <n v="1"/>
    <n v="0.8"/>
    <n v="-8.4727999999999994"/>
  </r>
  <r>
    <n v="8373"/>
    <x v="390"/>
    <x v="0"/>
    <x v="0"/>
    <d v="2013-12-02T00:00:00"/>
    <n v="7"/>
    <x v="1"/>
    <s v="Steve Carroll"/>
    <x v="2"/>
    <m/>
    <s v="Seattle"/>
    <s v="Washington"/>
    <s v="West"/>
    <x v="0"/>
    <x v="5"/>
    <s v="Howard Miller Distant Time Traveler Alarm Clock"/>
    <x v="4303"/>
    <n v="3"/>
    <n v="0"/>
    <n v="33.726599999999998"/>
  </r>
  <r>
    <n v="8374"/>
    <x v="338"/>
    <x v="0"/>
    <x v="0"/>
    <d v="2013-11-14T00:00:00"/>
    <n v="3"/>
    <x v="2"/>
    <s v="Rose O'Brian"/>
    <x v="0"/>
    <m/>
    <s v="San Francisco"/>
    <s v="California"/>
    <s v="West"/>
    <x v="1"/>
    <x v="4"/>
    <s v="Acco Perma 2700 Stacking Storage Drawers"/>
    <x v="5180"/>
    <n v="1"/>
    <n v="0"/>
    <n v="4.4610000000000003"/>
  </r>
  <r>
    <n v="8375"/>
    <x v="956"/>
    <x v="1"/>
    <x v="9"/>
    <d v="2012-01-10T00:00:00"/>
    <n v="5"/>
    <x v="1"/>
    <s v="James Lanier"/>
    <x v="2"/>
    <m/>
    <s v="San Francisco"/>
    <s v="California"/>
    <s v="West"/>
    <x v="1"/>
    <x v="9"/>
    <s v="Acco 6 Outlet Guardian Premium Surge Suppressor"/>
    <x v="5181"/>
    <n v="6"/>
    <n v="0"/>
    <n v="23.587199999999999"/>
  </r>
  <r>
    <n v="8376"/>
    <x v="956"/>
    <x v="1"/>
    <x v="9"/>
    <d v="2012-01-10T00:00:00"/>
    <n v="5"/>
    <x v="1"/>
    <s v="James Lanier"/>
    <x v="2"/>
    <m/>
    <s v="San Francisco"/>
    <s v="California"/>
    <s v="West"/>
    <x v="1"/>
    <x v="8"/>
    <s v="Fellowes Binding Cases"/>
    <x v="5182"/>
    <n v="6"/>
    <n v="0.2"/>
    <n v="17.55"/>
  </r>
  <r>
    <n v="8377"/>
    <x v="708"/>
    <x v="3"/>
    <x v="10"/>
    <d v="2014-03-28T00:00:00"/>
    <n v="6"/>
    <x v="1"/>
    <s v="Pauline Webber"/>
    <x v="1"/>
    <m/>
    <s v="Pompano Beach"/>
    <s v="Florida"/>
    <s v="South"/>
    <x v="1"/>
    <x v="9"/>
    <s v="APC 7 Outlet Network SurgeArrest Surge Protector"/>
    <x v="5183"/>
    <n v="1"/>
    <n v="0.2"/>
    <n v="8.048"/>
  </r>
  <r>
    <n v="8378"/>
    <x v="768"/>
    <x v="1"/>
    <x v="0"/>
    <d v="2012-11-18T00:00:00"/>
    <n v="6"/>
    <x v="1"/>
    <s v="Monica Federle"/>
    <x v="1"/>
    <m/>
    <s v="Houston"/>
    <s v="Texas"/>
    <s v="Central"/>
    <x v="1"/>
    <x v="4"/>
    <s v="Carina 42&quot;Hx23 3/4&quot;W Media Storage Unit"/>
    <x v="1445"/>
    <n v="1"/>
    <n v="0.2"/>
    <n v="-14.5764"/>
  </r>
  <r>
    <n v="8379"/>
    <x v="768"/>
    <x v="1"/>
    <x v="0"/>
    <d v="2012-11-18T00:00:00"/>
    <n v="6"/>
    <x v="1"/>
    <s v="Monica Federle"/>
    <x v="1"/>
    <m/>
    <s v="Houston"/>
    <s v="Texas"/>
    <s v="Central"/>
    <x v="1"/>
    <x v="10"/>
    <s v="Xerox 1957"/>
    <x v="12"/>
    <n v="3"/>
    <n v="0.2"/>
    <n v="5.6375999999999999"/>
  </r>
  <r>
    <n v="8380"/>
    <x v="768"/>
    <x v="1"/>
    <x v="0"/>
    <d v="2012-11-18T00:00:00"/>
    <n v="6"/>
    <x v="1"/>
    <s v="Monica Federle"/>
    <x v="1"/>
    <m/>
    <s v="Houston"/>
    <s v="Texas"/>
    <s v="Central"/>
    <x v="1"/>
    <x v="12"/>
    <s v="Blue String-Tie &amp; Button Interoffice Envelopes, 10 x 13"/>
    <x v="5184"/>
    <n v="7"/>
    <n v="0.2"/>
    <n v="69.965000000000003"/>
  </r>
  <r>
    <n v="8381"/>
    <x v="340"/>
    <x v="2"/>
    <x v="8"/>
    <d v="2011-09-14T00:00:00"/>
    <n v="5"/>
    <x v="0"/>
    <s v="Chris Cortes"/>
    <x v="0"/>
    <m/>
    <s v="Chicago"/>
    <s v="Illinois"/>
    <s v="Central"/>
    <x v="1"/>
    <x v="10"/>
    <s v="Ampad Poly Cover Wirebound Steno Book, 6&quot; x 9&quot; Assorted Colors, Gregg Ruled"/>
    <x v="2944"/>
    <n v="3"/>
    <n v="0.2"/>
    <n v="3.4049999999999998"/>
  </r>
  <r>
    <n v="8382"/>
    <x v="716"/>
    <x v="0"/>
    <x v="10"/>
    <d v="2013-03-20T00:00:00"/>
    <n v="2"/>
    <x v="0"/>
    <s v="Anna Chung"/>
    <x v="0"/>
    <m/>
    <s v="San Francisco"/>
    <s v="California"/>
    <s v="West"/>
    <x v="2"/>
    <x v="7"/>
    <s v="i.Sound Portable Power - 8000 mAh"/>
    <x v="556"/>
    <n v="2"/>
    <n v="0.2"/>
    <n v="-20.136199999999999"/>
  </r>
  <r>
    <n v="8383"/>
    <x v="597"/>
    <x v="0"/>
    <x v="11"/>
    <d v="2013-02-15T00:00:00"/>
    <n v="7"/>
    <x v="1"/>
    <s v="Mark Haberlin"/>
    <x v="1"/>
    <m/>
    <s v="Houston"/>
    <s v="Texas"/>
    <s v="Central"/>
    <x v="0"/>
    <x v="1"/>
    <s v="Harbour Creations Steel Folding Chair"/>
    <x v="5185"/>
    <n v="4"/>
    <n v="0.3"/>
    <n v="0"/>
  </r>
  <r>
    <n v="8384"/>
    <x v="491"/>
    <x v="0"/>
    <x v="0"/>
    <d v="2013-11-29T00:00:00"/>
    <n v="2"/>
    <x v="2"/>
    <s v="Cynthia Delaney"/>
    <x v="2"/>
    <m/>
    <s v="Shelton"/>
    <s v="Connecticut"/>
    <s v="East"/>
    <x v="2"/>
    <x v="11"/>
    <s v="Micropad Numeric Keypads"/>
    <x v="127"/>
    <n v="3"/>
    <n v="0"/>
    <n v="14.9925"/>
  </r>
  <r>
    <n v="8385"/>
    <x v="491"/>
    <x v="0"/>
    <x v="0"/>
    <d v="2013-11-29T00:00:00"/>
    <n v="2"/>
    <x v="2"/>
    <s v="Cynthia Delaney"/>
    <x v="2"/>
    <m/>
    <s v="Shelton"/>
    <s v="Connecticut"/>
    <s v="East"/>
    <x v="1"/>
    <x v="10"/>
    <s v="Xerox 1959"/>
    <x v="518"/>
    <n v="2"/>
    <n v="0"/>
    <n v="6.4127999999999998"/>
  </r>
  <r>
    <n v="8386"/>
    <x v="507"/>
    <x v="3"/>
    <x v="8"/>
    <d v="2014-09-09T00:00:00"/>
    <n v="4"/>
    <x v="1"/>
    <s v="Cynthia Voltz"/>
    <x v="1"/>
    <m/>
    <s v="Oakland"/>
    <s v="California"/>
    <s v="West"/>
    <x v="1"/>
    <x v="8"/>
    <s v="Pressboard Hanging Data Binders for Unburst Sheets"/>
    <x v="921"/>
    <n v="3"/>
    <n v="0.2"/>
    <n v="4.1327999999999996"/>
  </r>
  <r>
    <n v="8387"/>
    <x v="71"/>
    <x v="1"/>
    <x v="5"/>
    <d v="2012-06-03T00:00:00"/>
    <n v="6"/>
    <x v="1"/>
    <s v="Trudy Brown"/>
    <x v="0"/>
    <m/>
    <s v="Manchester"/>
    <s v="Connecticut"/>
    <s v="East"/>
    <x v="1"/>
    <x v="4"/>
    <s v="Acco Perma 4000 Stacking Storage Drawers"/>
    <x v="5186"/>
    <n v="1"/>
    <n v="0"/>
    <n v="2.4359999999999999"/>
  </r>
  <r>
    <n v="8388"/>
    <x v="71"/>
    <x v="1"/>
    <x v="5"/>
    <d v="2012-06-03T00:00:00"/>
    <n v="6"/>
    <x v="1"/>
    <s v="Trudy Brown"/>
    <x v="0"/>
    <m/>
    <s v="Manchester"/>
    <s v="Connecticut"/>
    <s v="East"/>
    <x v="1"/>
    <x v="4"/>
    <s v="Personal Filing Tote with Lid, Black/Gray"/>
    <x v="3378"/>
    <n v="5"/>
    <n v="0"/>
    <n v="21.713999999999999"/>
  </r>
  <r>
    <n v="8389"/>
    <x v="301"/>
    <x v="2"/>
    <x v="0"/>
    <d v="2011-11-05T00:00:00"/>
    <n v="4"/>
    <x v="1"/>
    <s v="Deirdre Greer"/>
    <x v="1"/>
    <m/>
    <s v="Orange"/>
    <s v="New Jersey"/>
    <s v="East"/>
    <x v="1"/>
    <x v="9"/>
    <s v="Fellowes Superior 10 Outlet Split Surge Protector"/>
    <x v="562"/>
    <n v="2"/>
    <n v="0"/>
    <n v="22.0748"/>
  </r>
  <r>
    <n v="8390"/>
    <x v="797"/>
    <x v="0"/>
    <x v="4"/>
    <d v="2013-12-31T00:00:00"/>
    <n v="3"/>
    <x v="2"/>
    <s v="Ross DeVincentis"/>
    <x v="2"/>
    <m/>
    <s v="Akron"/>
    <s v="Ohio"/>
    <s v="East"/>
    <x v="1"/>
    <x v="13"/>
    <s v="OIC Colored Binder Clips, Assorted Sizes"/>
    <x v="5187"/>
    <n v="6"/>
    <n v="0.2"/>
    <n v="6.2291999999999996"/>
  </r>
  <r>
    <n v="8391"/>
    <x v="769"/>
    <x v="3"/>
    <x v="4"/>
    <d v="2014-12-07T00:00:00"/>
    <n v="2"/>
    <x v="2"/>
    <s v="Chris Selesnick"/>
    <x v="1"/>
    <m/>
    <s v="Los Angeles"/>
    <s v="California"/>
    <s v="West"/>
    <x v="1"/>
    <x v="10"/>
    <s v="Adams Telephone Message Book W/Dividers/Space For Phone Numbers, 5 1/4&quot;X8 1/2&quot;, 300/Messages"/>
    <x v="2660"/>
    <n v="2"/>
    <n v="0"/>
    <n v="5.7624000000000004"/>
  </r>
  <r>
    <n v="8392"/>
    <x v="331"/>
    <x v="3"/>
    <x v="4"/>
    <d v="2014-12-31T00:00:00"/>
    <n v="7"/>
    <x v="1"/>
    <s v="Julia Barnett"/>
    <x v="2"/>
    <m/>
    <s v="Danbury"/>
    <s v="Connecticut"/>
    <s v="East"/>
    <x v="0"/>
    <x v="5"/>
    <s v="DAX Wood Document Frame"/>
    <x v="1287"/>
    <n v="2"/>
    <n v="0"/>
    <n v="9.8856000000000002"/>
  </r>
  <r>
    <n v="8393"/>
    <x v="49"/>
    <x v="0"/>
    <x v="4"/>
    <d v="2013-12-07T00:00:00"/>
    <n v="5"/>
    <x v="0"/>
    <s v="Eva Jacobs"/>
    <x v="0"/>
    <m/>
    <s v="Franklin"/>
    <s v="Massachusetts"/>
    <s v="East"/>
    <x v="2"/>
    <x v="7"/>
    <s v="Jensen SMPS-640 - speaker phone"/>
    <x v="4658"/>
    <n v="3"/>
    <n v="0"/>
    <n v="35.864400000000003"/>
  </r>
  <r>
    <n v="8394"/>
    <x v="49"/>
    <x v="0"/>
    <x v="4"/>
    <d v="2013-12-07T00:00:00"/>
    <n v="5"/>
    <x v="0"/>
    <s v="Eva Jacobs"/>
    <x v="0"/>
    <m/>
    <s v="Franklin"/>
    <s v="Massachusetts"/>
    <s v="East"/>
    <x v="0"/>
    <x v="5"/>
    <s v="Executive Impressions 14&quot;"/>
    <x v="4623"/>
    <n v="5"/>
    <n v="0"/>
    <n v="48.905999999999999"/>
  </r>
  <r>
    <n v="8395"/>
    <x v="49"/>
    <x v="0"/>
    <x v="4"/>
    <d v="2013-12-07T00:00:00"/>
    <n v="5"/>
    <x v="0"/>
    <s v="Eva Jacobs"/>
    <x v="0"/>
    <m/>
    <s v="Franklin"/>
    <s v="Massachusetts"/>
    <s v="East"/>
    <x v="1"/>
    <x v="9"/>
    <s v="Honeywell Enviracaire Portable HEPA Air Cleaner for 17' x 22' Room"/>
    <x v="3256"/>
    <n v="3"/>
    <n v="0"/>
    <n v="297.64350000000002"/>
  </r>
  <r>
    <n v="8396"/>
    <x v="49"/>
    <x v="0"/>
    <x v="4"/>
    <d v="2013-12-07T00:00:00"/>
    <n v="5"/>
    <x v="0"/>
    <s v="Eva Jacobs"/>
    <x v="0"/>
    <m/>
    <s v="Franklin"/>
    <s v="Massachusetts"/>
    <s v="East"/>
    <x v="0"/>
    <x v="3"/>
    <s v="Chromcraft Round Conference Tables"/>
    <x v="5188"/>
    <n v="3"/>
    <n v="0.3"/>
    <n v="-47.058300000000003"/>
  </r>
  <r>
    <n v="8397"/>
    <x v="479"/>
    <x v="2"/>
    <x v="1"/>
    <d v="2011-06-30T00:00:00"/>
    <n v="0"/>
    <x v="3"/>
    <s v="Brian DeCherney"/>
    <x v="0"/>
    <m/>
    <s v="Wilmington"/>
    <s v="North Carolina"/>
    <s v="South"/>
    <x v="1"/>
    <x v="10"/>
    <s v="Xerox 1913"/>
    <x v="5189"/>
    <n v="7"/>
    <n v="0.2"/>
    <n v="108.74079999999999"/>
  </r>
  <r>
    <n v="8398"/>
    <x v="1010"/>
    <x v="2"/>
    <x v="8"/>
    <d v="2011-09-04T00:00:00"/>
    <n v="1"/>
    <x v="2"/>
    <s v="Mathew Reese"/>
    <x v="2"/>
    <m/>
    <s v="Houston"/>
    <s v="Texas"/>
    <s v="Central"/>
    <x v="1"/>
    <x v="8"/>
    <s v="GBC VeloBinder Strips"/>
    <x v="5190"/>
    <n v="5"/>
    <n v="0.8"/>
    <n v="-11.52"/>
  </r>
  <r>
    <n v="8399"/>
    <x v="808"/>
    <x v="3"/>
    <x v="0"/>
    <d v="2014-11-08T00:00:00"/>
    <n v="5"/>
    <x v="0"/>
    <s v="Sharelle Roach"/>
    <x v="2"/>
    <m/>
    <s v="Springfield"/>
    <s v="Ohio"/>
    <s v="East"/>
    <x v="0"/>
    <x v="1"/>
    <s v="Office Star Flex Back Scooter Chair with White Frame"/>
    <x v="1165"/>
    <n v="2"/>
    <n v="0.3"/>
    <n v="-35.513599999999997"/>
  </r>
  <r>
    <n v="8400"/>
    <x v="657"/>
    <x v="1"/>
    <x v="3"/>
    <d v="2012-04-18T00:00:00"/>
    <n v="5"/>
    <x v="1"/>
    <s v="Thea Hendricks"/>
    <x v="0"/>
    <m/>
    <s v="Glendale"/>
    <s v="Arizona"/>
    <s v="West"/>
    <x v="1"/>
    <x v="4"/>
    <s v="Neat Ideas Personal Hanging Folder Files, Black"/>
    <x v="1340"/>
    <n v="1"/>
    <n v="0.2"/>
    <n v="0.80579999999999996"/>
  </r>
  <r>
    <n v="8401"/>
    <x v="901"/>
    <x v="1"/>
    <x v="4"/>
    <d v="2012-12-09T00:00:00"/>
    <n v="4"/>
    <x v="0"/>
    <s v="Brian Derr"/>
    <x v="0"/>
    <m/>
    <s v="New York City"/>
    <s v="New York"/>
    <s v="East"/>
    <x v="1"/>
    <x v="8"/>
    <s v="Avery Arch Ring Binders"/>
    <x v="2595"/>
    <n v="5"/>
    <n v="0.2"/>
    <n v="78.435000000000002"/>
  </r>
  <r>
    <n v="8402"/>
    <x v="901"/>
    <x v="1"/>
    <x v="4"/>
    <d v="2012-12-09T00:00:00"/>
    <n v="4"/>
    <x v="0"/>
    <s v="Brian Derr"/>
    <x v="0"/>
    <m/>
    <s v="New York City"/>
    <s v="New York"/>
    <s v="East"/>
    <x v="0"/>
    <x v="1"/>
    <s v="Global Armless Task Chair, Royal Blue"/>
    <x v="5191"/>
    <n v="3"/>
    <n v="0.1"/>
    <n v="12.8058"/>
  </r>
  <r>
    <n v="8403"/>
    <x v="901"/>
    <x v="1"/>
    <x v="4"/>
    <d v="2012-12-09T00:00:00"/>
    <n v="4"/>
    <x v="0"/>
    <s v="Brian Derr"/>
    <x v="0"/>
    <m/>
    <s v="New York City"/>
    <s v="New York"/>
    <s v="East"/>
    <x v="1"/>
    <x v="10"/>
    <s v="Xerox 188"/>
    <x v="5192"/>
    <n v="2"/>
    <n v="0"/>
    <n v="11.113200000000001"/>
  </r>
  <r>
    <n v="8404"/>
    <x v="854"/>
    <x v="0"/>
    <x v="11"/>
    <d v="2013-02-07T00:00:00"/>
    <n v="6"/>
    <x v="1"/>
    <s v="Suzanne McNair"/>
    <x v="1"/>
    <m/>
    <s v="Los Angeles"/>
    <s v="California"/>
    <s v="West"/>
    <x v="1"/>
    <x v="10"/>
    <s v="Xerox 1883"/>
    <x v="151"/>
    <n v="4"/>
    <n v="0"/>
    <n v="48.539200000000001"/>
  </r>
  <r>
    <n v="8405"/>
    <x v="141"/>
    <x v="3"/>
    <x v="7"/>
    <d v="2014-07-13T00:00:00"/>
    <n v="4"/>
    <x v="1"/>
    <s v="Harold Engle"/>
    <x v="1"/>
    <m/>
    <s v="Newark"/>
    <s v="Delaware"/>
    <s v="East"/>
    <x v="0"/>
    <x v="5"/>
    <s v="36X48 HARDFLOOR CHAIRMAT"/>
    <x v="202"/>
    <n v="4"/>
    <n v="0"/>
    <n v="5.8743999999999996"/>
  </r>
  <r>
    <n v="8406"/>
    <x v="141"/>
    <x v="3"/>
    <x v="7"/>
    <d v="2014-07-13T00:00:00"/>
    <n v="4"/>
    <x v="1"/>
    <s v="Harold Engle"/>
    <x v="1"/>
    <m/>
    <s v="Newark"/>
    <s v="Delaware"/>
    <s v="East"/>
    <x v="2"/>
    <x v="11"/>
    <s v="Maxell 4.7GB DVD-R"/>
    <x v="5193"/>
    <n v="5"/>
    <n v="0"/>
    <n v="58.179000000000002"/>
  </r>
  <r>
    <n v="8407"/>
    <x v="141"/>
    <x v="3"/>
    <x v="7"/>
    <d v="2014-07-13T00:00:00"/>
    <n v="4"/>
    <x v="1"/>
    <s v="Harold Engle"/>
    <x v="1"/>
    <m/>
    <s v="Newark"/>
    <s v="Delaware"/>
    <s v="East"/>
    <x v="0"/>
    <x v="5"/>
    <s v="Tensor Track Tree Floor Lamp"/>
    <x v="369"/>
    <n v="2"/>
    <n v="0"/>
    <n v="9.1953999999999994"/>
  </r>
  <r>
    <n v="8408"/>
    <x v="141"/>
    <x v="3"/>
    <x v="7"/>
    <d v="2014-07-13T00:00:00"/>
    <n v="4"/>
    <x v="1"/>
    <s v="Harold Engle"/>
    <x v="1"/>
    <m/>
    <s v="Newark"/>
    <s v="Delaware"/>
    <s v="East"/>
    <x v="1"/>
    <x v="6"/>
    <s v="Newell 325"/>
    <x v="1301"/>
    <n v="7"/>
    <n v="0"/>
    <n v="8.673"/>
  </r>
  <r>
    <n v="8409"/>
    <x v="141"/>
    <x v="3"/>
    <x v="7"/>
    <d v="2014-07-13T00:00:00"/>
    <n v="4"/>
    <x v="1"/>
    <s v="Harold Engle"/>
    <x v="1"/>
    <m/>
    <s v="Newark"/>
    <s v="Delaware"/>
    <s v="East"/>
    <x v="1"/>
    <x v="6"/>
    <s v="Hunt Boston Vacuum Mount KS Pencil Sharpener"/>
    <x v="5130"/>
    <n v="5"/>
    <n v="0"/>
    <n v="45.487000000000002"/>
  </r>
  <r>
    <n v="8410"/>
    <x v="555"/>
    <x v="1"/>
    <x v="4"/>
    <d v="2012-12-17T00:00:00"/>
    <n v="6"/>
    <x v="1"/>
    <s v="Jim Kriz"/>
    <x v="2"/>
    <m/>
    <s v="San Bernardino"/>
    <s v="California"/>
    <s v="West"/>
    <x v="1"/>
    <x v="8"/>
    <s v="GBC Recycled Grain Textured Covers"/>
    <x v="5194"/>
    <n v="4"/>
    <n v="0.2"/>
    <n v="38.684800000000003"/>
  </r>
  <r>
    <n v="8411"/>
    <x v="625"/>
    <x v="0"/>
    <x v="0"/>
    <d v="2013-11-16T00:00:00"/>
    <n v="0"/>
    <x v="3"/>
    <s v="Odella Nelson"/>
    <x v="1"/>
    <m/>
    <s v="Burlington"/>
    <s v="North Carolina"/>
    <s v="South"/>
    <x v="0"/>
    <x v="3"/>
    <s v="Hon Racetrack Conference Tables"/>
    <x v="5195"/>
    <n v="4"/>
    <n v="0.4"/>
    <n v="-199.5076"/>
  </r>
  <r>
    <n v="8412"/>
    <x v="195"/>
    <x v="0"/>
    <x v="5"/>
    <d v="2013-05-13T00:00:00"/>
    <n v="3"/>
    <x v="0"/>
    <s v="Thea Hendricks"/>
    <x v="0"/>
    <m/>
    <s v="Salem"/>
    <s v="Virginia"/>
    <s v="South"/>
    <x v="1"/>
    <x v="6"/>
    <s v="4009 Highlighters by Sanford"/>
    <x v="5196"/>
    <n v="7"/>
    <n v="0"/>
    <n v="9.1937999999999995"/>
  </r>
  <r>
    <n v="8413"/>
    <x v="434"/>
    <x v="3"/>
    <x v="10"/>
    <d v="2014-03-15T00:00:00"/>
    <n v="4"/>
    <x v="1"/>
    <s v="Maribeth Dona"/>
    <x v="0"/>
    <m/>
    <s v="Dallas"/>
    <s v="Texas"/>
    <s v="Central"/>
    <x v="0"/>
    <x v="3"/>
    <s v="Bevis Traditional Conference Table Top, Plinth Base"/>
    <x v="5197"/>
    <n v="4"/>
    <n v="0.3"/>
    <n v="-173.34719999999999"/>
  </r>
  <r>
    <n v="8414"/>
    <x v="907"/>
    <x v="0"/>
    <x v="4"/>
    <d v="2013-12-22T00:00:00"/>
    <n v="4"/>
    <x v="1"/>
    <s v="Adam Hart"/>
    <x v="1"/>
    <m/>
    <s v="Arlington"/>
    <s v="Texas"/>
    <s v="Central"/>
    <x v="1"/>
    <x v="10"/>
    <s v="Xerox 214"/>
    <x v="187"/>
    <n v="10"/>
    <n v="0.2"/>
    <n v="18.143999999999998"/>
  </r>
  <r>
    <n v="8415"/>
    <x v="907"/>
    <x v="0"/>
    <x v="4"/>
    <d v="2013-12-22T00:00:00"/>
    <n v="4"/>
    <x v="1"/>
    <s v="Adam Hart"/>
    <x v="1"/>
    <m/>
    <s v="Arlington"/>
    <s v="Texas"/>
    <s v="Central"/>
    <x v="2"/>
    <x v="11"/>
    <s v="WD My Passport Ultra 1TB Portable External Hard Drive"/>
    <x v="5198"/>
    <n v="3"/>
    <n v="0.2"/>
    <n v="-6.21"/>
  </r>
  <r>
    <n v="8416"/>
    <x v="1191"/>
    <x v="3"/>
    <x v="3"/>
    <d v="2014-04-13T00:00:00"/>
    <n v="6"/>
    <x v="1"/>
    <s v="Max Ludwig"/>
    <x v="2"/>
    <m/>
    <s v="Marion"/>
    <s v="Iowa"/>
    <s v="Central"/>
    <x v="1"/>
    <x v="10"/>
    <s v="Staples"/>
    <x v="1907"/>
    <n v="3"/>
    <n v="0"/>
    <n v="49.970399999999998"/>
  </r>
  <r>
    <n v="8417"/>
    <x v="1188"/>
    <x v="3"/>
    <x v="5"/>
    <d v="2014-05-12T00:00:00"/>
    <n v="2"/>
    <x v="2"/>
    <s v="Laurel Beltran"/>
    <x v="2"/>
    <m/>
    <s v="Seattle"/>
    <s v="Washington"/>
    <s v="West"/>
    <x v="1"/>
    <x v="8"/>
    <s v="GBC Velobind Prepunched Cover Sets, Regency Series"/>
    <x v="5199"/>
    <n v="5"/>
    <n v="0.2"/>
    <n v="46.225000000000001"/>
  </r>
  <r>
    <n v="8418"/>
    <x v="1188"/>
    <x v="3"/>
    <x v="5"/>
    <d v="2014-05-12T00:00:00"/>
    <n v="2"/>
    <x v="2"/>
    <s v="Laurel Beltran"/>
    <x v="2"/>
    <m/>
    <s v="Seattle"/>
    <s v="Washington"/>
    <s v="West"/>
    <x v="1"/>
    <x v="4"/>
    <s v="Home/Office Personal File Carts"/>
    <x v="1443"/>
    <n v="3"/>
    <n v="0"/>
    <n v="26.07"/>
  </r>
  <r>
    <n v="8419"/>
    <x v="1188"/>
    <x v="3"/>
    <x v="5"/>
    <d v="2014-05-12T00:00:00"/>
    <n v="2"/>
    <x v="2"/>
    <s v="Laurel Beltran"/>
    <x v="2"/>
    <m/>
    <s v="Seattle"/>
    <s v="Washington"/>
    <s v="West"/>
    <x v="0"/>
    <x v="3"/>
    <s v="Riverside Furniture Oval Coffee Table, Oval End Table, End Table with Drawer"/>
    <x v="5200"/>
    <n v="1"/>
    <n v="0"/>
    <n v="63.106999999999999"/>
  </r>
  <r>
    <n v="8420"/>
    <x v="1188"/>
    <x v="3"/>
    <x v="5"/>
    <d v="2014-05-12T00:00:00"/>
    <n v="2"/>
    <x v="2"/>
    <s v="Laurel Beltran"/>
    <x v="2"/>
    <m/>
    <s v="Seattle"/>
    <s v="Washington"/>
    <s v="West"/>
    <x v="1"/>
    <x v="4"/>
    <s v="Rogers Profile Extra Capacity Storage Tub"/>
    <x v="5003"/>
    <n v="4"/>
    <n v="0"/>
    <n v="2.6783999999999999"/>
  </r>
  <r>
    <n v="8421"/>
    <x v="1188"/>
    <x v="3"/>
    <x v="5"/>
    <d v="2014-05-12T00:00:00"/>
    <n v="2"/>
    <x v="2"/>
    <s v="Laurel Beltran"/>
    <x v="2"/>
    <m/>
    <s v="Seattle"/>
    <s v="Washington"/>
    <s v="West"/>
    <x v="2"/>
    <x v="11"/>
    <s v="Razer Kraken 7.1 Surround Sound Over Ear USB Gaming Headset"/>
    <x v="1636"/>
    <n v="2"/>
    <n v="0"/>
    <n v="87.991200000000006"/>
  </r>
  <r>
    <n v="8422"/>
    <x v="386"/>
    <x v="3"/>
    <x v="2"/>
    <d v="2014-10-17T00:00:00"/>
    <n v="4"/>
    <x v="1"/>
    <s v="Nora Paige"/>
    <x v="0"/>
    <m/>
    <s v="Lakewood"/>
    <s v="New Jersey"/>
    <s v="East"/>
    <x v="2"/>
    <x v="11"/>
    <s v="Imation 8gb Micro Traveldrive Usb 2.0 Flash Drive"/>
    <x v="47"/>
    <n v="3"/>
    <n v="0"/>
    <n v="4.95"/>
  </r>
  <r>
    <n v="8423"/>
    <x v="386"/>
    <x v="3"/>
    <x v="2"/>
    <d v="2014-10-17T00:00:00"/>
    <n v="4"/>
    <x v="1"/>
    <s v="Nora Paige"/>
    <x v="0"/>
    <m/>
    <s v="Lakewood"/>
    <s v="New Jersey"/>
    <s v="East"/>
    <x v="1"/>
    <x v="13"/>
    <s v="OIC Colored Binder Clips, Assorted Sizes"/>
    <x v="1488"/>
    <n v="5"/>
    <n v="0"/>
    <n v="8.7710000000000008"/>
  </r>
  <r>
    <n v="8424"/>
    <x v="386"/>
    <x v="3"/>
    <x v="2"/>
    <d v="2014-10-17T00:00:00"/>
    <n v="4"/>
    <x v="1"/>
    <s v="Nora Paige"/>
    <x v="0"/>
    <m/>
    <s v="Lakewood"/>
    <s v="New Jersey"/>
    <s v="East"/>
    <x v="0"/>
    <x v="5"/>
    <s v="DAX Two-Tone Silver Metal Document Frame"/>
    <x v="582"/>
    <n v="2"/>
    <n v="0"/>
    <n v="17.406400000000001"/>
  </r>
  <r>
    <n v="8425"/>
    <x v="386"/>
    <x v="3"/>
    <x v="2"/>
    <d v="2014-10-17T00:00:00"/>
    <n v="4"/>
    <x v="1"/>
    <s v="Nora Paige"/>
    <x v="0"/>
    <m/>
    <s v="Lakewood"/>
    <s v="New Jersey"/>
    <s v="East"/>
    <x v="0"/>
    <x v="0"/>
    <s v="Global Adaptabilites Bookcase, Cherry/Storm Gray Finish"/>
    <x v="5201"/>
    <n v="5"/>
    <n v="0"/>
    <n v="129.29400000000001"/>
  </r>
  <r>
    <n v="8426"/>
    <x v="770"/>
    <x v="0"/>
    <x v="6"/>
    <d v="2013-08-31T00:00:00"/>
    <n v="2"/>
    <x v="2"/>
    <s v="Edward Becker"/>
    <x v="1"/>
    <m/>
    <s v="Cincinnati"/>
    <s v="Ohio"/>
    <s v="East"/>
    <x v="1"/>
    <x v="8"/>
    <s v="GBC VeloBinder Strips"/>
    <x v="3584"/>
    <n v="8"/>
    <n v="0.7"/>
    <n v="-12.288"/>
  </r>
  <r>
    <n v="8427"/>
    <x v="653"/>
    <x v="1"/>
    <x v="2"/>
    <d v="2012-10-07T00:00:00"/>
    <n v="5"/>
    <x v="1"/>
    <s v="Resi Pölking"/>
    <x v="0"/>
    <m/>
    <s v="Thornton"/>
    <s v="Colorado"/>
    <s v="West"/>
    <x v="1"/>
    <x v="14"/>
    <s v="Acme Design Line 8&quot; Stainless Steel Bent Scissors w/Champagne Handles, 3-1/8&quot; Cut"/>
    <x v="5202"/>
    <n v="2"/>
    <n v="0.2"/>
    <n v="0.95760000000000001"/>
  </r>
  <r>
    <n v="8428"/>
    <x v="51"/>
    <x v="3"/>
    <x v="0"/>
    <d v="2014-11-26T00:00:00"/>
    <n v="2"/>
    <x v="2"/>
    <s v="Dan Campbell"/>
    <x v="0"/>
    <m/>
    <s v="Roseville"/>
    <s v="Michigan"/>
    <s v="Central"/>
    <x v="1"/>
    <x v="14"/>
    <s v="Staples"/>
    <x v="1001"/>
    <n v="2"/>
    <n v="0"/>
    <n v="0.1744"/>
  </r>
  <r>
    <n v="8429"/>
    <x v="105"/>
    <x v="3"/>
    <x v="0"/>
    <d v="2014-11-17T00:00:00"/>
    <n v="4"/>
    <x v="1"/>
    <s v="Don Jones"/>
    <x v="1"/>
    <m/>
    <s v="Tempe"/>
    <s v="Arizona"/>
    <s v="West"/>
    <x v="2"/>
    <x v="11"/>
    <s v="SanDisk Ultra 16 GB MicroSDHC Class 10 Memory Card"/>
    <x v="5203"/>
    <n v="6"/>
    <n v="0.2"/>
    <n v="-10.9116"/>
  </r>
  <r>
    <n v="8430"/>
    <x v="1054"/>
    <x v="0"/>
    <x v="4"/>
    <d v="2013-12-22T00:00:00"/>
    <n v="2"/>
    <x v="0"/>
    <s v="Clay Ludtke"/>
    <x v="0"/>
    <m/>
    <s v="Reading"/>
    <s v="Pennsylvania"/>
    <s v="East"/>
    <x v="0"/>
    <x v="5"/>
    <s v="Eldon &quot;L&quot; Workstation Diamond Chairmat"/>
    <x v="5204"/>
    <n v="5"/>
    <n v="0.2"/>
    <n v="-30.391999999999999"/>
  </r>
  <r>
    <n v="8431"/>
    <x v="809"/>
    <x v="2"/>
    <x v="10"/>
    <d v="2011-04-05T00:00:00"/>
    <n v="6"/>
    <x v="1"/>
    <s v="Nat Carroll"/>
    <x v="0"/>
    <m/>
    <s v="Apple Valley"/>
    <s v="Minnesota"/>
    <s v="Central"/>
    <x v="1"/>
    <x v="4"/>
    <s v="Space Solutions Commercial Steel Shelving"/>
    <x v="2349"/>
    <n v="2"/>
    <n v="0"/>
    <n v="6.4649999999999999"/>
  </r>
  <r>
    <n v="8432"/>
    <x v="1183"/>
    <x v="3"/>
    <x v="0"/>
    <d v="2014-11-14T00:00:00"/>
    <n v="5"/>
    <x v="1"/>
    <s v="Kean Nguyen"/>
    <x v="1"/>
    <m/>
    <s v="Baltimore"/>
    <s v="Maryland"/>
    <s v="East"/>
    <x v="0"/>
    <x v="5"/>
    <s v="Howard Miller Distant Time Traveler Alarm Clock"/>
    <x v="5205"/>
    <n v="10"/>
    <n v="0"/>
    <n v="112.422"/>
  </r>
  <r>
    <n v="8433"/>
    <x v="80"/>
    <x v="2"/>
    <x v="8"/>
    <d v="2011-09-18T00:00:00"/>
    <n v="4"/>
    <x v="0"/>
    <s v="Scott Cohen"/>
    <x v="1"/>
    <m/>
    <s v="Corpus Christi"/>
    <s v="Texas"/>
    <s v="Central"/>
    <x v="1"/>
    <x v="13"/>
    <s v="Revere Boxed Rubber Bands by Revere"/>
    <x v="192"/>
    <n v="4"/>
    <n v="0.2"/>
    <n v="-1.3608"/>
  </r>
  <r>
    <n v="8434"/>
    <x v="80"/>
    <x v="2"/>
    <x v="8"/>
    <d v="2011-09-18T00:00:00"/>
    <n v="4"/>
    <x v="0"/>
    <s v="Scott Cohen"/>
    <x v="1"/>
    <m/>
    <s v="Corpus Christi"/>
    <s v="Texas"/>
    <s v="Central"/>
    <x v="1"/>
    <x v="10"/>
    <s v="Xerox 1900"/>
    <x v="1297"/>
    <n v="2"/>
    <n v="0.2"/>
    <n v="2.14"/>
  </r>
  <r>
    <n v="8435"/>
    <x v="80"/>
    <x v="2"/>
    <x v="8"/>
    <d v="2011-09-18T00:00:00"/>
    <n v="4"/>
    <x v="0"/>
    <s v="Scott Cohen"/>
    <x v="1"/>
    <m/>
    <s v="Corpus Christi"/>
    <s v="Texas"/>
    <s v="Central"/>
    <x v="0"/>
    <x v="5"/>
    <s v="Stacking Trays by OIC"/>
    <x v="739"/>
    <n v="5"/>
    <n v="0.6"/>
    <n v="-6.7229999999999999"/>
  </r>
  <r>
    <n v="8436"/>
    <x v="80"/>
    <x v="2"/>
    <x v="8"/>
    <d v="2011-09-18T00:00:00"/>
    <n v="4"/>
    <x v="0"/>
    <s v="Scott Cohen"/>
    <x v="1"/>
    <m/>
    <s v="Corpus Christi"/>
    <s v="Texas"/>
    <s v="Central"/>
    <x v="1"/>
    <x v="8"/>
    <s v="Trimflex Flexible Post Binders"/>
    <x v="5206"/>
    <n v="2"/>
    <n v="0.8"/>
    <n v="-13.683199999999999"/>
  </r>
  <r>
    <n v="8437"/>
    <x v="1181"/>
    <x v="1"/>
    <x v="8"/>
    <d v="2012-09-26T00:00:00"/>
    <n v="6"/>
    <x v="1"/>
    <s v="Anne McFarland"/>
    <x v="0"/>
    <m/>
    <s v="Las Vegas"/>
    <s v="Nevada"/>
    <s v="West"/>
    <x v="1"/>
    <x v="8"/>
    <s v="Wilson Jones Impact Binders"/>
    <x v="678"/>
    <n v="11"/>
    <n v="0.2"/>
    <n v="16.5242"/>
  </r>
  <r>
    <n v="8438"/>
    <x v="895"/>
    <x v="1"/>
    <x v="4"/>
    <d v="2012-12-16T00:00:00"/>
    <n v="6"/>
    <x v="1"/>
    <s v="Ryan Akin"/>
    <x v="0"/>
    <m/>
    <s v="Cleveland"/>
    <s v="Ohio"/>
    <s v="East"/>
    <x v="2"/>
    <x v="11"/>
    <s v="Maxell 4.7GB DVD-RW 3/Pack"/>
    <x v="2079"/>
    <n v="2"/>
    <n v="0.2"/>
    <n v="4.4603999999999999"/>
  </r>
  <r>
    <n v="8439"/>
    <x v="1061"/>
    <x v="2"/>
    <x v="5"/>
    <d v="2011-06-01T00:00:00"/>
    <n v="4"/>
    <x v="1"/>
    <s v="Magdelene Morse"/>
    <x v="0"/>
    <m/>
    <s v="Seattle"/>
    <s v="Washington"/>
    <s v="West"/>
    <x v="1"/>
    <x v="8"/>
    <s v="Green Canvas Binder for 8-1/2&quot; x 14&quot; Sheets"/>
    <x v="5207"/>
    <n v="4"/>
    <n v="0.2"/>
    <n v="51.36"/>
  </r>
  <r>
    <n v="8440"/>
    <x v="1192"/>
    <x v="3"/>
    <x v="10"/>
    <d v="2014-03-18T00:00:00"/>
    <n v="3"/>
    <x v="0"/>
    <s v="Brad Norvell"/>
    <x v="1"/>
    <m/>
    <s v="Chicago"/>
    <s v="Illinois"/>
    <s v="Central"/>
    <x v="2"/>
    <x v="7"/>
    <s v="Seidio BD2-HK3IPH5-BK DILEX Case and Holster Combo for Apple iPhone 5/5s - Black"/>
    <x v="4812"/>
    <n v="2"/>
    <n v="0.2"/>
    <n v="4.9615999999999998"/>
  </r>
  <r>
    <n v="8441"/>
    <x v="16"/>
    <x v="0"/>
    <x v="4"/>
    <d v="2013-12-13T00:00:00"/>
    <n v="4"/>
    <x v="0"/>
    <s v="Julia Barnett"/>
    <x v="2"/>
    <m/>
    <s v="Columbus"/>
    <s v="Ohio"/>
    <s v="East"/>
    <x v="1"/>
    <x v="10"/>
    <s v="Ampad Gold Fibre Wirebound Steno Books, 6&quot; x 9&quot;, Gregg Ruled"/>
    <x v="1785"/>
    <n v="3"/>
    <n v="0.2"/>
    <n v="3.4398"/>
  </r>
  <r>
    <n v="8442"/>
    <x v="636"/>
    <x v="3"/>
    <x v="5"/>
    <d v="2014-05-11T00:00:00"/>
    <n v="4"/>
    <x v="1"/>
    <s v="Doug Bickford"/>
    <x v="0"/>
    <m/>
    <s v="Tucson"/>
    <s v="Arizona"/>
    <s v="West"/>
    <x v="1"/>
    <x v="10"/>
    <s v="Xerox 1883"/>
    <x v="5208"/>
    <n v="4"/>
    <n v="0.2"/>
    <n v="27.435199999999998"/>
  </r>
  <r>
    <n v="8443"/>
    <x v="1193"/>
    <x v="0"/>
    <x v="10"/>
    <d v="2013-03-11T00:00:00"/>
    <n v="4"/>
    <x v="1"/>
    <s v="Julia Barnett"/>
    <x v="2"/>
    <m/>
    <s v="Philadelphia"/>
    <s v="Pennsylvania"/>
    <s v="East"/>
    <x v="2"/>
    <x v="7"/>
    <s v="Wilson SignalBoost 841262 DB PRO Amplifier Kit"/>
    <x v="5209"/>
    <n v="2"/>
    <n v="0.4"/>
    <n v="-71.989999999999995"/>
  </r>
  <r>
    <n v="8444"/>
    <x v="1193"/>
    <x v="0"/>
    <x v="10"/>
    <d v="2013-03-11T00:00:00"/>
    <n v="4"/>
    <x v="1"/>
    <s v="Julia Barnett"/>
    <x v="2"/>
    <m/>
    <s v="Philadelphia"/>
    <s v="Pennsylvania"/>
    <s v="East"/>
    <x v="1"/>
    <x v="8"/>
    <s v="Avery Self-Adhesive Photo Pockets for Polaroid Photos"/>
    <x v="5210"/>
    <n v="1"/>
    <n v="0.7"/>
    <n v="-1.4982"/>
  </r>
  <r>
    <n v="8445"/>
    <x v="1193"/>
    <x v="0"/>
    <x v="10"/>
    <d v="2013-03-11T00:00:00"/>
    <n v="4"/>
    <x v="1"/>
    <s v="Julia Barnett"/>
    <x v="2"/>
    <m/>
    <s v="Philadelphia"/>
    <s v="Pennsylvania"/>
    <s v="East"/>
    <x v="2"/>
    <x v="7"/>
    <s v="Grandstream GXP1160 VoIP phone"/>
    <x v="5211"/>
    <n v="3"/>
    <n v="0.4"/>
    <n v="-12.510300000000001"/>
  </r>
  <r>
    <n v="8446"/>
    <x v="436"/>
    <x v="3"/>
    <x v="2"/>
    <d v="2014-10-25T00:00:00"/>
    <n v="1"/>
    <x v="2"/>
    <s v="Adam Hart"/>
    <x v="1"/>
    <m/>
    <s v="Cranston"/>
    <s v="Rhode Island"/>
    <s v="East"/>
    <x v="0"/>
    <x v="3"/>
    <s v="KI Adjustable-Height Table"/>
    <x v="5212"/>
    <n v="4"/>
    <n v="0.3"/>
    <n v="-13.7568"/>
  </r>
  <r>
    <n v="8447"/>
    <x v="436"/>
    <x v="3"/>
    <x v="2"/>
    <d v="2014-10-25T00:00:00"/>
    <n v="1"/>
    <x v="2"/>
    <s v="Adam Hart"/>
    <x v="1"/>
    <m/>
    <s v="Cranston"/>
    <s v="Rhode Island"/>
    <s v="East"/>
    <x v="0"/>
    <x v="5"/>
    <s v="Eldon 400 Class Desk Accessories, Black Carbon"/>
    <x v="762"/>
    <n v="4"/>
    <n v="0"/>
    <n v="14.7"/>
  </r>
  <r>
    <n v="8448"/>
    <x v="436"/>
    <x v="3"/>
    <x v="2"/>
    <d v="2014-10-25T00:00:00"/>
    <n v="1"/>
    <x v="2"/>
    <s v="Adam Hart"/>
    <x v="1"/>
    <m/>
    <s v="Cranston"/>
    <s v="Rhode Island"/>
    <s v="East"/>
    <x v="0"/>
    <x v="5"/>
    <s v="Deflect-o DuraMat Antistatic Studded Beveled Mat for Medium Pile Carpeting"/>
    <x v="5031"/>
    <n v="2"/>
    <n v="0"/>
    <n v="50.563200000000002"/>
  </r>
  <r>
    <n v="8449"/>
    <x v="436"/>
    <x v="3"/>
    <x v="2"/>
    <d v="2014-10-25T00:00:00"/>
    <n v="1"/>
    <x v="2"/>
    <s v="Adam Hart"/>
    <x v="1"/>
    <m/>
    <s v="Cranston"/>
    <s v="Rhode Island"/>
    <s v="East"/>
    <x v="0"/>
    <x v="3"/>
    <s v="Office Impressions End Table, 20-1/2&quot;H x 24&quot;W x 20&quot;D"/>
    <x v="3029"/>
    <n v="3"/>
    <n v="0.3"/>
    <n v="-127.5792"/>
  </r>
  <r>
    <n v="8450"/>
    <x v="436"/>
    <x v="3"/>
    <x v="2"/>
    <d v="2014-10-25T00:00:00"/>
    <n v="1"/>
    <x v="2"/>
    <s v="Adam Hart"/>
    <x v="1"/>
    <m/>
    <s v="Cranston"/>
    <s v="Rhode Island"/>
    <s v="East"/>
    <x v="1"/>
    <x v="10"/>
    <s v="Wirebound Message Book, 4 per Page"/>
    <x v="5213"/>
    <n v="8"/>
    <n v="0"/>
    <n v="21.285599999999999"/>
  </r>
  <r>
    <n v="8451"/>
    <x v="436"/>
    <x v="3"/>
    <x v="2"/>
    <d v="2014-10-25T00:00:00"/>
    <n v="1"/>
    <x v="2"/>
    <s v="Adam Hart"/>
    <x v="1"/>
    <m/>
    <s v="Cranston"/>
    <s v="Rhode Island"/>
    <s v="East"/>
    <x v="1"/>
    <x v="9"/>
    <s v="Hoover Replacement Belt for Commercial Guardsman Heavy-Duty Upright Vacuum"/>
    <x v="5214"/>
    <n v="1"/>
    <n v="0"/>
    <n v="0.66600000000000004"/>
  </r>
  <r>
    <n v="8452"/>
    <x v="582"/>
    <x v="2"/>
    <x v="3"/>
    <d v="2011-04-30T00:00:00"/>
    <n v="2"/>
    <x v="2"/>
    <s v="Arianne Irving"/>
    <x v="0"/>
    <m/>
    <s v="San Francisco"/>
    <s v="California"/>
    <s v="West"/>
    <x v="2"/>
    <x v="7"/>
    <s v="Samsung Galaxy Mega 6.3"/>
    <x v="5215"/>
    <n v="5"/>
    <n v="0.2"/>
    <n v="125.997"/>
  </r>
  <r>
    <n v="8453"/>
    <x v="724"/>
    <x v="0"/>
    <x v="3"/>
    <d v="2013-04-24T00:00:00"/>
    <n v="5"/>
    <x v="1"/>
    <s v="Thea Hudgings"/>
    <x v="1"/>
    <m/>
    <s v="Houston"/>
    <s v="Texas"/>
    <s v="Central"/>
    <x v="0"/>
    <x v="1"/>
    <s v="Global High-Back Leather Tilter, Burgundy"/>
    <x v="4988"/>
    <n v="4"/>
    <n v="0.3"/>
    <n v="-93.472399999999993"/>
  </r>
  <r>
    <n v="8454"/>
    <x v="724"/>
    <x v="0"/>
    <x v="3"/>
    <d v="2013-04-24T00:00:00"/>
    <n v="5"/>
    <x v="1"/>
    <s v="Thea Hudgings"/>
    <x v="1"/>
    <m/>
    <s v="Houston"/>
    <s v="Texas"/>
    <s v="Central"/>
    <x v="1"/>
    <x v="4"/>
    <s v="Tennsco 16-Compartment Lockers with Coat Rack"/>
    <x v="5216"/>
    <n v="3"/>
    <n v="0.2"/>
    <n v="77.746799999999993"/>
  </r>
  <r>
    <n v="8455"/>
    <x v="724"/>
    <x v="0"/>
    <x v="3"/>
    <d v="2013-04-24T00:00:00"/>
    <n v="5"/>
    <x v="1"/>
    <s v="Thea Hudgings"/>
    <x v="1"/>
    <m/>
    <s v="Houston"/>
    <s v="Texas"/>
    <s v="Central"/>
    <x v="0"/>
    <x v="5"/>
    <s v="Howard Miller 16&quot; Diameter Gallery Wall Clock"/>
    <x v="1952"/>
    <n v="5"/>
    <n v="0.6"/>
    <n v="-67.137"/>
  </r>
  <r>
    <n v="8456"/>
    <x v="730"/>
    <x v="0"/>
    <x v="5"/>
    <d v="2013-05-30T00:00:00"/>
    <n v="7"/>
    <x v="1"/>
    <s v="Jim Epp"/>
    <x v="1"/>
    <m/>
    <s v="Los Angeles"/>
    <s v="California"/>
    <s v="West"/>
    <x v="2"/>
    <x v="7"/>
    <s v="Nortel Business Series Terminal T7208 Digital phone"/>
    <x v="2643"/>
    <n v="2"/>
    <n v="0.2"/>
    <n v="22.238399999999999"/>
  </r>
  <r>
    <n v="8457"/>
    <x v="39"/>
    <x v="3"/>
    <x v="5"/>
    <d v="2014-06-03T00:00:00"/>
    <n v="5"/>
    <x v="0"/>
    <s v="Tiffany House"/>
    <x v="1"/>
    <m/>
    <s v="Chicago"/>
    <s v="Illinois"/>
    <s v="Central"/>
    <x v="0"/>
    <x v="1"/>
    <s v="Global Task Chair, Black"/>
    <x v="5217"/>
    <n v="3"/>
    <n v="0.3"/>
    <n v="-29.007300000000001"/>
  </r>
  <r>
    <n v="8458"/>
    <x v="39"/>
    <x v="3"/>
    <x v="5"/>
    <d v="2014-06-03T00:00:00"/>
    <n v="5"/>
    <x v="0"/>
    <s v="Tiffany House"/>
    <x v="1"/>
    <m/>
    <s v="Chicago"/>
    <s v="Illinois"/>
    <s v="Central"/>
    <x v="1"/>
    <x v="8"/>
    <s v="Storex Dura Pro Binders"/>
    <x v="2940"/>
    <n v="3"/>
    <n v="0.8"/>
    <n v="-6.2370000000000001"/>
  </r>
  <r>
    <n v="8459"/>
    <x v="55"/>
    <x v="2"/>
    <x v="6"/>
    <d v="2011-08-29T00:00:00"/>
    <n v="4"/>
    <x v="1"/>
    <s v="Joe Elijah"/>
    <x v="0"/>
    <m/>
    <s v="Houston"/>
    <s v="Texas"/>
    <s v="Central"/>
    <x v="1"/>
    <x v="8"/>
    <s v="Wilson Jones Elliptical Ring 3 1/2&quot; Capacity Binders, 800 sheets"/>
    <x v="2274"/>
    <n v="3"/>
    <n v="0.8"/>
    <n v="-39.804000000000002"/>
  </r>
  <r>
    <n v="8460"/>
    <x v="55"/>
    <x v="2"/>
    <x v="6"/>
    <d v="2011-08-29T00:00:00"/>
    <n v="4"/>
    <x v="1"/>
    <s v="Joe Elijah"/>
    <x v="0"/>
    <m/>
    <s v="Houston"/>
    <s v="Texas"/>
    <s v="Central"/>
    <x v="1"/>
    <x v="8"/>
    <s v="Square Ring Data Binders, Rigid 75 Pt. Covers, 11&quot; x 14-7/8&quot;"/>
    <x v="5218"/>
    <n v="3"/>
    <n v="0.8"/>
    <n v="-19.814399999999999"/>
  </r>
  <r>
    <n v="8461"/>
    <x v="1194"/>
    <x v="2"/>
    <x v="6"/>
    <d v="2011-09-04T00:00:00"/>
    <n v="5"/>
    <x v="1"/>
    <s v="Annie Thurman"/>
    <x v="0"/>
    <m/>
    <s v="Bristol"/>
    <s v="Connecticut"/>
    <s v="East"/>
    <x v="1"/>
    <x v="8"/>
    <s v="Wilson Jones Standard D-Ring Binders"/>
    <x v="3186"/>
    <n v="5"/>
    <n v="0"/>
    <n v="11.891"/>
  </r>
  <r>
    <n v="8462"/>
    <x v="1194"/>
    <x v="2"/>
    <x v="6"/>
    <d v="2011-09-04T00:00:00"/>
    <n v="5"/>
    <x v="1"/>
    <s v="Annie Thurman"/>
    <x v="0"/>
    <m/>
    <s v="Bristol"/>
    <s v="Connecticut"/>
    <s v="East"/>
    <x v="1"/>
    <x v="4"/>
    <s v="Fellowes Bankers Box Stor/Drawer Steel Plus"/>
    <x v="1429"/>
    <n v="3"/>
    <n v="0"/>
    <n v="9.5939999999999994"/>
  </r>
  <r>
    <n v="8463"/>
    <x v="37"/>
    <x v="1"/>
    <x v="8"/>
    <d v="2012-09-07T00:00:00"/>
    <n v="4"/>
    <x v="0"/>
    <s v="John Huston"/>
    <x v="0"/>
    <m/>
    <s v="Holland"/>
    <s v="Michigan"/>
    <s v="Central"/>
    <x v="1"/>
    <x v="2"/>
    <s v="Smead Alpha-Z Color-Coded Name Labels First Letter Starter Set"/>
    <x v="5219"/>
    <n v="2"/>
    <n v="0"/>
    <n v="3.6"/>
  </r>
  <r>
    <n v="8464"/>
    <x v="1176"/>
    <x v="2"/>
    <x v="10"/>
    <d v="2011-04-01T00:00:00"/>
    <n v="4"/>
    <x v="1"/>
    <s v="Daniel Raglin"/>
    <x v="2"/>
    <m/>
    <s v="Albuquerque"/>
    <s v="New Mexico"/>
    <s v="West"/>
    <x v="2"/>
    <x v="7"/>
    <s v="AT&amp;T TR1909W"/>
    <x v="214"/>
    <n v="3"/>
    <n v="0.2"/>
    <n v="22.6782"/>
  </r>
  <r>
    <n v="8465"/>
    <x v="1187"/>
    <x v="1"/>
    <x v="5"/>
    <d v="2012-05-15T00:00:00"/>
    <n v="5"/>
    <x v="1"/>
    <s v="Alan Barnes"/>
    <x v="0"/>
    <m/>
    <s v="Louisville"/>
    <s v="Colorado"/>
    <s v="West"/>
    <x v="2"/>
    <x v="11"/>
    <s v="Belkin Standard 104 key USB Keyboard"/>
    <x v="3728"/>
    <n v="4"/>
    <n v="0.2"/>
    <n v="-2.9180000000000001"/>
  </r>
  <r>
    <n v="8466"/>
    <x v="265"/>
    <x v="1"/>
    <x v="3"/>
    <d v="2012-04-14T00:00:00"/>
    <n v="5"/>
    <x v="1"/>
    <s v="Mick Crebagga"/>
    <x v="0"/>
    <m/>
    <s v="New York City"/>
    <s v="New York"/>
    <s v="East"/>
    <x v="1"/>
    <x v="4"/>
    <s v="Perma STOR-ALL Hanging File Box, 13 1/8&quot;W x 12 1/4&quot;D x 10 1/2&quot;H"/>
    <x v="1444"/>
    <n v="3"/>
    <n v="0"/>
    <n v="3.0497999999999998"/>
  </r>
  <r>
    <n v="8467"/>
    <x v="265"/>
    <x v="1"/>
    <x v="3"/>
    <d v="2012-04-14T00:00:00"/>
    <n v="5"/>
    <x v="1"/>
    <s v="Ivan Gibson"/>
    <x v="0"/>
    <m/>
    <s v="Norwich"/>
    <s v="Connecticut"/>
    <s v="East"/>
    <x v="1"/>
    <x v="9"/>
    <s v="Honeywell Enviracaire Portable HEPA Air Cleaner for up to 10 x 16 Room"/>
    <x v="5220"/>
    <n v="3"/>
    <n v="0"/>
    <n v="144.3546"/>
  </r>
  <r>
    <n v="8468"/>
    <x v="251"/>
    <x v="0"/>
    <x v="8"/>
    <d v="2013-09-24T00:00:00"/>
    <n v="4"/>
    <x v="1"/>
    <s v="Frank Hawley"/>
    <x v="1"/>
    <m/>
    <s v="San Francisco"/>
    <s v="California"/>
    <s v="West"/>
    <x v="1"/>
    <x v="8"/>
    <s v="Avery Heavy-Duty EZD  Binder With Locking Rings"/>
    <x v="433"/>
    <n v="2"/>
    <n v="0.2"/>
    <n v="3.1248"/>
  </r>
  <r>
    <n v="8469"/>
    <x v="583"/>
    <x v="0"/>
    <x v="0"/>
    <d v="2013-11-18T00:00:00"/>
    <n v="6"/>
    <x v="1"/>
    <s v="Alejandro Savely"/>
    <x v="1"/>
    <m/>
    <s v="Noblesville"/>
    <s v="Indiana"/>
    <s v="Central"/>
    <x v="0"/>
    <x v="3"/>
    <s v="Balt Solid Wood Round Tables"/>
    <x v="5221"/>
    <n v="6"/>
    <n v="0"/>
    <n v="241.1046"/>
  </r>
  <r>
    <n v="8470"/>
    <x v="756"/>
    <x v="3"/>
    <x v="3"/>
    <d v="2014-04-28T00:00:00"/>
    <n v="4"/>
    <x v="1"/>
    <s v="Parhena Norris"/>
    <x v="2"/>
    <m/>
    <s v="Clarksville"/>
    <s v="Tennessee"/>
    <s v="South"/>
    <x v="0"/>
    <x v="0"/>
    <s v="O'Sullivan 4-Shelf Bookcase in Odessa Pine"/>
    <x v="2342"/>
    <n v="4"/>
    <n v="0.2"/>
    <n v="-14.5176"/>
  </r>
  <r>
    <n v="8471"/>
    <x v="756"/>
    <x v="3"/>
    <x v="3"/>
    <d v="2014-04-28T00:00:00"/>
    <n v="4"/>
    <x v="1"/>
    <s v="Parhena Norris"/>
    <x v="2"/>
    <m/>
    <s v="Clarksville"/>
    <s v="Tennessee"/>
    <s v="South"/>
    <x v="2"/>
    <x v="11"/>
    <s v="Maxell 4.7GB DVD-R"/>
    <x v="5222"/>
    <n v="2"/>
    <n v="0.2"/>
    <n v="11.919600000000001"/>
  </r>
  <r>
    <n v="8472"/>
    <x v="756"/>
    <x v="3"/>
    <x v="3"/>
    <d v="2014-04-28T00:00:00"/>
    <n v="4"/>
    <x v="1"/>
    <s v="Parhena Norris"/>
    <x v="2"/>
    <m/>
    <s v="Clarksville"/>
    <s v="Tennessee"/>
    <s v="South"/>
    <x v="0"/>
    <x v="5"/>
    <s v="Tenex Chairmats For Use with Hard Floors"/>
    <x v="2486"/>
    <n v="3"/>
    <n v="0.2"/>
    <n v="-11.6928"/>
  </r>
  <r>
    <n v="8473"/>
    <x v="756"/>
    <x v="3"/>
    <x v="3"/>
    <d v="2014-04-28T00:00:00"/>
    <n v="4"/>
    <x v="1"/>
    <s v="Parhena Norris"/>
    <x v="2"/>
    <m/>
    <s v="Clarksville"/>
    <s v="Tennessee"/>
    <s v="South"/>
    <x v="1"/>
    <x v="2"/>
    <s v="Avery 496"/>
    <x v="3399"/>
    <n v="1"/>
    <n v="0.2"/>
    <n v="1.05"/>
  </r>
  <r>
    <n v="8474"/>
    <x v="420"/>
    <x v="1"/>
    <x v="2"/>
    <d v="2012-10-26T00:00:00"/>
    <n v="4"/>
    <x v="0"/>
    <s v="Gene McClure"/>
    <x v="0"/>
    <m/>
    <s v="Hollywood"/>
    <s v="Florida"/>
    <s v="South"/>
    <x v="1"/>
    <x v="4"/>
    <s v="Eldon Simplefile Box Office"/>
    <x v="5223"/>
    <n v="1"/>
    <n v="0.2"/>
    <n v="0.99519999999999997"/>
  </r>
  <r>
    <n v="8475"/>
    <x v="359"/>
    <x v="3"/>
    <x v="3"/>
    <d v="2014-04-15T00:00:00"/>
    <n v="5"/>
    <x v="1"/>
    <s v="Noah Childs"/>
    <x v="1"/>
    <m/>
    <s v="York"/>
    <s v="Pennsylvania"/>
    <s v="East"/>
    <x v="1"/>
    <x v="8"/>
    <s v="Tuf-Vin Binders"/>
    <x v="5224"/>
    <n v="4"/>
    <n v="0.7"/>
    <n v="-29.053599999999999"/>
  </r>
  <r>
    <n v="8476"/>
    <x v="359"/>
    <x v="3"/>
    <x v="3"/>
    <d v="2014-04-15T00:00:00"/>
    <n v="5"/>
    <x v="1"/>
    <s v="Noah Childs"/>
    <x v="1"/>
    <m/>
    <s v="York"/>
    <s v="Pennsylvania"/>
    <s v="East"/>
    <x v="1"/>
    <x v="10"/>
    <s v="Xerox 1893"/>
    <x v="4771"/>
    <n v="2"/>
    <n v="0.2"/>
    <n v="23.7742"/>
  </r>
  <r>
    <n v="8477"/>
    <x v="855"/>
    <x v="3"/>
    <x v="2"/>
    <d v="2014-11-02T00:00:00"/>
    <n v="5"/>
    <x v="1"/>
    <s v="Tamara Willingham"/>
    <x v="2"/>
    <m/>
    <s v="Mesa"/>
    <s v="Arizona"/>
    <s v="West"/>
    <x v="1"/>
    <x v="10"/>
    <s v="Xerox 1882"/>
    <x v="2488"/>
    <n v="1"/>
    <n v="0.2"/>
    <n v="16.234200000000001"/>
  </r>
  <r>
    <n v="8478"/>
    <x v="628"/>
    <x v="1"/>
    <x v="2"/>
    <d v="2012-10-30T00:00:00"/>
    <n v="0"/>
    <x v="3"/>
    <s v="Barry Französisch"/>
    <x v="1"/>
    <m/>
    <s v="New York City"/>
    <s v="New York"/>
    <s v="East"/>
    <x v="2"/>
    <x v="15"/>
    <s v="Star Micronics TSP100 TSP143LAN Receipt Printer"/>
    <x v="5225"/>
    <n v="4"/>
    <n v="0"/>
    <n v="269.30799999999999"/>
  </r>
  <r>
    <n v="8479"/>
    <x v="404"/>
    <x v="3"/>
    <x v="4"/>
    <d v="2014-12-25T00:00:00"/>
    <n v="6"/>
    <x v="1"/>
    <s v="Tonja Turnell"/>
    <x v="2"/>
    <m/>
    <s v="San Francisco"/>
    <s v="California"/>
    <s v="West"/>
    <x v="1"/>
    <x v="6"/>
    <s v="Newell 335"/>
    <x v="1755"/>
    <n v="2"/>
    <n v="0"/>
    <n v="1.6704000000000001"/>
  </r>
  <r>
    <n v="8480"/>
    <x v="299"/>
    <x v="0"/>
    <x v="10"/>
    <d v="2013-03-17T00:00:00"/>
    <n v="4"/>
    <x v="1"/>
    <s v="Scot Wooten"/>
    <x v="0"/>
    <m/>
    <s v="Los Angeles"/>
    <s v="California"/>
    <s v="West"/>
    <x v="1"/>
    <x v="10"/>
    <s v="Hammermill Color Copier Paper (28Lb. and 96 Bright)"/>
    <x v="1016"/>
    <n v="2"/>
    <n v="0"/>
    <n v="8.9909999999999997"/>
  </r>
  <r>
    <n v="8481"/>
    <x v="609"/>
    <x v="2"/>
    <x v="7"/>
    <d v="2011-07-27T00:00:00"/>
    <n v="6"/>
    <x v="1"/>
    <s v="Patrick Gardner"/>
    <x v="0"/>
    <m/>
    <s v="Omaha"/>
    <s v="Nebraska"/>
    <s v="Central"/>
    <x v="2"/>
    <x v="7"/>
    <s v="Griffin GC17055 Auxiliary Audio Cable"/>
    <x v="5226"/>
    <n v="2"/>
    <n v="0"/>
    <n v="10.074400000000001"/>
  </r>
  <r>
    <n v="8482"/>
    <x v="1012"/>
    <x v="0"/>
    <x v="5"/>
    <d v="2013-05-29T00:00:00"/>
    <n v="4"/>
    <x v="1"/>
    <s v="Dennis Pardue"/>
    <x v="2"/>
    <m/>
    <s v="Philadelphia"/>
    <s v="Pennsylvania"/>
    <s v="East"/>
    <x v="1"/>
    <x v="6"/>
    <s v="BIC Liqua Brite Liner"/>
    <x v="3866"/>
    <n v="3"/>
    <n v="0.2"/>
    <n v="3.3311999999999999"/>
  </r>
  <r>
    <n v="8483"/>
    <x v="512"/>
    <x v="3"/>
    <x v="11"/>
    <d v="2014-02-16T00:00:00"/>
    <n v="4"/>
    <x v="1"/>
    <s v="Don Jones"/>
    <x v="1"/>
    <m/>
    <s v="New York City"/>
    <s v="New York"/>
    <s v="East"/>
    <x v="1"/>
    <x v="2"/>
    <s v="Avery 473"/>
    <x v="343"/>
    <n v="2"/>
    <n v="0"/>
    <n v="9.9359999999999999"/>
  </r>
  <r>
    <n v="8484"/>
    <x v="873"/>
    <x v="0"/>
    <x v="8"/>
    <d v="2013-09-25T00:00:00"/>
    <n v="4"/>
    <x v="1"/>
    <s v="Edward Nazzal"/>
    <x v="0"/>
    <m/>
    <s v="Grand Rapids"/>
    <s v="Michigan"/>
    <s v="Central"/>
    <x v="1"/>
    <x v="8"/>
    <s v="GBC Poly Designer Binding Covers"/>
    <x v="4013"/>
    <n v="5"/>
    <n v="0"/>
    <n v="41.012999999999998"/>
  </r>
  <r>
    <n v="8485"/>
    <x v="241"/>
    <x v="3"/>
    <x v="8"/>
    <d v="2014-09-25T00:00:00"/>
    <n v="0"/>
    <x v="3"/>
    <s v="Philip Brown"/>
    <x v="0"/>
    <m/>
    <s v="Seattle"/>
    <s v="Washington"/>
    <s v="West"/>
    <x v="0"/>
    <x v="5"/>
    <s v="12-1/2 Diameter Round Wall Clock"/>
    <x v="5227"/>
    <n v="10"/>
    <n v="0"/>
    <n v="71.927999999999997"/>
  </r>
  <r>
    <n v="8486"/>
    <x v="996"/>
    <x v="3"/>
    <x v="10"/>
    <d v="2014-04-01T00:00:00"/>
    <n v="4"/>
    <x v="1"/>
    <s v="Brendan Dodson"/>
    <x v="2"/>
    <m/>
    <s v="Fresno"/>
    <s v="California"/>
    <s v="West"/>
    <x v="1"/>
    <x v="10"/>
    <s v="Xerox 1982"/>
    <x v="1816"/>
    <n v="2"/>
    <n v="0"/>
    <n v="21.012799999999999"/>
  </r>
  <r>
    <n v="8487"/>
    <x v="996"/>
    <x v="3"/>
    <x v="10"/>
    <d v="2014-04-01T00:00:00"/>
    <n v="4"/>
    <x v="1"/>
    <s v="Brendan Dodson"/>
    <x v="2"/>
    <m/>
    <s v="Fresno"/>
    <s v="California"/>
    <s v="West"/>
    <x v="1"/>
    <x v="10"/>
    <s v="Xerox 1913"/>
    <x v="168"/>
    <n v="2"/>
    <n v="0"/>
    <n v="53.260800000000003"/>
  </r>
  <r>
    <n v="8488"/>
    <x v="996"/>
    <x v="3"/>
    <x v="10"/>
    <d v="2014-04-01T00:00:00"/>
    <n v="4"/>
    <x v="1"/>
    <s v="Brendan Dodson"/>
    <x v="2"/>
    <m/>
    <s v="Fresno"/>
    <s v="California"/>
    <s v="West"/>
    <x v="1"/>
    <x v="10"/>
    <s v="Unpadded Memo Slips"/>
    <x v="5228"/>
    <n v="3"/>
    <n v="0"/>
    <n v="5.97"/>
  </r>
  <r>
    <n v="8489"/>
    <x v="1056"/>
    <x v="0"/>
    <x v="11"/>
    <d v="2013-02-04T00:00:00"/>
    <n v="2"/>
    <x v="0"/>
    <s v="Sanjit Engle"/>
    <x v="0"/>
    <m/>
    <s v="Arlington"/>
    <s v="Virginia"/>
    <s v="South"/>
    <x v="2"/>
    <x v="15"/>
    <s v="HP Designjet T520 Inkjet Large Format Printer - 24&quot; Color"/>
    <x v="5229"/>
    <n v="5"/>
    <n v="0"/>
    <n v="2799.9839999999999"/>
  </r>
  <r>
    <n v="8490"/>
    <x v="1056"/>
    <x v="0"/>
    <x v="11"/>
    <d v="2013-02-04T00:00:00"/>
    <n v="2"/>
    <x v="0"/>
    <s v="Sanjit Engle"/>
    <x v="0"/>
    <m/>
    <s v="Arlington"/>
    <s v="Virginia"/>
    <s v="South"/>
    <x v="1"/>
    <x v="8"/>
    <s v="Presstex Flexible Ring Binders"/>
    <x v="3343"/>
    <n v="8"/>
    <n v="0"/>
    <n v="18.2"/>
  </r>
  <r>
    <n v="8491"/>
    <x v="1056"/>
    <x v="0"/>
    <x v="11"/>
    <d v="2013-02-04T00:00:00"/>
    <n v="2"/>
    <x v="0"/>
    <s v="Sanjit Engle"/>
    <x v="0"/>
    <m/>
    <s v="Arlington"/>
    <s v="Virginia"/>
    <s v="South"/>
    <x v="0"/>
    <x v="5"/>
    <s v="Acrylic Self-Standing Desk Frames"/>
    <x v="3450"/>
    <n v="7"/>
    <n v="0"/>
    <n v="7.1021999999999998"/>
  </r>
  <r>
    <n v="8492"/>
    <x v="437"/>
    <x v="3"/>
    <x v="7"/>
    <d v="2014-07-12T00:00:00"/>
    <n v="4"/>
    <x v="1"/>
    <s v="Annie Thurman"/>
    <x v="0"/>
    <m/>
    <s v="Los Angeles"/>
    <s v="California"/>
    <s v="West"/>
    <x v="1"/>
    <x v="13"/>
    <s v="Brites Rubber Bands, 1 1/2 oz. Box"/>
    <x v="3949"/>
    <n v="3"/>
    <n v="0"/>
    <n v="0.1188"/>
  </r>
  <r>
    <n v="8493"/>
    <x v="924"/>
    <x v="1"/>
    <x v="2"/>
    <d v="2012-10-28T00:00:00"/>
    <n v="5"/>
    <x v="1"/>
    <s v="Craig Carroll"/>
    <x v="0"/>
    <m/>
    <s v="Lubbock"/>
    <s v="Texas"/>
    <s v="Central"/>
    <x v="1"/>
    <x v="10"/>
    <s v="TOPS 4 x 6 Fluorescent Color Memo Sheets, 500 Sheets per Pack"/>
    <x v="5230"/>
    <n v="8"/>
    <n v="0.2"/>
    <n v="20.4984"/>
  </r>
  <r>
    <n v="8494"/>
    <x v="924"/>
    <x v="1"/>
    <x v="2"/>
    <d v="2012-10-28T00:00:00"/>
    <n v="5"/>
    <x v="1"/>
    <s v="Craig Carroll"/>
    <x v="0"/>
    <m/>
    <s v="Lubbock"/>
    <s v="Texas"/>
    <s v="Central"/>
    <x v="2"/>
    <x v="16"/>
    <s v="Canon PC-428 Personal Copier"/>
    <x v="5231"/>
    <n v="3"/>
    <n v="0.2"/>
    <n v="161.99189999999999"/>
  </r>
  <r>
    <n v="8495"/>
    <x v="924"/>
    <x v="1"/>
    <x v="2"/>
    <d v="2012-10-28T00:00:00"/>
    <n v="5"/>
    <x v="1"/>
    <s v="Craig Carroll"/>
    <x v="0"/>
    <m/>
    <s v="Lubbock"/>
    <s v="Texas"/>
    <s v="Central"/>
    <x v="1"/>
    <x v="8"/>
    <s v="Ibico Plastic Spiral Binding Combs"/>
    <x v="2351"/>
    <n v="1"/>
    <n v="0.8"/>
    <n v="-10.336"/>
  </r>
  <r>
    <n v="8496"/>
    <x v="499"/>
    <x v="0"/>
    <x v="4"/>
    <d v="2013-12-09T00:00:00"/>
    <n v="6"/>
    <x v="1"/>
    <s v="Alan Schoenberger"/>
    <x v="1"/>
    <m/>
    <s v="Longmont"/>
    <s v="Colorado"/>
    <s v="West"/>
    <x v="2"/>
    <x v="11"/>
    <s v="WD My Passport Ultra 1TB Portable External Hard Drive"/>
    <x v="5198"/>
    <n v="3"/>
    <n v="0.2"/>
    <n v="-6.21"/>
  </r>
  <r>
    <n v="8497"/>
    <x v="1195"/>
    <x v="2"/>
    <x v="10"/>
    <d v="2011-03-08T00:00:00"/>
    <n v="3"/>
    <x v="0"/>
    <s v="Aimee Bixby"/>
    <x v="0"/>
    <m/>
    <s v="Yonkers"/>
    <s v="New York"/>
    <s v="East"/>
    <x v="1"/>
    <x v="6"/>
    <s v="Newell 345"/>
    <x v="423"/>
    <n v="3"/>
    <n v="0"/>
    <n v="15.475199999999999"/>
  </r>
  <r>
    <n v="8498"/>
    <x v="1195"/>
    <x v="2"/>
    <x v="10"/>
    <d v="2011-03-08T00:00:00"/>
    <n v="3"/>
    <x v="0"/>
    <s v="Aimee Bixby"/>
    <x v="0"/>
    <m/>
    <s v="Yonkers"/>
    <s v="New York"/>
    <s v="East"/>
    <x v="2"/>
    <x v="11"/>
    <s v="Logitech Wireless Gaming Headset G930"/>
    <x v="647"/>
    <n v="3"/>
    <n v="0"/>
    <n v="177.5889"/>
  </r>
  <r>
    <n v="8499"/>
    <x v="1195"/>
    <x v="2"/>
    <x v="10"/>
    <d v="2011-03-08T00:00:00"/>
    <n v="3"/>
    <x v="0"/>
    <s v="Aimee Bixby"/>
    <x v="0"/>
    <m/>
    <s v="Yonkers"/>
    <s v="New York"/>
    <s v="East"/>
    <x v="1"/>
    <x v="14"/>
    <s v="Acme Forged Steel Scissors with Black Enamel Handles"/>
    <x v="5232"/>
    <n v="2"/>
    <n v="0"/>
    <n v="5.3997999999999999"/>
  </r>
  <r>
    <n v="8500"/>
    <x v="1195"/>
    <x v="2"/>
    <x v="10"/>
    <d v="2011-03-08T00:00:00"/>
    <n v="3"/>
    <x v="0"/>
    <s v="Aimee Bixby"/>
    <x v="0"/>
    <m/>
    <s v="Yonkers"/>
    <s v="New York"/>
    <s v="East"/>
    <x v="1"/>
    <x v="8"/>
    <s v="GBC Wire Binding Combs"/>
    <x v="1587"/>
    <n v="6"/>
    <n v="0.2"/>
    <n v="16.750800000000002"/>
  </r>
  <r>
    <n v="8501"/>
    <x v="1195"/>
    <x v="2"/>
    <x v="10"/>
    <d v="2011-03-08T00:00:00"/>
    <n v="3"/>
    <x v="0"/>
    <s v="Aimee Bixby"/>
    <x v="0"/>
    <m/>
    <s v="Yonkers"/>
    <s v="New York"/>
    <s v="East"/>
    <x v="1"/>
    <x v="10"/>
    <s v="Xerox 1891"/>
    <x v="615"/>
    <n v="2"/>
    <n v="0"/>
    <n v="45.9754"/>
  </r>
  <r>
    <n v="8502"/>
    <x v="879"/>
    <x v="1"/>
    <x v="11"/>
    <d v="2012-03-03T00:00:00"/>
    <n v="3"/>
    <x v="0"/>
    <s v="Dave Hallsten"/>
    <x v="1"/>
    <m/>
    <s v="Los Angeles"/>
    <s v="California"/>
    <s v="West"/>
    <x v="2"/>
    <x v="7"/>
    <s v="Square Credit Card Reader"/>
    <x v="2913"/>
    <n v="2"/>
    <n v="0.2"/>
    <n v="1.1988000000000001"/>
  </r>
  <r>
    <n v="8503"/>
    <x v="879"/>
    <x v="1"/>
    <x v="11"/>
    <d v="2012-03-03T00:00:00"/>
    <n v="3"/>
    <x v="0"/>
    <s v="Dave Hallsten"/>
    <x v="1"/>
    <m/>
    <s v="Los Angeles"/>
    <s v="California"/>
    <s v="West"/>
    <x v="0"/>
    <x v="1"/>
    <s v="Global Deluxe Steno Chair"/>
    <x v="4086"/>
    <n v="3"/>
    <n v="0.2"/>
    <n v="-20.784600000000001"/>
  </r>
  <r>
    <n v="8504"/>
    <x v="980"/>
    <x v="2"/>
    <x v="11"/>
    <d v="2011-02-25T00:00:00"/>
    <n v="4"/>
    <x v="1"/>
    <s v="Steven Roelle"/>
    <x v="2"/>
    <m/>
    <s v="Los Angeles"/>
    <s v="California"/>
    <s v="West"/>
    <x v="1"/>
    <x v="10"/>
    <s v="Xerox 204"/>
    <x v="91"/>
    <n v="2"/>
    <n v="0"/>
    <n v="6.2207999999999997"/>
  </r>
  <r>
    <n v="8505"/>
    <x v="440"/>
    <x v="0"/>
    <x v="5"/>
    <d v="2013-05-07T00:00:00"/>
    <n v="4"/>
    <x v="1"/>
    <s v="Nick Radford"/>
    <x v="0"/>
    <m/>
    <s v="Amarillo"/>
    <s v="Texas"/>
    <s v="Central"/>
    <x v="0"/>
    <x v="1"/>
    <s v="Office Star - Contemporary Task Swivel chair with Loop Arms, Charcoal"/>
    <x v="4565"/>
    <n v="4"/>
    <n v="0.3"/>
    <n v="-110.0232"/>
  </r>
  <r>
    <n v="8506"/>
    <x v="387"/>
    <x v="0"/>
    <x v="10"/>
    <d v="2013-03-13T00:00:00"/>
    <n v="4"/>
    <x v="1"/>
    <s v="Sanjit Jacobs"/>
    <x v="2"/>
    <m/>
    <s v="Dallas"/>
    <s v="Texas"/>
    <s v="Central"/>
    <x v="1"/>
    <x v="8"/>
    <s v="Pressboard Hanging Data Binders for Unburst Sheets"/>
    <x v="3096"/>
    <n v="9"/>
    <n v="0.8"/>
    <n v="-14.169600000000001"/>
  </r>
  <r>
    <n v="8507"/>
    <x v="387"/>
    <x v="0"/>
    <x v="10"/>
    <d v="2013-03-13T00:00:00"/>
    <n v="4"/>
    <x v="1"/>
    <s v="Sanjit Jacobs"/>
    <x v="2"/>
    <m/>
    <s v="Dallas"/>
    <s v="Texas"/>
    <s v="Central"/>
    <x v="2"/>
    <x v="11"/>
    <s v="Verbatim 25 GB 6x Blu-ray Single Layer Recordable Disc, 3/Pack"/>
    <x v="5233"/>
    <n v="5"/>
    <n v="0.2"/>
    <n v="8.3879999999999999"/>
  </r>
  <r>
    <n v="8508"/>
    <x v="387"/>
    <x v="0"/>
    <x v="10"/>
    <d v="2013-03-13T00:00:00"/>
    <n v="4"/>
    <x v="1"/>
    <s v="Sanjit Jacobs"/>
    <x v="2"/>
    <m/>
    <s v="Dallas"/>
    <s v="Texas"/>
    <s v="Central"/>
    <x v="1"/>
    <x v="12"/>
    <s v="Tyvek Interoffice Envelopes, 9 1/2&quot; x 12 1/2&quot;, 100/Box"/>
    <x v="1741"/>
    <n v="3"/>
    <n v="0.2"/>
    <n v="49.393799999999999"/>
  </r>
  <r>
    <n v="8509"/>
    <x v="555"/>
    <x v="1"/>
    <x v="4"/>
    <d v="2012-12-14T00:00:00"/>
    <n v="3"/>
    <x v="2"/>
    <s v="Cynthia Arntzen"/>
    <x v="0"/>
    <m/>
    <s v="Detroit"/>
    <s v="Michigan"/>
    <s v="Central"/>
    <x v="2"/>
    <x v="11"/>
    <s v="Maxell 4.7GB DVD+RW 3/Pack"/>
    <x v="5234"/>
    <n v="11"/>
    <n v="0"/>
    <n v="61.330500000000001"/>
  </r>
  <r>
    <n v="8510"/>
    <x v="555"/>
    <x v="1"/>
    <x v="4"/>
    <d v="2012-12-14T00:00:00"/>
    <n v="3"/>
    <x v="2"/>
    <s v="Cynthia Arntzen"/>
    <x v="0"/>
    <m/>
    <s v="Detroit"/>
    <s v="Michigan"/>
    <s v="Central"/>
    <x v="2"/>
    <x v="7"/>
    <s v="BlackBerry Q10"/>
    <x v="4675"/>
    <n v="1"/>
    <n v="0"/>
    <n v="31.497499999999999"/>
  </r>
  <r>
    <n v="8511"/>
    <x v="555"/>
    <x v="1"/>
    <x v="4"/>
    <d v="2012-12-14T00:00:00"/>
    <n v="3"/>
    <x v="2"/>
    <s v="Cynthia Arntzen"/>
    <x v="0"/>
    <m/>
    <s v="Detroit"/>
    <s v="Michigan"/>
    <s v="Central"/>
    <x v="1"/>
    <x v="8"/>
    <s v="Ibico Covers for Plastic or Wire Binding Elements"/>
    <x v="5235"/>
    <n v="2"/>
    <n v="0"/>
    <n v="10.35"/>
  </r>
  <r>
    <n v="8512"/>
    <x v="596"/>
    <x v="0"/>
    <x v="4"/>
    <d v="2013-12-27T00:00:00"/>
    <n v="4"/>
    <x v="1"/>
    <s v="Lena Creighton"/>
    <x v="0"/>
    <m/>
    <s v="New York City"/>
    <s v="New York"/>
    <s v="East"/>
    <x v="1"/>
    <x v="8"/>
    <s v="GBC Pre-Punched Binding Paper, Plastic, White, 8-1/2&quot; x 11&quot;"/>
    <x v="2171"/>
    <n v="2"/>
    <n v="0.2"/>
    <n v="8.9543999999999997"/>
  </r>
  <r>
    <n v="8513"/>
    <x v="1056"/>
    <x v="0"/>
    <x v="11"/>
    <d v="2013-02-08T00:00:00"/>
    <n v="6"/>
    <x v="1"/>
    <s v="Noel Staavos"/>
    <x v="1"/>
    <m/>
    <s v="Houston"/>
    <s v="Texas"/>
    <s v="Central"/>
    <x v="0"/>
    <x v="5"/>
    <s v="Deflect-o RollaMat Studded, Beveled Mat for Medium Pile Carpeting"/>
    <x v="5236"/>
    <n v="2"/>
    <n v="0.6"/>
    <n v="-77.473200000000006"/>
  </r>
  <r>
    <n v="8514"/>
    <x v="929"/>
    <x v="3"/>
    <x v="1"/>
    <d v="2014-06-10T00:00:00"/>
    <n v="4"/>
    <x v="1"/>
    <s v="Noel Staavos"/>
    <x v="1"/>
    <m/>
    <s v="Orlando"/>
    <s v="Florida"/>
    <s v="South"/>
    <x v="1"/>
    <x v="10"/>
    <s v="Xerox 227"/>
    <x v="557"/>
    <n v="4"/>
    <n v="0.2"/>
    <n v="7.2576000000000001"/>
  </r>
  <r>
    <n v="8515"/>
    <x v="291"/>
    <x v="1"/>
    <x v="6"/>
    <d v="2012-08-26T00:00:00"/>
    <n v="5"/>
    <x v="1"/>
    <s v="Henry Goldwyn"/>
    <x v="1"/>
    <m/>
    <s v="Florence"/>
    <s v="Kentucky"/>
    <s v="South"/>
    <x v="1"/>
    <x v="6"/>
    <s v="Quartet Omega Colored Chalk, 12/Pack"/>
    <x v="254"/>
    <n v="3"/>
    <n v="0"/>
    <n v="8.2344000000000008"/>
  </r>
  <r>
    <n v="8516"/>
    <x v="291"/>
    <x v="1"/>
    <x v="6"/>
    <d v="2012-08-26T00:00:00"/>
    <n v="5"/>
    <x v="1"/>
    <s v="Henry Goldwyn"/>
    <x v="1"/>
    <m/>
    <s v="Florence"/>
    <s v="Kentucky"/>
    <s v="South"/>
    <x v="1"/>
    <x v="6"/>
    <s v="Premium Writing Pencils, Soft, #2 by Central Association for the Blind"/>
    <x v="5237"/>
    <n v="12"/>
    <n v="0"/>
    <n v="10.0128"/>
  </r>
  <r>
    <n v="8517"/>
    <x v="281"/>
    <x v="0"/>
    <x v="3"/>
    <d v="2013-04-12T00:00:00"/>
    <n v="4"/>
    <x v="1"/>
    <s v="Sarah Foster"/>
    <x v="0"/>
    <m/>
    <s v="New York City"/>
    <s v="New York"/>
    <s v="East"/>
    <x v="1"/>
    <x v="6"/>
    <s v="Newell 322"/>
    <x v="1026"/>
    <n v="2"/>
    <n v="0"/>
    <n v="0.98280000000000001"/>
  </r>
  <r>
    <n v="8518"/>
    <x v="400"/>
    <x v="3"/>
    <x v="1"/>
    <d v="2014-06-08T00:00:00"/>
    <n v="3"/>
    <x v="0"/>
    <s v="Erin Mull"/>
    <x v="0"/>
    <m/>
    <s v="Frisco"/>
    <s v="Texas"/>
    <s v="Central"/>
    <x v="0"/>
    <x v="5"/>
    <s v="Nu-Dell Executive Frame"/>
    <x v="5238"/>
    <n v="6"/>
    <n v="0.6"/>
    <n v="-17.443200000000001"/>
  </r>
  <r>
    <n v="8519"/>
    <x v="769"/>
    <x v="3"/>
    <x v="4"/>
    <d v="2014-12-11T00:00:00"/>
    <n v="6"/>
    <x v="1"/>
    <s v="Doug O'Connell"/>
    <x v="0"/>
    <m/>
    <s v="Paterson"/>
    <s v="New Jersey"/>
    <s v="East"/>
    <x v="0"/>
    <x v="5"/>
    <s v="Tensor &quot;Hersey Kiss&quot; Styled Floor Lamp"/>
    <x v="2391"/>
    <n v="1"/>
    <n v="0"/>
    <n v="1.5588"/>
  </r>
  <r>
    <n v="8520"/>
    <x v="769"/>
    <x v="3"/>
    <x v="4"/>
    <d v="2014-12-11T00:00:00"/>
    <n v="6"/>
    <x v="1"/>
    <s v="Doug O'Connell"/>
    <x v="0"/>
    <m/>
    <s v="Paterson"/>
    <s v="New Jersey"/>
    <s v="East"/>
    <x v="0"/>
    <x v="1"/>
    <s v="Global Value Steno Chair, Gray"/>
    <x v="5239"/>
    <n v="3"/>
    <n v="0"/>
    <n v="45.555"/>
  </r>
  <r>
    <n v="8521"/>
    <x v="769"/>
    <x v="3"/>
    <x v="4"/>
    <d v="2014-12-11T00:00:00"/>
    <n v="6"/>
    <x v="1"/>
    <s v="Doug O'Connell"/>
    <x v="0"/>
    <m/>
    <s v="Paterson"/>
    <s v="New Jersey"/>
    <s v="East"/>
    <x v="0"/>
    <x v="1"/>
    <s v="Global Low Back Tilter Chair"/>
    <x v="3271"/>
    <n v="3"/>
    <n v="0"/>
    <n v="18.176400000000001"/>
  </r>
  <r>
    <n v="8522"/>
    <x v="383"/>
    <x v="0"/>
    <x v="9"/>
    <d v="2013-01-15T00:00:00"/>
    <n v="4"/>
    <x v="1"/>
    <s v="Mark Packer"/>
    <x v="2"/>
    <m/>
    <s v="Columbus"/>
    <s v="Ohio"/>
    <s v="East"/>
    <x v="0"/>
    <x v="5"/>
    <s v="Ultra Door Push Plate"/>
    <x v="5240"/>
    <n v="14"/>
    <n v="0.2"/>
    <n v="8.9361999999999995"/>
  </r>
  <r>
    <n v="8523"/>
    <x v="178"/>
    <x v="0"/>
    <x v="3"/>
    <d v="2013-04-08T00:00:00"/>
    <n v="6"/>
    <x v="1"/>
    <s v="Muhammed Yedwab"/>
    <x v="1"/>
    <m/>
    <s v="Milwaukee"/>
    <s v="Wisconsin"/>
    <s v="Central"/>
    <x v="2"/>
    <x v="7"/>
    <s v="Cyber Acoustics AC-202b Speech Recognition Stereo Headset"/>
    <x v="2391"/>
    <n v="1"/>
    <n v="0"/>
    <n v="0.25979999999999998"/>
  </r>
  <r>
    <n v="8524"/>
    <x v="296"/>
    <x v="3"/>
    <x v="8"/>
    <d v="2014-09-26T00:00:00"/>
    <n v="4"/>
    <x v="1"/>
    <s v="Doug Bickford"/>
    <x v="0"/>
    <m/>
    <s v="San Francisco"/>
    <s v="California"/>
    <s v="West"/>
    <x v="1"/>
    <x v="10"/>
    <s v="Adams Telephone Message Book w/Frequently-Called Numbers Space, 400 Messages per Book"/>
    <x v="5241"/>
    <n v="7"/>
    <n v="0"/>
    <n v="27.93"/>
  </r>
  <r>
    <n v="8525"/>
    <x v="633"/>
    <x v="3"/>
    <x v="10"/>
    <d v="2014-03-17T00:00:00"/>
    <n v="0"/>
    <x v="3"/>
    <s v="Susan Pistek"/>
    <x v="0"/>
    <m/>
    <s v="Columbus"/>
    <s v="Ohio"/>
    <s v="East"/>
    <x v="2"/>
    <x v="7"/>
    <s v="OtterBox Defender Series Case - iPhone 5c"/>
    <x v="5242"/>
    <n v="2"/>
    <n v="0.4"/>
    <n v="-7.3959999999999999"/>
  </r>
  <r>
    <n v="8526"/>
    <x v="633"/>
    <x v="3"/>
    <x v="10"/>
    <d v="2014-03-17T00:00:00"/>
    <n v="0"/>
    <x v="3"/>
    <s v="Susan Pistek"/>
    <x v="0"/>
    <m/>
    <s v="Columbus"/>
    <s v="Ohio"/>
    <s v="East"/>
    <x v="0"/>
    <x v="5"/>
    <s v="Nu-Dell Oak Frame"/>
    <x v="5243"/>
    <n v="6"/>
    <n v="0.2"/>
    <n v="7.6896000000000004"/>
  </r>
  <r>
    <n v="8527"/>
    <x v="633"/>
    <x v="3"/>
    <x v="10"/>
    <d v="2014-03-17T00:00:00"/>
    <n v="0"/>
    <x v="3"/>
    <s v="Susan Pistek"/>
    <x v="0"/>
    <m/>
    <s v="Columbus"/>
    <s v="Ohio"/>
    <s v="East"/>
    <x v="1"/>
    <x v="8"/>
    <s v="Avery Binding System Hidden Tab Executive Style Index Sets"/>
    <x v="5244"/>
    <n v="3"/>
    <n v="0.7"/>
    <n v="-3.4620000000000002"/>
  </r>
  <r>
    <n v="8528"/>
    <x v="633"/>
    <x v="3"/>
    <x v="10"/>
    <d v="2014-03-17T00:00:00"/>
    <n v="0"/>
    <x v="3"/>
    <s v="Susan Pistek"/>
    <x v="0"/>
    <m/>
    <s v="Columbus"/>
    <s v="Ohio"/>
    <s v="East"/>
    <x v="2"/>
    <x v="11"/>
    <s v="Logitech G700s Rechargeable Gaming Mouse"/>
    <x v="1290"/>
    <n v="2"/>
    <n v="0.2"/>
    <n v="43.995600000000003"/>
  </r>
  <r>
    <n v="8529"/>
    <x v="633"/>
    <x v="3"/>
    <x v="10"/>
    <d v="2014-03-17T00:00:00"/>
    <n v="0"/>
    <x v="3"/>
    <s v="Susan Pistek"/>
    <x v="0"/>
    <m/>
    <s v="Columbus"/>
    <s v="Ohio"/>
    <s v="East"/>
    <x v="1"/>
    <x v="4"/>
    <s v="File Shuttle II and Handi-File, Black"/>
    <x v="314"/>
    <n v="2"/>
    <n v="0.2"/>
    <n v="3.3889999999999998"/>
  </r>
  <r>
    <n v="8530"/>
    <x v="468"/>
    <x v="3"/>
    <x v="0"/>
    <d v="2014-11-18T00:00:00"/>
    <n v="7"/>
    <x v="1"/>
    <s v="Maria Etezadi"/>
    <x v="2"/>
    <m/>
    <s v="Los Angeles"/>
    <s v="California"/>
    <s v="West"/>
    <x v="0"/>
    <x v="1"/>
    <s v="Global Leather &amp; Oak Executive Chair, Burgundy"/>
    <x v="5245"/>
    <n v="2"/>
    <n v="0.2"/>
    <n v="-36.2136"/>
  </r>
  <r>
    <n v="8531"/>
    <x v="885"/>
    <x v="0"/>
    <x v="4"/>
    <d v="2013-12-07T00:00:00"/>
    <n v="6"/>
    <x v="1"/>
    <s v="Bruce Stewart"/>
    <x v="0"/>
    <m/>
    <s v="Detroit"/>
    <s v="Michigan"/>
    <s v="Central"/>
    <x v="1"/>
    <x v="10"/>
    <s v="REDIFORM Incoming/Outgoing Call Register, 11&quot; X 8 1/2&quot;, 100 Messages"/>
    <x v="1707"/>
    <n v="4"/>
    <n v="0"/>
    <n v="16.68"/>
  </r>
  <r>
    <n v="8532"/>
    <x v="885"/>
    <x v="0"/>
    <x v="4"/>
    <d v="2013-12-07T00:00:00"/>
    <n v="6"/>
    <x v="1"/>
    <s v="Bruce Stewart"/>
    <x v="0"/>
    <m/>
    <s v="Detroit"/>
    <s v="Michigan"/>
    <s v="Central"/>
    <x v="1"/>
    <x v="10"/>
    <s v="Adams Phone Message Book, 200 Message Capacity, 8 1/16” x 11”"/>
    <x v="1273"/>
    <n v="2"/>
    <n v="0"/>
    <n v="6.3296000000000001"/>
  </r>
  <r>
    <n v="8533"/>
    <x v="885"/>
    <x v="0"/>
    <x v="4"/>
    <d v="2013-12-07T00:00:00"/>
    <n v="6"/>
    <x v="1"/>
    <s v="Bruce Stewart"/>
    <x v="0"/>
    <m/>
    <s v="Detroit"/>
    <s v="Michigan"/>
    <s v="Central"/>
    <x v="1"/>
    <x v="4"/>
    <s v="Sensible Storage WireTech Storage Systems"/>
    <x v="5246"/>
    <n v="7"/>
    <n v="0"/>
    <n v="24.843"/>
  </r>
  <r>
    <n v="8534"/>
    <x v="885"/>
    <x v="0"/>
    <x v="4"/>
    <d v="2013-12-07T00:00:00"/>
    <n v="6"/>
    <x v="1"/>
    <s v="Bruce Stewart"/>
    <x v="0"/>
    <m/>
    <s v="Detroit"/>
    <s v="Michigan"/>
    <s v="Central"/>
    <x v="0"/>
    <x v="1"/>
    <s v="High-Back Leather Manager's Chair"/>
    <x v="1917"/>
    <n v="3"/>
    <n v="0"/>
    <n v="35.097299999999997"/>
  </r>
  <r>
    <n v="8535"/>
    <x v="1004"/>
    <x v="1"/>
    <x v="9"/>
    <d v="2012-01-15T00:00:00"/>
    <n v="2"/>
    <x v="0"/>
    <s v="Karen Seio"/>
    <x v="1"/>
    <m/>
    <s v="Columbus"/>
    <s v="Georgia"/>
    <s v="South"/>
    <x v="1"/>
    <x v="2"/>
    <s v="Avery 508"/>
    <x v="759"/>
    <n v="2"/>
    <n v="0"/>
    <n v="4.8117999999999999"/>
  </r>
  <r>
    <n v="8536"/>
    <x v="1174"/>
    <x v="2"/>
    <x v="5"/>
    <d v="2011-05-20T00:00:00"/>
    <n v="4"/>
    <x v="1"/>
    <s v="Cindy Chapman"/>
    <x v="0"/>
    <m/>
    <s v="San Francisco"/>
    <s v="California"/>
    <s v="West"/>
    <x v="2"/>
    <x v="11"/>
    <s v="Imation Clip USB flash drive - 8 GB"/>
    <x v="5247"/>
    <n v="3"/>
    <n v="0"/>
    <n v="3.3839999999999999"/>
  </r>
  <r>
    <n v="8537"/>
    <x v="722"/>
    <x v="1"/>
    <x v="1"/>
    <d v="2012-06-11T00:00:00"/>
    <n v="4"/>
    <x v="1"/>
    <s v="Harold Dahlen"/>
    <x v="2"/>
    <m/>
    <s v="Philadelphia"/>
    <s v="Pennsylvania"/>
    <s v="East"/>
    <x v="1"/>
    <x v="8"/>
    <s v="Aluminum Screw Posts"/>
    <x v="4475"/>
    <n v="4"/>
    <n v="0.7"/>
    <n v="-12.208"/>
  </r>
  <r>
    <n v="8538"/>
    <x v="722"/>
    <x v="1"/>
    <x v="1"/>
    <d v="2012-06-11T00:00:00"/>
    <n v="4"/>
    <x v="1"/>
    <s v="Harold Dahlen"/>
    <x v="2"/>
    <m/>
    <s v="Philadelphia"/>
    <s v="Pennsylvania"/>
    <s v="East"/>
    <x v="1"/>
    <x v="10"/>
    <s v="Xerox 200"/>
    <x v="233"/>
    <n v="5"/>
    <n v="0.2"/>
    <n v="9.0719999999999992"/>
  </r>
  <r>
    <n v="8539"/>
    <x v="722"/>
    <x v="1"/>
    <x v="1"/>
    <d v="2012-06-11T00:00:00"/>
    <n v="4"/>
    <x v="1"/>
    <s v="Harold Dahlen"/>
    <x v="2"/>
    <m/>
    <s v="Philadelphia"/>
    <s v="Pennsylvania"/>
    <s v="East"/>
    <x v="1"/>
    <x v="6"/>
    <s v="Avery Fluorescent Highlighter Four-Color Set"/>
    <x v="2204"/>
    <n v="3"/>
    <n v="0.2"/>
    <n v="1.002"/>
  </r>
  <r>
    <n v="8540"/>
    <x v="631"/>
    <x v="3"/>
    <x v="10"/>
    <d v="2014-03-14T00:00:00"/>
    <n v="4"/>
    <x v="1"/>
    <s v="Karl Braun"/>
    <x v="0"/>
    <m/>
    <s v="Los Angeles"/>
    <s v="California"/>
    <s v="West"/>
    <x v="2"/>
    <x v="16"/>
    <s v="Hewlett Packard 310 Color Digital Copier"/>
    <x v="1973"/>
    <n v="2"/>
    <n v="0.2"/>
    <n v="59.997999999999998"/>
  </r>
  <r>
    <n v="8541"/>
    <x v="631"/>
    <x v="3"/>
    <x v="10"/>
    <d v="2014-03-14T00:00:00"/>
    <n v="4"/>
    <x v="1"/>
    <s v="Karl Braun"/>
    <x v="0"/>
    <m/>
    <s v="Los Angeles"/>
    <s v="California"/>
    <s v="West"/>
    <x v="1"/>
    <x v="8"/>
    <s v="DXL Angle-View Binders with Locking Rings by Samsill"/>
    <x v="117"/>
    <n v="5"/>
    <n v="0.2"/>
    <n v="9.6374999999999993"/>
  </r>
  <r>
    <n v="8542"/>
    <x v="937"/>
    <x v="1"/>
    <x v="4"/>
    <d v="2012-12-23T00:00:00"/>
    <n v="1"/>
    <x v="2"/>
    <s v="Harold Ryan"/>
    <x v="1"/>
    <m/>
    <s v="Philadelphia"/>
    <s v="Pennsylvania"/>
    <s v="East"/>
    <x v="1"/>
    <x v="4"/>
    <s v="Tennsco Lockers, Sand"/>
    <x v="2939"/>
    <n v="2"/>
    <n v="0.2"/>
    <n v="1.6783999999999999"/>
  </r>
  <r>
    <n v="8543"/>
    <x v="937"/>
    <x v="1"/>
    <x v="4"/>
    <d v="2012-12-23T00:00:00"/>
    <n v="1"/>
    <x v="2"/>
    <s v="Harold Ryan"/>
    <x v="1"/>
    <m/>
    <s v="Philadelphia"/>
    <s v="Pennsylvania"/>
    <s v="East"/>
    <x v="0"/>
    <x v="1"/>
    <s v="Harbour Creations Steel Folding Chair"/>
    <x v="5248"/>
    <n v="7"/>
    <n v="0.3"/>
    <n v="0"/>
  </r>
  <r>
    <n v="8544"/>
    <x v="908"/>
    <x v="2"/>
    <x v="6"/>
    <d v="2011-08-11T00:00:00"/>
    <n v="5"/>
    <x v="1"/>
    <s v="Trudy Brown"/>
    <x v="0"/>
    <m/>
    <s v="New York City"/>
    <s v="New York"/>
    <s v="East"/>
    <x v="2"/>
    <x v="11"/>
    <s v="Logitech G700s Rechargeable Gaming Mouse"/>
    <x v="1636"/>
    <n v="2"/>
    <n v="0"/>
    <n v="83.991600000000005"/>
  </r>
  <r>
    <n v="8545"/>
    <x v="1196"/>
    <x v="0"/>
    <x v="10"/>
    <d v="2013-04-01T00:00:00"/>
    <n v="4"/>
    <x v="1"/>
    <s v="David Smith"/>
    <x v="1"/>
    <m/>
    <s v="Columbus"/>
    <s v="Georgia"/>
    <s v="South"/>
    <x v="0"/>
    <x v="5"/>
    <s v="DAX Two-Tone Silver Metal Document Frame"/>
    <x v="4693"/>
    <n v="1"/>
    <n v="0"/>
    <n v="8.7032000000000007"/>
  </r>
  <r>
    <n v="8546"/>
    <x v="1196"/>
    <x v="0"/>
    <x v="10"/>
    <d v="2013-04-01T00:00:00"/>
    <n v="4"/>
    <x v="1"/>
    <s v="David Smith"/>
    <x v="1"/>
    <m/>
    <s v="Columbus"/>
    <s v="Georgia"/>
    <s v="South"/>
    <x v="0"/>
    <x v="5"/>
    <s v="Eldon Expressions Wood and Plastic Desk Accessories, Oak"/>
    <x v="3009"/>
    <n v="4"/>
    <n v="0"/>
    <n v="11.1776"/>
  </r>
  <r>
    <n v="8547"/>
    <x v="1196"/>
    <x v="0"/>
    <x v="10"/>
    <d v="2013-04-01T00:00:00"/>
    <n v="4"/>
    <x v="1"/>
    <s v="David Smith"/>
    <x v="1"/>
    <m/>
    <s v="Columbus"/>
    <s v="Georgia"/>
    <s v="South"/>
    <x v="1"/>
    <x v="8"/>
    <s v="Acco Flexible ACCOHIDE Square Ring Data Binder, Dark Blue, 11 1/2&quot; X 14&quot; 7/8&quot;"/>
    <x v="2867"/>
    <n v="2"/>
    <n v="0"/>
    <n v="15.944599999999999"/>
  </r>
  <r>
    <n v="8548"/>
    <x v="901"/>
    <x v="1"/>
    <x v="4"/>
    <d v="2012-12-10T00:00:00"/>
    <n v="5"/>
    <x v="1"/>
    <s v="George Bell"/>
    <x v="1"/>
    <m/>
    <s v="Los Angeles"/>
    <s v="California"/>
    <s v="West"/>
    <x v="2"/>
    <x v="11"/>
    <s v="Memorex Micro Travel Drive 8 GB"/>
    <x v="3798"/>
    <n v="3"/>
    <n v="0"/>
    <n v="17.55"/>
  </r>
  <r>
    <n v="8549"/>
    <x v="901"/>
    <x v="1"/>
    <x v="4"/>
    <d v="2012-12-10T00:00:00"/>
    <n v="5"/>
    <x v="1"/>
    <s v="George Bell"/>
    <x v="1"/>
    <m/>
    <s v="Los Angeles"/>
    <s v="California"/>
    <s v="West"/>
    <x v="1"/>
    <x v="2"/>
    <s v="Avery 488"/>
    <x v="2336"/>
    <n v="4"/>
    <n v="0"/>
    <n v="6.048"/>
  </r>
  <r>
    <n v="8550"/>
    <x v="861"/>
    <x v="1"/>
    <x v="8"/>
    <d v="2012-09-12T00:00:00"/>
    <n v="1"/>
    <x v="2"/>
    <s v="George Bell"/>
    <x v="1"/>
    <m/>
    <s v="Aurora"/>
    <s v="Colorado"/>
    <s v="West"/>
    <x v="0"/>
    <x v="5"/>
    <s v="Deflect-O Glasstique Clear Desk Accessories"/>
    <x v="4282"/>
    <n v="4"/>
    <n v="0.2"/>
    <n v="4.0039999999999996"/>
  </r>
  <r>
    <n v="8551"/>
    <x v="789"/>
    <x v="1"/>
    <x v="7"/>
    <d v="2012-07-24T00:00:00"/>
    <n v="7"/>
    <x v="1"/>
    <s v="Victoria Brennan"/>
    <x v="1"/>
    <m/>
    <s v="Houston"/>
    <s v="Texas"/>
    <s v="Central"/>
    <x v="1"/>
    <x v="2"/>
    <s v="Avery 479"/>
    <x v="301"/>
    <n v="3"/>
    <n v="0.2"/>
    <n v="2.0358000000000001"/>
  </r>
  <r>
    <n v="8552"/>
    <x v="789"/>
    <x v="1"/>
    <x v="7"/>
    <d v="2012-07-24T00:00:00"/>
    <n v="7"/>
    <x v="1"/>
    <s v="Victoria Brennan"/>
    <x v="1"/>
    <m/>
    <s v="Houston"/>
    <s v="Texas"/>
    <s v="Central"/>
    <x v="1"/>
    <x v="13"/>
    <s v="Advantus T-Pin Paper Clips"/>
    <x v="5249"/>
    <n v="4"/>
    <n v="0.2"/>
    <n v="3.4276"/>
  </r>
  <r>
    <n v="8553"/>
    <x v="992"/>
    <x v="2"/>
    <x v="5"/>
    <d v="2011-06-03T00:00:00"/>
    <n v="4"/>
    <x v="1"/>
    <s v="Mark Cousins"/>
    <x v="1"/>
    <m/>
    <s v="Chicago"/>
    <s v="Illinois"/>
    <s v="Central"/>
    <x v="2"/>
    <x v="16"/>
    <s v="Brother DCP1000 Digital 3 in 1 Multifunction Machine"/>
    <x v="5250"/>
    <n v="3"/>
    <n v="0.2"/>
    <n v="134.99549999999999"/>
  </r>
  <r>
    <n v="8554"/>
    <x v="38"/>
    <x v="3"/>
    <x v="0"/>
    <d v="2014-11-21T00:00:00"/>
    <n v="7"/>
    <x v="1"/>
    <s v="Cassandra Brandow"/>
    <x v="0"/>
    <m/>
    <s v="Decatur"/>
    <s v="Alabama"/>
    <s v="South"/>
    <x v="2"/>
    <x v="11"/>
    <s v="Anker Ultrathin Bluetooth Wireless Keyboard Aluminum Cover with Stand "/>
    <x v="5251"/>
    <n v="8"/>
    <n v="0"/>
    <n v="23.992000000000001"/>
  </r>
  <r>
    <n v="8555"/>
    <x v="10"/>
    <x v="0"/>
    <x v="4"/>
    <d v="2013-12-12T00:00:00"/>
    <n v="2"/>
    <x v="2"/>
    <s v="Paul MacIntyre"/>
    <x v="0"/>
    <m/>
    <s v="Springfield"/>
    <s v="Virginia"/>
    <s v="South"/>
    <x v="0"/>
    <x v="3"/>
    <s v="Iceberg OfficeWorks 42&quot; Round Tables"/>
    <x v="2914"/>
    <n v="7"/>
    <n v="0"/>
    <n v="158.529"/>
  </r>
  <r>
    <n v="8556"/>
    <x v="204"/>
    <x v="1"/>
    <x v="10"/>
    <d v="2012-03-22T00:00:00"/>
    <n v="0"/>
    <x v="3"/>
    <s v="Debra Catini"/>
    <x v="0"/>
    <m/>
    <s v="Plantation"/>
    <s v="Florida"/>
    <s v="South"/>
    <x v="2"/>
    <x v="11"/>
    <s v="Logitech G602 Wireless Gaming Mouse"/>
    <x v="2941"/>
    <n v="7"/>
    <n v="0.2"/>
    <n v="89.588800000000006"/>
  </r>
  <r>
    <n v="8557"/>
    <x v="204"/>
    <x v="1"/>
    <x v="10"/>
    <d v="2012-03-22T00:00:00"/>
    <n v="0"/>
    <x v="3"/>
    <s v="Debra Catini"/>
    <x v="0"/>
    <m/>
    <s v="Plantation"/>
    <s v="Florida"/>
    <s v="South"/>
    <x v="1"/>
    <x v="4"/>
    <s v="Iris 3-Drawer Stacking Bin, Black"/>
    <x v="5252"/>
    <n v="9"/>
    <n v="0.2"/>
    <n v="-33.841799999999999"/>
  </r>
  <r>
    <n v="8558"/>
    <x v="443"/>
    <x v="0"/>
    <x v="4"/>
    <d v="2013-12-27T00:00:00"/>
    <n v="3"/>
    <x v="0"/>
    <s v="Laura Armstrong"/>
    <x v="1"/>
    <m/>
    <s v="Houston"/>
    <s v="Texas"/>
    <s v="Central"/>
    <x v="2"/>
    <x v="7"/>
    <s v="Wireless Extenders zBoost YX545 SOHO Signal Booster"/>
    <x v="1368"/>
    <n v="3"/>
    <n v="0.2"/>
    <n v="39.687899999999999"/>
  </r>
  <r>
    <n v="8559"/>
    <x v="443"/>
    <x v="0"/>
    <x v="4"/>
    <d v="2013-12-27T00:00:00"/>
    <n v="3"/>
    <x v="0"/>
    <s v="Laura Armstrong"/>
    <x v="1"/>
    <m/>
    <s v="Houston"/>
    <s v="Texas"/>
    <s v="Central"/>
    <x v="1"/>
    <x v="2"/>
    <s v="Permanent Self-Adhesive File Folder Labels for Typewriters, 1 1/8 x 3 1/2, White"/>
    <x v="1544"/>
    <n v="9"/>
    <n v="0.2"/>
    <n v="14.742000000000001"/>
  </r>
  <r>
    <n v="8560"/>
    <x v="443"/>
    <x v="0"/>
    <x v="4"/>
    <d v="2013-12-27T00:00:00"/>
    <n v="3"/>
    <x v="0"/>
    <s v="Laura Armstrong"/>
    <x v="1"/>
    <m/>
    <s v="Houston"/>
    <s v="Texas"/>
    <s v="Central"/>
    <x v="2"/>
    <x v="7"/>
    <s v="Cisco SPA 502G IP Phone"/>
    <x v="4095"/>
    <n v="3"/>
    <n v="0.2"/>
    <n v="35.984999999999999"/>
  </r>
  <r>
    <n v="8561"/>
    <x v="443"/>
    <x v="0"/>
    <x v="4"/>
    <d v="2013-12-27T00:00:00"/>
    <n v="3"/>
    <x v="0"/>
    <s v="Laura Armstrong"/>
    <x v="1"/>
    <m/>
    <s v="Houston"/>
    <s v="Texas"/>
    <s v="Central"/>
    <x v="2"/>
    <x v="7"/>
    <s v="Cisco SPA112 2 Port Phone Adapter"/>
    <x v="5253"/>
    <n v="3"/>
    <n v="0.2"/>
    <n v="14.836499999999999"/>
  </r>
  <r>
    <n v="8562"/>
    <x v="443"/>
    <x v="0"/>
    <x v="4"/>
    <d v="2013-12-27T00:00:00"/>
    <n v="3"/>
    <x v="0"/>
    <s v="Laura Armstrong"/>
    <x v="1"/>
    <m/>
    <s v="Houston"/>
    <s v="Texas"/>
    <s v="Central"/>
    <x v="0"/>
    <x v="5"/>
    <s v="GE General Purpose, Extra Long Life, Showcase &amp; Floodlight Incandescent Bulbs"/>
    <x v="990"/>
    <n v="2"/>
    <n v="0.6"/>
    <n v="-0.75660000000000005"/>
  </r>
  <r>
    <n v="8563"/>
    <x v="1197"/>
    <x v="0"/>
    <x v="3"/>
    <d v="2013-04-07T00:00:00"/>
    <n v="4"/>
    <x v="0"/>
    <s v="Denny Joy"/>
    <x v="1"/>
    <m/>
    <s v="Milwaukee"/>
    <s v="Wisconsin"/>
    <s v="Central"/>
    <x v="0"/>
    <x v="1"/>
    <s v="Global Executive Mid-Back Manager's Chair"/>
    <x v="5254"/>
    <n v="5"/>
    <n v="0"/>
    <n v="378.274"/>
  </r>
  <r>
    <n v="8564"/>
    <x v="504"/>
    <x v="3"/>
    <x v="5"/>
    <d v="2014-05-05T00:00:00"/>
    <n v="4"/>
    <x v="1"/>
    <s v="Mick Hernandez"/>
    <x v="2"/>
    <m/>
    <s v="Sanford"/>
    <s v="Florida"/>
    <s v="South"/>
    <x v="1"/>
    <x v="8"/>
    <s v="Acco PRESSTEX Data Binder with Storage Hooks, Light Blue, 9 1/2&quot; X 11&quot;"/>
    <x v="4937"/>
    <n v="3"/>
    <n v="0.7"/>
    <n v="-3.5508000000000002"/>
  </r>
  <r>
    <n v="8565"/>
    <x v="504"/>
    <x v="3"/>
    <x v="5"/>
    <d v="2014-05-05T00:00:00"/>
    <n v="4"/>
    <x v="1"/>
    <s v="Mick Hernandez"/>
    <x v="2"/>
    <m/>
    <s v="Sanford"/>
    <s v="Florida"/>
    <s v="South"/>
    <x v="0"/>
    <x v="5"/>
    <s v="Tenex B1-RE Series Chair Mats for Low Pile Carpets"/>
    <x v="5255"/>
    <n v="6"/>
    <n v="0.2"/>
    <n v="-8.2764000000000006"/>
  </r>
  <r>
    <n v="8566"/>
    <x v="1019"/>
    <x v="0"/>
    <x v="0"/>
    <d v="2013-11-19T00:00:00"/>
    <n v="1"/>
    <x v="2"/>
    <s v="Barry Gonzalez"/>
    <x v="0"/>
    <m/>
    <s v="The Colony"/>
    <s v="Texas"/>
    <s v="Central"/>
    <x v="2"/>
    <x v="7"/>
    <s v="Apple EarPods with Remote and Mic"/>
    <x v="3061"/>
    <n v="3"/>
    <n v="0.2"/>
    <n v="6.7176"/>
  </r>
  <r>
    <n v="8567"/>
    <x v="1019"/>
    <x v="0"/>
    <x v="0"/>
    <d v="2013-11-19T00:00:00"/>
    <n v="1"/>
    <x v="2"/>
    <s v="Barry Gonzalez"/>
    <x v="0"/>
    <m/>
    <s v="The Colony"/>
    <s v="Texas"/>
    <s v="Central"/>
    <x v="1"/>
    <x v="10"/>
    <s v="TOPS Voice Message Log Book, Flash Format"/>
    <x v="300"/>
    <n v="4"/>
    <n v="0.2"/>
    <n v="5.5216000000000003"/>
  </r>
  <r>
    <n v="8568"/>
    <x v="338"/>
    <x v="0"/>
    <x v="0"/>
    <d v="2013-11-13T00:00:00"/>
    <n v="2"/>
    <x v="2"/>
    <s v="Seth Vernon"/>
    <x v="0"/>
    <m/>
    <s v="Troy"/>
    <s v="Ohio"/>
    <s v="East"/>
    <x v="1"/>
    <x v="10"/>
    <s v="Xerox 227"/>
    <x v="276"/>
    <n v="6"/>
    <n v="0.2"/>
    <n v="10.8864"/>
  </r>
  <r>
    <n v="8569"/>
    <x v="409"/>
    <x v="0"/>
    <x v="4"/>
    <d v="2013-12-13T00:00:00"/>
    <n v="6"/>
    <x v="1"/>
    <s v="Dave Poirier"/>
    <x v="1"/>
    <m/>
    <s v="Hempstead"/>
    <s v="New York"/>
    <s v="East"/>
    <x v="1"/>
    <x v="8"/>
    <s v="Ibico EB-19 Dual Function Manual Binding System"/>
    <x v="5256"/>
    <n v="7"/>
    <n v="0.2"/>
    <n v="314.84179999999998"/>
  </r>
  <r>
    <n v="8570"/>
    <x v="409"/>
    <x v="0"/>
    <x v="4"/>
    <d v="2013-12-13T00:00:00"/>
    <n v="6"/>
    <x v="1"/>
    <s v="Dave Poirier"/>
    <x v="1"/>
    <m/>
    <s v="Hempstead"/>
    <s v="New York"/>
    <s v="East"/>
    <x v="1"/>
    <x v="8"/>
    <s v="Trimflex Flexible Post Binders"/>
    <x v="5257"/>
    <n v="13"/>
    <n v="0.2"/>
    <n v="77.8232"/>
  </r>
  <r>
    <n v="8571"/>
    <x v="409"/>
    <x v="0"/>
    <x v="4"/>
    <d v="2013-12-13T00:00:00"/>
    <n v="6"/>
    <x v="1"/>
    <s v="Dave Poirier"/>
    <x v="1"/>
    <m/>
    <s v="Hempstead"/>
    <s v="New York"/>
    <s v="East"/>
    <x v="2"/>
    <x v="16"/>
    <s v="Brother DCP1000 Digital 3 in 1 Multifunction Machine"/>
    <x v="1973"/>
    <n v="2"/>
    <n v="0.2"/>
    <n v="89.997"/>
  </r>
  <r>
    <n v="8572"/>
    <x v="1015"/>
    <x v="0"/>
    <x v="3"/>
    <d v="2013-04-04T00:00:00"/>
    <n v="0"/>
    <x v="3"/>
    <s v="Steven Roelle"/>
    <x v="2"/>
    <m/>
    <s v="Dallas"/>
    <s v="Texas"/>
    <s v="Central"/>
    <x v="1"/>
    <x v="10"/>
    <s v="Xerox 1962"/>
    <x v="1495"/>
    <n v="3"/>
    <n v="0.2"/>
    <n v="3.21"/>
  </r>
  <r>
    <n v="8573"/>
    <x v="683"/>
    <x v="2"/>
    <x v="0"/>
    <d v="2011-12-02T00:00:00"/>
    <n v="4"/>
    <x v="1"/>
    <s v="Brian Thompson"/>
    <x v="0"/>
    <m/>
    <s v="Houston"/>
    <s v="Texas"/>
    <s v="Central"/>
    <x v="2"/>
    <x v="15"/>
    <s v="StarTech.com 10/100 VDSL2 Ethernet Extender Kit"/>
    <x v="5258"/>
    <n v="5"/>
    <n v="0.4"/>
    <n v="-199.77"/>
  </r>
  <r>
    <n v="8574"/>
    <x v="1182"/>
    <x v="1"/>
    <x v="2"/>
    <d v="2012-10-22T00:00:00"/>
    <n v="2"/>
    <x v="2"/>
    <s v="Maxwell Schwartz"/>
    <x v="0"/>
    <m/>
    <s v="New York City"/>
    <s v="New York"/>
    <s v="East"/>
    <x v="1"/>
    <x v="10"/>
    <s v="Staples"/>
    <x v="332"/>
    <n v="2"/>
    <n v="0"/>
    <n v="11.543200000000001"/>
  </r>
  <r>
    <n v="8575"/>
    <x v="111"/>
    <x v="2"/>
    <x v="8"/>
    <d v="2011-09-19T00:00:00"/>
    <n v="0"/>
    <x v="3"/>
    <s v="Jim Kriz"/>
    <x v="2"/>
    <m/>
    <s v="San Francisco"/>
    <s v="California"/>
    <s v="West"/>
    <x v="1"/>
    <x v="13"/>
    <s v="Revere Boxed Rubber Bands by Revere"/>
    <x v="1962"/>
    <n v="3"/>
    <n v="0"/>
    <n v="0.1134"/>
  </r>
  <r>
    <n v="8576"/>
    <x v="151"/>
    <x v="3"/>
    <x v="6"/>
    <d v="2014-08-31T00:00:00"/>
    <n v="3"/>
    <x v="0"/>
    <s v="Shui Tom"/>
    <x v="0"/>
    <m/>
    <s v="Port Saint Lucie"/>
    <s v="Florida"/>
    <s v="South"/>
    <x v="1"/>
    <x v="9"/>
    <s v="Hoover Portapower Portable Vacuum"/>
    <x v="5259"/>
    <n v="4"/>
    <n v="0.2"/>
    <n v="0.89600000000000002"/>
  </r>
  <r>
    <n v="8577"/>
    <x v="445"/>
    <x v="3"/>
    <x v="7"/>
    <d v="2014-07-05T00:00:00"/>
    <n v="1"/>
    <x v="2"/>
    <s v="Tony Sayre"/>
    <x v="0"/>
    <m/>
    <s v="Concord"/>
    <s v="New Hampshire"/>
    <s v="East"/>
    <x v="0"/>
    <x v="5"/>
    <s v="Luxo Professional Combination Clamp-On Lamps"/>
    <x v="787"/>
    <n v="1"/>
    <n v="0"/>
    <n v="26.597999999999999"/>
  </r>
  <r>
    <n v="8578"/>
    <x v="66"/>
    <x v="3"/>
    <x v="4"/>
    <d v="2014-12-27T00:00:00"/>
    <n v="4"/>
    <x v="1"/>
    <s v="Charlotte Melton"/>
    <x v="0"/>
    <m/>
    <s v="Rochester"/>
    <s v="Minnesota"/>
    <s v="Central"/>
    <x v="0"/>
    <x v="3"/>
    <s v="Office Impressions End Table, 20-1/2&quot;H x 24&quot;W x 20&quot;D"/>
    <x v="5260"/>
    <n v="2"/>
    <n v="0"/>
    <n v="97.203199999999995"/>
  </r>
  <r>
    <n v="8579"/>
    <x v="66"/>
    <x v="3"/>
    <x v="4"/>
    <d v="2014-12-27T00:00:00"/>
    <n v="4"/>
    <x v="1"/>
    <s v="Charlotte Melton"/>
    <x v="0"/>
    <m/>
    <s v="Rochester"/>
    <s v="Minnesota"/>
    <s v="Central"/>
    <x v="1"/>
    <x v="4"/>
    <s v="Personal File Boxes with Fold-Down Carry Handle"/>
    <x v="5261"/>
    <n v="2"/>
    <n v="0"/>
    <n v="7.79"/>
  </r>
  <r>
    <n v="8580"/>
    <x v="797"/>
    <x v="0"/>
    <x v="4"/>
    <d v="2014-01-03T00:00:00"/>
    <n v="6"/>
    <x v="1"/>
    <s v="Joni Wasserman"/>
    <x v="0"/>
    <m/>
    <s v="Louisville"/>
    <s v="Kentucky"/>
    <s v="South"/>
    <x v="1"/>
    <x v="2"/>
    <s v="Avery 479"/>
    <x v="533"/>
    <n v="1"/>
    <n v="0"/>
    <n v="1.2005999999999999"/>
  </r>
  <r>
    <n v="8581"/>
    <x v="671"/>
    <x v="2"/>
    <x v="5"/>
    <d v="2011-05-22T00:00:00"/>
    <n v="2"/>
    <x v="0"/>
    <s v="Matt Collister"/>
    <x v="1"/>
    <m/>
    <s v="San Marcos"/>
    <s v="Texas"/>
    <s v="Central"/>
    <x v="0"/>
    <x v="5"/>
    <s v="Contemporary Borderless Frame"/>
    <x v="2250"/>
    <n v="3"/>
    <n v="0.6"/>
    <n v="-5.9409000000000001"/>
  </r>
  <r>
    <n v="8582"/>
    <x v="671"/>
    <x v="2"/>
    <x v="5"/>
    <d v="2011-05-22T00:00:00"/>
    <n v="2"/>
    <x v="0"/>
    <s v="Matt Collister"/>
    <x v="1"/>
    <m/>
    <s v="San Marcos"/>
    <s v="Texas"/>
    <s v="Central"/>
    <x v="1"/>
    <x v="10"/>
    <s v="Xerox 213"/>
    <x v="559"/>
    <n v="2"/>
    <n v="0.2"/>
    <n v="3.6288"/>
  </r>
  <r>
    <n v="8583"/>
    <x v="671"/>
    <x v="2"/>
    <x v="5"/>
    <d v="2011-05-22T00:00:00"/>
    <n v="2"/>
    <x v="0"/>
    <s v="Matt Collister"/>
    <x v="1"/>
    <m/>
    <s v="San Marcos"/>
    <s v="Texas"/>
    <s v="Central"/>
    <x v="2"/>
    <x v="11"/>
    <s v="SanDisk Ultra 16 GB MicroSDHC Class 10 Memory Card"/>
    <x v="4225"/>
    <n v="2"/>
    <n v="0.2"/>
    <n v="-3.6372"/>
  </r>
  <r>
    <n v="8584"/>
    <x v="671"/>
    <x v="2"/>
    <x v="5"/>
    <d v="2011-05-22T00:00:00"/>
    <n v="2"/>
    <x v="0"/>
    <s v="Matt Collister"/>
    <x v="1"/>
    <m/>
    <s v="San Marcos"/>
    <s v="Texas"/>
    <s v="Central"/>
    <x v="1"/>
    <x v="4"/>
    <s v="Rogers Profile Extra Capacity Storage Tub"/>
    <x v="5003"/>
    <n v="5"/>
    <n v="0.2"/>
    <n v="-13.391999999999999"/>
  </r>
  <r>
    <n v="8585"/>
    <x v="519"/>
    <x v="2"/>
    <x v="11"/>
    <d v="2011-02-09T00:00:00"/>
    <n v="4"/>
    <x v="0"/>
    <s v="Mark Haberlin"/>
    <x v="1"/>
    <m/>
    <s v="Escondido"/>
    <s v="California"/>
    <s v="West"/>
    <x v="1"/>
    <x v="8"/>
    <s v="GBC Standard Recycled Report Covers, Clear Plastic Sheets"/>
    <x v="2995"/>
    <n v="2"/>
    <n v="0.2"/>
    <n v="6.0368000000000004"/>
  </r>
  <r>
    <n v="8586"/>
    <x v="34"/>
    <x v="3"/>
    <x v="4"/>
    <d v="2014-12-16T00:00:00"/>
    <n v="6"/>
    <x v="1"/>
    <s v="Roger Demir"/>
    <x v="0"/>
    <m/>
    <s v="Philadelphia"/>
    <s v="Pennsylvania"/>
    <s v="East"/>
    <x v="1"/>
    <x v="8"/>
    <s v="Wilson Jones 1&quot; Hanging DublLock Ring Binders"/>
    <x v="2186"/>
    <n v="7"/>
    <n v="0.7"/>
    <n v="-8.1311999999999998"/>
  </r>
  <r>
    <n v="8587"/>
    <x v="497"/>
    <x v="3"/>
    <x v="7"/>
    <d v="2014-07-19T00:00:00"/>
    <n v="7"/>
    <x v="1"/>
    <s v="Karen Bern"/>
    <x v="1"/>
    <m/>
    <s v="Los Angeles"/>
    <s v="California"/>
    <s v="West"/>
    <x v="2"/>
    <x v="11"/>
    <s v="Logitech P710e Mobile Speakerphone"/>
    <x v="2632"/>
    <n v="5"/>
    <n v="0"/>
    <n v="244.6155"/>
  </r>
  <r>
    <n v="8588"/>
    <x v="497"/>
    <x v="3"/>
    <x v="7"/>
    <d v="2014-07-19T00:00:00"/>
    <n v="7"/>
    <x v="1"/>
    <s v="Karen Bern"/>
    <x v="1"/>
    <m/>
    <s v="Los Angeles"/>
    <s v="California"/>
    <s v="West"/>
    <x v="1"/>
    <x v="9"/>
    <s v="Fellowes 8 Outlet Superior Workstation Surge Protector w/o Phone/Fax/Modem Protection"/>
    <x v="4479"/>
    <n v="5"/>
    <n v="0"/>
    <n v="43.706000000000003"/>
  </r>
  <r>
    <n v="8589"/>
    <x v="1060"/>
    <x v="1"/>
    <x v="5"/>
    <d v="2012-05-22T00:00:00"/>
    <n v="7"/>
    <x v="1"/>
    <s v="Fred Chung"/>
    <x v="1"/>
    <m/>
    <s v="Philadelphia"/>
    <s v="Pennsylvania"/>
    <s v="East"/>
    <x v="1"/>
    <x v="4"/>
    <s v="Fellowes Neat Ideas Storage Cubes"/>
    <x v="3417"/>
    <n v="2"/>
    <n v="0.2"/>
    <n v="-10.393599999999999"/>
  </r>
  <r>
    <n v="8590"/>
    <x v="926"/>
    <x v="3"/>
    <x v="9"/>
    <d v="2014-02-02T00:00:00"/>
    <n v="3"/>
    <x v="2"/>
    <s v="Bryan Davis"/>
    <x v="0"/>
    <m/>
    <s v="Philadelphia"/>
    <s v="Pennsylvania"/>
    <s v="East"/>
    <x v="1"/>
    <x v="6"/>
    <s v="Premium Writing Pencils, Soft, #2 by Central Association for the Blind"/>
    <x v="408"/>
    <n v="2"/>
    <n v="0.2"/>
    <n v="0.4768"/>
  </r>
  <r>
    <n v="8591"/>
    <x v="365"/>
    <x v="3"/>
    <x v="8"/>
    <d v="2014-10-02T00:00:00"/>
    <n v="2"/>
    <x v="2"/>
    <s v="Fred Hopkins"/>
    <x v="1"/>
    <m/>
    <s v="Hempstead"/>
    <s v="New York"/>
    <s v="East"/>
    <x v="1"/>
    <x v="12"/>
    <s v="Letter or Legal Size Expandable Poly String Tie Envelopes"/>
    <x v="3277"/>
    <n v="3"/>
    <n v="0"/>
    <n v="3.9102000000000001"/>
  </r>
  <r>
    <n v="8592"/>
    <x v="756"/>
    <x v="3"/>
    <x v="3"/>
    <d v="2014-04-27T00:00:00"/>
    <n v="3"/>
    <x v="2"/>
    <s v="Sean O'Donnell"/>
    <x v="0"/>
    <m/>
    <s v="Greeley"/>
    <s v="Colorado"/>
    <s v="West"/>
    <x v="1"/>
    <x v="12"/>
    <s v="Staples"/>
    <x v="3917"/>
    <n v="2"/>
    <n v="0.2"/>
    <n v="7.008"/>
  </r>
  <r>
    <n v="8593"/>
    <x v="756"/>
    <x v="3"/>
    <x v="3"/>
    <d v="2014-04-27T00:00:00"/>
    <n v="3"/>
    <x v="2"/>
    <s v="Sean O'Donnell"/>
    <x v="0"/>
    <m/>
    <s v="Greeley"/>
    <s v="Colorado"/>
    <s v="West"/>
    <x v="0"/>
    <x v="5"/>
    <s v="Eldon Imàge Series Desk Accessories, Clear"/>
    <x v="5262"/>
    <n v="3"/>
    <n v="0.2"/>
    <n v="3.3534000000000002"/>
  </r>
  <r>
    <n v="8594"/>
    <x v="45"/>
    <x v="3"/>
    <x v="0"/>
    <d v="2014-11-14T00:00:00"/>
    <n v="4"/>
    <x v="1"/>
    <s v="Peter McVee"/>
    <x v="2"/>
    <m/>
    <s v="Jacksonville"/>
    <s v="Florida"/>
    <s v="South"/>
    <x v="2"/>
    <x v="11"/>
    <s v="Logitech G602 Wireless Gaming Mouse"/>
    <x v="1807"/>
    <n v="3"/>
    <n v="0.2"/>
    <n v="38.395200000000003"/>
  </r>
  <r>
    <n v="8595"/>
    <x v="45"/>
    <x v="3"/>
    <x v="0"/>
    <d v="2014-11-14T00:00:00"/>
    <n v="4"/>
    <x v="1"/>
    <s v="Peter McVee"/>
    <x v="2"/>
    <m/>
    <s v="Jacksonville"/>
    <s v="Florida"/>
    <s v="South"/>
    <x v="2"/>
    <x v="7"/>
    <s v="Motorola L703CM"/>
    <x v="5263"/>
    <n v="4"/>
    <n v="0.2"/>
    <n v="31.198"/>
  </r>
  <r>
    <n v="8596"/>
    <x v="952"/>
    <x v="2"/>
    <x v="5"/>
    <d v="2011-05-07T00:00:00"/>
    <n v="2"/>
    <x v="2"/>
    <s v="Giulietta Dortch"/>
    <x v="1"/>
    <m/>
    <s v="Arlington"/>
    <s v="Virginia"/>
    <s v="South"/>
    <x v="1"/>
    <x v="8"/>
    <s v="Storex Dura Pro Binders"/>
    <x v="5264"/>
    <n v="2"/>
    <n v="0"/>
    <n v="5.3460000000000001"/>
  </r>
  <r>
    <n v="8597"/>
    <x v="952"/>
    <x v="2"/>
    <x v="5"/>
    <d v="2011-05-07T00:00:00"/>
    <n v="2"/>
    <x v="2"/>
    <s v="Giulietta Dortch"/>
    <x v="1"/>
    <m/>
    <s v="Arlington"/>
    <s v="Virginia"/>
    <s v="South"/>
    <x v="1"/>
    <x v="10"/>
    <s v="Staples"/>
    <x v="131"/>
    <n v="1"/>
    <n v="0"/>
    <n v="16.6568"/>
  </r>
  <r>
    <n v="8598"/>
    <x v="189"/>
    <x v="0"/>
    <x v="2"/>
    <d v="2013-11-01T00:00:00"/>
    <n v="4"/>
    <x v="1"/>
    <s v="Pete Armstrong"/>
    <x v="2"/>
    <m/>
    <s v="San Francisco"/>
    <s v="California"/>
    <s v="West"/>
    <x v="1"/>
    <x v="8"/>
    <s v="Avery Legal 4-Ring Binder"/>
    <x v="1715"/>
    <n v="4"/>
    <n v="0.2"/>
    <n v="25.175999999999998"/>
  </r>
  <r>
    <n v="8599"/>
    <x v="35"/>
    <x v="2"/>
    <x v="0"/>
    <d v="2011-12-01T00:00:00"/>
    <n v="5"/>
    <x v="1"/>
    <s v="Luke Schmidt"/>
    <x v="1"/>
    <m/>
    <s v="Fresno"/>
    <s v="California"/>
    <s v="West"/>
    <x v="1"/>
    <x v="8"/>
    <s v="Wilson Jones Easy Flow II Sheet Lifters"/>
    <x v="5265"/>
    <n v="3"/>
    <n v="0.2"/>
    <n v="1.512"/>
  </r>
  <r>
    <n v="8600"/>
    <x v="35"/>
    <x v="2"/>
    <x v="0"/>
    <d v="2011-12-01T00:00:00"/>
    <n v="5"/>
    <x v="1"/>
    <s v="Luke Schmidt"/>
    <x v="1"/>
    <m/>
    <s v="Fresno"/>
    <s v="California"/>
    <s v="West"/>
    <x v="1"/>
    <x v="10"/>
    <s v="Xerox 1970"/>
    <x v="1801"/>
    <n v="3"/>
    <n v="0"/>
    <n v="7.0217999999999998"/>
  </r>
  <r>
    <n v="8601"/>
    <x v="35"/>
    <x v="2"/>
    <x v="0"/>
    <d v="2011-12-01T00:00:00"/>
    <n v="5"/>
    <x v="1"/>
    <s v="Luke Schmidt"/>
    <x v="1"/>
    <m/>
    <s v="Fresno"/>
    <s v="California"/>
    <s v="West"/>
    <x v="1"/>
    <x v="9"/>
    <s v="Fellowes Mighty 8 Compact Surge Protector"/>
    <x v="5266"/>
    <n v="2"/>
    <n v="0"/>
    <n v="11.3512"/>
  </r>
  <r>
    <n v="8602"/>
    <x v="35"/>
    <x v="2"/>
    <x v="0"/>
    <d v="2011-12-01T00:00:00"/>
    <n v="5"/>
    <x v="1"/>
    <s v="Luke Schmidt"/>
    <x v="1"/>
    <m/>
    <s v="Fresno"/>
    <s v="California"/>
    <s v="West"/>
    <x v="1"/>
    <x v="8"/>
    <s v="SpineVue Locking Slant-D Ring Binders by Cardinal"/>
    <x v="1746"/>
    <n v="1"/>
    <n v="0.2"/>
    <n v="2.5592000000000001"/>
  </r>
  <r>
    <n v="8603"/>
    <x v="520"/>
    <x v="2"/>
    <x v="4"/>
    <d v="2011-12-31T00:00:00"/>
    <n v="0"/>
    <x v="3"/>
    <s v="James Lanier"/>
    <x v="2"/>
    <m/>
    <s v="Reno"/>
    <s v="Nevada"/>
    <s v="West"/>
    <x v="2"/>
    <x v="7"/>
    <s v="Panasonic KX TS3282W Corded phone"/>
    <x v="5267"/>
    <n v="7"/>
    <n v="0.2"/>
    <n v="59.493000000000002"/>
  </r>
  <r>
    <n v="8604"/>
    <x v="835"/>
    <x v="0"/>
    <x v="9"/>
    <d v="2013-01-08T00:00:00"/>
    <n v="5"/>
    <x v="1"/>
    <s v="Christine Abelman"/>
    <x v="1"/>
    <m/>
    <s v="San Antonio"/>
    <s v="Texas"/>
    <s v="Central"/>
    <x v="2"/>
    <x v="11"/>
    <s v="Imation Clip USB flash drive - 8 GB"/>
    <x v="5268"/>
    <n v="2"/>
    <n v="0.2"/>
    <n v="-5.2640000000000002"/>
  </r>
  <r>
    <n v="8605"/>
    <x v="835"/>
    <x v="0"/>
    <x v="9"/>
    <d v="2013-01-08T00:00:00"/>
    <n v="5"/>
    <x v="1"/>
    <s v="Christine Abelman"/>
    <x v="1"/>
    <m/>
    <s v="San Antonio"/>
    <s v="Texas"/>
    <s v="Central"/>
    <x v="2"/>
    <x v="11"/>
    <s v="WD My Passport Ultra 1TB Portable External Hard Drive"/>
    <x v="5198"/>
    <n v="3"/>
    <n v="0.2"/>
    <n v="-6.21"/>
  </r>
  <r>
    <n v="8606"/>
    <x v="835"/>
    <x v="0"/>
    <x v="9"/>
    <d v="2013-01-08T00:00:00"/>
    <n v="5"/>
    <x v="1"/>
    <s v="Christine Abelman"/>
    <x v="1"/>
    <m/>
    <s v="San Antonio"/>
    <s v="Texas"/>
    <s v="Central"/>
    <x v="2"/>
    <x v="7"/>
    <s v="AT&amp;T 17929 Lendline Telephone"/>
    <x v="2131"/>
    <n v="5"/>
    <n v="0.2"/>
    <n v="13.571999999999999"/>
  </r>
  <r>
    <n v="8607"/>
    <x v="238"/>
    <x v="3"/>
    <x v="6"/>
    <d v="2014-08-23T00:00:00"/>
    <n v="4"/>
    <x v="1"/>
    <s v="Charles McCrossin"/>
    <x v="0"/>
    <m/>
    <s v="New Bedford"/>
    <s v="Massachusetts"/>
    <s v="East"/>
    <x v="2"/>
    <x v="11"/>
    <s v="Verbatim 25 GB 6x Blu-ray Single Layer Recordable Disc, 10/Pack"/>
    <x v="5269"/>
    <n v="2"/>
    <n v="0"/>
    <n v="7.6494"/>
  </r>
  <r>
    <n v="8608"/>
    <x v="611"/>
    <x v="2"/>
    <x v="1"/>
    <d v="2011-06-09T00:00:00"/>
    <n v="5"/>
    <x v="1"/>
    <s v="Bobby Trafton"/>
    <x v="0"/>
    <m/>
    <s v="New York City"/>
    <s v="New York"/>
    <s v="East"/>
    <x v="0"/>
    <x v="5"/>
    <s v="Seth Thomas 14&quot; Day/Date Wall Clock"/>
    <x v="5270"/>
    <n v="2"/>
    <n v="0"/>
    <n v="21.075199999999999"/>
  </r>
  <r>
    <n v="8609"/>
    <x v="611"/>
    <x v="2"/>
    <x v="1"/>
    <d v="2011-06-09T00:00:00"/>
    <n v="5"/>
    <x v="1"/>
    <s v="Bobby Trafton"/>
    <x v="0"/>
    <m/>
    <s v="New York City"/>
    <s v="New York"/>
    <s v="East"/>
    <x v="1"/>
    <x v="9"/>
    <s v="Commercial WindTunnel Clean Air Upright Vacuum, Replacement Belts, Filtration Bags"/>
    <x v="2505"/>
    <n v="4"/>
    <n v="0"/>
    <n v="4.0456000000000003"/>
  </r>
  <r>
    <n v="8610"/>
    <x v="611"/>
    <x v="2"/>
    <x v="1"/>
    <d v="2011-06-09T00:00:00"/>
    <n v="5"/>
    <x v="1"/>
    <s v="Bobby Trafton"/>
    <x v="0"/>
    <m/>
    <s v="New York City"/>
    <s v="New York"/>
    <s v="East"/>
    <x v="0"/>
    <x v="0"/>
    <s v="O'Sullivan Living Dimensions 5-Shelf Bookcases"/>
    <x v="3710"/>
    <n v="2"/>
    <n v="0.2"/>
    <n v="-44.195999999999998"/>
  </r>
  <r>
    <n v="8611"/>
    <x v="611"/>
    <x v="2"/>
    <x v="1"/>
    <d v="2011-06-09T00:00:00"/>
    <n v="5"/>
    <x v="1"/>
    <s v="Bobby Trafton"/>
    <x v="0"/>
    <m/>
    <s v="New York City"/>
    <s v="New York"/>
    <s v="East"/>
    <x v="0"/>
    <x v="5"/>
    <s v="G.E. Halogen Desk Lamp Bulbs"/>
    <x v="540"/>
    <n v="2"/>
    <n v="0"/>
    <n v="6.7008000000000001"/>
  </r>
  <r>
    <n v="8612"/>
    <x v="38"/>
    <x v="3"/>
    <x v="0"/>
    <d v="2014-11-18T00:00:00"/>
    <n v="4"/>
    <x v="0"/>
    <s v="Sanjit Engle"/>
    <x v="0"/>
    <m/>
    <s v="Oxnard"/>
    <s v="California"/>
    <s v="West"/>
    <x v="2"/>
    <x v="11"/>
    <s v="Kensington K72356US Mouse-in-a-Box USB Desktop Mouse"/>
    <x v="2040"/>
    <n v="5"/>
    <n v="0"/>
    <n v="29.032499999999999"/>
  </r>
  <r>
    <n v="8613"/>
    <x v="1198"/>
    <x v="0"/>
    <x v="9"/>
    <d v="2013-02-01T00:00:00"/>
    <n v="4"/>
    <x v="0"/>
    <s v="Henry Goldwyn"/>
    <x v="1"/>
    <m/>
    <s v="Los Angeles"/>
    <s v="California"/>
    <s v="West"/>
    <x v="1"/>
    <x v="6"/>
    <s v="Newell 345"/>
    <x v="1977"/>
    <n v="2"/>
    <n v="0"/>
    <n v="10.316800000000001"/>
  </r>
  <r>
    <n v="8614"/>
    <x v="1199"/>
    <x v="0"/>
    <x v="0"/>
    <d v="2013-11-15T00:00:00"/>
    <n v="5"/>
    <x v="1"/>
    <s v="Philip Fox"/>
    <x v="0"/>
    <m/>
    <s v="Oakland"/>
    <s v="California"/>
    <s v="West"/>
    <x v="2"/>
    <x v="11"/>
    <s v="Logitech Wireless Gaming Headset G930"/>
    <x v="647"/>
    <n v="3"/>
    <n v="0"/>
    <n v="177.5889"/>
  </r>
  <r>
    <n v="8615"/>
    <x v="545"/>
    <x v="0"/>
    <x v="8"/>
    <d v="2013-09-15T00:00:00"/>
    <n v="4"/>
    <x v="1"/>
    <s v="Bryan Davis"/>
    <x v="0"/>
    <m/>
    <s v="Edmonds"/>
    <s v="Washington"/>
    <s v="West"/>
    <x v="1"/>
    <x v="2"/>
    <s v="Avery 487"/>
    <x v="1552"/>
    <n v="2"/>
    <n v="0"/>
    <n v="3.4685999999999999"/>
  </r>
  <r>
    <n v="8616"/>
    <x v="545"/>
    <x v="0"/>
    <x v="8"/>
    <d v="2013-09-15T00:00:00"/>
    <n v="4"/>
    <x v="1"/>
    <s v="Bryan Davis"/>
    <x v="0"/>
    <m/>
    <s v="Edmonds"/>
    <s v="Washington"/>
    <s v="West"/>
    <x v="1"/>
    <x v="8"/>
    <s v="Storex Dura Pro Binders"/>
    <x v="5271"/>
    <n v="3"/>
    <n v="0.2"/>
    <n v="4.4550000000000001"/>
  </r>
  <r>
    <n v="8617"/>
    <x v="545"/>
    <x v="0"/>
    <x v="8"/>
    <d v="2013-09-15T00:00:00"/>
    <n v="4"/>
    <x v="1"/>
    <s v="Bryan Davis"/>
    <x v="0"/>
    <m/>
    <s v="Edmonds"/>
    <s v="Washington"/>
    <s v="West"/>
    <x v="1"/>
    <x v="10"/>
    <s v="Xerox 1945"/>
    <x v="2597"/>
    <n v="2"/>
    <n v="0"/>
    <n v="40.170200000000001"/>
  </r>
  <r>
    <n v="8618"/>
    <x v="545"/>
    <x v="0"/>
    <x v="8"/>
    <d v="2013-09-15T00:00:00"/>
    <n v="4"/>
    <x v="1"/>
    <s v="Bryan Davis"/>
    <x v="0"/>
    <m/>
    <s v="Edmonds"/>
    <s v="Washington"/>
    <s v="West"/>
    <x v="1"/>
    <x v="8"/>
    <s v="JM Magazine Binder"/>
    <x v="5272"/>
    <n v="3"/>
    <n v="0.2"/>
    <n v="13.868399999999999"/>
  </r>
  <r>
    <n v="8619"/>
    <x v="448"/>
    <x v="3"/>
    <x v="10"/>
    <d v="2014-03-09T00:00:00"/>
    <n v="5"/>
    <x v="1"/>
    <s v="Bill Tyler"/>
    <x v="1"/>
    <m/>
    <s v="Los Angeles"/>
    <s v="California"/>
    <s v="West"/>
    <x v="0"/>
    <x v="3"/>
    <s v="Lesro Sheffield Collection Coffee Table, End Table, Center Table, Corner Table"/>
    <x v="3734"/>
    <n v="7"/>
    <n v="0.2"/>
    <n v="-14.9877"/>
  </r>
  <r>
    <n v="8620"/>
    <x v="565"/>
    <x v="3"/>
    <x v="8"/>
    <d v="2014-09-14T00:00:00"/>
    <n v="5"/>
    <x v="0"/>
    <s v="Eudokia Martin"/>
    <x v="1"/>
    <m/>
    <s v="New York City"/>
    <s v="New York"/>
    <s v="East"/>
    <x v="1"/>
    <x v="4"/>
    <s v="Adjustable Personal File Tote"/>
    <x v="5273"/>
    <n v="4"/>
    <n v="0"/>
    <n v="16.9312"/>
  </r>
  <r>
    <n v="8621"/>
    <x v="44"/>
    <x v="3"/>
    <x v="0"/>
    <d v="2014-11-10T00:00:00"/>
    <n v="3"/>
    <x v="0"/>
    <s v="Liz Carlisle"/>
    <x v="0"/>
    <m/>
    <s v="Dallas"/>
    <s v="Texas"/>
    <s v="Central"/>
    <x v="0"/>
    <x v="5"/>
    <s v="Linden 10&quot; Round Wall Clock, Black"/>
    <x v="2433"/>
    <n v="5"/>
    <n v="0.6"/>
    <n v="-19.864000000000001"/>
  </r>
  <r>
    <n v="8622"/>
    <x v="726"/>
    <x v="3"/>
    <x v="5"/>
    <d v="2014-05-19T00:00:00"/>
    <n v="5"/>
    <x v="1"/>
    <s v="Frank Hawley"/>
    <x v="1"/>
    <m/>
    <s v="Franklin"/>
    <s v="Tennessee"/>
    <s v="South"/>
    <x v="1"/>
    <x v="9"/>
    <s v="Fellowes Basic Home/Office Series Surge Protectors"/>
    <x v="3721"/>
    <n v="2"/>
    <n v="0.2"/>
    <n v="2.3363999999999998"/>
  </r>
  <r>
    <n v="8623"/>
    <x v="581"/>
    <x v="0"/>
    <x v="0"/>
    <d v="2013-12-02T00:00:00"/>
    <n v="4"/>
    <x v="1"/>
    <s v="Chris McAfee"/>
    <x v="0"/>
    <m/>
    <s v="Phoenix"/>
    <s v="Arizona"/>
    <s v="West"/>
    <x v="1"/>
    <x v="4"/>
    <s v="Eldon Simplefile Box Office"/>
    <x v="5274"/>
    <n v="4"/>
    <n v="0.2"/>
    <n v="3.9807999999999999"/>
  </r>
  <r>
    <n v="8624"/>
    <x v="50"/>
    <x v="1"/>
    <x v="0"/>
    <d v="2012-11-18T00:00:00"/>
    <n v="5"/>
    <x v="1"/>
    <s v="Fred McMath"/>
    <x v="0"/>
    <m/>
    <s v="Miami"/>
    <s v="Florida"/>
    <s v="South"/>
    <x v="1"/>
    <x v="8"/>
    <s v="Catalog Binders with Expanding Posts"/>
    <x v="1425"/>
    <n v="6"/>
    <n v="0.7"/>
    <n v="-100.92"/>
  </r>
  <r>
    <n v="8625"/>
    <x v="50"/>
    <x v="1"/>
    <x v="0"/>
    <d v="2012-11-18T00:00:00"/>
    <n v="5"/>
    <x v="1"/>
    <s v="Fred McMath"/>
    <x v="0"/>
    <m/>
    <s v="Miami"/>
    <s v="Florida"/>
    <s v="South"/>
    <x v="2"/>
    <x v="11"/>
    <s v="Maxell LTO Ultrium - 800 GB"/>
    <x v="1359"/>
    <n v="5"/>
    <n v="0.2"/>
    <n v="-1.3995"/>
  </r>
  <r>
    <n v="8626"/>
    <x v="575"/>
    <x v="1"/>
    <x v="4"/>
    <d v="2012-12-12T00:00:00"/>
    <n v="4"/>
    <x v="1"/>
    <s v="Henry Goldwyn"/>
    <x v="1"/>
    <m/>
    <s v="Colorado Springs"/>
    <s v="Colorado"/>
    <s v="West"/>
    <x v="1"/>
    <x v="10"/>
    <s v="Southworth Parchment Paper &amp; Envelopes"/>
    <x v="929"/>
    <n v="3"/>
    <n v="0.2"/>
    <n v="5.1012000000000004"/>
  </r>
  <r>
    <n v="8627"/>
    <x v="67"/>
    <x v="1"/>
    <x v="8"/>
    <d v="2012-09-12T00:00:00"/>
    <n v="5"/>
    <x v="1"/>
    <s v="Andy Gerbode"/>
    <x v="1"/>
    <m/>
    <s v="New York City"/>
    <s v="New York"/>
    <s v="East"/>
    <x v="1"/>
    <x v="4"/>
    <s v="Mobile Personal File Cube"/>
    <x v="3702"/>
    <n v="3"/>
    <n v="0"/>
    <n v="18.970199999999998"/>
  </r>
  <r>
    <n v="8628"/>
    <x v="67"/>
    <x v="1"/>
    <x v="8"/>
    <d v="2012-09-12T00:00:00"/>
    <n v="5"/>
    <x v="1"/>
    <s v="Andy Gerbode"/>
    <x v="1"/>
    <m/>
    <s v="New York City"/>
    <s v="New York"/>
    <s v="East"/>
    <x v="2"/>
    <x v="11"/>
    <s v="KeyTronic E03601U1 - Keyboard - Beige"/>
    <x v="2540"/>
    <n v="5"/>
    <n v="0"/>
    <n v="16.2"/>
  </r>
  <r>
    <n v="8629"/>
    <x v="67"/>
    <x v="1"/>
    <x v="8"/>
    <d v="2012-09-12T00:00:00"/>
    <n v="5"/>
    <x v="1"/>
    <s v="Andy Gerbode"/>
    <x v="1"/>
    <m/>
    <s v="New York City"/>
    <s v="New York"/>
    <s v="East"/>
    <x v="1"/>
    <x v="8"/>
    <s v="Acco Pressboard Covers with Storage Hooks, 9 1/2&quot; x 11&quot;, Executive Red"/>
    <x v="855"/>
    <n v="2"/>
    <n v="0.2"/>
    <n v="2.0573999999999999"/>
  </r>
  <r>
    <n v="8630"/>
    <x v="67"/>
    <x v="1"/>
    <x v="8"/>
    <d v="2012-09-12T00:00:00"/>
    <n v="5"/>
    <x v="1"/>
    <s v="Andy Gerbode"/>
    <x v="1"/>
    <m/>
    <s v="New York City"/>
    <s v="New York"/>
    <s v="East"/>
    <x v="0"/>
    <x v="3"/>
    <s v="Bretford CR8500 Series Meeting Room Furniture"/>
    <x v="5275"/>
    <n v="2"/>
    <n v="0.4"/>
    <n v="-120.294"/>
  </r>
  <r>
    <n v="8631"/>
    <x v="67"/>
    <x v="1"/>
    <x v="8"/>
    <d v="2012-09-12T00:00:00"/>
    <n v="5"/>
    <x v="1"/>
    <s v="Andy Gerbode"/>
    <x v="1"/>
    <m/>
    <s v="New York City"/>
    <s v="New York"/>
    <s v="East"/>
    <x v="1"/>
    <x v="13"/>
    <s v="Assorted Color Push Pins"/>
    <x v="3578"/>
    <n v="4"/>
    <n v="0"/>
    <n v="2.3892000000000002"/>
  </r>
  <r>
    <n v="8632"/>
    <x v="1062"/>
    <x v="0"/>
    <x v="7"/>
    <d v="2013-07-30T00:00:00"/>
    <n v="1"/>
    <x v="2"/>
    <s v="Olvera Toch"/>
    <x v="0"/>
    <m/>
    <s v="Bethlehem"/>
    <s v="Pennsylvania"/>
    <s v="East"/>
    <x v="0"/>
    <x v="0"/>
    <s v="Safco Value Mate Series Steel Bookcases, Baked Enamel Finish on Steel, Gray"/>
    <x v="5276"/>
    <n v="5"/>
    <n v="0.5"/>
    <n v="-78.078000000000003"/>
  </r>
  <r>
    <n v="8633"/>
    <x v="1062"/>
    <x v="0"/>
    <x v="7"/>
    <d v="2013-07-30T00:00:00"/>
    <n v="1"/>
    <x v="2"/>
    <s v="Olvera Toch"/>
    <x v="0"/>
    <m/>
    <s v="Bethlehem"/>
    <s v="Pennsylvania"/>
    <s v="East"/>
    <x v="1"/>
    <x v="8"/>
    <s v="GBC Ibimaster 500 Manual ProClick Binding System"/>
    <x v="5108"/>
    <n v="6"/>
    <n v="0.7"/>
    <n v="-913.17600000000004"/>
  </r>
  <r>
    <n v="8634"/>
    <x v="1062"/>
    <x v="0"/>
    <x v="7"/>
    <d v="2013-07-30T00:00:00"/>
    <n v="1"/>
    <x v="2"/>
    <s v="Olvera Toch"/>
    <x v="0"/>
    <m/>
    <s v="Bethlehem"/>
    <s v="Pennsylvania"/>
    <s v="East"/>
    <x v="1"/>
    <x v="9"/>
    <s v="Hoover Replacement Belts For Soft Guard &amp; Commercial Ltweight Upright Vacs, 2/Pk"/>
    <x v="5166"/>
    <n v="3"/>
    <n v="0.2"/>
    <n v="0.71099999999999997"/>
  </r>
  <r>
    <n v="8635"/>
    <x v="326"/>
    <x v="3"/>
    <x v="6"/>
    <d v="2014-08-30T00:00:00"/>
    <n v="4"/>
    <x v="1"/>
    <s v="Seth Vernon"/>
    <x v="0"/>
    <m/>
    <s v="Philadelphia"/>
    <s v="Pennsylvania"/>
    <s v="East"/>
    <x v="0"/>
    <x v="0"/>
    <s v="Bush Somerset Collection Bookcase"/>
    <x v="5277"/>
    <n v="2"/>
    <n v="0.5"/>
    <n v="-89.066400000000002"/>
  </r>
  <r>
    <n v="8636"/>
    <x v="1013"/>
    <x v="2"/>
    <x v="3"/>
    <d v="2011-05-02T00:00:00"/>
    <n v="2"/>
    <x v="2"/>
    <s v="Justin MacKendrick"/>
    <x v="0"/>
    <m/>
    <s v="Louisville"/>
    <s v="Kentucky"/>
    <s v="South"/>
    <x v="1"/>
    <x v="6"/>
    <s v="Hunt Boston Vacuum Mount KS Pencil Sharpener"/>
    <x v="5130"/>
    <n v="5"/>
    <n v="0"/>
    <n v="45.487000000000002"/>
  </r>
  <r>
    <n v="8637"/>
    <x v="1013"/>
    <x v="2"/>
    <x v="3"/>
    <d v="2011-05-02T00:00:00"/>
    <n v="2"/>
    <x v="2"/>
    <s v="Justin MacKendrick"/>
    <x v="0"/>
    <m/>
    <s v="Louisville"/>
    <s v="Kentucky"/>
    <s v="South"/>
    <x v="1"/>
    <x v="4"/>
    <s v="Economy Rollaway Files"/>
    <x v="5278"/>
    <n v="5"/>
    <n v="0"/>
    <n v="214.76"/>
  </r>
  <r>
    <n v="8638"/>
    <x v="842"/>
    <x v="3"/>
    <x v="3"/>
    <d v="2014-05-03T00:00:00"/>
    <n v="5"/>
    <x v="1"/>
    <s v="Henry MacAllister"/>
    <x v="0"/>
    <m/>
    <s v="Seattle"/>
    <s v="Washington"/>
    <s v="West"/>
    <x v="0"/>
    <x v="5"/>
    <s v="Luxo Economy Swing Arm Lamp"/>
    <x v="5279"/>
    <n v="7"/>
    <n v="0"/>
    <n v="39.0824"/>
  </r>
  <r>
    <n v="8639"/>
    <x v="283"/>
    <x v="3"/>
    <x v="7"/>
    <d v="2014-07-25T00:00:00"/>
    <n v="1"/>
    <x v="2"/>
    <s v="Philisse Overcash"/>
    <x v="2"/>
    <m/>
    <s v="Kenosha"/>
    <s v="Wisconsin"/>
    <s v="Central"/>
    <x v="2"/>
    <x v="11"/>
    <s v="Logitech G600 MMO Gaming Mouse"/>
    <x v="4349"/>
    <n v="5"/>
    <n v="0"/>
    <n v="143.982"/>
  </r>
  <r>
    <n v="8640"/>
    <x v="736"/>
    <x v="2"/>
    <x v="4"/>
    <d v="2011-12-15T00:00:00"/>
    <n v="2"/>
    <x v="0"/>
    <s v="Kimberly Carter"/>
    <x v="1"/>
    <m/>
    <s v="Henderson"/>
    <s v="Kentucky"/>
    <s v="South"/>
    <x v="1"/>
    <x v="8"/>
    <s v="ACCOHIDE 3-Ring Binder, Blue, 1&quot;"/>
    <x v="708"/>
    <n v="3"/>
    <n v="0"/>
    <n v="5.8232999999999997"/>
  </r>
  <r>
    <n v="8641"/>
    <x v="602"/>
    <x v="3"/>
    <x v="9"/>
    <d v="2014-01-17T00:00:00"/>
    <n v="4"/>
    <x v="1"/>
    <s v="David Bremer"/>
    <x v="1"/>
    <m/>
    <s v="Dallas"/>
    <s v="Texas"/>
    <s v="Central"/>
    <x v="1"/>
    <x v="8"/>
    <s v="GBC Ibimaster 500 Manual ProClick Binding System"/>
    <x v="5280"/>
    <n v="5"/>
    <n v="0.8"/>
    <n v="-1141.47"/>
  </r>
  <r>
    <n v="8642"/>
    <x v="574"/>
    <x v="3"/>
    <x v="4"/>
    <d v="2014-12-03T00:00:00"/>
    <n v="0"/>
    <x v="3"/>
    <s v="Susan Vittorini"/>
    <x v="0"/>
    <m/>
    <s v="Peoria"/>
    <s v="Arizona"/>
    <s v="West"/>
    <x v="1"/>
    <x v="8"/>
    <s v="Vinyl Sectional Post Binders"/>
    <x v="5281"/>
    <n v="6"/>
    <n v="0.7"/>
    <n v="-45.24"/>
  </r>
  <r>
    <n v="8643"/>
    <x v="627"/>
    <x v="1"/>
    <x v="0"/>
    <d v="2012-11-15T00:00:00"/>
    <n v="7"/>
    <x v="1"/>
    <s v="Noel Staavos"/>
    <x v="1"/>
    <m/>
    <s v="Jacksonville"/>
    <s v="North Carolina"/>
    <s v="South"/>
    <x v="1"/>
    <x v="13"/>
    <s v="OIC Binder Clips"/>
    <x v="5077"/>
    <n v="11"/>
    <n v="0.2"/>
    <n v="11.814"/>
  </r>
  <r>
    <n v="8644"/>
    <x v="627"/>
    <x v="1"/>
    <x v="0"/>
    <d v="2012-11-15T00:00:00"/>
    <n v="7"/>
    <x v="1"/>
    <s v="Noel Staavos"/>
    <x v="1"/>
    <m/>
    <s v="Jacksonville"/>
    <s v="North Carolina"/>
    <s v="South"/>
    <x v="1"/>
    <x v="2"/>
    <s v="Permanent Self-Adhesive File Folder Labels for Typewriters, 1 1/8 x 3 1/2, White"/>
    <x v="1310"/>
    <n v="1"/>
    <n v="0.2"/>
    <n v="1.6379999999999999"/>
  </r>
  <r>
    <n v="8645"/>
    <x v="627"/>
    <x v="1"/>
    <x v="0"/>
    <d v="2012-11-15T00:00:00"/>
    <n v="7"/>
    <x v="1"/>
    <s v="Noel Staavos"/>
    <x v="1"/>
    <m/>
    <s v="Jacksonville"/>
    <s v="North Carolina"/>
    <s v="South"/>
    <x v="1"/>
    <x v="8"/>
    <s v="Poly Designer Cover &amp; Back"/>
    <x v="5282"/>
    <n v="7"/>
    <n v="0.7"/>
    <n v="-29.244599999999998"/>
  </r>
  <r>
    <n v="8646"/>
    <x v="627"/>
    <x v="1"/>
    <x v="0"/>
    <d v="2012-11-15T00:00:00"/>
    <n v="7"/>
    <x v="1"/>
    <s v="Noel Staavos"/>
    <x v="1"/>
    <m/>
    <s v="Jacksonville"/>
    <s v="North Carolina"/>
    <s v="South"/>
    <x v="0"/>
    <x v="5"/>
    <s v="Eldon Wave Desk Accessories"/>
    <x v="5127"/>
    <n v="1"/>
    <n v="0.2"/>
    <n v="1.4136"/>
  </r>
  <r>
    <n v="8647"/>
    <x v="881"/>
    <x v="0"/>
    <x v="0"/>
    <d v="2013-11-30T00:00:00"/>
    <n v="4"/>
    <x v="1"/>
    <s v="Mark Hamilton"/>
    <x v="0"/>
    <m/>
    <s v="Los Angeles"/>
    <s v="California"/>
    <s v="West"/>
    <x v="0"/>
    <x v="1"/>
    <s v="Padded Folding Chairs, Black, 4/Carton"/>
    <x v="4732"/>
    <n v="3"/>
    <n v="0.2"/>
    <n v="19.435199999999998"/>
  </r>
  <r>
    <n v="8648"/>
    <x v="901"/>
    <x v="1"/>
    <x v="4"/>
    <d v="2012-12-08T00:00:00"/>
    <n v="3"/>
    <x v="2"/>
    <s v="Rick Reed"/>
    <x v="1"/>
    <m/>
    <s v="Nashville"/>
    <s v="Tennessee"/>
    <s v="South"/>
    <x v="0"/>
    <x v="1"/>
    <s v="Global Push Button Manager's Chair, Indigo"/>
    <x v="5283"/>
    <n v="2"/>
    <n v="0.2"/>
    <n v="10.9602"/>
  </r>
  <r>
    <n v="8649"/>
    <x v="875"/>
    <x v="0"/>
    <x v="7"/>
    <d v="2013-08-04T00:00:00"/>
    <n v="5"/>
    <x v="1"/>
    <s v="Ritsa Hightower"/>
    <x v="0"/>
    <m/>
    <s v="Charlotte"/>
    <s v="North Carolina"/>
    <s v="South"/>
    <x v="1"/>
    <x v="4"/>
    <s v="Fellowes High-Stak Drawer Files"/>
    <x v="3232"/>
    <n v="5"/>
    <n v="0.2"/>
    <n v="26.4285"/>
  </r>
  <r>
    <n v="8650"/>
    <x v="875"/>
    <x v="0"/>
    <x v="7"/>
    <d v="2013-08-04T00:00:00"/>
    <n v="5"/>
    <x v="1"/>
    <s v="Ritsa Hightower"/>
    <x v="0"/>
    <m/>
    <s v="Charlotte"/>
    <s v="North Carolina"/>
    <s v="South"/>
    <x v="1"/>
    <x v="8"/>
    <s v="Premier Elliptical Ring Binder, Black"/>
    <x v="3940"/>
    <n v="3"/>
    <n v="0.7"/>
    <n v="-20.090399999999999"/>
  </r>
  <r>
    <n v="8651"/>
    <x v="103"/>
    <x v="2"/>
    <x v="8"/>
    <d v="2011-09-13T00:00:00"/>
    <n v="0"/>
    <x v="3"/>
    <s v="Resi Pölking"/>
    <x v="0"/>
    <m/>
    <s v="Seattle"/>
    <s v="Washington"/>
    <s v="West"/>
    <x v="1"/>
    <x v="13"/>
    <s v="OIC Thumb-Tacks"/>
    <x v="5284"/>
    <n v="5"/>
    <n v="0"/>
    <n v="2.6789999999999998"/>
  </r>
  <r>
    <n v="8652"/>
    <x v="103"/>
    <x v="2"/>
    <x v="8"/>
    <d v="2011-09-13T00:00:00"/>
    <n v="0"/>
    <x v="3"/>
    <s v="Resi Pölking"/>
    <x v="0"/>
    <m/>
    <s v="Seattle"/>
    <s v="Washington"/>
    <s v="West"/>
    <x v="0"/>
    <x v="5"/>
    <s v="C-Line Cubicle Keepers Polyproplyene Holder With Velcro Backings"/>
    <x v="5285"/>
    <n v="3"/>
    <n v="0"/>
    <n v="5.5340999999999996"/>
  </r>
  <r>
    <n v="8653"/>
    <x v="103"/>
    <x v="2"/>
    <x v="8"/>
    <d v="2011-09-13T00:00:00"/>
    <n v="0"/>
    <x v="3"/>
    <s v="Resi Pölking"/>
    <x v="0"/>
    <m/>
    <s v="Seattle"/>
    <s v="Washington"/>
    <s v="West"/>
    <x v="1"/>
    <x v="14"/>
    <s v="Acme Value Line Scissors"/>
    <x v="545"/>
    <n v="2"/>
    <n v="0"/>
    <n v="2.19"/>
  </r>
  <r>
    <n v="8654"/>
    <x v="103"/>
    <x v="2"/>
    <x v="8"/>
    <d v="2011-09-13T00:00:00"/>
    <n v="0"/>
    <x v="3"/>
    <s v="Resi Pölking"/>
    <x v="0"/>
    <m/>
    <s v="Seattle"/>
    <s v="Washington"/>
    <s v="West"/>
    <x v="2"/>
    <x v="11"/>
    <s v="Logitech Wireless Performance Mouse MX for PC and Mac"/>
    <x v="1636"/>
    <n v="2"/>
    <n v="0"/>
    <n v="75.992400000000004"/>
  </r>
  <r>
    <n v="8655"/>
    <x v="103"/>
    <x v="2"/>
    <x v="8"/>
    <d v="2011-09-13T00:00:00"/>
    <n v="0"/>
    <x v="3"/>
    <s v="Resi Pölking"/>
    <x v="0"/>
    <m/>
    <s v="Seattle"/>
    <s v="Washington"/>
    <s v="West"/>
    <x v="2"/>
    <x v="11"/>
    <s v="Memorex Mini Travel Drive 64 GB USB 2.0 Flash Drive"/>
    <x v="5286"/>
    <n v="4"/>
    <n v="0"/>
    <n v="60.883200000000002"/>
  </r>
  <r>
    <n v="8656"/>
    <x v="103"/>
    <x v="2"/>
    <x v="8"/>
    <d v="2011-09-13T00:00:00"/>
    <n v="0"/>
    <x v="3"/>
    <s v="Resi Pölking"/>
    <x v="0"/>
    <m/>
    <s v="Seattle"/>
    <s v="Washington"/>
    <s v="West"/>
    <x v="2"/>
    <x v="11"/>
    <s v="WD My Passport Ultra 500GB Portable External Hard Drive"/>
    <x v="5287"/>
    <n v="2"/>
    <n v="0"/>
    <n v="20.059999999999999"/>
  </r>
  <r>
    <n v="8657"/>
    <x v="103"/>
    <x v="2"/>
    <x v="8"/>
    <d v="2011-09-13T00:00:00"/>
    <n v="0"/>
    <x v="3"/>
    <s v="Resi Pölking"/>
    <x v="0"/>
    <m/>
    <s v="Seattle"/>
    <s v="Washington"/>
    <s v="West"/>
    <x v="1"/>
    <x v="10"/>
    <s v="Xerox 1942"/>
    <x v="1529"/>
    <n v="1"/>
    <n v="0"/>
    <n v="24.47"/>
  </r>
  <r>
    <n v="8658"/>
    <x v="103"/>
    <x v="2"/>
    <x v="8"/>
    <d v="2011-09-13T00:00:00"/>
    <n v="0"/>
    <x v="3"/>
    <s v="Resi Pölking"/>
    <x v="0"/>
    <m/>
    <s v="Seattle"/>
    <s v="Washington"/>
    <s v="West"/>
    <x v="1"/>
    <x v="9"/>
    <s v="Holmes Replacement Filter for HEPA Air Cleaner, Medium Room"/>
    <x v="5288"/>
    <n v="2"/>
    <n v="0"/>
    <n v="9.7438000000000002"/>
  </r>
  <r>
    <n v="8659"/>
    <x v="1028"/>
    <x v="0"/>
    <x v="1"/>
    <d v="2013-06-26T00:00:00"/>
    <n v="4"/>
    <x v="1"/>
    <s v="Ken Brennan"/>
    <x v="1"/>
    <m/>
    <s v="Chicago"/>
    <s v="Illinois"/>
    <s v="Central"/>
    <x v="1"/>
    <x v="8"/>
    <s v="Avery Durable Slant Ring Binders With Label Holder"/>
    <x v="5289"/>
    <n v="1"/>
    <n v="0.8"/>
    <n v="-1.3375999999999999"/>
  </r>
  <r>
    <n v="8660"/>
    <x v="323"/>
    <x v="0"/>
    <x v="8"/>
    <d v="2013-09-09T00:00:00"/>
    <n v="5"/>
    <x v="1"/>
    <s v="Matt Hagelstein"/>
    <x v="1"/>
    <m/>
    <s v="Cincinnati"/>
    <s v="Ohio"/>
    <s v="East"/>
    <x v="1"/>
    <x v="10"/>
    <s v="Wirebound Four 2-3/4 x 5 Forms per Page, 400 Sets per Book"/>
    <x v="2585"/>
    <n v="6"/>
    <n v="0.2"/>
    <n v="11.223000000000001"/>
  </r>
  <r>
    <n v="8661"/>
    <x v="920"/>
    <x v="3"/>
    <x v="0"/>
    <d v="2014-12-01T00:00:00"/>
    <n v="5"/>
    <x v="1"/>
    <s v="Henia Zydlo"/>
    <x v="0"/>
    <m/>
    <s v="Fort Lauderdale"/>
    <s v="Florida"/>
    <s v="South"/>
    <x v="0"/>
    <x v="0"/>
    <s v="O'Sullivan Manor Hill 2-Door Library in Brianna Oak"/>
    <x v="1906"/>
    <n v="5"/>
    <n v="0.2"/>
    <n v="-81.441000000000003"/>
  </r>
  <r>
    <n v="8662"/>
    <x v="793"/>
    <x v="1"/>
    <x v="5"/>
    <d v="2012-05-17T00:00:00"/>
    <n v="5"/>
    <x v="1"/>
    <s v="James Galang"/>
    <x v="0"/>
    <m/>
    <s v="Houston"/>
    <s v="Texas"/>
    <s v="Central"/>
    <x v="0"/>
    <x v="5"/>
    <s v="DAX Wood Document Frame."/>
    <x v="5290"/>
    <n v="4"/>
    <n v="0.6"/>
    <n v="-15.9268"/>
  </r>
  <r>
    <n v="8663"/>
    <x v="793"/>
    <x v="1"/>
    <x v="5"/>
    <d v="2012-05-17T00:00:00"/>
    <n v="5"/>
    <x v="1"/>
    <s v="James Galang"/>
    <x v="0"/>
    <m/>
    <s v="Houston"/>
    <s v="Texas"/>
    <s v="Central"/>
    <x v="2"/>
    <x v="7"/>
    <s v="Digium D40 VoIP phone"/>
    <x v="5291"/>
    <n v="6"/>
    <n v="0.2"/>
    <n v="69.654600000000002"/>
  </r>
  <r>
    <n v="8664"/>
    <x v="793"/>
    <x v="1"/>
    <x v="5"/>
    <d v="2012-05-17T00:00:00"/>
    <n v="5"/>
    <x v="1"/>
    <s v="James Galang"/>
    <x v="0"/>
    <m/>
    <s v="Houston"/>
    <s v="Texas"/>
    <s v="Central"/>
    <x v="1"/>
    <x v="10"/>
    <s v="Xerox 1964"/>
    <x v="5292"/>
    <n v="7"/>
    <n v="0.2"/>
    <n v="41.568800000000003"/>
  </r>
  <r>
    <n v="8665"/>
    <x v="983"/>
    <x v="3"/>
    <x v="10"/>
    <d v="2014-04-02T00:00:00"/>
    <n v="2"/>
    <x v="0"/>
    <s v="Alan Barnes"/>
    <x v="0"/>
    <m/>
    <s v="Lakewood"/>
    <s v="California"/>
    <s v="West"/>
    <x v="0"/>
    <x v="5"/>
    <s v="Flat Face Poster Frame"/>
    <x v="1983"/>
    <n v="5"/>
    <n v="0"/>
    <n v="39.564"/>
  </r>
  <r>
    <n v="8666"/>
    <x v="1019"/>
    <x v="0"/>
    <x v="0"/>
    <d v="2013-11-19T00:00:00"/>
    <n v="1"/>
    <x v="2"/>
    <s v="Heather Jas"/>
    <x v="2"/>
    <m/>
    <s v="San Francisco"/>
    <s v="California"/>
    <s v="West"/>
    <x v="1"/>
    <x v="14"/>
    <s v="Acme Tagit Stainless Steel Antibacterial Scissors"/>
    <x v="5293"/>
    <n v="5"/>
    <n v="0"/>
    <n v="13.365"/>
  </r>
  <r>
    <n v="8667"/>
    <x v="945"/>
    <x v="0"/>
    <x v="4"/>
    <d v="2014-01-03T00:00:00"/>
    <n v="3"/>
    <x v="2"/>
    <s v="Carl Jackson"/>
    <x v="1"/>
    <m/>
    <s v="Philadelphia"/>
    <s v="Pennsylvania"/>
    <s v="East"/>
    <x v="1"/>
    <x v="6"/>
    <s v="Newell 31"/>
    <x v="1045"/>
    <n v="5"/>
    <n v="0.2"/>
    <n v="1.6519999999999999"/>
  </r>
  <r>
    <n v="8668"/>
    <x v="596"/>
    <x v="0"/>
    <x v="4"/>
    <d v="2013-12-25T00:00:00"/>
    <n v="2"/>
    <x v="0"/>
    <s v="Emily Ducich"/>
    <x v="2"/>
    <m/>
    <s v="Seattle"/>
    <s v="Washington"/>
    <s v="West"/>
    <x v="1"/>
    <x v="8"/>
    <s v="Wilson Jones International Size A4 Ring Binders"/>
    <x v="2394"/>
    <n v="4"/>
    <n v="0.2"/>
    <n v="19.376000000000001"/>
  </r>
  <r>
    <n v="8669"/>
    <x v="596"/>
    <x v="0"/>
    <x v="4"/>
    <d v="2013-12-25T00:00:00"/>
    <n v="2"/>
    <x v="0"/>
    <s v="Emily Ducich"/>
    <x v="2"/>
    <m/>
    <s v="Seattle"/>
    <s v="Washington"/>
    <s v="West"/>
    <x v="2"/>
    <x v="15"/>
    <s v="Texas Instrument TI-15 Fraction Calculator"/>
    <x v="1049"/>
    <n v="1"/>
    <n v="0.2"/>
    <n v="3.7570000000000001"/>
  </r>
  <r>
    <n v="8670"/>
    <x v="139"/>
    <x v="1"/>
    <x v="4"/>
    <d v="2012-12-25T00:00:00"/>
    <n v="5"/>
    <x v="0"/>
    <s v="Arianne Irving"/>
    <x v="0"/>
    <m/>
    <s v="Los Angeles"/>
    <s v="California"/>
    <s v="West"/>
    <x v="1"/>
    <x v="10"/>
    <s v="Staples"/>
    <x v="854"/>
    <n v="4"/>
    <n v="0"/>
    <n v="7.7039999999999997"/>
  </r>
  <r>
    <n v="8671"/>
    <x v="422"/>
    <x v="2"/>
    <x v="4"/>
    <d v="2012-01-01T00:00:00"/>
    <n v="5"/>
    <x v="0"/>
    <s v="Karl Braun"/>
    <x v="0"/>
    <m/>
    <s v="Cleveland"/>
    <s v="Ohio"/>
    <s v="East"/>
    <x v="0"/>
    <x v="5"/>
    <s v="Eldon &quot;L&quot; Workstation Diamond Chairmat"/>
    <x v="5294"/>
    <n v="3"/>
    <n v="0.2"/>
    <n v="-18.235199999999999"/>
  </r>
  <r>
    <n v="8672"/>
    <x v="422"/>
    <x v="2"/>
    <x v="4"/>
    <d v="2012-01-01T00:00:00"/>
    <n v="5"/>
    <x v="0"/>
    <s v="Karl Braun"/>
    <x v="0"/>
    <m/>
    <s v="Cleveland"/>
    <s v="Ohio"/>
    <s v="East"/>
    <x v="1"/>
    <x v="4"/>
    <s v="Safco Industrial Shelving"/>
    <x v="4879"/>
    <n v="2"/>
    <n v="0.2"/>
    <n v="-25.109000000000002"/>
  </r>
  <r>
    <n v="8673"/>
    <x v="911"/>
    <x v="3"/>
    <x v="11"/>
    <d v="2014-02-22T00:00:00"/>
    <n v="5"/>
    <x v="1"/>
    <s v="Joy Smith"/>
    <x v="0"/>
    <m/>
    <s v="Decatur"/>
    <s v="Illinois"/>
    <s v="Central"/>
    <x v="1"/>
    <x v="13"/>
    <s v="Vinyl Coated Wire Paper Clips in Organizer Box, 800/Box"/>
    <x v="5145"/>
    <n v="2"/>
    <n v="0.2"/>
    <n v="6.1992000000000003"/>
  </r>
  <r>
    <n v="8674"/>
    <x v="911"/>
    <x v="3"/>
    <x v="11"/>
    <d v="2014-02-22T00:00:00"/>
    <n v="5"/>
    <x v="1"/>
    <s v="Joy Smith"/>
    <x v="0"/>
    <m/>
    <s v="Decatur"/>
    <s v="Illinois"/>
    <s v="Central"/>
    <x v="0"/>
    <x v="1"/>
    <s v="Global Deluxe High-Back Manager's Chair"/>
    <x v="121"/>
    <n v="3"/>
    <n v="0.3"/>
    <n v="-8.5793999999999997"/>
  </r>
  <r>
    <n v="8675"/>
    <x v="911"/>
    <x v="3"/>
    <x v="11"/>
    <d v="2014-02-22T00:00:00"/>
    <n v="5"/>
    <x v="1"/>
    <s v="Joy Smith"/>
    <x v="0"/>
    <m/>
    <s v="Decatur"/>
    <s v="Illinois"/>
    <s v="Central"/>
    <x v="1"/>
    <x v="4"/>
    <s v="Tennsco Lockers, Gray"/>
    <x v="4338"/>
    <n v="3"/>
    <n v="0.2"/>
    <n v="-8.1821999999999999"/>
  </r>
  <r>
    <n v="8676"/>
    <x v="911"/>
    <x v="3"/>
    <x v="11"/>
    <d v="2014-02-22T00:00:00"/>
    <n v="5"/>
    <x v="1"/>
    <s v="Joy Smith"/>
    <x v="0"/>
    <m/>
    <s v="Decatur"/>
    <s v="Illinois"/>
    <s v="Central"/>
    <x v="1"/>
    <x v="6"/>
    <s v="Newell 312"/>
    <x v="5295"/>
    <n v="6"/>
    <n v="0.2"/>
    <n v="3.504"/>
  </r>
  <r>
    <n v="8677"/>
    <x v="911"/>
    <x v="3"/>
    <x v="11"/>
    <d v="2014-02-22T00:00:00"/>
    <n v="5"/>
    <x v="1"/>
    <s v="Joy Smith"/>
    <x v="0"/>
    <m/>
    <s v="Decatur"/>
    <s v="Illinois"/>
    <s v="Central"/>
    <x v="0"/>
    <x v="5"/>
    <s v="Executive Impressions 13&quot; Clairmont Wall Clock"/>
    <x v="5296"/>
    <n v="1"/>
    <n v="0.6"/>
    <n v="-3.6537000000000002"/>
  </r>
  <r>
    <n v="8678"/>
    <x v="1200"/>
    <x v="3"/>
    <x v="2"/>
    <d v="2014-10-27T00:00:00"/>
    <n v="2"/>
    <x v="2"/>
    <s v="Patrick O'Brill"/>
    <x v="0"/>
    <m/>
    <s v="Mansfield"/>
    <s v="Texas"/>
    <s v="Central"/>
    <x v="0"/>
    <x v="3"/>
    <s v="Hon 2111 Invitation Series Straight Table"/>
    <x v="5297"/>
    <n v="5"/>
    <n v="0.3"/>
    <n v="-81.3065"/>
  </r>
  <r>
    <n v="8679"/>
    <x v="476"/>
    <x v="0"/>
    <x v="8"/>
    <d v="2013-09-08T00:00:00"/>
    <n v="5"/>
    <x v="0"/>
    <s v="Ross DeVincentis"/>
    <x v="2"/>
    <m/>
    <s v="Houston"/>
    <s v="Texas"/>
    <s v="Central"/>
    <x v="1"/>
    <x v="8"/>
    <s v="Acco PRESSTEX Data Binder with Storage Hooks, Dark Blue, 9 1/2&quot; X 11&quot;"/>
    <x v="5298"/>
    <n v="8"/>
    <n v="0.8"/>
    <n v="-13.3424"/>
  </r>
  <r>
    <n v="8680"/>
    <x v="476"/>
    <x v="0"/>
    <x v="8"/>
    <d v="2013-09-08T00:00:00"/>
    <n v="5"/>
    <x v="0"/>
    <s v="Ross DeVincentis"/>
    <x v="2"/>
    <m/>
    <s v="Houston"/>
    <s v="Texas"/>
    <s v="Central"/>
    <x v="2"/>
    <x v="11"/>
    <s v="Logitech MX Performance Wireless Mouse"/>
    <x v="4520"/>
    <n v="5"/>
    <n v="0.2"/>
    <n v="33.906500000000001"/>
  </r>
  <r>
    <n v="8681"/>
    <x v="49"/>
    <x v="0"/>
    <x v="4"/>
    <d v="2013-12-04T00:00:00"/>
    <n v="2"/>
    <x v="0"/>
    <s v="Jonathan Doherty"/>
    <x v="1"/>
    <m/>
    <s v="Richmond"/>
    <s v="Virginia"/>
    <s v="South"/>
    <x v="1"/>
    <x v="9"/>
    <s v="Honeywell Enviracaire Portable HEPA Air Cleaner for 17' x 22' Room"/>
    <x v="5299"/>
    <n v="7"/>
    <n v="0"/>
    <n v="694.50149999999996"/>
  </r>
  <r>
    <n v="8682"/>
    <x v="49"/>
    <x v="0"/>
    <x v="4"/>
    <d v="2013-12-04T00:00:00"/>
    <n v="2"/>
    <x v="0"/>
    <s v="Jonathan Doherty"/>
    <x v="1"/>
    <m/>
    <s v="Richmond"/>
    <s v="Virginia"/>
    <s v="South"/>
    <x v="1"/>
    <x v="14"/>
    <s v="Acme Softgrip Scissors"/>
    <x v="5300"/>
    <n v="5"/>
    <n v="0"/>
    <n v="11.803000000000001"/>
  </r>
  <r>
    <n v="8683"/>
    <x v="1127"/>
    <x v="2"/>
    <x v="0"/>
    <d v="2011-11-10T00:00:00"/>
    <n v="5"/>
    <x v="1"/>
    <s v="Steven Roelle"/>
    <x v="2"/>
    <m/>
    <s v="Arlington"/>
    <s v="Virginia"/>
    <s v="South"/>
    <x v="2"/>
    <x v="11"/>
    <s v="Maxell 4.7GB DVD-RW 3/Pack"/>
    <x v="3591"/>
    <n v="3"/>
    <n v="0"/>
    <n v="16.2486"/>
  </r>
  <r>
    <n v="8684"/>
    <x v="920"/>
    <x v="3"/>
    <x v="0"/>
    <d v="2014-12-02T00:00:00"/>
    <n v="6"/>
    <x v="1"/>
    <s v="Tracy Zic"/>
    <x v="0"/>
    <m/>
    <s v="San Francisco"/>
    <s v="California"/>
    <s v="West"/>
    <x v="1"/>
    <x v="6"/>
    <s v="DIXON Oriole Pencils"/>
    <x v="782"/>
    <n v="2"/>
    <n v="0"/>
    <n v="1.3415999999999999"/>
  </r>
  <r>
    <n v="8685"/>
    <x v="186"/>
    <x v="0"/>
    <x v="4"/>
    <d v="2013-12-24T00:00:00"/>
    <n v="7"/>
    <x v="1"/>
    <s v="Tanja Norvell"/>
    <x v="2"/>
    <m/>
    <s v="San Diego"/>
    <s v="California"/>
    <s v="West"/>
    <x v="2"/>
    <x v="11"/>
    <s v="Imation USB 2.0 Swivel Flash Drive USB flash drive - 4 GB - Pink"/>
    <x v="5301"/>
    <n v="7"/>
    <n v="0"/>
    <n v="4.4541000000000004"/>
  </r>
  <r>
    <n v="8686"/>
    <x v="237"/>
    <x v="3"/>
    <x v="0"/>
    <d v="2014-11-19T00:00:00"/>
    <n v="4"/>
    <x v="0"/>
    <s v="Pauline Webber"/>
    <x v="1"/>
    <m/>
    <s v="Watertown"/>
    <s v="New York"/>
    <s v="East"/>
    <x v="1"/>
    <x v="4"/>
    <s v="Letter/Legal File Tote with Clear Snap-On Lid, Black Granite"/>
    <x v="5302"/>
    <n v="6"/>
    <n v="0"/>
    <n v="25.053599999999999"/>
  </r>
  <r>
    <n v="8687"/>
    <x v="190"/>
    <x v="0"/>
    <x v="1"/>
    <d v="2013-06-27T00:00:00"/>
    <n v="0"/>
    <x v="3"/>
    <s v="Adam Hart"/>
    <x v="1"/>
    <m/>
    <s v="Los Angeles"/>
    <s v="California"/>
    <s v="West"/>
    <x v="1"/>
    <x v="14"/>
    <s v="Premier Electric Letter Opener"/>
    <x v="4372"/>
    <n v="2"/>
    <n v="0"/>
    <n v="11.586"/>
  </r>
  <r>
    <n v="8688"/>
    <x v="190"/>
    <x v="0"/>
    <x v="1"/>
    <d v="2013-06-27T00:00:00"/>
    <n v="0"/>
    <x v="3"/>
    <s v="Adam Hart"/>
    <x v="1"/>
    <m/>
    <s v="Los Angeles"/>
    <s v="California"/>
    <s v="West"/>
    <x v="1"/>
    <x v="13"/>
    <s v="OIC Binder Clips"/>
    <x v="1488"/>
    <n v="5"/>
    <n v="0"/>
    <n v="8.9499999999999993"/>
  </r>
  <r>
    <n v="8689"/>
    <x v="190"/>
    <x v="0"/>
    <x v="1"/>
    <d v="2013-06-27T00:00:00"/>
    <n v="0"/>
    <x v="3"/>
    <s v="Adam Hart"/>
    <x v="1"/>
    <m/>
    <s v="Los Angeles"/>
    <s v="California"/>
    <s v="West"/>
    <x v="1"/>
    <x v="10"/>
    <s v="Ampad Phone Message Book, Recycled, 400 Message Capacity, 5 ¾” x 11”"/>
    <x v="1128"/>
    <n v="2"/>
    <n v="0"/>
    <n v="5.6159999999999997"/>
  </r>
  <r>
    <n v="8690"/>
    <x v="58"/>
    <x v="2"/>
    <x v="4"/>
    <d v="2011-12-30T00:00:00"/>
    <n v="4"/>
    <x v="1"/>
    <s v="Andy Yotov"/>
    <x v="1"/>
    <m/>
    <s v="Philadelphia"/>
    <s v="Pennsylvania"/>
    <s v="East"/>
    <x v="1"/>
    <x v="6"/>
    <s v="Eldon Spacemaker Box, Quick-Snap Lid, Clear"/>
    <x v="2204"/>
    <n v="3"/>
    <n v="0.2"/>
    <n v="1.1022000000000001"/>
  </r>
  <r>
    <n v="8691"/>
    <x v="1041"/>
    <x v="0"/>
    <x v="6"/>
    <d v="2013-08-19T00:00:00"/>
    <n v="4"/>
    <x v="1"/>
    <s v="Stephanie Phelps"/>
    <x v="1"/>
    <m/>
    <s v="Akron"/>
    <s v="Ohio"/>
    <s v="East"/>
    <x v="2"/>
    <x v="7"/>
    <s v="Cisco IP Phone 7961G-GE VoIP phone"/>
    <x v="4506"/>
    <n v="2"/>
    <n v="0.4"/>
    <n v="-56.3108"/>
  </r>
  <r>
    <n v="8692"/>
    <x v="1041"/>
    <x v="0"/>
    <x v="6"/>
    <d v="2013-08-19T00:00:00"/>
    <n v="4"/>
    <x v="1"/>
    <s v="Stephanie Phelps"/>
    <x v="1"/>
    <m/>
    <s v="Akron"/>
    <s v="Ohio"/>
    <s v="East"/>
    <x v="2"/>
    <x v="7"/>
    <s v="Plantronics Voyager Pro Legend"/>
    <x v="5303"/>
    <n v="2"/>
    <n v="0.4"/>
    <n v="-49.437600000000003"/>
  </r>
  <r>
    <n v="8693"/>
    <x v="1041"/>
    <x v="0"/>
    <x v="6"/>
    <d v="2013-08-19T00:00:00"/>
    <n v="4"/>
    <x v="1"/>
    <s v="Stephanie Phelps"/>
    <x v="1"/>
    <m/>
    <s v="Akron"/>
    <s v="Ohio"/>
    <s v="East"/>
    <x v="2"/>
    <x v="11"/>
    <s v="Logitech G500s Laser Gaming Mouse with Adjustable Weight Tuning"/>
    <x v="460"/>
    <n v="5"/>
    <n v="0.2"/>
    <n v="48.993000000000002"/>
  </r>
  <r>
    <n v="8694"/>
    <x v="1057"/>
    <x v="0"/>
    <x v="2"/>
    <d v="2013-10-29T00:00:00"/>
    <n v="4"/>
    <x v="1"/>
    <s v="Emily Ducich"/>
    <x v="2"/>
    <m/>
    <s v="San Francisco"/>
    <s v="California"/>
    <s v="West"/>
    <x v="2"/>
    <x v="11"/>
    <s v="NETGEAR N750 Dual Band Wi-Fi Gigabit Router"/>
    <x v="5304"/>
    <n v="5"/>
    <n v="0"/>
    <n v="162"/>
  </r>
  <r>
    <n v="8695"/>
    <x v="709"/>
    <x v="2"/>
    <x v="6"/>
    <d v="2011-08-28T00:00:00"/>
    <n v="5"/>
    <x v="0"/>
    <s v="Corey Roper"/>
    <x v="2"/>
    <m/>
    <s v="Grand Rapids"/>
    <s v="Michigan"/>
    <s v="Central"/>
    <x v="1"/>
    <x v="10"/>
    <s v="Xerox 1993"/>
    <x v="537"/>
    <n v="3"/>
    <n v="0"/>
    <n v="9.5256000000000007"/>
  </r>
  <r>
    <n v="8696"/>
    <x v="175"/>
    <x v="3"/>
    <x v="8"/>
    <d v="2014-09-18T00:00:00"/>
    <n v="2"/>
    <x v="0"/>
    <s v="Christopher Schild"/>
    <x v="2"/>
    <m/>
    <s v="San Francisco"/>
    <s v="California"/>
    <s v="West"/>
    <x v="0"/>
    <x v="3"/>
    <s v="Bretford Rectangular Conference Table Tops"/>
    <x v="1201"/>
    <n v="1"/>
    <n v="0.2"/>
    <n v="11.283899999999999"/>
  </r>
  <r>
    <n v="8697"/>
    <x v="140"/>
    <x v="3"/>
    <x v="1"/>
    <d v="2014-06-21T00:00:00"/>
    <n v="5"/>
    <x v="1"/>
    <s v="Thomas Seio"/>
    <x v="1"/>
    <m/>
    <s v="Nashville"/>
    <s v="Tennessee"/>
    <s v="South"/>
    <x v="2"/>
    <x v="7"/>
    <s v="HTC One"/>
    <x v="1946"/>
    <n v="3"/>
    <n v="0.2"/>
    <n v="26.997299999999999"/>
  </r>
  <r>
    <n v="8698"/>
    <x v="140"/>
    <x v="3"/>
    <x v="1"/>
    <d v="2014-06-21T00:00:00"/>
    <n v="5"/>
    <x v="1"/>
    <s v="Thomas Seio"/>
    <x v="1"/>
    <m/>
    <s v="Nashville"/>
    <s v="Tennessee"/>
    <s v="South"/>
    <x v="0"/>
    <x v="5"/>
    <s v="Staples"/>
    <x v="5305"/>
    <n v="4"/>
    <n v="0.2"/>
    <n v="9.3504000000000005"/>
  </r>
  <r>
    <n v="8699"/>
    <x v="140"/>
    <x v="3"/>
    <x v="1"/>
    <d v="2014-06-21T00:00:00"/>
    <n v="5"/>
    <x v="1"/>
    <s v="Thomas Seio"/>
    <x v="1"/>
    <m/>
    <s v="Nashville"/>
    <s v="Tennessee"/>
    <s v="South"/>
    <x v="0"/>
    <x v="3"/>
    <s v="Barricks 18&quot; x 48&quot; Non-Folding Utility Table with Bottom Storage Shelf"/>
    <x v="5306"/>
    <n v="2"/>
    <n v="0.4"/>
    <n v="-28.224"/>
  </r>
  <r>
    <n v="8700"/>
    <x v="140"/>
    <x v="3"/>
    <x v="1"/>
    <d v="2014-06-21T00:00:00"/>
    <n v="5"/>
    <x v="1"/>
    <s v="Thomas Seio"/>
    <x v="1"/>
    <m/>
    <s v="Nashville"/>
    <s v="Tennessee"/>
    <s v="South"/>
    <x v="2"/>
    <x v="7"/>
    <s v="Samsung Galaxy S III - 16GB - pebble blue (T-Mobile)"/>
    <x v="5307"/>
    <n v="8"/>
    <n v="0.2"/>
    <n v="223.99359999999999"/>
  </r>
  <r>
    <n v="8701"/>
    <x v="140"/>
    <x v="3"/>
    <x v="1"/>
    <d v="2014-06-21T00:00:00"/>
    <n v="5"/>
    <x v="1"/>
    <s v="Thomas Seio"/>
    <x v="1"/>
    <m/>
    <s v="Nashville"/>
    <s v="Tennessee"/>
    <s v="South"/>
    <x v="1"/>
    <x v="9"/>
    <s v="Staples"/>
    <x v="5308"/>
    <n v="8"/>
    <n v="0.2"/>
    <n v="6.7031999999999998"/>
  </r>
  <r>
    <n v="8702"/>
    <x v="140"/>
    <x v="3"/>
    <x v="1"/>
    <d v="2014-06-21T00:00:00"/>
    <n v="5"/>
    <x v="1"/>
    <s v="Thomas Seio"/>
    <x v="1"/>
    <m/>
    <s v="Nashville"/>
    <s v="Tennessee"/>
    <s v="South"/>
    <x v="1"/>
    <x v="4"/>
    <s v="Hot File 7-Pocket, Floor Stand"/>
    <x v="569"/>
    <n v="1"/>
    <n v="0.2"/>
    <n v="17.847000000000001"/>
  </r>
  <r>
    <n v="8703"/>
    <x v="140"/>
    <x v="3"/>
    <x v="1"/>
    <d v="2014-06-21T00:00:00"/>
    <n v="5"/>
    <x v="1"/>
    <s v="Thomas Seio"/>
    <x v="1"/>
    <m/>
    <s v="Nashville"/>
    <s v="Tennessee"/>
    <s v="South"/>
    <x v="1"/>
    <x v="10"/>
    <s v="Xerox 1955"/>
    <x v="419"/>
    <n v="5"/>
    <n v="0.2"/>
    <n v="29.692"/>
  </r>
  <r>
    <n v="8704"/>
    <x v="1201"/>
    <x v="1"/>
    <x v="10"/>
    <d v="2012-03-05T00:00:00"/>
    <n v="4"/>
    <x v="1"/>
    <s v="Resi Pölking"/>
    <x v="0"/>
    <m/>
    <s v="Philadelphia"/>
    <s v="Pennsylvania"/>
    <s v="East"/>
    <x v="1"/>
    <x v="9"/>
    <s v="Hoover Replacement Belt for Commercial Guardsman Heavy-Duty Upright Vacuum"/>
    <x v="1480"/>
    <n v="2"/>
    <n v="0.2"/>
    <n v="0.44400000000000001"/>
  </r>
  <r>
    <n v="8705"/>
    <x v="310"/>
    <x v="0"/>
    <x v="7"/>
    <d v="2013-07-27T00:00:00"/>
    <n v="3"/>
    <x v="2"/>
    <s v="Ivan Liston"/>
    <x v="0"/>
    <m/>
    <s v="Houston"/>
    <s v="Texas"/>
    <s v="Central"/>
    <x v="2"/>
    <x v="7"/>
    <s v="Griffin GC17055 Auxiliary Audio Cable"/>
    <x v="5309"/>
    <n v="8"/>
    <n v="0.2"/>
    <n v="11.5136"/>
  </r>
  <r>
    <n v="8706"/>
    <x v="1202"/>
    <x v="2"/>
    <x v="2"/>
    <d v="2011-10-05T00:00:00"/>
    <n v="4"/>
    <x v="1"/>
    <s v="Neil Französisch"/>
    <x v="2"/>
    <m/>
    <s v="Reno"/>
    <s v="Nevada"/>
    <s v="West"/>
    <x v="1"/>
    <x v="13"/>
    <s v="Sterling Rubber Bands by Alliance"/>
    <x v="5310"/>
    <n v="1"/>
    <n v="0"/>
    <n v="0"/>
  </r>
  <r>
    <n v="8707"/>
    <x v="78"/>
    <x v="2"/>
    <x v="8"/>
    <d v="2011-09-13T00:00:00"/>
    <n v="5"/>
    <x v="1"/>
    <s v="Paul Prost"/>
    <x v="2"/>
    <m/>
    <s v="New York City"/>
    <s v="New York"/>
    <s v="East"/>
    <x v="0"/>
    <x v="1"/>
    <s v="Global Super Steno Chair"/>
    <x v="3058"/>
    <n v="2"/>
    <n v="0.1"/>
    <n v="13.437200000000001"/>
  </r>
  <r>
    <n v="8708"/>
    <x v="78"/>
    <x v="2"/>
    <x v="8"/>
    <d v="2011-09-13T00:00:00"/>
    <n v="5"/>
    <x v="1"/>
    <s v="Paul Prost"/>
    <x v="2"/>
    <m/>
    <s v="New York City"/>
    <s v="New York"/>
    <s v="East"/>
    <x v="1"/>
    <x v="6"/>
    <s v="Nontoxic Chalk"/>
    <x v="2799"/>
    <n v="2"/>
    <n v="0"/>
    <n v="1.6896"/>
  </r>
  <r>
    <n v="8709"/>
    <x v="912"/>
    <x v="2"/>
    <x v="0"/>
    <d v="2011-11-18T00:00:00"/>
    <n v="2"/>
    <x v="2"/>
    <s v="Justin Deggeller"/>
    <x v="1"/>
    <m/>
    <s v="Los Angeles"/>
    <s v="California"/>
    <s v="West"/>
    <x v="2"/>
    <x v="7"/>
    <s v="OtterBox Commuter Series Case - Samsung Galaxy S4"/>
    <x v="5311"/>
    <n v="4"/>
    <n v="0.2"/>
    <n v="-17.992799999999999"/>
  </r>
  <r>
    <n v="8710"/>
    <x v="912"/>
    <x v="2"/>
    <x v="0"/>
    <d v="2011-11-18T00:00:00"/>
    <n v="2"/>
    <x v="2"/>
    <s v="Justin Deggeller"/>
    <x v="1"/>
    <m/>
    <s v="Los Angeles"/>
    <s v="California"/>
    <s v="West"/>
    <x v="0"/>
    <x v="0"/>
    <s v="Bush Andora Bookcase, Maple/Graphite Gray Finish"/>
    <x v="5312"/>
    <n v="3"/>
    <n v="0.15"/>
    <n v="25.197900000000001"/>
  </r>
  <r>
    <n v="8711"/>
    <x v="912"/>
    <x v="2"/>
    <x v="0"/>
    <d v="2011-11-18T00:00:00"/>
    <n v="2"/>
    <x v="2"/>
    <s v="Justin Deggeller"/>
    <x v="1"/>
    <m/>
    <s v="Los Angeles"/>
    <s v="California"/>
    <s v="West"/>
    <x v="1"/>
    <x v="4"/>
    <s v="Space Solutions HD Industrial Steel Shelving."/>
    <x v="3129"/>
    <n v="3"/>
    <n v="0"/>
    <n v="10.347300000000001"/>
  </r>
  <r>
    <n v="8712"/>
    <x v="223"/>
    <x v="2"/>
    <x v="10"/>
    <d v="2011-03-07T00:00:00"/>
    <n v="4"/>
    <x v="1"/>
    <s v="Eva Jacobs"/>
    <x v="0"/>
    <m/>
    <s v="San Diego"/>
    <s v="California"/>
    <s v="West"/>
    <x v="0"/>
    <x v="3"/>
    <s v="Bevis Oval Conference Table, Walnut"/>
    <x v="188"/>
    <n v="3"/>
    <n v="0.2"/>
    <n v="-23.488199999999999"/>
  </r>
  <r>
    <n v="8713"/>
    <x v="155"/>
    <x v="1"/>
    <x v="4"/>
    <d v="2012-12-07T00:00:00"/>
    <n v="4"/>
    <x v="1"/>
    <s v="Pierre Wener"/>
    <x v="0"/>
    <m/>
    <s v="San Francisco"/>
    <s v="California"/>
    <s v="West"/>
    <x v="0"/>
    <x v="0"/>
    <s v="Sauder Forest Hills Library, Woodland Oak Finish"/>
    <x v="3638"/>
    <n v="3"/>
    <n v="0.15"/>
    <n v="-29.605799999999999"/>
  </r>
  <r>
    <n v="8714"/>
    <x v="497"/>
    <x v="3"/>
    <x v="7"/>
    <d v="2014-07-17T00:00:00"/>
    <n v="5"/>
    <x v="1"/>
    <s v="Tom Stivers"/>
    <x v="1"/>
    <m/>
    <s v="San Diego"/>
    <s v="California"/>
    <s v="West"/>
    <x v="2"/>
    <x v="7"/>
    <s v="Belkin iPhone and iPad Lightning Cable"/>
    <x v="5313"/>
    <n v="6"/>
    <n v="0.2"/>
    <n v="5.3963999999999999"/>
  </r>
  <r>
    <n v="8715"/>
    <x v="497"/>
    <x v="3"/>
    <x v="7"/>
    <d v="2014-07-17T00:00:00"/>
    <n v="5"/>
    <x v="1"/>
    <s v="Tom Stivers"/>
    <x v="1"/>
    <m/>
    <s v="San Diego"/>
    <s v="California"/>
    <s v="West"/>
    <x v="1"/>
    <x v="8"/>
    <s v="Acco Four Pocket Poly Ring Binder with Label Holder, Smoke, 1&quot;"/>
    <x v="1263"/>
    <n v="5"/>
    <n v="0.2"/>
    <n v="9.3125"/>
  </r>
  <r>
    <n v="8716"/>
    <x v="673"/>
    <x v="3"/>
    <x v="0"/>
    <d v="2014-11-21T00:00:00"/>
    <n v="4"/>
    <x v="0"/>
    <s v="Brian Moss"/>
    <x v="1"/>
    <m/>
    <s v="Elyria"/>
    <s v="Ohio"/>
    <s v="East"/>
    <x v="1"/>
    <x v="8"/>
    <s v="Prestige Round Ring Binders"/>
    <x v="3515"/>
    <n v="1"/>
    <n v="0.7"/>
    <n v="-1.3984000000000001"/>
  </r>
  <r>
    <n v="8717"/>
    <x v="1"/>
    <x v="0"/>
    <x v="1"/>
    <d v="2013-06-17T00:00:00"/>
    <n v="4"/>
    <x v="0"/>
    <s v="Arthur Wiediger"/>
    <x v="2"/>
    <m/>
    <s v="Houston"/>
    <s v="Texas"/>
    <s v="Central"/>
    <x v="1"/>
    <x v="9"/>
    <s v="APC 7 Outlet Network SurgeArrest Surge Protector"/>
    <x v="5183"/>
    <n v="4"/>
    <n v="0.8"/>
    <n v="-160.96"/>
  </r>
  <r>
    <n v="8718"/>
    <x v="1"/>
    <x v="0"/>
    <x v="1"/>
    <d v="2013-06-17T00:00:00"/>
    <n v="4"/>
    <x v="0"/>
    <s v="Arthur Wiediger"/>
    <x v="2"/>
    <m/>
    <s v="Houston"/>
    <s v="Texas"/>
    <s v="Central"/>
    <x v="0"/>
    <x v="5"/>
    <s v="Dax Clear Box Frame"/>
    <x v="1882"/>
    <n v="2"/>
    <n v="0.6"/>
    <n v="-4.5396000000000001"/>
  </r>
  <r>
    <n v="8719"/>
    <x v="1"/>
    <x v="0"/>
    <x v="1"/>
    <d v="2013-06-17T00:00:00"/>
    <n v="4"/>
    <x v="0"/>
    <s v="Arthur Wiediger"/>
    <x v="2"/>
    <m/>
    <s v="Houston"/>
    <s v="Texas"/>
    <s v="Central"/>
    <x v="1"/>
    <x v="6"/>
    <s v="Nontoxic Chalk"/>
    <x v="2387"/>
    <n v="8"/>
    <n v="0.2"/>
    <n v="3.9424000000000001"/>
  </r>
  <r>
    <n v="8720"/>
    <x v="1"/>
    <x v="0"/>
    <x v="1"/>
    <d v="2013-06-17T00:00:00"/>
    <n v="4"/>
    <x v="0"/>
    <s v="Arthur Wiediger"/>
    <x v="2"/>
    <m/>
    <s v="Houston"/>
    <s v="Texas"/>
    <s v="Central"/>
    <x v="1"/>
    <x v="10"/>
    <s v="Xerox 1975"/>
    <x v="12"/>
    <n v="3"/>
    <n v="0.2"/>
    <n v="5.6375999999999999"/>
  </r>
  <r>
    <n v="8721"/>
    <x v="1"/>
    <x v="0"/>
    <x v="1"/>
    <d v="2013-06-17T00:00:00"/>
    <n v="4"/>
    <x v="0"/>
    <s v="Arthur Wiediger"/>
    <x v="2"/>
    <m/>
    <s v="Houston"/>
    <s v="Texas"/>
    <s v="Central"/>
    <x v="0"/>
    <x v="1"/>
    <s v="Global Enterprise Series Seating High-Back Swivel/Tilt Chairs"/>
    <x v="5314"/>
    <n v="2"/>
    <n v="0.3"/>
    <n v="-119.2312"/>
  </r>
  <r>
    <n v="8722"/>
    <x v="1"/>
    <x v="0"/>
    <x v="1"/>
    <d v="2013-06-17T00:00:00"/>
    <n v="4"/>
    <x v="0"/>
    <s v="Arthur Wiediger"/>
    <x v="2"/>
    <m/>
    <s v="Houston"/>
    <s v="Texas"/>
    <s v="Central"/>
    <x v="1"/>
    <x v="4"/>
    <s v="Staples"/>
    <x v="5315"/>
    <n v="9"/>
    <n v="0.2"/>
    <n v="6.7535999999999996"/>
  </r>
  <r>
    <n v="8723"/>
    <x v="1"/>
    <x v="0"/>
    <x v="1"/>
    <d v="2013-06-17T00:00:00"/>
    <n v="4"/>
    <x v="0"/>
    <s v="Arthur Wiediger"/>
    <x v="2"/>
    <m/>
    <s v="Houston"/>
    <s v="Texas"/>
    <s v="Central"/>
    <x v="1"/>
    <x v="8"/>
    <s v="Acco Pressboard Covers with Storage Hooks, 14 7/8&quot; x 11&quot;, Executive Red"/>
    <x v="5316"/>
    <n v="2"/>
    <n v="0.8"/>
    <n v="-2.6669999999999998"/>
  </r>
  <r>
    <n v="8724"/>
    <x v="723"/>
    <x v="0"/>
    <x v="4"/>
    <d v="2014-01-01T00:00:00"/>
    <n v="2"/>
    <x v="0"/>
    <s v="Marc Harrigan"/>
    <x v="2"/>
    <m/>
    <s v="Miami"/>
    <s v="Florida"/>
    <s v="South"/>
    <x v="1"/>
    <x v="10"/>
    <s v="Xerox 1898"/>
    <x v="5317"/>
    <n v="7"/>
    <n v="0.2"/>
    <n v="13.0928"/>
  </r>
  <r>
    <n v="8725"/>
    <x v="723"/>
    <x v="0"/>
    <x v="4"/>
    <d v="2014-01-01T00:00:00"/>
    <n v="2"/>
    <x v="0"/>
    <s v="Marc Harrigan"/>
    <x v="2"/>
    <m/>
    <s v="Miami"/>
    <s v="Florida"/>
    <s v="South"/>
    <x v="1"/>
    <x v="10"/>
    <s v="Astroparche Fine Business Paper"/>
    <x v="863"/>
    <n v="6"/>
    <n v="0.2"/>
    <n v="8.8704000000000001"/>
  </r>
  <r>
    <n v="8726"/>
    <x v="257"/>
    <x v="3"/>
    <x v="10"/>
    <d v="2014-03-24T00:00:00"/>
    <n v="5"/>
    <x v="1"/>
    <s v="Scott Williamson"/>
    <x v="0"/>
    <m/>
    <s v="Seattle"/>
    <s v="Washington"/>
    <s v="West"/>
    <x v="1"/>
    <x v="6"/>
    <s v="Deluxe Chalkboard Eraser Cleaner"/>
    <x v="843"/>
    <n v="4"/>
    <n v="0"/>
    <n v="21.251999999999999"/>
  </r>
  <r>
    <n v="8727"/>
    <x v="17"/>
    <x v="1"/>
    <x v="4"/>
    <d v="2012-12-31T00:00:00"/>
    <n v="4"/>
    <x v="1"/>
    <s v="Sung Pak"/>
    <x v="1"/>
    <m/>
    <s v="Murfreesboro"/>
    <s v="Tennessee"/>
    <s v="South"/>
    <x v="2"/>
    <x v="11"/>
    <s v="Maxell CD-R Discs"/>
    <x v="5318"/>
    <n v="3"/>
    <n v="0.2"/>
    <n v="0.70920000000000005"/>
  </r>
  <r>
    <n v="8728"/>
    <x v="17"/>
    <x v="1"/>
    <x v="4"/>
    <d v="2012-12-31T00:00:00"/>
    <n v="4"/>
    <x v="1"/>
    <s v="Sung Pak"/>
    <x v="1"/>
    <m/>
    <s v="Murfreesboro"/>
    <s v="Tennessee"/>
    <s v="South"/>
    <x v="0"/>
    <x v="5"/>
    <s v="Executive Impressions 14&quot; Contract Wall Clock with Quartz Movement"/>
    <x v="5319"/>
    <n v="3"/>
    <n v="0.2"/>
    <n v="16.005600000000001"/>
  </r>
  <r>
    <n v="8729"/>
    <x v="17"/>
    <x v="1"/>
    <x v="4"/>
    <d v="2012-12-31T00:00:00"/>
    <n v="4"/>
    <x v="1"/>
    <s v="Sung Pak"/>
    <x v="1"/>
    <m/>
    <s v="Murfreesboro"/>
    <s v="Tennessee"/>
    <s v="South"/>
    <x v="0"/>
    <x v="0"/>
    <s v="O'Sullivan 5-Shelf Heavy-Duty Bookcases"/>
    <x v="5320"/>
    <n v="2"/>
    <n v="0.2"/>
    <n v="8.1940000000000008"/>
  </r>
  <r>
    <n v="8730"/>
    <x v="17"/>
    <x v="1"/>
    <x v="4"/>
    <d v="2012-12-31T00:00:00"/>
    <n v="4"/>
    <x v="1"/>
    <s v="Sung Pak"/>
    <x v="1"/>
    <m/>
    <s v="Murfreesboro"/>
    <s v="Tennessee"/>
    <s v="South"/>
    <x v="1"/>
    <x v="4"/>
    <s v="Staples"/>
    <x v="2688"/>
    <n v="3"/>
    <n v="0.2"/>
    <n v="2.2511999999999999"/>
  </r>
  <r>
    <n v="8731"/>
    <x v="17"/>
    <x v="1"/>
    <x v="4"/>
    <d v="2012-12-31T00:00:00"/>
    <n v="4"/>
    <x v="1"/>
    <s v="Sung Pak"/>
    <x v="1"/>
    <m/>
    <s v="Murfreesboro"/>
    <s v="Tennessee"/>
    <s v="South"/>
    <x v="2"/>
    <x v="11"/>
    <s v="SanDisk Ultra 16 GB MicroSDHC Class 10 Memory Card"/>
    <x v="3063"/>
    <n v="7"/>
    <n v="0.2"/>
    <n v="-12.7302"/>
  </r>
  <r>
    <n v="8732"/>
    <x v="374"/>
    <x v="1"/>
    <x v="7"/>
    <d v="2012-08-06T00:00:00"/>
    <n v="6"/>
    <x v="1"/>
    <s v="Steve Chapman"/>
    <x v="1"/>
    <m/>
    <s v="Saint Louis"/>
    <s v="Missouri"/>
    <s v="Central"/>
    <x v="1"/>
    <x v="14"/>
    <s v="Acme 10&quot; Easy Grip Assistive Scissors"/>
    <x v="5321"/>
    <n v="3"/>
    <n v="0"/>
    <n v="15.776999999999999"/>
  </r>
  <r>
    <n v="8733"/>
    <x v="818"/>
    <x v="3"/>
    <x v="1"/>
    <d v="2014-06-30T00:00:00"/>
    <n v="2"/>
    <x v="0"/>
    <s v="Pauline Webber"/>
    <x v="1"/>
    <m/>
    <s v="Seattle"/>
    <s v="Washington"/>
    <s v="West"/>
    <x v="1"/>
    <x v="10"/>
    <s v="Xerox 1997"/>
    <x v="537"/>
    <n v="3"/>
    <n v="0"/>
    <n v="9.3312000000000008"/>
  </r>
  <r>
    <n v="8734"/>
    <x v="818"/>
    <x v="3"/>
    <x v="1"/>
    <d v="2014-06-30T00:00:00"/>
    <n v="2"/>
    <x v="0"/>
    <s v="Pauline Webber"/>
    <x v="1"/>
    <m/>
    <s v="Seattle"/>
    <s v="Washington"/>
    <s v="West"/>
    <x v="0"/>
    <x v="5"/>
    <s v="Executive Impressions Supervisor Wall Clock"/>
    <x v="483"/>
    <n v="3"/>
    <n v="0"/>
    <n v="40.415999999999997"/>
  </r>
  <r>
    <n v="8735"/>
    <x v="818"/>
    <x v="3"/>
    <x v="1"/>
    <d v="2014-06-30T00:00:00"/>
    <n v="2"/>
    <x v="0"/>
    <s v="Pauline Webber"/>
    <x v="1"/>
    <m/>
    <s v="Seattle"/>
    <s v="Washington"/>
    <s v="West"/>
    <x v="2"/>
    <x v="11"/>
    <s v="Logitech P710e Mobile Speakerphone"/>
    <x v="2632"/>
    <n v="5"/>
    <n v="0"/>
    <n v="244.6155"/>
  </r>
  <r>
    <n v="8736"/>
    <x v="315"/>
    <x v="2"/>
    <x v="11"/>
    <d v="2011-02-11T00:00:00"/>
    <n v="3"/>
    <x v="0"/>
    <s v="Chris Selesnick"/>
    <x v="1"/>
    <m/>
    <s v="New York City"/>
    <s v="New York"/>
    <s v="East"/>
    <x v="1"/>
    <x v="4"/>
    <s v="Acco Perma 4000 Stacking Storage Drawers"/>
    <x v="643"/>
    <n v="4"/>
    <n v="0"/>
    <n v="9.7439999999999998"/>
  </r>
  <r>
    <n v="8737"/>
    <x v="913"/>
    <x v="0"/>
    <x v="8"/>
    <d v="2013-09-10T00:00:00"/>
    <n v="5"/>
    <x v="1"/>
    <s v="Roy Phan"/>
    <x v="1"/>
    <m/>
    <s v="Woodbury"/>
    <s v="Minnesota"/>
    <s v="Central"/>
    <x v="1"/>
    <x v="4"/>
    <s v="Hot File 7-Pocket, Floor Stand"/>
    <x v="3370"/>
    <n v="3"/>
    <n v="0"/>
    <n v="160.62299999999999"/>
  </r>
  <r>
    <n v="8738"/>
    <x v="1191"/>
    <x v="3"/>
    <x v="3"/>
    <d v="2014-04-11T00:00:00"/>
    <n v="4"/>
    <x v="1"/>
    <s v="Charles Sheldon"/>
    <x v="1"/>
    <m/>
    <s v="Chattanooga"/>
    <s v="Tennessee"/>
    <s v="South"/>
    <x v="1"/>
    <x v="8"/>
    <s v="3M Organizer Strips"/>
    <x v="5322"/>
    <n v="5"/>
    <n v="0.7"/>
    <n v="-5.94"/>
  </r>
  <r>
    <n v="8739"/>
    <x v="166"/>
    <x v="3"/>
    <x v="4"/>
    <d v="2014-12-12T00:00:00"/>
    <n v="3"/>
    <x v="2"/>
    <s v="Max Jones"/>
    <x v="0"/>
    <m/>
    <s v="Philadelphia"/>
    <s v="Pennsylvania"/>
    <s v="East"/>
    <x v="1"/>
    <x v="6"/>
    <s v="BIC Brite Liner Highlighters"/>
    <x v="2113"/>
    <n v="4"/>
    <n v="0.2"/>
    <n v="3.6432000000000002"/>
  </r>
  <r>
    <n v="8740"/>
    <x v="166"/>
    <x v="3"/>
    <x v="4"/>
    <d v="2014-12-12T00:00:00"/>
    <n v="3"/>
    <x v="2"/>
    <s v="Max Jones"/>
    <x v="0"/>
    <m/>
    <s v="Philadelphia"/>
    <s v="Pennsylvania"/>
    <s v="East"/>
    <x v="2"/>
    <x v="7"/>
    <s v="iHome FM Clock Radio with Lightning Dock"/>
    <x v="5323"/>
    <n v="2"/>
    <n v="0.4"/>
    <n v="-20.997"/>
  </r>
  <r>
    <n v="8741"/>
    <x v="1131"/>
    <x v="0"/>
    <x v="7"/>
    <d v="2013-07-26T00:00:00"/>
    <n v="1"/>
    <x v="2"/>
    <s v="James Galang"/>
    <x v="0"/>
    <m/>
    <s v="Lafayette"/>
    <s v="Louisiana"/>
    <s v="South"/>
    <x v="1"/>
    <x v="6"/>
    <s v="Panasonic KP-4ABK Battery-Operated Pencil Sharpener"/>
    <x v="1393"/>
    <n v="5"/>
    <n v="0"/>
    <n v="21.228000000000002"/>
  </r>
  <r>
    <n v="8742"/>
    <x v="529"/>
    <x v="1"/>
    <x v="0"/>
    <d v="2012-11-09T00:00:00"/>
    <n v="0"/>
    <x v="3"/>
    <s v="Anthony Garverick"/>
    <x v="2"/>
    <m/>
    <s v="Lawrence"/>
    <s v="Indiana"/>
    <s v="Central"/>
    <x v="1"/>
    <x v="8"/>
    <s v="Avery Poly Binder Pockets"/>
    <x v="627"/>
    <n v="3"/>
    <n v="0"/>
    <n v="5.1551999999999998"/>
  </r>
  <r>
    <n v="8743"/>
    <x v="653"/>
    <x v="1"/>
    <x v="2"/>
    <d v="2012-10-04T00:00:00"/>
    <n v="2"/>
    <x v="2"/>
    <s v="Chloris Kastensmidt"/>
    <x v="0"/>
    <m/>
    <s v="Hillsboro"/>
    <s v="Oregon"/>
    <s v="West"/>
    <x v="0"/>
    <x v="5"/>
    <s v="9-3/4 Diameter Round Wall Clock"/>
    <x v="5324"/>
    <n v="1"/>
    <n v="0.2"/>
    <n v="3.0337999999999998"/>
  </r>
  <r>
    <n v="8744"/>
    <x v="653"/>
    <x v="1"/>
    <x v="2"/>
    <d v="2012-10-04T00:00:00"/>
    <n v="2"/>
    <x v="2"/>
    <s v="Chloris Kastensmidt"/>
    <x v="0"/>
    <m/>
    <s v="Hillsboro"/>
    <s v="Oregon"/>
    <s v="West"/>
    <x v="2"/>
    <x v="11"/>
    <s v="SanDisk Ultra 32 GB MicroSDHC Class 10 Memory Card"/>
    <x v="3891"/>
    <n v="3"/>
    <n v="0.2"/>
    <n v="-4.641"/>
  </r>
  <r>
    <n v="8745"/>
    <x v="6"/>
    <x v="1"/>
    <x v="0"/>
    <d v="2012-11-25T00:00:00"/>
    <n v="3"/>
    <x v="0"/>
    <s v="Harold Dahlen"/>
    <x v="2"/>
    <m/>
    <s v="Cambridge"/>
    <s v="Massachusetts"/>
    <s v="East"/>
    <x v="1"/>
    <x v="6"/>
    <s v="Newell 341"/>
    <x v="854"/>
    <n v="4"/>
    <n v="0"/>
    <n v="4.9648000000000003"/>
  </r>
  <r>
    <n v="8746"/>
    <x v="6"/>
    <x v="1"/>
    <x v="0"/>
    <d v="2012-11-25T00:00:00"/>
    <n v="3"/>
    <x v="0"/>
    <s v="Harold Dahlen"/>
    <x v="2"/>
    <m/>
    <s v="Cambridge"/>
    <s v="Massachusetts"/>
    <s v="East"/>
    <x v="1"/>
    <x v="10"/>
    <s v="Xerox 1936"/>
    <x v="725"/>
    <n v="3"/>
    <n v="0"/>
    <n v="28.171800000000001"/>
  </r>
  <r>
    <n v="8747"/>
    <x v="62"/>
    <x v="3"/>
    <x v="11"/>
    <d v="2014-02-08T00:00:00"/>
    <n v="5"/>
    <x v="1"/>
    <s v="Bill Overfelt"/>
    <x v="1"/>
    <m/>
    <s v="San Diego"/>
    <s v="California"/>
    <s v="West"/>
    <x v="0"/>
    <x v="5"/>
    <s v="Eldon Antistatic Chair Mats for Low to Medium Pile Carpets"/>
    <x v="5325"/>
    <n v="2"/>
    <n v="0"/>
    <n v="12.6348"/>
  </r>
  <r>
    <n v="8748"/>
    <x v="62"/>
    <x v="3"/>
    <x v="11"/>
    <d v="2014-02-08T00:00:00"/>
    <n v="5"/>
    <x v="1"/>
    <s v="Bill Overfelt"/>
    <x v="1"/>
    <m/>
    <s v="San Diego"/>
    <s v="California"/>
    <s v="West"/>
    <x v="1"/>
    <x v="8"/>
    <s v="GBC Durable Plastic Covers"/>
    <x v="2585"/>
    <n v="2"/>
    <n v="0.2"/>
    <n v="10.061999999999999"/>
  </r>
  <r>
    <n v="8749"/>
    <x v="62"/>
    <x v="3"/>
    <x v="11"/>
    <d v="2014-02-08T00:00:00"/>
    <n v="5"/>
    <x v="1"/>
    <s v="Bill Overfelt"/>
    <x v="1"/>
    <m/>
    <s v="San Diego"/>
    <s v="California"/>
    <s v="West"/>
    <x v="2"/>
    <x v="15"/>
    <s v="HP Officejet Pro 8600 e-All-In-One Printer, Copier, Scanner, Fax"/>
    <x v="2507"/>
    <n v="2"/>
    <n v="0.2"/>
    <n v="38.997399999999999"/>
  </r>
  <r>
    <n v="8750"/>
    <x v="382"/>
    <x v="1"/>
    <x v="1"/>
    <d v="2012-06-19T00:00:00"/>
    <n v="3"/>
    <x v="2"/>
    <s v="Lena Creighton"/>
    <x v="0"/>
    <m/>
    <s v="New York City"/>
    <s v="New York"/>
    <s v="East"/>
    <x v="1"/>
    <x v="8"/>
    <s v="Fellowes PB500 Electric Punch Plastic Comb Binding Machine with Manual Bind"/>
    <x v="5326"/>
    <n v="3"/>
    <n v="0.2"/>
    <n v="1143.8910000000001"/>
  </r>
  <r>
    <n v="8751"/>
    <x v="382"/>
    <x v="1"/>
    <x v="1"/>
    <d v="2012-06-19T00:00:00"/>
    <n v="3"/>
    <x v="2"/>
    <s v="Lena Creighton"/>
    <x v="0"/>
    <m/>
    <s v="New York City"/>
    <s v="New York"/>
    <s v="East"/>
    <x v="2"/>
    <x v="7"/>
    <s v="RCA Visys Integrated PBX 8-Line Router"/>
    <x v="5327"/>
    <n v="2"/>
    <n v="0"/>
    <n v="33.494999999999997"/>
  </r>
  <r>
    <n v="8752"/>
    <x v="465"/>
    <x v="0"/>
    <x v="5"/>
    <d v="2013-05-10T00:00:00"/>
    <n v="4"/>
    <x v="1"/>
    <s v="Rick Bensley"/>
    <x v="2"/>
    <m/>
    <s v="Tallahassee"/>
    <s v="Florida"/>
    <s v="South"/>
    <x v="1"/>
    <x v="10"/>
    <s v="Snap-A-Way Black Print Carbonless Speed Message, No Reply Area, Duplicate"/>
    <x v="5328"/>
    <n v="4"/>
    <n v="0.2"/>
    <n v="31.4712"/>
  </r>
  <r>
    <n v="8753"/>
    <x v="465"/>
    <x v="0"/>
    <x v="5"/>
    <d v="2013-05-10T00:00:00"/>
    <n v="4"/>
    <x v="1"/>
    <s v="Rick Bensley"/>
    <x v="2"/>
    <m/>
    <s v="Tallahassee"/>
    <s v="Florida"/>
    <s v="South"/>
    <x v="2"/>
    <x v="7"/>
    <s v="Avaya 4621SW VoIP phone"/>
    <x v="1637"/>
    <n v="3"/>
    <n v="0.2"/>
    <n v="19.9665"/>
  </r>
  <r>
    <n v="8754"/>
    <x v="428"/>
    <x v="3"/>
    <x v="8"/>
    <d v="2014-09-11T00:00:00"/>
    <n v="1"/>
    <x v="2"/>
    <s v="Joy Daniels"/>
    <x v="0"/>
    <m/>
    <s v="Toledo"/>
    <s v="Ohio"/>
    <s v="East"/>
    <x v="1"/>
    <x v="2"/>
    <s v="Avery 501"/>
    <x v="1161"/>
    <n v="6"/>
    <n v="0.2"/>
    <n v="5.9778000000000002"/>
  </r>
  <r>
    <n v="8755"/>
    <x v="428"/>
    <x v="3"/>
    <x v="8"/>
    <d v="2014-09-11T00:00:00"/>
    <n v="1"/>
    <x v="2"/>
    <s v="Joy Daniels"/>
    <x v="0"/>
    <m/>
    <s v="Toledo"/>
    <s v="Ohio"/>
    <s v="East"/>
    <x v="1"/>
    <x v="8"/>
    <s v="3M Organizer Strips"/>
    <x v="5329"/>
    <n v="3"/>
    <n v="0.7"/>
    <n v="-3.5640000000000001"/>
  </r>
  <r>
    <n v="8756"/>
    <x v="428"/>
    <x v="3"/>
    <x v="8"/>
    <d v="2014-09-11T00:00:00"/>
    <n v="1"/>
    <x v="2"/>
    <s v="Joy Daniels"/>
    <x v="0"/>
    <m/>
    <s v="Toledo"/>
    <s v="Ohio"/>
    <s v="East"/>
    <x v="1"/>
    <x v="8"/>
    <s v="Acco Data Flex Cable Posts For Top &amp; Bottom Load Binders, 6&quot; Capacity"/>
    <x v="5330"/>
    <n v="2"/>
    <n v="0.7"/>
    <n v="-5.2149999999999999"/>
  </r>
  <r>
    <n v="8757"/>
    <x v="405"/>
    <x v="0"/>
    <x v="7"/>
    <d v="2013-07-27T00:00:00"/>
    <n v="4"/>
    <x v="1"/>
    <s v="Maureen Fritzler"/>
    <x v="1"/>
    <m/>
    <s v="Columbia"/>
    <s v="Maryland"/>
    <s v="East"/>
    <x v="1"/>
    <x v="9"/>
    <s v="Belkin F9H710-06 7 Outlet SurgeMaster Surge Protector"/>
    <x v="1015"/>
    <n v="2"/>
    <n v="0"/>
    <n v="10.5504"/>
  </r>
  <r>
    <n v="8758"/>
    <x v="405"/>
    <x v="0"/>
    <x v="7"/>
    <d v="2013-07-27T00:00:00"/>
    <n v="4"/>
    <x v="1"/>
    <s v="Maureen Fritzler"/>
    <x v="1"/>
    <m/>
    <s v="Columbia"/>
    <s v="Maryland"/>
    <s v="East"/>
    <x v="1"/>
    <x v="10"/>
    <s v="Xerox 216"/>
    <x v="187"/>
    <n v="8"/>
    <n v="0"/>
    <n v="24.883199999999999"/>
  </r>
  <r>
    <n v="8759"/>
    <x v="405"/>
    <x v="0"/>
    <x v="7"/>
    <d v="2013-07-27T00:00:00"/>
    <n v="4"/>
    <x v="1"/>
    <s v="Maureen Fritzler"/>
    <x v="1"/>
    <m/>
    <s v="Columbia"/>
    <s v="Maryland"/>
    <s v="East"/>
    <x v="0"/>
    <x v="5"/>
    <s v="Eldon Stackable Tray, Side-Load, Legal, Smoke"/>
    <x v="1846"/>
    <n v="3"/>
    <n v="0"/>
    <n v="9.3228000000000009"/>
  </r>
  <r>
    <n v="8760"/>
    <x v="405"/>
    <x v="0"/>
    <x v="7"/>
    <d v="2013-07-27T00:00:00"/>
    <n v="4"/>
    <x v="1"/>
    <s v="Maureen Fritzler"/>
    <x v="1"/>
    <m/>
    <s v="Columbia"/>
    <s v="Maryland"/>
    <s v="East"/>
    <x v="1"/>
    <x v="8"/>
    <s v="Wilson Jones Easy Flow II Sheet Lifters"/>
    <x v="5331"/>
    <n v="3"/>
    <n v="0"/>
    <n v="2.5920000000000001"/>
  </r>
  <r>
    <n v="8761"/>
    <x v="1011"/>
    <x v="0"/>
    <x v="9"/>
    <d v="2013-02-06T00:00:00"/>
    <n v="6"/>
    <x v="1"/>
    <s v="Ben Ferrer"/>
    <x v="2"/>
    <m/>
    <s v="Atlanta"/>
    <s v="Georgia"/>
    <s v="South"/>
    <x v="1"/>
    <x v="8"/>
    <s v="Fellowes PB500 Electric Punch Plastic Comb Binding Machine with Manual Bind"/>
    <x v="5332"/>
    <n v="1"/>
    <n v="0"/>
    <n v="635.495"/>
  </r>
  <r>
    <n v="8762"/>
    <x v="1011"/>
    <x v="0"/>
    <x v="9"/>
    <d v="2013-02-06T00:00:00"/>
    <n v="6"/>
    <x v="1"/>
    <s v="Ben Ferrer"/>
    <x v="2"/>
    <m/>
    <s v="Atlanta"/>
    <s v="Georgia"/>
    <s v="South"/>
    <x v="1"/>
    <x v="12"/>
    <s v="#10 White Business Envelopes,4 1/8 x 9 1/2"/>
    <x v="5333"/>
    <n v="8"/>
    <n v="0"/>
    <n v="58.919199999999996"/>
  </r>
  <r>
    <n v="8763"/>
    <x v="723"/>
    <x v="0"/>
    <x v="4"/>
    <d v="2014-01-03T00:00:00"/>
    <n v="4"/>
    <x v="1"/>
    <s v="Frank Olsen"/>
    <x v="0"/>
    <m/>
    <s v="Sacramento"/>
    <s v="California"/>
    <s v="West"/>
    <x v="1"/>
    <x v="4"/>
    <s v="Project Tote Personal File"/>
    <x v="912"/>
    <n v="1"/>
    <n v="0"/>
    <n v="4.0686999999999998"/>
  </r>
  <r>
    <n v="8764"/>
    <x v="723"/>
    <x v="0"/>
    <x v="4"/>
    <d v="2014-01-03T00:00:00"/>
    <n v="4"/>
    <x v="1"/>
    <s v="Frank Olsen"/>
    <x v="0"/>
    <m/>
    <s v="Sacramento"/>
    <s v="California"/>
    <s v="West"/>
    <x v="1"/>
    <x v="14"/>
    <s v="Fiskars Spring-Action Scissors"/>
    <x v="5233"/>
    <n v="2"/>
    <n v="0"/>
    <n v="7.2695999999999996"/>
  </r>
  <r>
    <n v="8765"/>
    <x v="82"/>
    <x v="1"/>
    <x v="0"/>
    <d v="2012-11-27T00:00:00"/>
    <n v="6"/>
    <x v="1"/>
    <s v="Brenda Bowman"/>
    <x v="1"/>
    <m/>
    <s v="Fort Worth"/>
    <s v="Texas"/>
    <s v="Central"/>
    <x v="1"/>
    <x v="6"/>
    <s v="Eldon Spacemaker Box, Quick-Snap Lid, Clear"/>
    <x v="752"/>
    <n v="2"/>
    <n v="0.2"/>
    <n v="0.73480000000000001"/>
  </r>
  <r>
    <n v="8766"/>
    <x v="82"/>
    <x v="1"/>
    <x v="0"/>
    <d v="2012-11-27T00:00:00"/>
    <n v="6"/>
    <x v="1"/>
    <s v="Brenda Bowman"/>
    <x v="1"/>
    <m/>
    <s v="Fort Worth"/>
    <s v="Texas"/>
    <s v="Central"/>
    <x v="1"/>
    <x v="8"/>
    <s v="Storex DuraTech Recycled Plastic Frosted Binders"/>
    <x v="5334"/>
    <n v="2"/>
    <n v="0.8"/>
    <n v="-2.544"/>
  </r>
  <r>
    <n v="8767"/>
    <x v="82"/>
    <x v="1"/>
    <x v="0"/>
    <d v="2012-11-27T00:00:00"/>
    <n v="6"/>
    <x v="1"/>
    <s v="Brenda Bowman"/>
    <x v="1"/>
    <m/>
    <s v="Fort Worth"/>
    <s v="Texas"/>
    <s v="Central"/>
    <x v="1"/>
    <x v="9"/>
    <s v="Kensington 6 Outlet SmartSocket Surge Protector"/>
    <x v="4238"/>
    <n v="3"/>
    <n v="0.8"/>
    <n v="-67.617000000000004"/>
  </r>
  <r>
    <n v="8768"/>
    <x v="82"/>
    <x v="1"/>
    <x v="0"/>
    <d v="2012-11-27T00:00:00"/>
    <n v="6"/>
    <x v="1"/>
    <s v="Brenda Bowman"/>
    <x v="1"/>
    <m/>
    <s v="Fort Worth"/>
    <s v="Texas"/>
    <s v="Central"/>
    <x v="1"/>
    <x v="8"/>
    <s v="Cardinal Hold-It CD Pocket"/>
    <x v="3277"/>
    <n v="5"/>
    <n v="0.8"/>
    <n v="-13.167"/>
  </r>
  <r>
    <n v="8769"/>
    <x v="348"/>
    <x v="1"/>
    <x v="2"/>
    <d v="2012-10-09T00:00:00"/>
    <n v="4"/>
    <x v="1"/>
    <s v="Ivan Liston"/>
    <x v="0"/>
    <m/>
    <s v="Columbus"/>
    <s v="Ohio"/>
    <s v="East"/>
    <x v="2"/>
    <x v="11"/>
    <s v="NETGEAR N750 Dual Band Wi-Fi Gigabit Router"/>
    <x v="5335"/>
    <n v="4"/>
    <n v="0.2"/>
    <n v="57.6"/>
  </r>
  <r>
    <n v="8770"/>
    <x v="126"/>
    <x v="0"/>
    <x v="8"/>
    <d v="2013-09-14T00:00:00"/>
    <n v="1"/>
    <x v="3"/>
    <s v="Philisse Overcash"/>
    <x v="2"/>
    <m/>
    <s v="Louisville"/>
    <s v="Colorado"/>
    <s v="West"/>
    <x v="2"/>
    <x v="7"/>
    <s v="Lunatik TT5L-002 Taktik Strike Impact Protection System for iPhone 5"/>
    <x v="5336"/>
    <n v="3"/>
    <n v="0.2"/>
    <n v="9.1844999999999999"/>
  </r>
  <r>
    <n v="8771"/>
    <x v="126"/>
    <x v="0"/>
    <x v="8"/>
    <d v="2013-09-14T00:00:00"/>
    <n v="1"/>
    <x v="3"/>
    <s v="Philisse Overcash"/>
    <x v="2"/>
    <m/>
    <s v="Louisville"/>
    <s v="Colorado"/>
    <s v="West"/>
    <x v="0"/>
    <x v="1"/>
    <s v="Global Stack Chair without Arms, Black"/>
    <x v="5337"/>
    <n v="4"/>
    <n v="0.2"/>
    <n v="5.1959999999999997"/>
  </r>
  <r>
    <n v="8772"/>
    <x v="32"/>
    <x v="3"/>
    <x v="8"/>
    <d v="2014-09-18T00:00:00"/>
    <n v="3"/>
    <x v="2"/>
    <s v="Dorothy Badders"/>
    <x v="1"/>
    <m/>
    <s v="Raleigh"/>
    <s v="North Carolina"/>
    <s v="South"/>
    <x v="1"/>
    <x v="9"/>
    <s v="3.6 Cubic Foot Counter Height Office Refrigerator"/>
    <x v="5338"/>
    <n v="4"/>
    <n v="0.2"/>
    <n v="94.278400000000005"/>
  </r>
  <r>
    <n v="8773"/>
    <x v="32"/>
    <x v="3"/>
    <x v="8"/>
    <d v="2014-09-18T00:00:00"/>
    <n v="3"/>
    <x v="2"/>
    <s v="Dorothy Badders"/>
    <x v="1"/>
    <m/>
    <s v="Raleigh"/>
    <s v="North Carolina"/>
    <s v="South"/>
    <x v="1"/>
    <x v="10"/>
    <s v="Xerox 1988"/>
    <x v="1339"/>
    <n v="3"/>
    <n v="0.2"/>
    <n v="23.234999999999999"/>
  </r>
  <r>
    <n v="8774"/>
    <x v="1203"/>
    <x v="1"/>
    <x v="11"/>
    <d v="2012-02-28T00:00:00"/>
    <n v="5"/>
    <x v="1"/>
    <s v="Lindsay Castell"/>
    <x v="2"/>
    <m/>
    <s v="New York City"/>
    <s v="New York"/>
    <s v="East"/>
    <x v="1"/>
    <x v="9"/>
    <s v="Hoover Portapower Portable Vacuum"/>
    <x v="2017"/>
    <n v="6"/>
    <n v="0"/>
    <n v="6.72"/>
  </r>
  <r>
    <n v="8775"/>
    <x v="1203"/>
    <x v="1"/>
    <x v="11"/>
    <d v="2012-02-28T00:00:00"/>
    <n v="5"/>
    <x v="1"/>
    <s v="Lindsay Castell"/>
    <x v="2"/>
    <m/>
    <s v="New York City"/>
    <s v="New York"/>
    <s v="East"/>
    <x v="1"/>
    <x v="8"/>
    <s v="Avery Self-Adhesive Photo Pockets for Polaroid Photos"/>
    <x v="2944"/>
    <n v="2"/>
    <n v="0.2"/>
    <n v="3.8136000000000001"/>
  </r>
  <r>
    <n v="8776"/>
    <x v="5"/>
    <x v="0"/>
    <x v="4"/>
    <d v="2013-12-10T00:00:00"/>
    <n v="4"/>
    <x v="0"/>
    <s v="Mike Pelletier"/>
    <x v="2"/>
    <m/>
    <s v="Chicago"/>
    <s v="Illinois"/>
    <s v="Central"/>
    <x v="1"/>
    <x v="6"/>
    <s v="Newell 311"/>
    <x v="5339"/>
    <n v="2"/>
    <n v="0.2"/>
    <n v="0.30940000000000001"/>
  </r>
  <r>
    <n v="8777"/>
    <x v="415"/>
    <x v="0"/>
    <x v="7"/>
    <d v="2013-07-04T00:00:00"/>
    <n v="1"/>
    <x v="2"/>
    <s v="Erin Ashbrook"/>
    <x v="1"/>
    <m/>
    <s v="Huntsville"/>
    <s v="Texas"/>
    <s v="Central"/>
    <x v="0"/>
    <x v="1"/>
    <s v="Global Airflow Leather Mesh Back Chair, Black"/>
    <x v="2512"/>
    <n v="5"/>
    <n v="0.3"/>
    <n v="0"/>
  </r>
  <r>
    <n v="8778"/>
    <x v="415"/>
    <x v="0"/>
    <x v="7"/>
    <d v="2013-07-04T00:00:00"/>
    <n v="1"/>
    <x v="2"/>
    <s v="Erin Ashbrook"/>
    <x v="1"/>
    <m/>
    <s v="Huntsville"/>
    <s v="Texas"/>
    <s v="Central"/>
    <x v="1"/>
    <x v="10"/>
    <s v="Xerox 201"/>
    <x v="753"/>
    <n v="8"/>
    <n v="0.2"/>
    <n v="14.5152"/>
  </r>
  <r>
    <n v="8779"/>
    <x v="1096"/>
    <x v="3"/>
    <x v="4"/>
    <d v="2014-12-19T00:00:00"/>
    <n v="5"/>
    <x v="1"/>
    <s v="Bart Pistole"/>
    <x v="1"/>
    <m/>
    <s v="New York City"/>
    <s v="New York"/>
    <s v="East"/>
    <x v="0"/>
    <x v="0"/>
    <s v="Bush Andora Bookcase, Maple/Graphite Gray Finish"/>
    <x v="5340"/>
    <n v="3"/>
    <n v="0.2"/>
    <n v="7.1993999999999998"/>
  </r>
  <r>
    <n v="8780"/>
    <x v="305"/>
    <x v="1"/>
    <x v="10"/>
    <d v="2012-03-22T00:00:00"/>
    <n v="2"/>
    <x v="0"/>
    <s v="Bryan Mills"/>
    <x v="0"/>
    <m/>
    <s v="Salem"/>
    <s v="Oregon"/>
    <s v="West"/>
    <x v="1"/>
    <x v="4"/>
    <s v="Portable Personal File Box"/>
    <x v="5341"/>
    <n v="3"/>
    <n v="0.2"/>
    <n v="2.5640999999999998"/>
  </r>
  <r>
    <n v="8781"/>
    <x v="1201"/>
    <x v="1"/>
    <x v="10"/>
    <d v="2012-03-04T00:00:00"/>
    <n v="3"/>
    <x v="2"/>
    <s v="Craig Molinari"/>
    <x v="1"/>
    <m/>
    <s v="Houston"/>
    <s v="Texas"/>
    <s v="Central"/>
    <x v="1"/>
    <x v="6"/>
    <s v="Panasonic KP-350BK Electric Pencil Sharpener with Auto Stop"/>
    <x v="5342"/>
    <n v="2"/>
    <n v="0.2"/>
    <n v="6.2244000000000002"/>
  </r>
  <r>
    <n v="8782"/>
    <x v="1201"/>
    <x v="1"/>
    <x v="10"/>
    <d v="2012-03-04T00:00:00"/>
    <n v="3"/>
    <x v="2"/>
    <s v="Craig Molinari"/>
    <x v="1"/>
    <m/>
    <s v="Houston"/>
    <s v="Texas"/>
    <s v="Central"/>
    <x v="0"/>
    <x v="0"/>
    <s v="Atlantic Metals Mobile 5-Shelf Bookcases, Custom Colors"/>
    <x v="5343"/>
    <n v="6"/>
    <n v="0.32"/>
    <n v="-36.117600000000003"/>
  </r>
  <r>
    <n v="8783"/>
    <x v="306"/>
    <x v="0"/>
    <x v="8"/>
    <d v="2013-09-21T00:00:00"/>
    <n v="5"/>
    <x v="1"/>
    <s v="Justin Deggeller"/>
    <x v="1"/>
    <m/>
    <s v="Twin Falls"/>
    <s v="Idaho"/>
    <s v="West"/>
    <x v="1"/>
    <x v="8"/>
    <s v="Avery Heavy-Duty EZD View Binder with Locking Rings"/>
    <x v="5344"/>
    <n v="4"/>
    <n v="0.2"/>
    <n v="6.6352000000000002"/>
  </r>
  <r>
    <n v="8784"/>
    <x v="306"/>
    <x v="0"/>
    <x v="8"/>
    <d v="2013-09-21T00:00:00"/>
    <n v="5"/>
    <x v="1"/>
    <s v="Justin Deggeller"/>
    <x v="1"/>
    <m/>
    <s v="Twin Falls"/>
    <s v="Idaho"/>
    <s v="West"/>
    <x v="0"/>
    <x v="3"/>
    <s v="Bretford Rectangular Conference Table Tops"/>
    <x v="5345"/>
    <n v="3"/>
    <n v="0"/>
    <n v="259.52969999999999"/>
  </r>
  <r>
    <n v="8785"/>
    <x v="294"/>
    <x v="3"/>
    <x v="10"/>
    <d v="2014-03-24T00:00:00"/>
    <n v="6"/>
    <x v="1"/>
    <s v="Ann Steele"/>
    <x v="2"/>
    <m/>
    <s v="Knoxville"/>
    <s v="Tennessee"/>
    <s v="South"/>
    <x v="1"/>
    <x v="2"/>
    <s v="Avery 474"/>
    <x v="871"/>
    <n v="2"/>
    <n v="0.2"/>
    <n v="1.6704000000000001"/>
  </r>
  <r>
    <n v="8786"/>
    <x v="39"/>
    <x v="3"/>
    <x v="5"/>
    <d v="2014-06-03T00:00:00"/>
    <n v="5"/>
    <x v="1"/>
    <s v="Candace McMahon"/>
    <x v="1"/>
    <m/>
    <s v="Phoenix"/>
    <s v="Arizona"/>
    <s v="West"/>
    <x v="2"/>
    <x v="7"/>
    <s v="Panasonic KX TS208W Corded phone"/>
    <x v="4240"/>
    <n v="5"/>
    <n v="0.2"/>
    <n v="19.596"/>
  </r>
  <r>
    <n v="8787"/>
    <x v="39"/>
    <x v="3"/>
    <x v="5"/>
    <d v="2014-06-03T00:00:00"/>
    <n v="5"/>
    <x v="1"/>
    <s v="Candace McMahon"/>
    <x v="1"/>
    <m/>
    <s v="Phoenix"/>
    <s v="Arizona"/>
    <s v="West"/>
    <x v="1"/>
    <x v="10"/>
    <s v="Xerox 230"/>
    <x v="12"/>
    <n v="3"/>
    <n v="0.2"/>
    <n v="5.4432"/>
  </r>
  <r>
    <n v="8788"/>
    <x v="39"/>
    <x v="3"/>
    <x v="5"/>
    <d v="2014-06-03T00:00:00"/>
    <n v="5"/>
    <x v="1"/>
    <s v="Candace McMahon"/>
    <x v="1"/>
    <m/>
    <s v="Phoenix"/>
    <s v="Arizona"/>
    <s v="West"/>
    <x v="2"/>
    <x v="11"/>
    <s v="Logitech Gaming G510s - Keyboard"/>
    <x v="5346"/>
    <n v="4"/>
    <n v="0.2"/>
    <n v="54.393599999999999"/>
  </r>
  <r>
    <n v="8789"/>
    <x v="140"/>
    <x v="3"/>
    <x v="1"/>
    <d v="2014-06-20T00:00:00"/>
    <n v="4"/>
    <x v="1"/>
    <s v="Joe Elijah"/>
    <x v="0"/>
    <m/>
    <s v="Monroe"/>
    <s v="North Carolina"/>
    <s v="South"/>
    <x v="0"/>
    <x v="1"/>
    <s v="Global Executive Mid-Back Manager's Chair"/>
    <x v="324"/>
    <n v="3"/>
    <n v="0.2"/>
    <n v="52.376399999999997"/>
  </r>
  <r>
    <n v="8790"/>
    <x v="140"/>
    <x v="3"/>
    <x v="1"/>
    <d v="2014-06-20T00:00:00"/>
    <n v="4"/>
    <x v="1"/>
    <s v="Joe Elijah"/>
    <x v="0"/>
    <m/>
    <s v="Monroe"/>
    <s v="North Carolina"/>
    <s v="South"/>
    <x v="0"/>
    <x v="0"/>
    <s v="O'Sullivan 2-Shelf Heavy-Duty Bookcases"/>
    <x v="5347"/>
    <n v="2"/>
    <n v="0.2"/>
    <n v="-3.8864000000000001"/>
  </r>
  <r>
    <n v="8791"/>
    <x v="684"/>
    <x v="1"/>
    <x v="8"/>
    <d v="2012-09-12T00:00:00"/>
    <n v="6"/>
    <x v="1"/>
    <s v="Andy Gerbode"/>
    <x v="1"/>
    <m/>
    <s v="Richmond"/>
    <s v="Virginia"/>
    <s v="South"/>
    <x v="1"/>
    <x v="8"/>
    <s v="SlimView Poly Binder, 3/8&quot;"/>
    <x v="5348"/>
    <n v="9"/>
    <n v="0"/>
    <n v="21.4452"/>
  </r>
  <r>
    <n v="8792"/>
    <x v="257"/>
    <x v="3"/>
    <x v="10"/>
    <d v="2014-03-25T00:00:00"/>
    <n v="6"/>
    <x v="1"/>
    <s v="Thomas Thornton"/>
    <x v="0"/>
    <m/>
    <s v="Houston"/>
    <s v="Texas"/>
    <s v="Central"/>
    <x v="2"/>
    <x v="7"/>
    <s v="Pyle PMP37LED"/>
    <x v="3333"/>
    <n v="7"/>
    <n v="0.2"/>
    <n v="47.0351"/>
  </r>
  <r>
    <n v="8793"/>
    <x v="174"/>
    <x v="2"/>
    <x v="4"/>
    <d v="2011-12-21T00:00:00"/>
    <n v="2"/>
    <x v="2"/>
    <s v="Bart Pistole"/>
    <x v="1"/>
    <m/>
    <s v="Los Angeles"/>
    <s v="California"/>
    <s v="West"/>
    <x v="1"/>
    <x v="2"/>
    <s v="Avery 516"/>
    <x v="2"/>
    <n v="2"/>
    <n v="0"/>
    <n v="6.8714000000000004"/>
  </r>
  <r>
    <n v="8794"/>
    <x v="174"/>
    <x v="2"/>
    <x v="4"/>
    <d v="2011-12-21T00:00:00"/>
    <n v="2"/>
    <x v="2"/>
    <s v="Bart Pistole"/>
    <x v="1"/>
    <m/>
    <s v="Los Angeles"/>
    <s v="California"/>
    <s v="West"/>
    <x v="1"/>
    <x v="13"/>
    <s v="Advantus T-Pin Paper Clips"/>
    <x v="5349"/>
    <n v="5"/>
    <n v="0"/>
    <n v="8.7944999999999993"/>
  </r>
  <r>
    <n v="8795"/>
    <x v="174"/>
    <x v="2"/>
    <x v="4"/>
    <d v="2011-12-21T00:00:00"/>
    <n v="2"/>
    <x v="2"/>
    <s v="Bart Pistole"/>
    <x v="1"/>
    <m/>
    <s v="Los Angeles"/>
    <s v="California"/>
    <s v="West"/>
    <x v="2"/>
    <x v="7"/>
    <s v="Wi-Ex zBoost YX540 Cellular Phone Signal Booster"/>
    <x v="5350"/>
    <n v="5"/>
    <n v="0.2"/>
    <n v="72.974999999999994"/>
  </r>
  <r>
    <n v="8796"/>
    <x v="174"/>
    <x v="2"/>
    <x v="4"/>
    <d v="2011-12-21T00:00:00"/>
    <n v="2"/>
    <x v="2"/>
    <s v="Bart Pistole"/>
    <x v="1"/>
    <m/>
    <s v="Los Angeles"/>
    <s v="California"/>
    <s v="West"/>
    <x v="2"/>
    <x v="7"/>
    <s v="Clarity 53712"/>
    <x v="1972"/>
    <n v="4"/>
    <n v="0.2"/>
    <n v="15.8376"/>
  </r>
  <r>
    <n v="8797"/>
    <x v="274"/>
    <x v="0"/>
    <x v="7"/>
    <d v="2013-07-14T00:00:00"/>
    <n v="6"/>
    <x v="1"/>
    <s v="Max Jones"/>
    <x v="0"/>
    <m/>
    <s v="Orem"/>
    <s v="Utah"/>
    <s v="West"/>
    <x v="1"/>
    <x v="10"/>
    <s v="Xerox 226"/>
    <x v="91"/>
    <n v="2"/>
    <n v="0"/>
    <n v="6.2207999999999997"/>
  </r>
  <r>
    <n v="8798"/>
    <x v="274"/>
    <x v="0"/>
    <x v="7"/>
    <d v="2013-07-14T00:00:00"/>
    <n v="6"/>
    <x v="1"/>
    <s v="Max Jones"/>
    <x v="0"/>
    <m/>
    <s v="Orem"/>
    <s v="Utah"/>
    <s v="West"/>
    <x v="1"/>
    <x v="6"/>
    <s v="Boston KS Multi-Size Manual Pencil Sharpener"/>
    <x v="44"/>
    <n v="2"/>
    <n v="0"/>
    <n v="12.8744"/>
  </r>
  <r>
    <n v="8799"/>
    <x v="1204"/>
    <x v="0"/>
    <x v="3"/>
    <d v="2013-04-11T00:00:00"/>
    <n v="4"/>
    <x v="1"/>
    <s v="Valerie Mitchum"/>
    <x v="2"/>
    <m/>
    <s v="Burlington"/>
    <s v="Vermont"/>
    <s v="East"/>
    <x v="2"/>
    <x v="7"/>
    <s v="Nortel Meridian M5316 Digital phone"/>
    <x v="5351"/>
    <n v="5"/>
    <n v="0"/>
    <n v="336.63499999999999"/>
  </r>
  <r>
    <n v="8800"/>
    <x v="1205"/>
    <x v="2"/>
    <x v="5"/>
    <d v="2011-05-10T00:00:00"/>
    <n v="2"/>
    <x v="2"/>
    <s v="Kean Thornton"/>
    <x v="0"/>
    <m/>
    <s v="Philadelphia"/>
    <s v="Pennsylvania"/>
    <s v="East"/>
    <x v="2"/>
    <x v="16"/>
    <s v="Hewlett Packard LaserJet 3310 Copier"/>
    <x v="371"/>
    <n v="5"/>
    <n v="0.4"/>
    <n v="239.99600000000001"/>
  </r>
  <r>
    <n v="8801"/>
    <x v="51"/>
    <x v="3"/>
    <x v="0"/>
    <d v="2014-11-28T00:00:00"/>
    <n v="4"/>
    <x v="1"/>
    <s v="Chris Selesnick"/>
    <x v="1"/>
    <m/>
    <s v="Chicago"/>
    <s v="Illinois"/>
    <s v="Central"/>
    <x v="1"/>
    <x v="10"/>
    <s v="Xerox 1959"/>
    <x v="1414"/>
    <n v="2"/>
    <n v="0.2"/>
    <n v="3.7408000000000001"/>
  </r>
  <r>
    <n v="8802"/>
    <x v="338"/>
    <x v="0"/>
    <x v="0"/>
    <d v="2013-11-13T00:00:00"/>
    <n v="2"/>
    <x v="2"/>
    <s v="Aaron Bergman"/>
    <x v="0"/>
    <m/>
    <s v="Oklahoma City"/>
    <s v="Oklahoma"/>
    <s v="Central"/>
    <x v="2"/>
    <x v="7"/>
    <s v="Samsung Convoy 3"/>
    <x v="5352"/>
    <n v="2"/>
    <n v="0"/>
    <n v="62.154400000000003"/>
  </r>
  <r>
    <n v="8803"/>
    <x v="338"/>
    <x v="0"/>
    <x v="0"/>
    <d v="2013-11-13T00:00:00"/>
    <n v="2"/>
    <x v="2"/>
    <s v="Aaron Bergman"/>
    <x v="0"/>
    <m/>
    <s v="Oklahoma City"/>
    <s v="Oklahoma"/>
    <s v="Central"/>
    <x v="0"/>
    <x v="0"/>
    <s v="Sauder Facets Collection Library, Sky Alder Finish"/>
    <x v="2600"/>
    <n v="2"/>
    <n v="0"/>
    <n v="54.7136"/>
  </r>
  <r>
    <n v="8804"/>
    <x v="520"/>
    <x v="2"/>
    <x v="4"/>
    <d v="2012-01-01T00:00:00"/>
    <n v="1"/>
    <x v="2"/>
    <s v="Aaron Hawkins"/>
    <x v="1"/>
    <m/>
    <s v="New York City"/>
    <s v="New York"/>
    <s v="East"/>
    <x v="2"/>
    <x v="11"/>
    <s v="Verbatim 25 GB 6x Blu-ray Single Layer Recordable Disc, 10/Pack"/>
    <x v="5353"/>
    <n v="3"/>
    <n v="0"/>
    <n v="11.4741"/>
  </r>
  <r>
    <n v="8805"/>
    <x v="520"/>
    <x v="2"/>
    <x v="4"/>
    <d v="2012-01-01T00:00:00"/>
    <n v="1"/>
    <x v="2"/>
    <s v="Aaron Hawkins"/>
    <x v="1"/>
    <m/>
    <s v="New York City"/>
    <s v="New York"/>
    <s v="East"/>
    <x v="1"/>
    <x v="2"/>
    <s v="Avery 51"/>
    <x v="1365"/>
    <n v="3"/>
    <n v="0"/>
    <n v="8.6940000000000008"/>
  </r>
  <r>
    <n v="8806"/>
    <x v="971"/>
    <x v="3"/>
    <x v="6"/>
    <d v="2014-08-24T00:00:00"/>
    <n v="4"/>
    <x v="1"/>
    <s v="Denny Ordway"/>
    <x v="0"/>
    <m/>
    <s v="Salt Lake City"/>
    <s v="Utah"/>
    <s v="West"/>
    <x v="1"/>
    <x v="8"/>
    <s v="Wilson Jones Elliptical Ring 3 1/2&quot; Capacity Binders, 800 sheets"/>
    <x v="5354"/>
    <n v="3"/>
    <n v="0.2"/>
    <n v="37.235999999999997"/>
  </r>
  <r>
    <n v="8807"/>
    <x v="126"/>
    <x v="0"/>
    <x v="8"/>
    <d v="2013-09-17T00:00:00"/>
    <n v="4"/>
    <x v="1"/>
    <s v="Matt Collister"/>
    <x v="1"/>
    <m/>
    <s v="Utica"/>
    <s v="New York"/>
    <s v="East"/>
    <x v="0"/>
    <x v="5"/>
    <s v="DAX Contemporary Wood Frame with Silver Metal Mat, Desktop, 11 x 14 Size"/>
    <x v="582"/>
    <n v="2"/>
    <n v="0"/>
    <n v="14.572800000000001"/>
  </r>
  <r>
    <n v="8808"/>
    <x v="40"/>
    <x v="3"/>
    <x v="2"/>
    <d v="2014-11-01T00:00:00"/>
    <n v="5"/>
    <x v="1"/>
    <s v="Jamie Frazer"/>
    <x v="0"/>
    <m/>
    <s v="Philadelphia"/>
    <s v="Pennsylvania"/>
    <s v="East"/>
    <x v="1"/>
    <x v="8"/>
    <s v="GBC Velobind Prepunched Cover Sets, Regency Series"/>
    <x v="5355"/>
    <n v="3"/>
    <n v="0.7"/>
    <n v="-27.734999999999999"/>
  </r>
  <r>
    <n v="8809"/>
    <x v="40"/>
    <x v="3"/>
    <x v="2"/>
    <d v="2014-11-01T00:00:00"/>
    <n v="5"/>
    <x v="1"/>
    <s v="Jamie Frazer"/>
    <x v="0"/>
    <m/>
    <s v="Philadelphia"/>
    <s v="Pennsylvania"/>
    <s v="East"/>
    <x v="2"/>
    <x v="7"/>
    <s v="Motorla HX550 Universal Bluetooth Headset"/>
    <x v="5356"/>
    <n v="5"/>
    <n v="0.4"/>
    <n v="19.774999999999999"/>
  </r>
  <r>
    <n v="8810"/>
    <x v="40"/>
    <x v="3"/>
    <x v="2"/>
    <d v="2014-11-01T00:00:00"/>
    <n v="5"/>
    <x v="1"/>
    <s v="Jamie Frazer"/>
    <x v="0"/>
    <m/>
    <s v="Philadelphia"/>
    <s v="Pennsylvania"/>
    <s v="East"/>
    <x v="1"/>
    <x v="2"/>
    <s v="Avery 517"/>
    <x v="1787"/>
    <n v="5"/>
    <n v="0.2"/>
    <n v="4.9814999999999996"/>
  </r>
  <r>
    <n v="8811"/>
    <x v="1109"/>
    <x v="3"/>
    <x v="5"/>
    <d v="2014-06-05T00:00:00"/>
    <n v="5"/>
    <x v="1"/>
    <s v="Suzanne McNair"/>
    <x v="1"/>
    <m/>
    <s v="Los Angeles"/>
    <s v="California"/>
    <s v="West"/>
    <x v="1"/>
    <x v="10"/>
    <s v="Rediform S.O.S. 1-Up Phone Message Bk, 4-1/4x3-1/16 Bk, 1 Form/Pg, 40 Messages/Bk, 3/Pk"/>
    <x v="2778"/>
    <n v="4"/>
    <n v="0"/>
    <n v="18.009599999999999"/>
  </r>
  <r>
    <n v="8812"/>
    <x v="387"/>
    <x v="0"/>
    <x v="10"/>
    <d v="2013-03-14T00:00:00"/>
    <n v="5"/>
    <x v="1"/>
    <s v="Stephanie Phelps"/>
    <x v="1"/>
    <m/>
    <s v="Jackson"/>
    <s v="Michigan"/>
    <s v="Central"/>
    <x v="1"/>
    <x v="9"/>
    <s v="Honeywell Enviracaire Portable Air Cleaner for up to 8 x 10 Room"/>
    <x v="5357"/>
    <n v="3"/>
    <n v="0.1"/>
    <n v="48.333599999999997"/>
  </r>
  <r>
    <n v="8813"/>
    <x v="387"/>
    <x v="0"/>
    <x v="10"/>
    <d v="2013-03-14T00:00:00"/>
    <n v="5"/>
    <x v="1"/>
    <s v="Stephanie Phelps"/>
    <x v="1"/>
    <m/>
    <s v="Jackson"/>
    <s v="Michigan"/>
    <s v="Central"/>
    <x v="1"/>
    <x v="6"/>
    <s v="Prang Drawing Pencil Set"/>
    <x v="2213"/>
    <n v="5"/>
    <n v="0"/>
    <n v="3.7530000000000001"/>
  </r>
  <r>
    <n v="8814"/>
    <x v="353"/>
    <x v="1"/>
    <x v="7"/>
    <d v="2012-07-31T00:00:00"/>
    <n v="5"/>
    <x v="1"/>
    <s v="Cyma Kinney"/>
    <x v="1"/>
    <m/>
    <s v="Glendale"/>
    <s v="Arizona"/>
    <s v="West"/>
    <x v="0"/>
    <x v="1"/>
    <s v="Office Star - Contemporary Task Swivel Chair"/>
    <x v="4429"/>
    <n v="3"/>
    <n v="0.2"/>
    <n v="13.317600000000001"/>
  </r>
  <r>
    <n v="8815"/>
    <x v="521"/>
    <x v="1"/>
    <x v="0"/>
    <d v="2012-11-25T00:00:00"/>
    <n v="2"/>
    <x v="0"/>
    <s v="Pierre Wener"/>
    <x v="0"/>
    <m/>
    <s v="Wilmington"/>
    <s v="Delaware"/>
    <s v="East"/>
    <x v="2"/>
    <x v="7"/>
    <s v="Nortel Meridian M3904 Professional Digital phone"/>
    <x v="669"/>
    <n v="2"/>
    <n v="0"/>
    <n v="89.3142"/>
  </r>
  <r>
    <n v="8816"/>
    <x v="521"/>
    <x v="1"/>
    <x v="0"/>
    <d v="2012-11-25T00:00:00"/>
    <n v="2"/>
    <x v="0"/>
    <s v="Pierre Wener"/>
    <x v="0"/>
    <m/>
    <s v="Wilmington"/>
    <s v="Delaware"/>
    <s v="East"/>
    <x v="1"/>
    <x v="10"/>
    <s v="1/4 Fold Party Design Invitations &amp; White Envelopes, 24 8-1/2&quot; X 11&quot; Cards, 25 Env./Pack"/>
    <x v="5358"/>
    <n v="6"/>
    <n v="0"/>
    <n v="20.727"/>
  </r>
  <r>
    <n v="8817"/>
    <x v="521"/>
    <x v="1"/>
    <x v="0"/>
    <d v="2012-11-25T00:00:00"/>
    <n v="2"/>
    <x v="0"/>
    <s v="Pierre Wener"/>
    <x v="0"/>
    <m/>
    <s v="Wilmington"/>
    <s v="Delaware"/>
    <s v="East"/>
    <x v="1"/>
    <x v="6"/>
    <s v="Sanford Colorific Eraseable Coloring Pencils, 12 Count"/>
    <x v="1317"/>
    <n v="4"/>
    <n v="0"/>
    <n v="5.6416000000000004"/>
  </r>
  <r>
    <n v="8818"/>
    <x v="521"/>
    <x v="1"/>
    <x v="0"/>
    <d v="2012-11-25T00:00:00"/>
    <n v="2"/>
    <x v="0"/>
    <s v="Pierre Wener"/>
    <x v="0"/>
    <m/>
    <s v="Wilmington"/>
    <s v="Delaware"/>
    <s v="East"/>
    <x v="1"/>
    <x v="12"/>
    <s v="Staples"/>
    <x v="3319"/>
    <n v="2"/>
    <n v="0"/>
    <n v="7.7831999999999999"/>
  </r>
  <r>
    <n v="8819"/>
    <x v="521"/>
    <x v="1"/>
    <x v="0"/>
    <d v="2012-11-25T00:00:00"/>
    <n v="2"/>
    <x v="0"/>
    <s v="Pierre Wener"/>
    <x v="0"/>
    <m/>
    <s v="Wilmington"/>
    <s v="Delaware"/>
    <s v="East"/>
    <x v="1"/>
    <x v="10"/>
    <s v="Xerox 226"/>
    <x v="783"/>
    <n v="6"/>
    <n v="0"/>
    <n v="18.662400000000002"/>
  </r>
  <r>
    <n v="8820"/>
    <x v="109"/>
    <x v="1"/>
    <x v="0"/>
    <d v="2012-12-02T00:00:00"/>
    <n v="4"/>
    <x v="1"/>
    <s v="Evan Bailliet"/>
    <x v="0"/>
    <m/>
    <s v="Austin"/>
    <s v="Texas"/>
    <s v="Central"/>
    <x v="1"/>
    <x v="10"/>
    <s v="Xerox 1941"/>
    <x v="757"/>
    <n v="4"/>
    <n v="0.2"/>
    <n v="117.432"/>
  </r>
  <r>
    <n v="8821"/>
    <x v="132"/>
    <x v="3"/>
    <x v="0"/>
    <d v="2014-11-08T00:00:00"/>
    <n v="4"/>
    <x v="1"/>
    <s v="Dave Kipp"/>
    <x v="0"/>
    <m/>
    <s v="Orlando"/>
    <s v="Florida"/>
    <s v="South"/>
    <x v="2"/>
    <x v="16"/>
    <s v="Canon Image Class D660 Copier"/>
    <x v="321"/>
    <n v="2"/>
    <n v="0.2"/>
    <n v="311.9948"/>
  </r>
  <r>
    <n v="8822"/>
    <x v="132"/>
    <x v="3"/>
    <x v="0"/>
    <d v="2014-11-08T00:00:00"/>
    <n v="4"/>
    <x v="1"/>
    <s v="Dave Kipp"/>
    <x v="0"/>
    <m/>
    <s v="Orlando"/>
    <s v="Florida"/>
    <s v="South"/>
    <x v="1"/>
    <x v="8"/>
    <s v="Avery Self-Adhesive Photo Pockets for Polaroid Photos"/>
    <x v="5359"/>
    <n v="2"/>
    <n v="0.7"/>
    <n v="-2.9964"/>
  </r>
  <r>
    <n v="8823"/>
    <x v="132"/>
    <x v="3"/>
    <x v="0"/>
    <d v="2014-11-08T00:00:00"/>
    <n v="4"/>
    <x v="1"/>
    <s v="Dave Kipp"/>
    <x v="0"/>
    <m/>
    <s v="Orlando"/>
    <s v="Florida"/>
    <s v="South"/>
    <x v="1"/>
    <x v="6"/>
    <s v="Hunt Boston Vacuum Mount KS Pencil Sharpener"/>
    <x v="3886"/>
    <n v="2"/>
    <n v="0.2"/>
    <n v="4.1988000000000003"/>
  </r>
  <r>
    <n v="8824"/>
    <x v="132"/>
    <x v="3"/>
    <x v="0"/>
    <d v="2014-11-08T00:00:00"/>
    <n v="4"/>
    <x v="1"/>
    <s v="Dave Kipp"/>
    <x v="0"/>
    <m/>
    <s v="Orlando"/>
    <s v="Florida"/>
    <s v="South"/>
    <x v="1"/>
    <x v="10"/>
    <s v="Xerox 1923"/>
    <x v="1414"/>
    <n v="2"/>
    <n v="0.2"/>
    <n v="3.7408000000000001"/>
  </r>
  <r>
    <n v="8825"/>
    <x v="708"/>
    <x v="3"/>
    <x v="10"/>
    <d v="2014-03-24T00:00:00"/>
    <n v="2"/>
    <x v="0"/>
    <s v="Ted Butterfield"/>
    <x v="0"/>
    <m/>
    <s v="Reading"/>
    <s v="Pennsylvania"/>
    <s v="East"/>
    <x v="1"/>
    <x v="12"/>
    <s v="Colored Envelopes"/>
    <x v="3096"/>
    <n v="3"/>
    <n v="0.2"/>
    <n v="2.8782000000000001"/>
  </r>
  <r>
    <n v="8826"/>
    <x v="546"/>
    <x v="1"/>
    <x v="4"/>
    <d v="2012-12-22T00:00:00"/>
    <n v="3"/>
    <x v="2"/>
    <s v="Arthur Gainer"/>
    <x v="0"/>
    <m/>
    <s v="Philadelphia"/>
    <s v="Pennsylvania"/>
    <s v="East"/>
    <x v="1"/>
    <x v="2"/>
    <s v="Avery 474"/>
    <x v="2721"/>
    <n v="3"/>
    <n v="0.2"/>
    <n v="2.5055999999999998"/>
  </r>
  <r>
    <n v="8827"/>
    <x v="1063"/>
    <x v="2"/>
    <x v="3"/>
    <d v="2011-04-06T00:00:00"/>
    <n v="4"/>
    <x v="0"/>
    <s v="Sam Craven"/>
    <x v="0"/>
    <m/>
    <s v="Houston"/>
    <s v="Texas"/>
    <s v="Central"/>
    <x v="1"/>
    <x v="10"/>
    <s v="Xerox 1898"/>
    <x v="2979"/>
    <n v="5"/>
    <n v="0.2"/>
    <n v="9.3520000000000003"/>
  </r>
  <r>
    <n v="8828"/>
    <x v="1063"/>
    <x v="2"/>
    <x v="3"/>
    <d v="2011-04-06T00:00:00"/>
    <n v="4"/>
    <x v="0"/>
    <s v="Sam Craven"/>
    <x v="0"/>
    <m/>
    <s v="Houston"/>
    <s v="Texas"/>
    <s v="Central"/>
    <x v="1"/>
    <x v="10"/>
    <s v="Xerox 1947"/>
    <x v="1383"/>
    <n v="7"/>
    <n v="0.2"/>
    <n v="10.465"/>
  </r>
  <r>
    <n v="8829"/>
    <x v="1117"/>
    <x v="1"/>
    <x v="1"/>
    <d v="2012-06-09T00:00:00"/>
    <n v="4"/>
    <x v="1"/>
    <s v="Brenda Bowman"/>
    <x v="1"/>
    <m/>
    <s v="Saint Charles"/>
    <s v="Missouri"/>
    <s v="Central"/>
    <x v="1"/>
    <x v="10"/>
    <s v="Xerox 1981"/>
    <x v="232"/>
    <n v="2"/>
    <n v="0"/>
    <n v="4.7519999999999998"/>
  </r>
  <r>
    <n v="8830"/>
    <x v="191"/>
    <x v="2"/>
    <x v="2"/>
    <d v="2011-10-09T00:00:00"/>
    <n v="3"/>
    <x v="2"/>
    <s v="Victoria Pisteka"/>
    <x v="1"/>
    <m/>
    <s v="Indianapolis"/>
    <s v="Indiana"/>
    <s v="Central"/>
    <x v="1"/>
    <x v="4"/>
    <s v="Fellowes Staxonsteel Drawer Files"/>
    <x v="5360"/>
    <n v="2"/>
    <n v="0"/>
    <n v="54.087600000000002"/>
  </r>
  <r>
    <n v="8831"/>
    <x v="1036"/>
    <x v="0"/>
    <x v="6"/>
    <d v="2013-08-25T00:00:00"/>
    <n v="3"/>
    <x v="0"/>
    <s v="Rachel Payne"/>
    <x v="1"/>
    <m/>
    <s v="Seattle"/>
    <s v="Washington"/>
    <s v="West"/>
    <x v="1"/>
    <x v="8"/>
    <s v="Avery Durable Slant Ring Binders With Label Holder"/>
    <x v="5361"/>
    <n v="10"/>
    <n v="0.2"/>
    <n v="11.704000000000001"/>
  </r>
  <r>
    <n v="8832"/>
    <x v="219"/>
    <x v="1"/>
    <x v="0"/>
    <d v="2012-11-19T00:00:00"/>
    <n v="4"/>
    <x v="1"/>
    <s v="Duane Huffman"/>
    <x v="2"/>
    <m/>
    <s v="Harrisonburg"/>
    <s v="Virginia"/>
    <s v="South"/>
    <x v="0"/>
    <x v="5"/>
    <s v="12-1/2 Diameter Round Wall Clock"/>
    <x v="786"/>
    <n v="2"/>
    <n v="0"/>
    <n v="14.3856"/>
  </r>
  <r>
    <n v="8833"/>
    <x v="137"/>
    <x v="1"/>
    <x v="1"/>
    <d v="2012-06-27T00:00:00"/>
    <n v="5"/>
    <x v="1"/>
    <s v="Shaun Weien"/>
    <x v="0"/>
    <m/>
    <s v="Rochester"/>
    <s v="New York"/>
    <s v="East"/>
    <x v="1"/>
    <x v="8"/>
    <s v="GBC Ibimaster 500 Manual ProClick Binding System"/>
    <x v="1380"/>
    <n v="2"/>
    <n v="0.2"/>
    <n v="456.58800000000002"/>
  </r>
  <r>
    <n v="8834"/>
    <x v="241"/>
    <x v="3"/>
    <x v="8"/>
    <d v="2014-09-29T00:00:00"/>
    <n v="4"/>
    <x v="1"/>
    <s v="Karen Ferguson"/>
    <x v="2"/>
    <m/>
    <s v="Sandy Springs"/>
    <s v="Georgia"/>
    <s v="South"/>
    <x v="1"/>
    <x v="4"/>
    <s v="Tenex Personal Filing Tote With Secure Closure Lid, Black/Frost"/>
    <x v="4542"/>
    <n v="1"/>
    <n v="0"/>
    <n v="3.8774999999999999"/>
  </r>
  <r>
    <n v="8835"/>
    <x v="241"/>
    <x v="3"/>
    <x v="8"/>
    <d v="2014-09-29T00:00:00"/>
    <n v="4"/>
    <x v="1"/>
    <s v="Karen Ferguson"/>
    <x v="2"/>
    <m/>
    <s v="Sandy Springs"/>
    <s v="Georgia"/>
    <s v="South"/>
    <x v="2"/>
    <x v="7"/>
    <s v="Plantronics Encore H101 Dual Earpieces Headset"/>
    <x v="5362"/>
    <n v="2"/>
    <n v="0"/>
    <n v="25.172000000000001"/>
  </r>
  <r>
    <n v="8836"/>
    <x v="241"/>
    <x v="3"/>
    <x v="8"/>
    <d v="2014-09-29T00:00:00"/>
    <n v="4"/>
    <x v="1"/>
    <s v="Karen Ferguson"/>
    <x v="2"/>
    <m/>
    <s v="Sandy Springs"/>
    <s v="Georgia"/>
    <s v="South"/>
    <x v="1"/>
    <x v="6"/>
    <s v="Barrel Sharpener"/>
    <x v="190"/>
    <n v="4"/>
    <n v="0"/>
    <n v="3.7128000000000001"/>
  </r>
  <r>
    <n v="8837"/>
    <x v="241"/>
    <x v="3"/>
    <x v="8"/>
    <d v="2014-09-29T00:00:00"/>
    <n v="4"/>
    <x v="1"/>
    <s v="Karen Ferguson"/>
    <x v="2"/>
    <m/>
    <s v="Sandy Springs"/>
    <s v="Georgia"/>
    <s v="South"/>
    <x v="1"/>
    <x v="6"/>
    <s v="BIC Brite Liner Grip Highlighters, Assorted, 5/Pack"/>
    <x v="1905"/>
    <n v="3"/>
    <n v="0"/>
    <n v="4.9607999999999999"/>
  </r>
  <r>
    <n v="8838"/>
    <x v="241"/>
    <x v="3"/>
    <x v="8"/>
    <d v="2014-09-29T00:00:00"/>
    <n v="4"/>
    <x v="1"/>
    <s v="Karen Ferguson"/>
    <x v="2"/>
    <m/>
    <s v="Sandy Springs"/>
    <s v="Georgia"/>
    <s v="South"/>
    <x v="1"/>
    <x v="2"/>
    <s v="Self-Adhesive Removable Labels"/>
    <x v="2104"/>
    <n v="5"/>
    <n v="0"/>
    <n v="7.56"/>
  </r>
  <r>
    <n v="8839"/>
    <x v="322"/>
    <x v="2"/>
    <x v="3"/>
    <d v="2011-04-10T00:00:00"/>
    <n v="4"/>
    <x v="0"/>
    <s v="Frank Hawley"/>
    <x v="1"/>
    <m/>
    <s v="Los Angeles"/>
    <s v="California"/>
    <s v="West"/>
    <x v="1"/>
    <x v="6"/>
    <s v="Boston Home &amp; Office Model 2000 Electric Pencil Sharpeners"/>
    <x v="418"/>
    <n v="3"/>
    <n v="0"/>
    <n v="18.446999999999999"/>
  </r>
  <r>
    <n v="8840"/>
    <x v="322"/>
    <x v="2"/>
    <x v="3"/>
    <d v="2011-04-10T00:00:00"/>
    <n v="4"/>
    <x v="0"/>
    <s v="Frank Hawley"/>
    <x v="1"/>
    <m/>
    <s v="Los Angeles"/>
    <s v="California"/>
    <s v="West"/>
    <x v="1"/>
    <x v="8"/>
    <s v="Avery Trapezoid Ring Binder, 3&quot; Capacity, Black, 1040 sheets"/>
    <x v="951"/>
    <n v="2"/>
    <n v="0.2"/>
    <n v="23.7684"/>
  </r>
  <r>
    <n v="8841"/>
    <x v="322"/>
    <x v="2"/>
    <x v="3"/>
    <d v="2011-04-10T00:00:00"/>
    <n v="4"/>
    <x v="0"/>
    <s v="Frank Hawley"/>
    <x v="1"/>
    <m/>
    <s v="Los Angeles"/>
    <s v="California"/>
    <s v="West"/>
    <x v="2"/>
    <x v="11"/>
    <s v="Razer Kraken 7.1 Surround Sound Over Ear USB Gaming Headset"/>
    <x v="670"/>
    <n v="3"/>
    <n v="0"/>
    <n v="131.98679999999999"/>
  </r>
  <r>
    <n v="8842"/>
    <x v="1206"/>
    <x v="0"/>
    <x v="11"/>
    <d v="2013-02-13T00:00:00"/>
    <n v="4"/>
    <x v="1"/>
    <s v="Justin Ritter"/>
    <x v="1"/>
    <m/>
    <s v="San Francisco"/>
    <s v="California"/>
    <s v="West"/>
    <x v="2"/>
    <x v="11"/>
    <s v="Logitech 910-002974 M325 Wireless Mouse for Web Scrolling"/>
    <x v="1309"/>
    <n v="3"/>
    <n v="0"/>
    <n v="39.586799999999997"/>
  </r>
  <r>
    <n v="8843"/>
    <x v="1206"/>
    <x v="0"/>
    <x v="11"/>
    <d v="2013-02-13T00:00:00"/>
    <n v="4"/>
    <x v="1"/>
    <s v="Justin Ritter"/>
    <x v="1"/>
    <m/>
    <s v="San Francisco"/>
    <s v="California"/>
    <s v="West"/>
    <x v="2"/>
    <x v="11"/>
    <s v="Maxell 4.7GB DVD+RW 3/Pack"/>
    <x v="937"/>
    <n v="2"/>
    <n v="0"/>
    <n v="11.151"/>
  </r>
  <r>
    <n v="8844"/>
    <x v="728"/>
    <x v="2"/>
    <x v="0"/>
    <d v="2011-11-20T00:00:00"/>
    <n v="2"/>
    <x v="0"/>
    <s v="Julie Creighton"/>
    <x v="1"/>
    <m/>
    <s v="Minneapolis"/>
    <s v="Minnesota"/>
    <s v="Central"/>
    <x v="1"/>
    <x v="4"/>
    <s v="Fellowes Desktop Hanging File Manager"/>
    <x v="5102"/>
    <n v="5"/>
    <n v="0"/>
    <n v="16.787500000000001"/>
  </r>
  <r>
    <n v="8845"/>
    <x v="404"/>
    <x v="3"/>
    <x v="4"/>
    <d v="2014-12-24T00:00:00"/>
    <n v="5"/>
    <x v="1"/>
    <s v="Beth Paige"/>
    <x v="0"/>
    <m/>
    <s v="Columbus"/>
    <s v="Ohio"/>
    <s v="East"/>
    <x v="1"/>
    <x v="8"/>
    <s v="Fellowes Twister Kit, Gray/Clear, 3/pkg"/>
    <x v="5363"/>
    <n v="3"/>
    <n v="0.7"/>
    <n v="-6.03"/>
  </r>
  <r>
    <n v="8846"/>
    <x v="404"/>
    <x v="3"/>
    <x v="4"/>
    <d v="2014-12-24T00:00:00"/>
    <n v="5"/>
    <x v="1"/>
    <s v="Beth Paige"/>
    <x v="0"/>
    <m/>
    <s v="Columbus"/>
    <s v="Ohio"/>
    <s v="East"/>
    <x v="1"/>
    <x v="13"/>
    <s v="Ideal Clamps"/>
    <x v="5364"/>
    <n v="3"/>
    <n v="0.2"/>
    <n v="1.7486999999999999"/>
  </r>
  <r>
    <n v="8847"/>
    <x v="404"/>
    <x v="3"/>
    <x v="4"/>
    <d v="2014-12-24T00:00:00"/>
    <n v="5"/>
    <x v="1"/>
    <s v="Beth Paige"/>
    <x v="0"/>
    <m/>
    <s v="Columbus"/>
    <s v="Ohio"/>
    <s v="East"/>
    <x v="1"/>
    <x v="10"/>
    <s v="Xerox Color Copier Paper, 11&quot; x 17&quot;, Ream"/>
    <x v="419"/>
    <n v="5"/>
    <n v="0.2"/>
    <n v="29.692"/>
  </r>
  <r>
    <n v="8848"/>
    <x v="404"/>
    <x v="3"/>
    <x v="4"/>
    <d v="2014-12-24T00:00:00"/>
    <n v="5"/>
    <x v="1"/>
    <s v="Beth Paige"/>
    <x v="0"/>
    <m/>
    <s v="Columbus"/>
    <s v="Ohio"/>
    <s v="East"/>
    <x v="1"/>
    <x v="9"/>
    <s v="Kensington 4 Outlet MasterPiece Compact Power Control Center"/>
    <x v="5365"/>
    <n v="2"/>
    <n v="0.2"/>
    <n v="13.011200000000001"/>
  </r>
  <r>
    <n v="8849"/>
    <x v="740"/>
    <x v="1"/>
    <x v="7"/>
    <d v="2012-07-04T00:00:00"/>
    <n v="2"/>
    <x v="2"/>
    <s v="Frank Atkinson"/>
    <x v="1"/>
    <m/>
    <s v="Raleigh"/>
    <s v="North Carolina"/>
    <s v="South"/>
    <x v="2"/>
    <x v="7"/>
    <s v="Geemarc AmpliPOWER60"/>
    <x v="5366"/>
    <n v="1"/>
    <n v="0.2"/>
    <n v="8.3520000000000003"/>
  </r>
  <r>
    <n v="8850"/>
    <x v="740"/>
    <x v="1"/>
    <x v="7"/>
    <d v="2012-07-04T00:00:00"/>
    <n v="2"/>
    <x v="2"/>
    <s v="Frank Atkinson"/>
    <x v="1"/>
    <m/>
    <s v="Raleigh"/>
    <s v="North Carolina"/>
    <s v="South"/>
    <x v="0"/>
    <x v="5"/>
    <s v="24-Hour Round Wall Clock"/>
    <x v="5367"/>
    <n v="10"/>
    <n v="0.2"/>
    <n v="45.954000000000001"/>
  </r>
  <r>
    <n v="8851"/>
    <x v="740"/>
    <x v="1"/>
    <x v="7"/>
    <d v="2012-07-04T00:00:00"/>
    <n v="2"/>
    <x v="2"/>
    <s v="Frank Atkinson"/>
    <x v="1"/>
    <m/>
    <s v="Raleigh"/>
    <s v="North Carolina"/>
    <s v="South"/>
    <x v="1"/>
    <x v="8"/>
    <s v="Wilson Jones Turn Tabs Binder Tool for Ring Binders"/>
    <x v="4698"/>
    <n v="2"/>
    <n v="0.7"/>
    <n v="-2.3136000000000001"/>
  </r>
  <r>
    <n v="8852"/>
    <x v="740"/>
    <x v="1"/>
    <x v="7"/>
    <d v="2012-07-04T00:00:00"/>
    <n v="2"/>
    <x v="2"/>
    <s v="Frank Atkinson"/>
    <x v="1"/>
    <m/>
    <s v="Raleigh"/>
    <s v="North Carolina"/>
    <s v="South"/>
    <x v="1"/>
    <x v="10"/>
    <s v="Things To Do Today Pad"/>
    <x v="1718"/>
    <n v="2"/>
    <n v="0.2"/>
    <n v="3.2871999999999999"/>
  </r>
  <r>
    <n v="8853"/>
    <x v="1169"/>
    <x v="2"/>
    <x v="2"/>
    <d v="2011-10-13T00:00:00"/>
    <n v="5"/>
    <x v="0"/>
    <s v="Duane Noonan"/>
    <x v="0"/>
    <m/>
    <s v="New York City"/>
    <s v="New York"/>
    <s v="East"/>
    <x v="1"/>
    <x v="10"/>
    <s v="Xerox 197"/>
    <x v="1832"/>
    <n v="4"/>
    <n v="0"/>
    <n v="55.764000000000003"/>
  </r>
  <r>
    <n v="8854"/>
    <x v="357"/>
    <x v="1"/>
    <x v="8"/>
    <d v="2012-09-25T00:00:00"/>
    <n v="3"/>
    <x v="2"/>
    <s v="Frank Olsen"/>
    <x v="0"/>
    <m/>
    <s v="Philadelphia"/>
    <s v="Pennsylvania"/>
    <s v="East"/>
    <x v="1"/>
    <x v="14"/>
    <s v="Acme Hot Forged Carbon Steel Scissors with Nickel-Plated Handles, 3 7/8&quot; Cut, 8&quot;L"/>
    <x v="5368"/>
    <n v="5"/>
    <n v="0.2"/>
    <n v="6.2549999999999999"/>
  </r>
  <r>
    <n v="8855"/>
    <x v="357"/>
    <x v="1"/>
    <x v="8"/>
    <d v="2012-09-25T00:00:00"/>
    <n v="3"/>
    <x v="2"/>
    <s v="Frank Olsen"/>
    <x v="0"/>
    <m/>
    <s v="Philadelphia"/>
    <s v="Pennsylvania"/>
    <s v="East"/>
    <x v="2"/>
    <x v="11"/>
    <s v="Logitech P710e Mobile Speakerphone"/>
    <x v="231"/>
    <n v="3"/>
    <n v="0.2"/>
    <n v="-7.7247000000000003"/>
  </r>
  <r>
    <n v="8856"/>
    <x v="165"/>
    <x v="3"/>
    <x v="4"/>
    <d v="2014-12-31T00:00:00"/>
    <n v="6"/>
    <x v="1"/>
    <s v="Dave Poirier"/>
    <x v="1"/>
    <m/>
    <s v="Meridian"/>
    <s v="Idaho"/>
    <s v="West"/>
    <x v="1"/>
    <x v="8"/>
    <s v="GBC Instant Index System for Binding Systems"/>
    <x v="3309"/>
    <n v="3"/>
    <n v="0.2"/>
    <n v="7.992"/>
  </r>
  <r>
    <n v="8857"/>
    <x v="119"/>
    <x v="3"/>
    <x v="2"/>
    <d v="2014-10-21T00:00:00"/>
    <n v="7"/>
    <x v="1"/>
    <s v="Jane Waco"/>
    <x v="1"/>
    <m/>
    <s v="Sacramento"/>
    <s v="California"/>
    <s v="West"/>
    <x v="2"/>
    <x v="11"/>
    <s v="Logitech Media Keyboard K200"/>
    <x v="4383"/>
    <n v="6"/>
    <n v="0"/>
    <n v="39.888599999999997"/>
  </r>
  <r>
    <n v="8858"/>
    <x v="119"/>
    <x v="3"/>
    <x v="2"/>
    <d v="2014-10-21T00:00:00"/>
    <n v="7"/>
    <x v="1"/>
    <s v="Jane Waco"/>
    <x v="1"/>
    <m/>
    <s v="Sacramento"/>
    <s v="California"/>
    <s v="West"/>
    <x v="2"/>
    <x v="7"/>
    <s v="Anker Astro Mini 3000mAh Ultra-Compact Portable Charger"/>
    <x v="236"/>
    <n v="2"/>
    <n v="0.2"/>
    <n v="-7.9960000000000004"/>
  </r>
  <r>
    <n v="8859"/>
    <x v="119"/>
    <x v="3"/>
    <x v="2"/>
    <d v="2014-10-21T00:00:00"/>
    <n v="7"/>
    <x v="1"/>
    <s v="Jane Waco"/>
    <x v="1"/>
    <m/>
    <s v="Sacramento"/>
    <s v="California"/>
    <s v="West"/>
    <x v="1"/>
    <x v="8"/>
    <s v="Fellowes PB500 Electric Punch Plastic Comb Binding Machine with Manual Bind"/>
    <x v="5369"/>
    <n v="5"/>
    <n v="0.2"/>
    <n v="1906.4849999999999"/>
  </r>
  <r>
    <n v="8860"/>
    <x v="648"/>
    <x v="3"/>
    <x v="6"/>
    <d v="2014-08-27T00:00:00"/>
    <n v="6"/>
    <x v="1"/>
    <s v="Tonja Turnell"/>
    <x v="2"/>
    <m/>
    <s v="Charlotte"/>
    <s v="North Carolina"/>
    <s v="South"/>
    <x v="2"/>
    <x v="7"/>
    <s v="Plantronics Encore H101 Dual Earpieces Headset"/>
    <x v="3539"/>
    <n v="1"/>
    <n v="0.2"/>
    <n v="3.5960000000000001"/>
  </r>
  <r>
    <n v="8861"/>
    <x v="861"/>
    <x v="1"/>
    <x v="8"/>
    <d v="2012-09-18T00:00:00"/>
    <n v="7"/>
    <x v="1"/>
    <s v="Skye Norling"/>
    <x v="2"/>
    <m/>
    <s v="Paterson"/>
    <s v="New Jersey"/>
    <s v="East"/>
    <x v="1"/>
    <x v="2"/>
    <s v="Avery 503"/>
    <x v="2496"/>
    <n v="3"/>
    <n v="0"/>
    <n v="14.904"/>
  </r>
  <r>
    <n v="8862"/>
    <x v="861"/>
    <x v="1"/>
    <x v="8"/>
    <d v="2012-09-18T00:00:00"/>
    <n v="7"/>
    <x v="1"/>
    <s v="Skye Norling"/>
    <x v="2"/>
    <m/>
    <s v="Paterson"/>
    <s v="New Jersey"/>
    <s v="East"/>
    <x v="0"/>
    <x v="5"/>
    <s v="Eldon Pizzaz Desk Accessories"/>
    <x v="4056"/>
    <n v="4"/>
    <n v="0"/>
    <n v="3.9247999999999998"/>
  </r>
  <r>
    <n v="8863"/>
    <x v="861"/>
    <x v="1"/>
    <x v="8"/>
    <d v="2012-09-18T00:00:00"/>
    <n v="7"/>
    <x v="1"/>
    <s v="Skye Norling"/>
    <x v="2"/>
    <m/>
    <s v="Paterson"/>
    <s v="New Jersey"/>
    <s v="East"/>
    <x v="1"/>
    <x v="8"/>
    <s v="Ibico Laser Imprintable Binding System Covers"/>
    <x v="4582"/>
    <n v="4"/>
    <n v="0"/>
    <n v="96.415999999999997"/>
  </r>
  <r>
    <n v="8864"/>
    <x v="861"/>
    <x v="1"/>
    <x v="8"/>
    <d v="2012-09-18T00:00:00"/>
    <n v="7"/>
    <x v="1"/>
    <s v="Skye Norling"/>
    <x v="2"/>
    <m/>
    <s v="Paterson"/>
    <s v="New Jersey"/>
    <s v="East"/>
    <x v="1"/>
    <x v="9"/>
    <s v="Fellowes Advanced 8 Outlet Surge Suppressor with Phone/Fax Protection"/>
    <x v="5370"/>
    <n v="4"/>
    <n v="0"/>
    <n v="29.980799999999999"/>
  </r>
  <r>
    <n v="8865"/>
    <x v="861"/>
    <x v="1"/>
    <x v="8"/>
    <d v="2012-09-18T00:00:00"/>
    <n v="7"/>
    <x v="1"/>
    <s v="Skye Norling"/>
    <x v="2"/>
    <m/>
    <s v="Paterson"/>
    <s v="New Jersey"/>
    <s v="East"/>
    <x v="1"/>
    <x v="10"/>
    <s v="Xerox 208"/>
    <x v="783"/>
    <n v="6"/>
    <n v="0"/>
    <n v="18.662400000000002"/>
  </r>
  <r>
    <n v="8866"/>
    <x v="139"/>
    <x v="1"/>
    <x v="4"/>
    <d v="2012-12-26T00:00:00"/>
    <n v="6"/>
    <x v="1"/>
    <s v="John Murray"/>
    <x v="0"/>
    <m/>
    <s v="Arlington"/>
    <s v="Virginia"/>
    <s v="South"/>
    <x v="1"/>
    <x v="9"/>
    <s v="Acco 6 Outlet Guardian Standard Surge Suppressor"/>
    <x v="2267"/>
    <n v="3"/>
    <n v="0"/>
    <n v="10.881"/>
  </r>
  <r>
    <n v="8867"/>
    <x v="59"/>
    <x v="2"/>
    <x v="8"/>
    <d v="2011-09-23T00:00:00"/>
    <n v="3"/>
    <x v="2"/>
    <s v="Sarah Brown"/>
    <x v="0"/>
    <m/>
    <s v="Chicago"/>
    <s v="Illinois"/>
    <s v="Central"/>
    <x v="0"/>
    <x v="0"/>
    <s v="Bush Heritage Pine Collection 5-Shelf Bookcase, Albany Pine Finish, *Special Order"/>
    <x v="5371"/>
    <n v="5"/>
    <n v="0.3"/>
    <n v="-70.489999999999995"/>
  </r>
  <r>
    <n v="8868"/>
    <x v="59"/>
    <x v="2"/>
    <x v="8"/>
    <d v="2011-09-23T00:00:00"/>
    <n v="3"/>
    <x v="2"/>
    <s v="Sarah Brown"/>
    <x v="0"/>
    <m/>
    <s v="Chicago"/>
    <s v="Illinois"/>
    <s v="Central"/>
    <x v="2"/>
    <x v="7"/>
    <s v="QVS USB Car Charger 2-Port 2.1Amp for iPod/iPhone/iPad/iPad 2/iPad 3"/>
    <x v="1731"/>
    <n v="2"/>
    <n v="0.2"/>
    <n v="3.4750000000000001"/>
  </r>
  <r>
    <n v="8869"/>
    <x v="254"/>
    <x v="0"/>
    <x v="0"/>
    <d v="2013-11-09T00:00:00"/>
    <n v="4"/>
    <x v="1"/>
    <s v="Cindy Chapman"/>
    <x v="0"/>
    <m/>
    <s v="San Diego"/>
    <s v="California"/>
    <s v="West"/>
    <x v="2"/>
    <x v="15"/>
    <s v="Okidata B400 Printer"/>
    <x v="5372"/>
    <n v="2"/>
    <n v="0.2"/>
    <n v="77.22"/>
  </r>
  <r>
    <n v="8870"/>
    <x v="96"/>
    <x v="3"/>
    <x v="4"/>
    <d v="2014-12-07T00:00:00"/>
    <n v="5"/>
    <x v="1"/>
    <s v="Sally Hughsby"/>
    <x v="1"/>
    <m/>
    <s v="Seattle"/>
    <s v="Washington"/>
    <s v="West"/>
    <x v="1"/>
    <x v="8"/>
    <s v="Ibico Presentation Index for Binding Systems"/>
    <x v="204"/>
    <n v="5"/>
    <n v="0.2"/>
    <n v="5.3730000000000002"/>
  </r>
  <r>
    <n v="8871"/>
    <x v="96"/>
    <x v="3"/>
    <x v="4"/>
    <d v="2014-12-07T00:00:00"/>
    <n v="5"/>
    <x v="1"/>
    <s v="Sally Hughsby"/>
    <x v="1"/>
    <m/>
    <s v="Seattle"/>
    <s v="Washington"/>
    <s v="West"/>
    <x v="0"/>
    <x v="5"/>
    <s v="Eldon Wave Desk Accessories"/>
    <x v="5373"/>
    <n v="12"/>
    <n v="0"/>
    <n v="31.0992"/>
  </r>
  <r>
    <n v="8872"/>
    <x v="96"/>
    <x v="3"/>
    <x v="4"/>
    <d v="2014-12-07T00:00:00"/>
    <n v="5"/>
    <x v="1"/>
    <s v="Sally Hughsby"/>
    <x v="1"/>
    <m/>
    <s v="Seattle"/>
    <s v="Washington"/>
    <s v="West"/>
    <x v="1"/>
    <x v="4"/>
    <s v="Tennsco Stur-D-Stor Boltless Shelving, 5 Shelves, 24&quot; Deep, Sand"/>
    <x v="5023"/>
    <n v="4"/>
    <n v="0"/>
    <n v="5.4123999999999999"/>
  </r>
  <r>
    <n v="8873"/>
    <x v="982"/>
    <x v="2"/>
    <x v="2"/>
    <d v="2011-10-10T00:00:00"/>
    <n v="0"/>
    <x v="3"/>
    <s v="Richard Bierner"/>
    <x v="0"/>
    <m/>
    <s v="Columbus"/>
    <s v="Ohio"/>
    <s v="East"/>
    <x v="2"/>
    <x v="15"/>
    <s v="Hewlett-Packard Deskjet F4180 All-in-One Color Ink-jet - Printer / copier / scanner"/>
    <x v="5374"/>
    <n v="2"/>
    <n v="0.7"/>
    <n v="-71.395799999999994"/>
  </r>
  <r>
    <n v="8874"/>
    <x v="982"/>
    <x v="2"/>
    <x v="2"/>
    <d v="2011-10-10T00:00:00"/>
    <n v="0"/>
    <x v="3"/>
    <s v="Richard Bierner"/>
    <x v="0"/>
    <m/>
    <s v="Columbus"/>
    <s v="Ohio"/>
    <s v="East"/>
    <x v="1"/>
    <x v="8"/>
    <s v="Premier Elliptical Ring Binder, Black"/>
    <x v="3487"/>
    <n v="2"/>
    <n v="0.7"/>
    <n v="-13.393599999999999"/>
  </r>
  <r>
    <n v="8875"/>
    <x v="237"/>
    <x v="3"/>
    <x v="0"/>
    <d v="2014-11-17T00:00:00"/>
    <n v="2"/>
    <x v="0"/>
    <s v="Toby Carlisle"/>
    <x v="0"/>
    <m/>
    <s v="Houston"/>
    <s v="Texas"/>
    <s v="Central"/>
    <x v="1"/>
    <x v="8"/>
    <s v="Wilson Jones Legal Size Ring Binders"/>
    <x v="839"/>
    <n v="5"/>
    <n v="0.8"/>
    <n v="-32.984999999999999"/>
  </r>
  <r>
    <n v="8876"/>
    <x v="572"/>
    <x v="0"/>
    <x v="6"/>
    <d v="2013-08-20T00:00:00"/>
    <n v="6"/>
    <x v="1"/>
    <s v="Carol Triggs"/>
    <x v="0"/>
    <m/>
    <s v="Irving"/>
    <s v="Texas"/>
    <s v="Central"/>
    <x v="1"/>
    <x v="14"/>
    <s v="Premier Electric Letter Opener"/>
    <x v="439"/>
    <n v="2"/>
    <n v="0.2"/>
    <n v="-34.758000000000003"/>
  </r>
  <r>
    <n v="8877"/>
    <x v="572"/>
    <x v="0"/>
    <x v="6"/>
    <d v="2013-08-20T00:00:00"/>
    <n v="6"/>
    <x v="1"/>
    <s v="Carol Triggs"/>
    <x v="0"/>
    <m/>
    <s v="Irving"/>
    <s v="Texas"/>
    <s v="Central"/>
    <x v="1"/>
    <x v="9"/>
    <s v="3.6 Cubic Foot Counter Height Office Refrigerator"/>
    <x v="5375"/>
    <n v="1"/>
    <n v="0.8"/>
    <n v="-153.20240000000001"/>
  </r>
  <r>
    <n v="8878"/>
    <x v="697"/>
    <x v="3"/>
    <x v="8"/>
    <d v="2014-09-24T00:00:00"/>
    <n v="6"/>
    <x v="1"/>
    <s v="Gary Zandusky"/>
    <x v="0"/>
    <m/>
    <s v="Morristown"/>
    <s v="New Jersey"/>
    <s v="East"/>
    <x v="2"/>
    <x v="15"/>
    <s v="Lexmark 20R1285 X6650 Wireless All-in-One Printer"/>
    <x v="5376"/>
    <n v="4"/>
    <n v="0"/>
    <n v="225.6"/>
  </r>
  <r>
    <n v="8879"/>
    <x v="697"/>
    <x v="3"/>
    <x v="8"/>
    <d v="2014-09-24T00:00:00"/>
    <n v="6"/>
    <x v="1"/>
    <s v="Gary Zandusky"/>
    <x v="0"/>
    <m/>
    <s v="Morristown"/>
    <s v="New Jersey"/>
    <s v="East"/>
    <x v="1"/>
    <x v="4"/>
    <s v="SimpliFile Personal File, Black Granite, 15w x 6-15/16d x 11-1/4h"/>
    <x v="3881"/>
    <n v="3"/>
    <n v="0"/>
    <n v="9.5340000000000007"/>
  </r>
  <r>
    <n v="8880"/>
    <x v="391"/>
    <x v="1"/>
    <x v="10"/>
    <d v="2012-03-25T00:00:00"/>
    <n v="2"/>
    <x v="2"/>
    <s v="Alice McCarthy"/>
    <x v="1"/>
    <m/>
    <s v="Los Angeles"/>
    <s v="California"/>
    <s v="West"/>
    <x v="1"/>
    <x v="10"/>
    <s v="TOPS Carbonless Receipt Book, Four 2-3/4 x 7-1/4 Money Receipts per Page"/>
    <x v="5377"/>
    <n v="11"/>
    <n v="0"/>
    <n v="92.505600000000001"/>
  </r>
  <r>
    <n v="8881"/>
    <x v="391"/>
    <x v="1"/>
    <x v="10"/>
    <d v="2012-03-25T00:00:00"/>
    <n v="2"/>
    <x v="2"/>
    <s v="Alice McCarthy"/>
    <x v="1"/>
    <m/>
    <s v="Los Angeles"/>
    <s v="California"/>
    <s v="West"/>
    <x v="2"/>
    <x v="11"/>
    <s v="Logitech G600 MMO Gaming Mouse"/>
    <x v="758"/>
    <n v="3"/>
    <n v="0"/>
    <n v="86.389200000000002"/>
  </r>
  <r>
    <n v="8882"/>
    <x v="1186"/>
    <x v="0"/>
    <x v="7"/>
    <d v="2013-07-04T00:00:00"/>
    <n v="3"/>
    <x v="0"/>
    <s v="Adrian Hane"/>
    <x v="2"/>
    <m/>
    <s v="Aurora"/>
    <s v="Illinois"/>
    <s v="Central"/>
    <x v="2"/>
    <x v="11"/>
    <s v="Kingston Digital DataTraveler 16GB USB 2.0"/>
    <x v="2255"/>
    <n v="7"/>
    <n v="0.2"/>
    <n v="-0.62649999999999995"/>
  </r>
  <r>
    <n v="8883"/>
    <x v="179"/>
    <x v="3"/>
    <x v="2"/>
    <d v="2014-10-26T00:00:00"/>
    <n v="5"/>
    <x v="1"/>
    <s v="Muhammed Yedwab"/>
    <x v="1"/>
    <m/>
    <s v="Durham"/>
    <s v="North Carolina"/>
    <s v="South"/>
    <x v="2"/>
    <x v="7"/>
    <s v="PayAnywhere Card Reader"/>
    <x v="2913"/>
    <n v="2"/>
    <n v="0.2"/>
    <n v="1.3986000000000001"/>
  </r>
  <r>
    <n v="8884"/>
    <x v="179"/>
    <x v="3"/>
    <x v="2"/>
    <d v="2014-10-26T00:00:00"/>
    <n v="5"/>
    <x v="1"/>
    <s v="Muhammed Yedwab"/>
    <x v="1"/>
    <m/>
    <s v="Durham"/>
    <s v="North Carolina"/>
    <s v="South"/>
    <x v="1"/>
    <x v="10"/>
    <s v="Great White Multi-Use Recycled Paper (20Lb. and 84 Bright)"/>
    <x v="642"/>
    <n v="3"/>
    <n v="0.2"/>
    <n v="4.4850000000000003"/>
  </r>
  <r>
    <n v="8885"/>
    <x v="55"/>
    <x v="2"/>
    <x v="6"/>
    <d v="2011-08-30T00:00:00"/>
    <n v="5"/>
    <x v="1"/>
    <s v="Brendan Sweed"/>
    <x v="1"/>
    <m/>
    <s v="Columbus"/>
    <s v="Ohio"/>
    <s v="East"/>
    <x v="1"/>
    <x v="8"/>
    <s v="Wilson Jones Custom Binder Spines &amp; Labels"/>
    <x v="5378"/>
    <n v="4"/>
    <n v="0.7"/>
    <n v="-4.5696000000000003"/>
  </r>
  <r>
    <n v="8886"/>
    <x v="55"/>
    <x v="2"/>
    <x v="6"/>
    <d v="2011-08-30T00:00:00"/>
    <n v="5"/>
    <x v="1"/>
    <s v="Brendan Sweed"/>
    <x v="1"/>
    <m/>
    <s v="Columbus"/>
    <s v="Ohio"/>
    <s v="East"/>
    <x v="1"/>
    <x v="8"/>
    <s v="Insertable Tab Indexes For Data Binders"/>
    <x v="5379"/>
    <n v="3"/>
    <n v="0.7"/>
    <n v="-2.2896000000000001"/>
  </r>
  <r>
    <n v="8887"/>
    <x v="55"/>
    <x v="2"/>
    <x v="6"/>
    <d v="2011-08-30T00:00:00"/>
    <n v="5"/>
    <x v="1"/>
    <s v="Brendan Sweed"/>
    <x v="1"/>
    <m/>
    <s v="Columbus"/>
    <s v="Ohio"/>
    <s v="East"/>
    <x v="1"/>
    <x v="8"/>
    <s v="Cardinal Slant-D Ring Binder, Heavy Gauge Vinyl"/>
    <x v="5380"/>
    <n v="8"/>
    <n v="0.7"/>
    <n v="-16.684799999999999"/>
  </r>
  <r>
    <n v="8888"/>
    <x v="923"/>
    <x v="2"/>
    <x v="7"/>
    <d v="2011-07-30T00:00:00"/>
    <n v="3"/>
    <x v="0"/>
    <s v="Barry Blumstein"/>
    <x v="1"/>
    <m/>
    <s v="Los Angeles"/>
    <s v="California"/>
    <s v="West"/>
    <x v="1"/>
    <x v="4"/>
    <s v="SAFCO Commercial Wire Shelving, Black"/>
    <x v="5381"/>
    <n v="2"/>
    <n v="0"/>
    <n v="0"/>
  </r>
  <r>
    <n v="8889"/>
    <x v="96"/>
    <x v="3"/>
    <x v="4"/>
    <d v="2014-12-08T00:00:00"/>
    <n v="6"/>
    <x v="1"/>
    <s v="Max Ludwig"/>
    <x v="2"/>
    <m/>
    <s v="Stockton"/>
    <s v="California"/>
    <s v="West"/>
    <x v="0"/>
    <x v="5"/>
    <s v="Tenex &quot;The Solids&quot; Textured Chair Mats"/>
    <x v="5382"/>
    <n v="9"/>
    <n v="0"/>
    <n v="107.03879999999999"/>
  </r>
  <r>
    <n v="8890"/>
    <x v="508"/>
    <x v="0"/>
    <x v="2"/>
    <d v="2013-10-22T00:00:00"/>
    <n v="4"/>
    <x v="0"/>
    <s v="Frank Carlisle"/>
    <x v="2"/>
    <m/>
    <s v="Columbia"/>
    <s v="Missouri"/>
    <s v="Central"/>
    <x v="2"/>
    <x v="7"/>
    <s v="Panasonic KX-TG9541B DECT 6.0 Digital 2-Line Expandable Cordless Phone With Digital Answering System"/>
    <x v="5383"/>
    <n v="3"/>
    <n v="0"/>
    <n v="220.4853"/>
  </r>
  <r>
    <n v="8891"/>
    <x v="508"/>
    <x v="0"/>
    <x v="2"/>
    <d v="2013-10-22T00:00:00"/>
    <n v="4"/>
    <x v="0"/>
    <s v="Frank Carlisle"/>
    <x v="2"/>
    <m/>
    <s v="Columbia"/>
    <s v="Missouri"/>
    <s v="Central"/>
    <x v="1"/>
    <x v="9"/>
    <s v="Honeywell Enviracaire Portable HEPA Air Cleaner for 16' x 20' Room"/>
    <x v="5384"/>
    <n v="7"/>
    <n v="0"/>
    <n v="751.76009999999997"/>
  </r>
  <r>
    <n v="8892"/>
    <x v="1142"/>
    <x v="0"/>
    <x v="8"/>
    <d v="2013-09-19T00:00:00"/>
    <n v="2"/>
    <x v="2"/>
    <s v="Corey Roper"/>
    <x v="2"/>
    <m/>
    <s v="Columbus"/>
    <s v="Georgia"/>
    <s v="South"/>
    <x v="0"/>
    <x v="1"/>
    <s v="Global Value Mid-Back Manager's Chair, Gray"/>
    <x v="5385"/>
    <n v="2"/>
    <n v="0"/>
    <n v="30.445"/>
  </r>
  <r>
    <n v="8893"/>
    <x v="494"/>
    <x v="1"/>
    <x v="4"/>
    <d v="2012-12-06T00:00:00"/>
    <n v="5"/>
    <x v="1"/>
    <s v="Lindsay Castell"/>
    <x v="2"/>
    <m/>
    <s v="San Diego"/>
    <s v="California"/>
    <s v="West"/>
    <x v="0"/>
    <x v="1"/>
    <s v="GuestStacker Chair with Chrome Finish Legs"/>
    <x v="5386"/>
    <n v="9"/>
    <n v="0.2"/>
    <n v="267.66719999999998"/>
  </r>
  <r>
    <n v="8894"/>
    <x v="79"/>
    <x v="2"/>
    <x v="6"/>
    <d v="2011-08-12T00:00:00"/>
    <n v="7"/>
    <x v="1"/>
    <s v="Gary Zandusky"/>
    <x v="0"/>
    <m/>
    <s v="Texas City"/>
    <s v="Texas"/>
    <s v="Central"/>
    <x v="0"/>
    <x v="3"/>
    <s v="SAFCO PlanMaster Heigh-Adjustable Drafting Table Base, 43w x 30d x 30-37h, Black"/>
    <x v="5387"/>
    <n v="2"/>
    <n v="0.3"/>
    <n v="41.933999999999997"/>
  </r>
  <r>
    <n v="8895"/>
    <x v="243"/>
    <x v="0"/>
    <x v="6"/>
    <d v="2013-08-23T00:00:00"/>
    <n v="7"/>
    <x v="1"/>
    <s v="Bill Donatelli"/>
    <x v="0"/>
    <m/>
    <s v="Los Angeles"/>
    <s v="California"/>
    <s v="West"/>
    <x v="0"/>
    <x v="5"/>
    <s v="Luxo Professional Magnifying Clamp-On Fluorescent Lamps"/>
    <x v="5388"/>
    <n v="3"/>
    <n v="0"/>
    <n v="43.684199999999997"/>
  </r>
  <r>
    <n v="8896"/>
    <x v="243"/>
    <x v="0"/>
    <x v="6"/>
    <d v="2013-08-23T00:00:00"/>
    <n v="7"/>
    <x v="1"/>
    <s v="Bill Donatelli"/>
    <x v="0"/>
    <m/>
    <s v="Los Angeles"/>
    <s v="California"/>
    <s v="West"/>
    <x v="1"/>
    <x v="4"/>
    <s v="Perma STOR-ALL Hanging File Box, 13 1/8&quot;W x 12 1/4&quot;D x 10 1/2&quot;H"/>
    <x v="1444"/>
    <n v="3"/>
    <n v="0"/>
    <n v="3.0497999999999998"/>
  </r>
  <r>
    <n v="8897"/>
    <x v="243"/>
    <x v="0"/>
    <x v="6"/>
    <d v="2013-08-23T00:00:00"/>
    <n v="7"/>
    <x v="1"/>
    <s v="Bill Donatelli"/>
    <x v="0"/>
    <m/>
    <s v="Los Angeles"/>
    <s v="California"/>
    <s v="West"/>
    <x v="2"/>
    <x v="7"/>
    <s v="AT&amp;T 841000 Phone"/>
    <x v="5198"/>
    <n v="3"/>
    <n v="0.2"/>
    <n v="10.35"/>
  </r>
  <r>
    <n v="8898"/>
    <x v="243"/>
    <x v="0"/>
    <x v="6"/>
    <d v="2013-08-23T00:00:00"/>
    <n v="7"/>
    <x v="1"/>
    <s v="Bill Donatelli"/>
    <x v="0"/>
    <m/>
    <s v="Los Angeles"/>
    <s v="California"/>
    <s v="West"/>
    <x v="1"/>
    <x v="10"/>
    <s v="Rediform S.O.S. 1-Up Phone Message Bk, 4-1/4x3-1/16 Bk, 1 Form/Pg, 40 Messages/Bk, 3/Pk"/>
    <x v="2778"/>
    <n v="4"/>
    <n v="0"/>
    <n v="18.009599999999999"/>
  </r>
  <r>
    <n v="8899"/>
    <x v="976"/>
    <x v="1"/>
    <x v="6"/>
    <d v="2012-08-09T00:00:00"/>
    <n v="2"/>
    <x v="0"/>
    <s v="Eudokia Martin"/>
    <x v="1"/>
    <m/>
    <s v="Springfield"/>
    <s v="Virginia"/>
    <s v="South"/>
    <x v="2"/>
    <x v="7"/>
    <s v="Ativa D5772 2-Line 5.8GHz Digital Expandable Corded/Cordless Phone System with Answering &amp; Caller ID/Call Waiting, Black/Silver"/>
    <x v="4496"/>
    <n v="3"/>
    <n v="0"/>
    <n v="148.49100000000001"/>
  </r>
  <r>
    <n v="8900"/>
    <x v="976"/>
    <x v="1"/>
    <x v="6"/>
    <d v="2012-08-09T00:00:00"/>
    <n v="2"/>
    <x v="0"/>
    <s v="Eudokia Martin"/>
    <x v="1"/>
    <m/>
    <s v="Springfield"/>
    <s v="Virginia"/>
    <s v="South"/>
    <x v="1"/>
    <x v="2"/>
    <s v="Avery 50"/>
    <x v="2910"/>
    <n v="2"/>
    <n v="0"/>
    <n v="11.7782"/>
  </r>
  <r>
    <n v="8901"/>
    <x v="1207"/>
    <x v="0"/>
    <x v="1"/>
    <d v="2013-06-05T00:00:00"/>
    <n v="4"/>
    <x v="1"/>
    <s v="Beth Paige"/>
    <x v="0"/>
    <m/>
    <s v="Decatur"/>
    <s v="Illinois"/>
    <s v="Central"/>
    <x v="0"/>
    <x v="5"/>
    <s v="Executive Impressions 16-1/2&quot; Circular Wall Clock"/>
    <x v="164"/>
    <n v="3"/>
    <n v="0.6"/>
    <n v="-12.8256"/>
  </r>
  <r>
    <n v="8902"/>
    <x v="1207"/>
    <x v="0"/>
    <x v="1"/>
    <d v="2013-06-05T00:00:00"/>
    <n v="4"/>
    <x v="1"/>
    <s v="Beth Paige"/>
    <x v="0"/>
    <m/>
    <s v="Decatur"/>
    <s v="Illinois"/>
    <s v="Central"/>
    <x v="1"/>
    <x v="10"/>
    <s v="Xerox 1899"/>
    <x v="281"/>
    <n v="4"/>
    <n v="0.2"/>
    <n v="6.7047999999999996"/>
  </r>
  <r>
    <n v="8903"/>
    <x v="1207"/>
    <x v="0"/>
    <x v="1"/>
    <d v="2013-06-05T00:00:00"/>
    <n v="4"/>
    <x v="1"/>
    <s v="Beth Paige"/>
    <x v="0"/>
    <m/>
    <s v="Decatur"/>
    <s v="Illinois"/>
    <s v="Central"/>
    <x v="0"/>
    <x v="1"/>
    <s v="Global Highback Leather Tilter in Burgundy"/>
    <x v="5389"/>
    <n v="3"/>
    <n v="0.3"/>
    <n v="-38.215800000000002"/>
  </r>
  <r>
    <n v="8904"/>
    <x v="1207"/>
    <x v="0"/>
    <x v="1"/>
    <d v="2013-06-05T00:00:00"/>
    <n v="4"/>
    <x v="1"/>
    <s v="Beth Paige"/>
    <x v="0"/>
    <m/>
    <s v="Decatur"/>
    <s v="Illinois"/>
    <s v="Central"/>
    <x v="1"/>
    <x v="10"/>
    <s v="Xerox 212"/>
    <x v="559"/>
    <n v="2"/>
    <n v="0.2"/>
    <n v="3.6288"/>
  </r>
  <r>
    <n v="8905"/>
    <x v="949"/>
    <x v="0"/>
    <x v="7"/>
    <d v="2013-07-02T00:00:00"/>
    <n v="0"/>
    <x v="3"/>
    <s v="Stephanie Ulpright"/>
    <x v="2"/>
    <m/>
    <s v="New York City"/>
    <s v="New York"/>
    <s v="East"/>
    <x v="1"/>
    <x v="2"/>
    <s v="Avery 477"/>
    <x v="5390"/>
    <n v="1"/>
    <n v="0"/>
    <n v="14.043799999999999"/>
  </r>
  <r>
    <n v="8906"/>
    <x v="949"/>
    <x v="0"/>
    <x v="7"/>
    <d v="2013-07-02T00:00:00"/>
    <n v="0"/>
    <x v="3"/>
    <s v="Stephanie Ulpright"/>
    <x v="2"/>
    <m/>
    <s v="New York City"/>
    <s v="New York"/>
    <s v="East"/>
    <x v="2"/>
    <x v="11"/>
    <s v="KeyTronic KT400U2 - Keyboard - Black"/>
    <x v="117"/>
    <n v="3"/>
    <n v="0"/>
    <n v="6.1680000000000001"/>
  </r>
  <r>
    <n v="8907"/>
    <x v="949"/>
    <x v="0"/>
    <x v="7"/>
    <d v="2013-07-02T00:00:00"/>
    <n v="0"/>
    <x v="3"/>
    <s v="Stephanie Ulpright"/>
    <x v="2"/>
    <m/>
    <s v="New York City"/>
    <s v="New York"/>
    <s v="East"/>
    <x v="1"/>
    <x v="10"/>
    <s v="Southworth 25% Cotton Antique Laid Paper &amp; Envelopes"/>
    <x v="5391"/>
    <n v="9"/>
    <n v="0"/>
    <n v="33.777000000000001"/>
  </r>
  <r>
    <n v="8908"/>
    <x v="122"/>
    <x v="0"/>
    <x v="4"/>
    <d v="2013-12-21T00:00:00"/>
    <n v="2"/>
    <x v="2"/>
    <s v="Andy Yotov"/>
    <x v="1"/>
    <m/>
    <s v="San Francisco"/>
    <s v="California"/>
    <s v="West"/>
    <x v="2"/>
    <x v="7"/>
    <s v="I Need's 3d Hello Kitty Hybrid Silicone Case Cover for HTC One X 4g with 3d Hello Kitty Stylus Pen Green/pink"/>
    <x v="5392"/>
    <n v="7"/>
    <n v="0.2"/>
    <n v="6.6976000000000004"/>
  </r>
  <r>
    <n v="8909"/>
    <x v="1208"/>
    <x v="1"/>
    <x v="9"/>
    <d v="2012-02-01T00:00:00"/>
    <n v="6"/>
    <x v="1"/>
    <s v="Elizabeth Moffitt"/>
    <x v="1"/>
    <m/>
    <s v="Moreno Valley"/>
    <s v="California"/>
    <s v="West"/>
    <x v="1"/>
    <x v="10"/>
    <s v="Xerox 1991"/>
    <x v="681"/>
    <n v="8"/>
    <n v="0"/>
    <n v="84.051199999999994"/>
  </r>
  <r>
    <n v="8910"/>
    <x v="960"/>
    <x v="3"/>
    <x v="2"/>
    <d v="2014-11-02T00:00:00"/>
    <n v="4"/>
    <x v="1"/>
    <s v="Sue Ann Reed"/>
    <x v="0"/>
    <m/>
    <s v="Everett"/>
    <s v="Massachusetts"/>
    <s v="East"/>
    <x v="1"/>
    <x v="2"/>
    <s v="Avery 519"/>
    <x v="2468"/>
    <n v="3"/>
    <n v="0"/>
    <n v="10.3071"/>
  </r>
  <r>
    <n v="8911"/>
    <x v="259"/>
    <x v="3"/>
    <x v="0"/>
    <d v="2014-11-09T00:00:00"/>
    <n v="4"/>
    <x v="1"/>
    <s v="Christina Anderson"/>
    <x v="0"/>
    <m/>
    <s v="Chattanooga"/>
    <s v="Tennessee"/>
    <s v="South"/>
    <x v="2"/>
    <x v="11"/>
    <s v="Logitech M510 Wireless Mouse"/>
    <x v="98"/>
    <n v="3"/>
    <n v="0.2"/>
    <n v="15.5961"/>
  </r>
  <r>
    <n v="8912"/>
    <x v="259"/>
    <x v="3"/>
    <x v="0"/>
    <d v="2014-11-09T00:00:00"/>
    <n v="4"/>
    <x v="1"/>
    <s v="Christina Anderson"/>
    <x v="0"/>
    <m/>
    <s v="Chattanooga"/>
    <s v="Tennessee"/>
    <s v="South"/>
    <x v="2"/>
    <x v="7"/>
    <s v="iOttie XL Car Mount"/>
    <x v="5393"/>
    <n v="9"/>
    <n v="0.2"/>
    <n v="-32.383800000000001"/>
  </r>
  <r>
    <n v="8913"/>
    <x v="259"/>
    <x v="3"/>
    <x v="0"/>
    <d v="2014-11-09T00:00:00"/>
    <n v="4"/>
    <x v="1"/>
    <s v="Christina Anderson"/>
    <x v="0"/>
    <m/>
    <s v="Chattanooga"/>
    <s v="Tennessee"/>
    <s v="South"/>
    <x v="1"/>
    <x v="8"/>
    <s v="Storex Dura Pro Binders"/>
    <x v="2940"/>
    <n v="2"/>
    <n v="0.7"/>
    <n v="-2.97"/>
  </r>
  <r>
    <n v="8914"/>
    <x v="259"/>
    <x v="3"/>
    <x v="0"/>
    <d v="2014-11-09T00:00:00"/>
    <n v="4"/>
    <x v="1"/>
    <s v="Christina Anderson"/>
    <x v="0"/>
    <m/>
    <s v="Chattanooga"/>
    <s v="Tennessee"/>
    <s v="South"/>
    <x v="1"/>
    <x v="2"/>
    <s v="Avery 481"/>
    <x v="1253"/>
    <n v="2"/>
    <n v="0.2"/>
    <n v="1.7248000000000001"/>
  </r>
  <r>
    <n v="8915"/>
    <x v="195"/>
    <x v="0"/>
    <x v="5"/>
    <d v="2013-05-14T00:00:00"/>
    <n v="4"/>
    <x v="1"/>
    <s v="Cynthia Voltz"/>
    <x v="1"/>
    <m/>
    <s v="Austin"/>
    <s v="Texas"/>
    <s v="Central"/>
    <x v="1"/>
    <x v="4"/>
    <s v="Hot File 7-Pocket, Floor Stand"/>
    <x v="5394"/>
    <n v="6"/>
    <n v="0.2"/>
    <n v="107.08199999999999"/>
  </r>
  <r>
    <n v="8916"/>
    <x v="195"/>
    <x v="0"/>
    <x v="5"/>
    <d v="2013-05-14T00:00:00"/>
    <n v="4"/>
    <x v="1"/>
    <s v="Cynthia Voltz"/>
    <x v="1"/>
    <m/>
    <s v="Austin"/>
    <s v="Texas"/>
    <s v="Central"/>
    <x v="1"/>
    <x v="8"/>
    <s v="Ibico Standard Transparent Covers"/>
    <x v="1223"/>
    <n v="4"/>
    <n v="0.8"/>
    <n v="-20.435199999999998"/>
  </r>
  <r>
    <n v="8917"/>
    <x v="195"/>
    <x v="0"/>
    <x v="5"/>
    <d v="2013-05-14T00:00:00"/>
    <n v="4"/>
    <x v="1"/>
    <s v="Cynthia Voltz"/>
    <x v="1"/>
    <m/>
    <s v="Austin"/>
    <s v="Texas"/>
    <s v="Central"/>
    <x v="1"/>
    <x v="9"/>
    <s v="Euro Pro Shark Stick Mini Vacuum"/>
    <x v="3586"/>
    <n v="4"/>
    <n v="0.8"/>
    <n v="-131.71680000000001"/>
  </r>
  <r>
    <n v="8918"/>
    <x v="195"/>
    <x v="0"/>
    <x v="5"/>
    <d v="2013-05-14T00:00:00"/>
    <n v="4"/>
    <x v="1"/>
    <s v="Cynthia Voltz"/>
    <x v="1"/>
    <m/>
    <s v="Austin"/>
    <s v="Texas"/>
    <s v="Central"/>
    <x v="1"/>
    <x v="10"/>
    <s v="Xerox 1911"/>
    <x v="4981"/>
    <n v="2"/>
    <n v="0.2"/>
    <n v="26.824000000000002"/>
  </r>
  <r>
    <n v="8919"/>
    <x v="195"/>
    <x v="0"/>
    <x v="5"/>
    <d v="2013-05-14T00:00:00"/>
    <n v="4"/>
    <x v="1"/>
    <s v="Cynthia Voltz"/>
    <x v="1"/>
    <m/>
    <s v="Austin"/>
    <s v="Texas"/>
    <s v="Central"/>
    <x v="1"/>
    <x v="8"/>
    <s v="GBC VeloBind Cover Sets"/>
    <x v="4964"/>
    <n v="6"/>
    <n v="0.8"/>
    <n v="-27.792000000000002"/>
  </r>
  <r>
    <n v="8920"/>
    <x v="1063"/>
    <x v="2"/>
    <x v="3"/>
    <d v="2011-04-08T00:00:00"/>
    <n v="6"/>
    <x v="1"/>
    <s v="Anna Häberlin"/>
    <x v="1"/>
    <m/>
    <s v="Virginia Beach"/>
    <s v="Virginia"/>
    <s v="South"/>
    <x v="0"/>
    <x v="5"/>
    <s v="Luxo Adjustable Task Clamp Lamp"/>
    <x v="5395"/>
    <n v="2"/>
    <n v="0"/>
    <n v="46.196800000000003"/>
  </r>
  <r>
    <n v="8921"/>
    <x v="582"/>
    <x v="2"/>
    <x v="3"/>
    <d v="2011-05-03T00:00:00"/>
    <n v="5"/>
    <x v="1"/>
    <s v="David Smith"/>
    <x v="1"/>
    <m/>
    <s v="Jamestown"/>
    <s v="New York"/>
    <s v="East"/>
    <x v="2"/>
    <x v="11"/>
    <s v="Logitech G600 MMO Gaming Mouse"/>
    <x v="457"/>
    <n v="2"/>
    <n v="0"/>
    <n v="57.592799999999997"/>
  </r>
  <r>
    <n v="8922"/>
    <x v="964"/>
    <x v="0"/>
    <x v="2"/>
    <d v="2013-10-09T00:00:00"/>
    <n v="4"/>
    <x v="1"/>
    <s v="Anna Häberlin"/>
    <x v="1"/>
    <m/>
    <s v="Coral Gables"/>
    <s v="Florida"/>
    <s v="South"/>
    <x v="2"/>
    <x v="7"/>
    <s v="Samsung HM1900 Bluetooth Headset"/>
    <x v="2610"/>
    <n v="3"/>
    <n v="0.2"/>
    <n v="19.754999999999999"/>
  </r>
  <r>
    <n v="8923"/>
    <x v="964"/>
    <x v="0"/>
    <x v="2"/>
    <d v="2013-10-09T00:00:00"/>
    <n v="4"/>
    <x v="1"/>
    <s v="Anna Häberlin"/>
    <x v="1"/>
    <m/>
    <s v="Coral Gables"/>
    <s v="Florida"/>
    <s v="South"/>
    <x v="0"/>
    <x v="5"/>
    <s v="Magna Visual Magnetic Picture Hangers"/>
    <x v="5396"/>
    <n v="3"/>
    <n v="0.2"/>
    <n v="2.6027999999999998"/>
  </r>
  <r>
    <n v="8924"/>
    <x v="532"/>
    <x v="3"/>
    <x v="1"/>
    <d v="2014-06-18T00:00:00"/>
    <n v="6"/>
    <x v="1"/>
    <s v="Zuschuss Carroll"/>
    <x v="0"/>
    <m/>
    <s v="Hickory"/>
    <s v="North Carolina"/>
    <s v="South"/>
    <x v="1"/>
    <x v="8"/>
    <s v="Acco Pressboard Covers with Storage Hooks, 14 7/8&quot; x 11&quot;, Executive Red"/>
    <x v="5397"/>
    <n v="4"/>
    <n v="0.7"/>
    <n v="-3.81"/>
  </r>
  <r>
    <n v="8925"/>
    <x v="806"/>
    <x v="0"/>
    <x v="9"/>
    <d v="2013-02-03T00:00:00"/>
    <n v="4"/>
    <x v="1"/>
    <s v="David Flashing"/>
    <x v="0"/>
    <m/>
    <s v="Rockford"/>
    <s v="Illinois"/>
    <s v="Central"/>
    <x v="2"/>
    <x v="7"/>
    <s v="Nokia Lumia 1020"/>
    <x v="4188"/>
    <n v="4"/>
    <n v="0.2"/>
    <n v="143.99680000000001"/>
  </r>
  <r>
    <n v="8926"/>
    <x v="806"/>
    <x v="0"/>
    <x v="9"/>
    <d v="2013-02-03T00:00:00"/>
    <n v="4"/>
    <x v="1"/>
    <s v="David Flashing"/>
    <x v="0"/>
    <m/>
    <s v="Rockford"/>
    <s v="Illinois"/>
    <s v="Central"/>
    <x v="1"/>
    <x v="8"/>
    <s v="Avery Durable Binders"/>
    <x v="1089"/>
    <n v="3"/>
    <n v="0.8"/>
    <n v="-2.6783999999999999"/>
  </r>
  <r>
    <n v="8927"/>
    <x v="806"/>
    <x v="0"/>
    <x v="9"/>
    <d v="2013-02-03T00:00:00"/>
    <n v="4"/>
    <x v="1"/>
    <s v="David Flashing"/>
    <x v="0"/>
    <m/>
    <s v="Rockford"/>
    <s v="Illinois"/>
    <s v="Central"/>
    <x v="0"/>
    <x v="3"/>
    <s v="Bretford “Just In Time” Height-Adjustable Multi-Task Work Tables"/>
    <x v="5398"/>
    <n v="3"/>
    <n v="0.5"/>
    <n v="-538.44600000000003"/>
  </r>
  <r>
    <n v="8928"/>
    <x v="874"/>
    <x v="1"/>
    <x v="8"/>
    <d v="2012-09-29T00:00:00"/>
    <n v="2"/>
    <x v="0"/>
    <s v="Saphhira Shifley"/>
    <x v="1"/>
    <m/>
    <s v="Seattle"/>
    <s v="Washington"/>
    <s v="West"/>
    <x v="1"/>
    <x v="6"/>
    <s v="Newell 334"/>
    <x v="1593"/>
    <n v="5"/>
    <n v="0"/>
    <n v="25.792000000000002"/>
  </r>
  <r>
    <n v="8929"/>
    <x v="657"/>
    <x v="1"/>
    <x v="3"/>
    <d v="2012-04-17T00:00:00"/>
    <n v="4"/>
    <x v="1"/>
    <s v="Frank Preis"/>
    <x v="0"/>
    <m/>
    <s v="Huntsville"/>
    <s v="Texas"/>
    <s v="Central"/>
    <x v="0"/>
    <x v="3"/>
    <s v="Chromcraft Bull-Nose Wood Round Conference Table Top, Wood Base"/>
    <x v="4788"/>
    <n v="4"/>
    <n v="0.3"/>
    <n v="-113.282"/>
  </r>
  <r>
    <n v="8930"/>
    <x v="657"/>
    <x v="1"/>
    <x v="3"/>
    <d v="2012-04-17T00:00:00"/>
    <n v="4"/>
    <x v="1"/>
    <s v="Frank Preis"/>
    <x v="0"/>
    <m/>
    <s v="Huntsville"/>
    <s v="Texas"/>
    <s v="Central"/>
    <x v="0"/>
    <x v="3"/>
    <s v="Iceberg OfficeWorks 42&quot; Round Tables"/>
    <x v="5399"/>
    <n v="2"/>
    <n v="0.3"/>
    <n v="-45.293999999999997"/>
  </r>
  <r>
    <n v="8931"/>
    <x v="657"/>
    <x v="1"/>
    <x v="3"/>
    <d v="2012-04-17T00:00:00"/>
    <n v="4"/>
    <x v="1"/>
    <s v="Frank Preis"/>
    <x v="0"/>
    <m/>
    <s v="Huntsville"/>
    <s v="Texas"/>
    <s v="Central"/>
    <x v="2"/>
    <x v="7"/>
    <s v="Apple iPhone 5C"/>
    <x v="1946"/>
    <n v="3"/>
    <n v="0.2"/>
    <n v="17.998200000000001"/>
  </r>
  <r>
    <n v="8932"/>
    <x v="404"/>
    <x v="3"/>
    <x v="4"/>
    <d v="2014-12-25T00:00:00"/>
    <n v="6"/>
    <x v="1"/>
    <s v="Harold Engle"/>
    <x v="1"/>
    <m/>
    <s v="Milwaukee"/>
    <s v="Wisconsin"/>
    <s v="Central"/>
    <x v="0"/>
    <x v="5"/>
    <s v="Tensor Track Tree Floor Lamp"/>
    <x v="5400"/>
    <n v="5"/>
    <n v="0"/>
    <n v="22.988499999999998"/>
  </r>
  <r>
    <n v="8933"/>
    <x v="404"/>
    <x v="3"/>
    <x v="4"/>
    <d v="2014-12-25T00:00:00"/>
    <n v="6"/>
    <x v="1"/>
    <s v="Harold Engle"/>
    <x v="1"/>
    <m/>
    <s v="Milwaukee"/>
    <s v="Wisconsin"/>
    <s v="Central"/>
    <x v="2"/>
    <x v="11"/>
    <s v="Maxell 74 Minute CDR, 10/Pack"/>
    <x v="1599"/>
    <n v="3"/>
    <n v="0"/>
    <n v="10.8558"/>
  </r>
  <r>
    <n v="8934"/>
    <x v="560"/>
    <x v="0"/>
    <x v="10"/>
    <d v="2013-03-20T00:00:00"/>
    <n v="5"/>
    <x v="1"/>
    <s v="Sibella Parks"/>
    <x v="1"/>
    <m/>
    <s v="Green Bay"/>
    <s v="Wisconsin"/>
    <s v="Central"/>
    <x v="0"/>
    <x v="5"/>
    <s v="Westinghouse Clip-On Gooseneck Lamps"/>
    <x v="80"/>
    <n v="2"/>
    <n v="0"/>
    <n v="4.3524000000000003"/>
  </r>
  <r>
    <n v="8935"/>
    <x v="151"/>
    <x v="3"/>
    <x v="6"/>
    <d v="2014-08-28T00:00:00"/>
    <n v="0"/>
    <x v="3"/>
    <s v="Ben Peterman"/>
    <x v="1"/>
    <m/>
    <s v="Philadelphia"/>
    <s v="Pennsylvania"/>
    <s v="East"/>
    <x v="1"/>
    <x v="10"/>
    <s v="Xerox 1981"/>
    <x v="2485"/>
    <n v="3"/>
    <n v="0.2"/>
    <n v="3.96"/>
  </r>
  <r>
    <n v="8936"/>
    <x v="151"/>
    <x v="3"/>
    <x v="6"/>
    <d v="2014-08-28T00:00:00"/>
    <n v="0"/>
    <x v="3"/>
    <s v="Ben Peterman"/>
    <x v="1"/>
    <m/>
    <s v="Philadelphia"/>
    <s v="Pennsylvania"/>
    <s v="East"/>
    <x v="2"/>
    <x v="11"/>
    <s v="Logitech Wireless Headset h800"/>
    <x v="5401"/>
    <n v="14"/>
    <n v="0.2"/>
    <n v="209.97900000000001"/>
  </r>
  <r>
    <n v="8937"/>
    <x v="997"/>
    <x v="1"/>
    <x v="4"/>
    <d v="2012-12-19T00:00:00"/>
    <n v="2"/>
    <x v="0"/>
    <s v="Paul Gonzalez"/>
    <x v="0"/>
    <m/>
    <s v="Los Angeles"/>
    <s v="California"/>
    <s v="West"/>
    <x v="1"/>
    <x v="6"/>
    <s v="Sanford 52201 APSCO Electric Pencil Sharpener"/>
    <x v="3054"/>
    <n v="5"/>
    <n v="0"/>
    <n v="53.261000000000003"/>
  </r>
  <r>
    <n v="8938"/>
    <x v="997"/>
    <x v="1"/>
    <x v="4"/>
    <d v="2012-12-19T00:00:00"/>
    <n v="2"/>
    <x v="0"/>
    <s v="Paul Gonzalez"/>
    <x v="0"/>
    <m/>
    <s v="Los Angeles"/>
    <s v="California"/>
    <s v="West"/>
    <x v="2"/>
    <x v="7"/>
    <s v="Panasonic KX TS3282W Corded phone"/>
    <x v="5402"/>
    <n v="2"/>
    <n v="0.2"/>
    <n v="16.998000000000001"/>
  </r>
  <r>
    <n v="8939"/>
    <x v="997"/>
    <x v="1"/>
    <x v="4"/>
    <d v="2012-12-19T00:00:00"/>
    <n v="2"/>
    <x v="0"/>
    <s v="Paul Gonzalez"/>
    <x v="0"/>
    <m/>
    <s v="Los Angeles"/>
    <s v="California"/>
    <s v="West"/>
    <x v="1"/>
    <x v="6"/>
    <s v="Sanford Colorific Eraseable Coloring Pencils, 12 Count"/>
    <x v="1220"/>
    <n v="5"/>
    <n v="0"/>
    <n v="7.0519999999999996"/>
  </r>
  <r>
    <n v="8940"/>
    <x v="997"/>
    <x v="1"/>
    <x v="4"/>
    <d v="2012-12-19T00:00:00"/>
    <n v="2"/>
    <x v="0"/>
    <s v="Paul Gonzalez"/>
    <x v="0"/>
    <m/>
    <s v="Los Angeles"/>
    <s v="California"/>
    <s v="West"/>
    <x v="1"/>
    <x v="8"/>
    <s v="Avery Arch Ring Binders"/>
    <x v="5403"/>
    <n v="2"/>
    <n v="0.2"/>
    <n v="31.373999999999999"/>
  </r>
  <r>
    <n v="8941"/>
    <x v="963"/>
    <x v="2"/>
    <x v="6"/>
    <d v="2011-08-24T00:00:00"/>
    <n v="2"/>
    <x v="0"/>
    <s v="Jeremy Pistek"/>
    <x v="0"/>
    <m/>
    <s v="North Miami"/>
    <s v="Florida"/>
    <s v="South"/>
    <x v="1"/>
    <x v="14"/>
    <s v="Acme Serrated Blade Letter Opener"/>
    <x v="5404"/>
    <n v="3"/>
    <n v="0.2"/>
    <n v="-1.8126"/>
  </r>
  <r>
    <n v="8942"/>
    <x v="54"/>
    <x v="0"/>
    <x v="0"/>
    <d v="2013-11-06T00:00:00"/>
    <n v="2"/>
    <x v="2"/>
    <s v="Natalie Webber"/>
    <x v="0"/>
    <m/>
    <s v="Portland"/>
    <s v="Oregon"/>
    <s v="West"/>
    <x v="1"/>
    <x v="8"/>
    <s v="Avery Reinforcements for Hole-Punch Pages"/>
    <x v="4707"/>
    <n v="7"/>
    <n v="0.7"/>
    <n v="-3.4649999999999999"/>
  </r>
  <r>
    <n v="8943"/>
    <x v="54"/>
    <x v="0"/>
    <x v="0"/>
    <d v="2013-11-06T00:00:00"/>
    <n v="2"/>
    <x v="2"/>
    <s v="Natalie Webber"/>
    <x v="0"/>
    <m/>
    <s v="Portland"/>
    <s v="Oregon"/>
    <s v="West"/>
    <x v="2"/>
    <x v="15"/>
    <s v="Okidata B401 Printer"/>
    <x v="5405"/>
    <n v="3"/>
    <n v="0.7"/>
    <n v="-251.98740000000001"/>
  </r>
  <r>
    <n v="8944"/>
    <x v="1209"/>
    <x v="3"/>
    <x v="2"/>
    <d v="2014-10-17T00:00:00"/>
    <n v="6"/>
    <x v="1"/>
    <s v="Scot Wooten"/>
    <x v="0"/>
    <m/>
    <s v="Aurora"/>
    <s v="Illinois"/>
    <s v="Central"/>
    <x v="0"/>
    <x v="1"/>
    <s v="Hon Comfortask Task/Swivel Chairs"/>
    <x v="5406"/>
    <n v="3"/>
    <n v="0.3"/>
    <n v="-47.871600000000001"/>
  </r>
  <r>
    <n v="8945"/>
    <x v="1035"/>
    <x v="2"/>
    <x v="4"/>
    <d v="2011-12-08T00:00:00"/>
    <n v="1"/>
    <x v="2"/>
    <s v="Erica Hernandez"/>
    <x v="2"/>
    <m/>
    <s v="San Francisco"/>
    <s v="California"/>
    <s v="West"/>
    <x v="1"/>
    <x v="10"/>
    <s v="Green Bar Computer Printout Paper"/>
    <x v="2169"/>
    <n v="3"/>
    <n v="0"/>
    <n v="80.791200000000003"/>
  </r>
  <r>
    <n v="8946"/>
    <x v="647"/>
    <x v="2"/>
    <x v="0"/>
    <d v="2011-11-17T00:00:00"/>
    <n v="2"/>
    <x v="0"/>
    <s v="Scott Cohen"/>
    <x v="1"/>
    <m/>
    <s v="San Francisco"/>
    <s v="California"/>
    <s v="West"/>
    <x v="1"/>
    <x v="14"/>
    <s v="Acme Value Line Scissors"/>
    <x v="1023"/>
    <n v="3"/>
    <n v="0"/>
    <n v="3.2850000000000001"/>
  </r>
  <r>
    <n v="8947"/>
    <x v="165"/>
    <x v="3"/>
    <x v="4"/>
    <d v="2014-12-29T00:00:00"/>
    <n v="4"/>
    <x v="1"/>
    <s v="Nick Crebassa"/>
    <x v="1"/>
    <m/>
    <s v="New Bedford"/>
    <s v="Massachusetts"/>
    <s v="East"/>
    <x v="1"/>
    <x v="10"/>
    <s v="Xerox 214"/>
    <x v="537"/>
    <n v="3"/>
    <n v="0"/>
    <n v="9.3312000000000008"/>
  </r>
  <r>
    <n v="8948"/>
    <x v="165"/>
    <x v="3"/>
    <x v="4"/>
    <d v="2014-12-29T00:00:00"/>
    <n v="4"/>
    <x v="1"/>
    <s v="Nick Crebassa"/>
    <x v="1"/>
    <m/>
    <s v="New Bedford"/>
    <s v="Massachusetts"/>
    <s v="East"/>
    <x v="1"/>
    <x v="8"/>
    <s v="Avery Triangle Shaped Sheet Lifters, Black, 2/Pack"/>
    <x v="5407"/>
    <n v="5"/>
    <n v="0"/>
    <n v="6.15"/>
  </r>
  <r>
    <n v="8949"/>
    <x v="163"/>
    <x v="2"/>
    <x v="4"/>
    <d v="2011-12-26T00:00:00"/>
    <n v="2"/>
    <x v="2"/>
    <s v="Adam Shillingsburg"/>
    <x v="0"/>
    <m/>
    <s v="San Diego"/>
    <s v="California"/>
    <s v="West"/>
    <x v="1"/>
    <x v="9"/>
    <s v="Belkin 7-Outlet SurgeMaster Home Series"/>
    <x v="5408"/>
    <n v="1"/>
    <n v="0"/>
    <n v="3.6322000000000001"/>
  </r>
  <r>
    <n v="8950"/>
    <x v="66"/>
    <x v="3"/>
    <x v="4"/>
    <d v="2014-12-29T00:00:00"/>
    <n v="6"/>
    <x v="1"/>
    <s v="Jack Lebron"/>
    <x v="0"/>
    <m/>
    <s v="Jackson"/>
    <s v="Tennessee"/>
    <s v="South"/>
    <x v="0"/>
    <x v="3"/>
    <s v="Bevis Round Bullnose 29&quot; High Table Top"/>
    <x v="5409"/>
    <n v="6"/>
    <n v="0.4"/>
    <n v="-249.32159999999999"/>
  </r>
  <r>
    <n v="8951"/>
    <x v="66"/>
    <x v="3"/>
    <x v="4"/>
    <d v="2014-12-29T00:00:00"/>
    <n v="6"/>
    <x v="1"/>
    <s v="Jack Lebron"/>
    <x v="0"/>
    <m/>
    <s v="Jackson"/>
    <s v="Tennessee"/>
    <s v="South"/>
    <x v="2"/>
    <x v="11"/>
    <s v="Logitech ClearChat Comfort/USB Headset H390"/>
    <x v="1502"/>
    <n v="2"/>
    <n v="0.2"/>
    <n v="7.6154000000000002"/>
  </r>
  <r>
    <n v="8952"/>
    <x v="66"/>
    <x v="3"/>
    <x v="4"/>
    <d v="2014-12-29T00:00:00"/>
    <n v="6"/>
    <x v="1"/>
    <s v="Jack Lebron"/>
    <x v="0"/>
    <m/>
    <s v="Jackson"/>
    <s v="Tennessee"/>
    <s v="South"/>
    <x v="1"/>
    <x v="4"/>
    <s v="Crate-A-Files"/>
    <x v="4165"/>
    <n v="3"/>
    <n v="0.2"/>
    <n v="1.962"/>
  </r>
  <r>
    <n v="8953"/>
    <x v="66"/>
    <x v="3"/>
    <x v="4"/>
    <d v="2014-12-29T00:00:00"/>
    <n v="6"/>
    <x v="1"/>
    <s v="Jack Lebron"/>
    <x v="0"/>
    <m/>
    <s v="Jackson"/>
    <s v="Tennessee"/>
    <s v="South"/>
    <x v="1"/>
    <x v="6"/>
    <s v="Newell 325"/>
    <x v="5410"/>
    <n v="7"/>
    <n v="0.2"/>
    <n v="2.891"/>
  </r>
  <r>
    <n v="8954"/>
    <x v="66"/>
    <x v="3"/>
    <x v="4"/>
    <d v="2014-12-29T00:00:00"/>
    <n v="6"/>
    <x v="1"/>
    <s v="Jack Lebron"/>
    <x v="0"/>
    <m/>
    <s v="Jackson"/>
    <s v="Tennessee"/>
    <s v="South"/>
    <x v="1"/>
    <x v="9"/>
    <s v="Holmes Replacement Filter for HEPA Air Cleaner, Large Room"/>
    <x v="5411"/>
    <n v="5"/>
    <n v="0.2"/>
    <n v="16.291"/>
  </r>
  <r>
    <n v="8955"/>
    <x v="233"/>
    <x v="2"/>
    <x v="6"/>
    <d v="2011-08-10T00:00:00"/>
    <n v="2"/>
    <x v="0"/>
    <s v="Vivek Gonzalez"/>
    <x v="0"/>
    <m/>
    <s v="Jacksonville"/>
    <s v="Florida"/>
    <s v="South"/>
    <x v="0"/>
    <x v="0"/>
    <s v="O'Sullivan 2-Shelf Heavy-Duty Bookcases"/>
    <x v="5412"/>
    <n v="4"/>
    <n v="0.2"/>
    <n v="-7.7728000000000002"/>
  </r>
  <r>
    <n v="8956"/>
    <x v="59"/>
    <x v="2"/>
    <x v="8"/>
    <d v="2011-09-24T00:00:00"/>
    <n v="4"/>
    <x v="1"/>
    <s v="Henry Goldwyn"/>
    <x v="1"/>
    <m/>
    <s v="San Diego"/>
    <s v="California"/>
    <s v="West"/>
    <x v="1"/>
    <x v="10"/>
    <s v="Xerox 1900"/>
    <x v="18"/>
    <n v="2"/>
    <n v="0"/>
    <n v="3.8519999999999999"/>
  </r>
  <r>
    <n v="8957"/>
    <x v="53"/>
    <x v="3"/>
    <x v="4"/>
    <d v="2014-12-29T00:00:00"/>
    <n v="3"/>
    <x v="2"/>
    <s v="Jennifer Halladay"/>
    <x v="0"/>
    <m/>
    <s v="Hialeah"/>
    <s v="Florida"/>
    <s v="South"/>
    <x v="0"/>
    <x v="5"/>
    <s v="Eldon 400 Class Desk Accessories, Black Carbon"/>
    <x v="5413"/>
    <n v="3"/>
    <n v="0.2"/>
    <n v="5.7750000000000004"/>
  </r>
  <r>
    <n v="8958"/>
    <x v="53"/>
    <x v="3"/>
    <x v="4"/>
    <d v="2014-12-29T00:00:00"/>
    <n v="3"/>
    <x v="2"/>
    <s v="Jennifer Halladay"/>
    <x v="0"/>
    <m/>
    <s v="Hialeah"/>
    <s v="Florida"/>
    <s v="South"/>
    <x v="2"/>
    <x v="15"/>
    <s v="Lexmark 20R1285 X6650 Wireless All-in-One Printer"/>
    <x v="5028"/>
    <n v="2"/>
    <n v="0.5"/>
    <n v="-7.2"/>
  </r>
  <r>
    <n v="8959"/>
    <x v="920"/>
    <x v="3"/>
    <x v="0"/>
    <d v="2014-12-01T00:00:00"/>
    <n v="5"/>
    <x v="1"/>
    <s v="Rose O'Brian"/>
    <x v="0"/>
    <m/>
    <s v="Houston"/>
    <s v="Texas"/>
    <s v="Central"/>
    <x v="2"/>
    <x v="7"/>
    <s v="Blue Parrot B250XT Professional Grade Wireless Bluetooth Headset with"/>
    <x v="5414"/>
    <n v="5"/>
    <n v="0.2"/>
    <n v="37.494999999999997"/>
  </r>
  <r>
    <n v="8960"/>
    <x v="920"/>
    <x v="3"/>
    <x v="0"/>
    <d v="2014-12-01T00:00:00"/>
    <n v="5"/>
    <x v="1"/>
    <s v="Rose O'Brian"/>
    <x v="0"/>
    <m/>
    <s v="Houston"/>
    <s v="Texas"/>
    <s v="Central"/>
    <x v="1"/>
    <x v="9"/>
    <s v="Fellowes Command Center 5-outlet power strip"/>
    <x v="3561"/>
    <n v="5"/>
    <n v="0.8"/>
    <n v="-179.77600000000001"/>
  </r>
  <r>
    <n v="8961"/>
    <x v="920"/>
    <x v="3"/>
    <x v="0"/>
    <d v="2014-12-01T00:00:00"/>
    <n v="5"/>
    <x v="1"/>
    <s v="Rose O'Brian"/>
    <x v="0"/>
    <m/>
    <s v="Houston"/>
    <s v="Texas"/>
    <s v="Central"/>
    <x v="0"/>
    <x v="1"/>
    <s v="Hon Deluxe Fabric Upholstered Stacking Chairs"/>
    <x v="3042"/>
    <n v="5"/>
    <n v="0.3"/>
    <n v="-24.398"/>
  </r>
  <r>
    <n v="8962"/>
    <x v="920"/>
    <x v="3"/>
    <x v="0"/>
    <d v="2014-12-01T00:00:00"/>
    <n v="5"/>
    <x v="1"/>
    <s v="Rose O'Brian"/>
    <x v="0"/>
    <m/>
    <s v="Houston"/>
    <s v="Texas"/>
    <s v="Central"/>
    <x v="1"/>
    <x v="6"/>
    <s v="Avery Hi-Liter Smear-Safe Highlighters"/>
    <x v="3917"/>
    <n v="4"/>
    <n v="0.2"/>
    <n v="3.7376"/>
  </r>
  <r>
    <n v="8963"/>
    <x v="732"/>
    <x v="0"/>
    <x v="0"/>
    <d v="2013-11-08T00:00:00"/>
    <n v="2"/>
    <x v="2"/>
    <s v="Liz Willingham"/>
    <x v="0"/>
    <m/>
    <s v="Virginia Beach"/>
    <s v="Virginia"/>
    <s v="South"/>
    <x v="0"/>
    <x v="5"/>
    <s v="3M Polarizing Task Lamp with Clamp Arm, Light Gray"/>
    <x v="2887"/>
    <n v="2"/>
    <n v="0"/>
    <n v="71.229600000000005"/>
  </r>
  <r>
    <n v="8964"/>
    <x v="732"/>
    <x v="0"/>
    <x v="0"/>
    <d v="2013-11-08T00:00:00"/>
    <n v="2"/>
    <x v="2"/>
    <s v="Liz Willingham"/>
    <x v="0"/>
    <m/>
    <s v="Virginia Beach"/>
    <s v="Virginia"/>
    <s v="South"/>
    <x v="2"/>
    <x v="11"/>
    <s v="Microsoft Natural Ergonomic Keyboard 4000"/>
    <x v="1309"/>
    <n v="3"/>
    <n v="0"/>
    <n v="18.893699999999999"/>
  </r>
  <r>
    <n v="8965"/>
    <x v="732"/>
    <x v="0"/>
    <x v="0"/>
    <d v="2013-11-08T00:00:00"/>
    <n v="2"/>
    <x v="2"/>
    <s v="Liz Willingham"/>
    <x v="0"/>
    <m/>
    <s v="Virginia Beach"/>
    <s v="Virginia"/>
    <s v="South"/>
    <x v="0"/>
    <x v="5"/>
    <s v="Tenex Chairmat w/ Average Lip, 45&quot; x 53&quot;"/>
    <x v="4653"/>
    <n v="5"/>
    <n v="0"/>
    <n v="75.680000000000007"/>
  </r>
  <r>
    <n v="8966"/>
    <x v="44"/>
    <x v="3"/>
    <x v="0"/>
    <d v="2014-11-13T00:00:00"/>
    <n v="6"/>
    <x v="1"/>
    <s v="Christopher Conant"/>
    <x v="0"/>
    <m/>
    <s v="Houston"/>
    <s v="Texas"/>
    <s v="Central"/>
    <x v="1"/>
    <x v="8"/>
    <s v="Zipper Ring Binder Pockets"/>
    <x v="75"/>
    <n v="2"/>
    <n v="0.8"/>
    <n v="-1.9343999999999999"/>
  </r>
  <r>
    <n v="8967"/>
    <x v="54"/>
    <x v="0"/>
    <x v="0"/>
    <d v="2013-11-08T00:00:00"/>
    <n v="4"/>
    <x v="1"/>
    <s v="Julie Prescott"/>
    <x v="2"/>
    <m/>
    <s v="Philadelphia"/>
    <s v="Pennsylvania"/>
    <s v="East"/>
    <x v="2"/>
    <x v="11"/>
    <s v="NETGEAR N750 Dual Band Wi-Fi Gigabit Router"/>
    <x v="2709"/>
    <n v="1"/>
    <n v="0.2"/>
    <n v="14.4"/>
  </r>
  <r>
    <n v="8968"/>
    <x v="54"/>
    <x v="0"/>
    <x v="0"/>
    <d v="2013-11-08T00:00:00"/>
    <n v="4"/>
    <x v="1"/>
    <s v="Julie Prescott"/>
    <x v="2"/>
    <m/>
    <s v="Philadelphia"/>
    <s v="Pennsylvania"/>
    <s v="East"/>
    <x v="0"/>
    <x v="1"/>
    <s v="Bevis Steel Folding Chairs"/>
    <x v="5415"/>
    <n v="7"/>
    <n v="0.3"/>
    <n v="-13.433"/>
  </r>
  <r>
    <n v="8969"/>
    <x v="125"/>
    <x v="2"/>
    <x v="4"/>
    <d v="2012-01-01T00:00:00"/>
    <n v="2"/>
    <x v="2"/>
    <s v="Dorothy Dickinson"/>
    <x v="0"/>
    <m/>
    <s v="Memphis"/>
    <s v="Tennessee"/>
    <s v="South"/>
    <x v="1"/>
    <x v="4"/>
    <s v="Tennsco Industrial Shelving"/>
    <x v="5416"/>
    <n v="1"/>
    <n v="0.2"/>
    <n v="-8.8038000000000007"/>
  </r>
  <r>
    <n v="8970"/>
    <x v="574"/>
    <x v="3"/>
    <x v="4"/>
    <d v="2014-12-08T00:00:00"/>
    <n v="5"/>
    <x v="1"/>
    <s v="Erin Smith"/>
    <x v="1"/>
    <m/>
    <s v="Lakewood"/>
    <s v="Ohio"/>
    <s v="East"/>
    <x v="1"/>
    <x v="6"/>
    <s v="Rogers Handheld Barrel Pencil Sharpener"/>
    <x v="5417"/>
    <n v="9"/>
    <n v="0.2"/>
    <n v="1.7262"/>
  </r>
  <r>
    <n v="8971"/>
    <x v="574"/>
    <x v="3"/>
    <x v="4"/>
    <d v="2014-12-08T00:00:00"/>
    <n v="5"/>
    <x v="1"/>
    <s v="Erin Smith"/>
    <x v="1"/>
    <m/>
    <s v="Lakewood"/>
    <s v="Ohio"/>
    <s v="East"/>
    <x v="2"/>
    <x v="7"/>
    <s v="AT&amp;T CL2909"/>
    <x v="5418"/>
    <n v="2"/>
    <n v="0.4"/>
    <n v="-25.198"/>
  </r>
  <r>
    <n v="8972"/>
    <x v="668"/>
    <x v="3"/>
    <x v="10"/>
    <d v="2014-03-29T00:00:00"/>
    <n v="4"/>
    <x v="1"/>
    <s v="Mark Van Huff"/>
    <x v="0"/>
    <m/>
    <s v="New York City"/>
    <s v="New York"/>
    <s v="East"/>
    <x v="0"/>
    <x v="1"/>
    <s v="Global Airflow Leather Mesh Back Chair, Black"/>
    <x v="2598"/>
    <n v="2"/>
    <n v="0.1"/>
    <n v="60.392000000000003"/>
  </r>
  <r>
    <n v="8973"/>
    <x v="84"/>
    <x v="2"/>
    <x v="0"/>
    <d v="2011-11-21T00:00:00"/>
    <n v="2"/>
    <x v="2"/>
    <s v="Ruben Dartt"/>
    <x v="0"/>
    <m/>
    <s v="Philadelphia"/>
    <s v="Pennsylvania"/>
    <s v="East"/>
    <x v="2"/>
    <x v="11"/>
    <s v="Logitech G105 Gaming Keyboard"/>
    <x v="5419"/>
    <n v="1"/>
    <n v="0.2"/>
    <n v="-1.1874"/>
  </r>
  <r>
    <n v="8974"/>
    <x v="1016"/>
    <x v="3"/>
    <x v="3"/>
    <d v="2014-04-28T00:00:00"/>
    <n v="2"/>
    <x v="0"/>
    <s v="Rob Lucas"/>
    <x v="0"/>
    <m/>
    <s v="Los Angeles"/>
    <s v="California"/>
    <s v="West"/>
    <x v="0"/>
    <x v="0"/>
    <s v="Bush Westfield Collection Bookcases, Medium Cherry Finish"/>
    <x v="5420"/>
    <n v="7"/>
    <n v="0.15"/>
    <n v="28.4102"/>
  </r>
  <r>
    <n v="8975"/>
    <x v="51"/>
    <x v="3"/>
    <x v="0"/>
    <d v="2014-11-27T00:00:00"/>
    <n v="3"/>
    <x v="2"/>
    <s v="Jennifer Patt"/>
    <x v="1"/>
    <m/>
    <s v="Dallas"/>
    <s v="Texas"/>
    <s v="Central"/>
    <x v="1"/>
    <x v="10"/>
    <s v="Xerox 22"/>
    <x v="1566"/>
    <n v="7"/>
    <n v="0.2"/>
    <n v="12.700799999999999"/>
  </r>
  <r>
    <n v="8976"/>
    <x v="51"/>
    <x v="3"/>
    <x v="0"/>
    <d v="2014-11-27T00:00:00"/>
    <n v="3"/>
    <x v="2"/>
    <s v="Jennifer Patt"/>
    <x v="1"/>
    <m/>
    <s v="Dallas"/>
    <s v="Texas"/>
    <s v="Central"/>
    <x v="1"/>
    <x v="10"/>
    <s v="Xerox 1942"/>
    <x v="128"/>
    <n v="2"/>
    <n v="0.2"/>
    <n v="29.364000000000001"/>
  </r>
  <r>
    <n v="8977"/>
    <x v="51"/>
    <x v="3"/>
    <x v="0"/>
    <d v="2014-11-27T00:00:00"/>
    <n v="3"/>
    <x v="2"/>
    <s v="Jennifer Patt"/>
    <x v="1"/>
    <m/>
    <s v="Dallas"/>
    <s v="Texas"/>
    <s v="Central"/>
    <x v="0"/>
    <x v="3"/>
    <s v="Lesro Round Back Collection Coffee Table, End Table"/>
    <x v="5421"/>
    <n v="1"/>
    <n v="0.3"/>
    <n v="-31.0335"/>
  </r>
  <r>
    <n v="8978"/>
    <x v="51"/>
    <x v="3"/>
    <x v="0"/>
    <d v="2014-11-27T00:00:00"/>
    <n v="3"/>
    <x v="2"/>
    <s v="Jennifer Patt"/>
    <x v="1"/>
    <m/>
    <s v="Dallas"/>
    <s v="Texas"/>
    <s v="Central"/>
    <x v="1"/>
    <x v="8"/>
    <s v="Aluminum Screw Posts"/>
    <x v="5422"/>
    <n v="2"/>
    <n v="0.8"/>
    <n v="-9.1560000000000006"/>
  </r>
  <r>
    <n v="8979"/>
    <x v="935"/>
    <x v="2"/>
    <x v="0"/>
    <d v="2011-11-05T00:00:00"/>
    <n v="2"/>
    <x v="0"/>
    <s v="Denise Monton"/>
    <x v="1"/>
    <m/>
    <s v="Orange"/>
    <s v="New Jersey"/>
    <s v="East"/>
    <x v="1"/>
    <x v="8"/>
    <s v="Avery Durable Binders"/>
    <x v="1755"/>
    <n v="2"/>
    <n v="0"/>
    <n v="2.8224"/>
  </r>
  <r>
    <n v="8980"/>
    <x v="324"/>
    <x v="1"/>
    <x v="2"/>
    <d v="2012-10-24T00:00:00"/>
    <n v="5"/>
    <x v="0"/>
    <s v="Cari Schnelling"/>
    <x v="0"/>
    <m/>
    <s v="Dallas"/>
    <s v="Texas"/>
    <s v="Central"/>
    <x v="1"/>
    <x v="8"/>
    <s v="Avery Printable Repositionable Plastic Tabs"/>
    <x v="5423"/>
    <n v="1"/>
    <n v="0.8"/>
    <n v="-2.8380000000000001"/>
  </r>
  <r>
    <n v="8981"/>
    <x v="644"/>
    <x v="2"/>
    <x v="11"/>
    <d v="2011-02-11T00:00:00"/>
    <n v="4"/>
    <x v="0"/>
    <s v="Delfina Latchford"/>
    <x v="0"/>
    <m/>
    <s v="Romeoville"/>
    <s v="Illinois"/>
    <s v="Central"/>
    <x v="1"/>
    <x v="8"/>
    <s v="Avery Flip-Chart Easel Binder, Black"/>
    <x v="4808"/>
    <n v="2"/>
    <n v="0.8"/>
    <n v="-14.770799999999999"/>
  </r>
  <r>
    <n v="8982"/>
    <x v="1193"/>
    <x v="0"/>
    <x v="10"/>
    <d v="2013-03-13T00:00:00"/>
    <n v="6"/>
    <x v="1"/>
    <s v="Lena Cacioppo"/>
    <x v="0"/>
    <m/>
    <s v="Chicago"/>
    <s v="Illinois"/>
    <s v="Central"/>
    <x v="1"/>
    <x v="9"/>
    <s v="Commercial WindTunnel Clean Air Upright Vacuum, Replacement Belts, Filtration Bags"/>
    <x v="5424"/>
    <n v="3"/>
    <n v="0.8"/>
    <n v="-6.3018000000000001"/>
  </r>
  <r>
    <n v="8983"/>
    <x v="1193"/>
    <x v="0"/>
    <x v="10"/>
    <d v="2013-03-13T00:00:00"/>
    <n v="6"/>
    <x v="1"/>
    <s v="Lena Cacioppo"/>
    <x v="0"/>
    <m/>
    <s v="Chicago"/>
    <s v="Illinois"/>
    <s v="Central"/>
    <x v="1"/>
    <x v="8"/>
    <s v="Peel &amp; Stick Add-On Corner Pockets"/>
    <x v="1089"/>
    <n v="4"/>
    <n v="0.8"/>
    <n v="-2.7648000000000001"/>
  </r>
  <r>
    <n v="8984"/>
    <x v="1193"/>
    <x v="0"/>
    <x v="10"/>
    <d v="2013-03-13T00:00:00"/>
    <n v="6"/>
    <x v="1"/>
    <s v="Lena Cacioppo"/>
    <x v="0"/>
    <m/>
    <s v="Chicago"/>
    <s v="Illinois"/>
    <s v="Central"/>
    <x v="0"/>
    <x v="5"/>
    <s v="Eldon Cleatmat Plus Chair Mats for High Pile Carpets"/>
    <x v="5425"/>
    <n v="5"/>
    <n v="0.6"/>
    <n v="-194.82400000000001"/>
  </r>
  <r>
    <n v="8985"/>
    <x v="1193"/>
    <x v="0"/>
    <x v="10"/>
    <d v="2013-03-13T00:00:00"/>
    <n v="6"/>
    <x v="1"/>
    <s v="Lena Cacioppo"/>
    <x v="0"/>
    <m/>
    <s v="Chicago"/>
    <s v="Illinois"/>
    <s v="Central"/>
    <x v="0"/>
    <x v="3"/>
    <s v="Bevis Rectangular Conference Tables"/>
    <x v="2010"/>
    <n v="2"/>
    <n v="0.5"/>
    <n v="-99.266400000000004"/>
  </r>
  <r>
    <n v="8986"/>
    <x v="155"/>
    <x v="1"/>
    <x v="4"/>
    <d v="2012-12-07T00:00:00"/>
    <n v="4"/>
    <x v="1"/>
    <s v="Jack Garza"/>
    <x v="0"/>
    <m/>
    <s v="Jacksonville"/>
    <s v="North Carolina"/>
    <s v="South"/>
    <x v="0"/>
    <x v="5"/>
    <s v="Seth Thomas 16&quot; Steel Case Clock"/>
    <x v="2486"/>
    <n v="3"/>
    <n v="0.2"/>
    <n v="12.667199999999999"/>
  </r>
  <r>
    <n v="8987"/>
    <x v="155"/>
    <x v="1"/>
    <x v="4"/>
    <d v="2012-12-07T00:00:00"/>
    <n v="4"/>
    <x v="1"/>
    <s v="Jack Garza"/>
    <x v="0"/>
    <m/>
    <s v="Jacksonville"/>
    <s v="North Carolina"/>
    <s v="South"/>
    <x v="1"/>
    <x v="8"/>
    <s v="GBC DocuBind P50 Personal Binding Machine"/>
    <x v="5426"/>
    <n v="5"/>
    <n v="0.7"/>
    <n v="-73.576999999999998"/>
  </r>
  <r>
    <n v="8988"/>
    <x v="155"/>
    <x v="1"/>
    <x v="4"/>
    <d v="2012-12-07T00:00:00"/>
    <n v="4"/>
    <x v="1"/>
    <s v="Jack Garza"/>
    <x v="0"/>
    <m/>
    <s v="Jacksonville"/>
    <s v="North Carolina"/>
    <s v="South"/>
    <x v="2"/>
    <x v="7"/>
    <s v="Panasonic KX-TG6844B Expandable Digital Cordless Telephone"/>
    <x v="550"/>
    <n v="2"/>
    <n v="0.2"/>
    <n v="9.2385999999999999"/>
  </r>
  <r>
    <n v="8989"/>
    <x v="155"/>
    <x v="1"/>
    <x v="4"/>
    <d v="2012-12-07T00:00:00"/>
    <n v="4"/>
    <x v="1"/>
    <s v="Jack Garza"/>
    <x v="0"/>
    <m/>
    <s v="Jacksonville"/>
    <s v="North Carolina"/>
    <s v="South"/>
    <x v="1"/>
    <x v="6"/>
    <s v="Newell 312"/>
    <x v="560"/>
    <n v="2"/>
    <n v="0.2"/>
    <n v="1.1679999999999999"/>
  </r>
  <r>
    <n v="8990"/>
    <x v="100"/>
    <x v="1"/>
    <x v="4"/>
    <d v="2012-12-30T00:00:00"/>
    <n v="6"/>
    <x v="1"/>
    <s v="Harry Marie"/>
    <x v="1"/>
    <m/>
    <s v="Springfield"/>
    <s v="Missouri"/>
    <s v="Central"/>
    <x v="0"/>
    <x v="5"/>
    <s v="Eldon Regeneration Recycled Desk Accessories, Black"/>
    <x v="387"/>
    <n v="2"/>
    <n v="0"/>
    <n v="3.7751999999999999"/>
  </r>
  <r>
    <n v="8991"/>
    <x v="100"/>
    <x v="1"/>
    <x v="4"/>
    <d v="2012-12-30T00:00:00"/>
    <n v="6"/>
    <x v="1"/>
    <s v="Harry Marie"/>
    <x v="1"/>
    <m/>
    <s v="Springfield"/>
    <s v="Missouri"/>
    <s v="Central"/>
    <x v="2"/>
    <x v="16"/>
    <s v="Canon PC1060 Personal Laser Copier"/>
    <x v="972"/>
    <n v="7"/>
    <n v="0"/>
    <n v="2302.9670999999998"/>
  </r>
  <r>
    <n v="8992"/>
    <x v="172"/>
    <x v="3"/>
    <x v="2"/>
    <d v="2014-10-07T00:00:00"/>
    <n v="5"/>
    <x v="1"/>
    <s v="Tanja Norvell"/>
    <x v="2"/>
    <m/>
    <s v="San Francisco"/>
    <s v="California"/>
    <s v="West"/>
    <x v="2"/>
    <x v="11"/>
    <s v="Sony 32GB Class 10 Micro SDHC R40 Memory Card"/>
    <x v="5427"/>
    <n v="5"/>
    <n v="0"/>
    <n v="21.997499999999999"/>
  </r>
  <r>
    <n v="8993"/>
    <x v="524"/>
    <x v="3"/>
    <x v="2"/>
    <d v="2014-10-22T00:00:00"/>
    <n v="5"/>
    <x v="1"/>
    <s v="Victoria Pisteka"/>
    <x v="1"/>
    <m/>
    <s v="Columbia"/>
    <s v="Tennessee"/>
    <s v="South"/>
    <x v="2"/>
    <x v="11"/>
    <s v="Memorex Mini Travel Drive 8 GB USB 2.0 Flash Drive"/>
    <x v="4964"/>
    <n v="2"/>
    <n v="0.2"/>
    <n v="4.4004000000000003"/>
  </r>
  <r>
    <n v="8994"/>
    <x v="524"/>
    <x v="3"/>
    <x v="2"/>
    <d v="2014-10-22T00:00:00"/>
    <n v="5"/>
    <x v="1"/>
    <s v="Victoria Pisteka"/>
    <x v="1"/>
    <m/>
    <s v="Columbia"/>
    <s v="Tennessee"/>
    <s v="South"/>
    <x v="0"/>
    <x v="3"/>
    <s v="Balt Solid Wood Round Tables"/>
    <x v="5428"/>
    <n v="7"/>
    <n v="0.4"/>
    <n v="-968.88329999999996"/>
  </r>
  <r>
    <n v="8995"/>
    <x v="860"/>
    <x v="2"/>
    <x v="6"/>
    <d v="2011-08-17T00:00:00"/>
    <n v="2"/>
    <x v="2"/>
    <s v="Christine Sundaresam"/>
    <x v="0"/>
    <m/>
    <s v="Hollywood"/>
    <s v="Florida"/>
    <s v="South"/>
    <x v="1"/>
    <x v="10"/>
    <s v="Xerox 1955"/>
    <x v="419"/>
    <n v="5"/>
    <n v="0.2"/>
    <n v="29.692"/>
  </r>
  <r>
    <n v="8996"/>
    <x v="860"/>
    <x v="2"/>
    <x v="6"/>
    <d v="2011-08-17T00:00:00"/>
    <n v="2"/>
    <x v="2"/>
    <s v="Christine Sundaresam"/>
    <x v="0"/>
    <m/>
    <s v="Hollywood"/>
    <s v="Florida"/>
    <s v="South"/>
    <x v="1"/>
    <x v="9"/>
    <s v="Fellowes Superior 10 Outlet Split Surge Protector"/>
    <x v="5429"/>
    <n v="5"/>
    <n v="0.2"/>
    <n v="17.126999999999999"/>
  </r>
  <r>
    <n v="8997"/>
    <x v="343"/>
    <x v="3"/>
    <x v="0"/>
    <d v="2014-11-14T00:00:00"/>
    <n v="2"/>
    <x v="2"/>
    <s v="Patrick Gardner"/>
    <x v="0"/>
    <m/>
    <s v="Dallas"/>
    <s v="Texas"/>
    <s v="Central"/>
    <x v="2"/>
    <x v="7"/>
    <s v="OtterBox Commuter Series Case - iPhone 5 &amp; 5s"/>
    <x v="5430"/>
    <n v="2"/>
    <n v="0.2"/>
    <n v="12.314399999999999"/>
  </r>
  <r>
    <n v="8998"/>
    <x v="177"/>
    <x v="3"/>
    <x v="10"/>
    <d v="2014-03-21T00:00:00"/>
    <n v="0"/>
    <x v="3"/>
    <s v="Harry Greene"/>
    <x v="0"/>
    <m/>
    <s v="Houston"/>
    <s v="Texas"/>
    <s v="Central"/>
    <x v="1"/>
    <x v="10"/>
    <s v="Staples"/>
    <x v="3849"/>
    <n v="2"/>
    <n v="0.2"/>
    <n v="19.137599999999999"/>
  </r>
  <r>
    <n v="8999"/>
    <x v="177"/>
    <x v="3"/>
    <x v="10"/>
    <d v="2014-03-21T00:00:00"/>
    <n v="0"/>
    <x v="3"/>
    <s v="Harry Greene"/>
    <x v="0"/>
    <m/>
    <s v="Houston"/>
    <s v="Texas"/>
    <s v="Central"/>
    <x v="1"/>
    <x v="10"/>
    <s v="Xerox 1916"/>
    <x v="5431"/>
    <n v="7"/>
    <n v="0.2"/>
    <n v="102.774"/>
  </r>
  <r>
    <n v="9000"/>
    <x v="726"/>
    <x v="3"/>
    <x v="5"/>
    <d v="2014-05-18T00:00:00"/>
    <n v="4"/>
    <x v="1"/>
    <s v="Mick Hernandez"/>
    <x v="2"/>
    <m/>
    <s v="Philadelphia"/>
    <s v="Pennsylvania"/>
    <s v="East"/>
    <x v="0"/>
    <x v="1"/>
    <s v="Office Star - Mesh Screen back chair with Vinyl seat"/>
    <x v="4087"/>
    <n v="5"/>
    <n v="0.3"/>
    <n v="-124.431"/>
  </r>
  <r>
    <n v="9001"/>
    <x v="169"/>
    <x v="2"/>
    <x v="1"/>
    <d v="2011-06-22T00:00:00"/>
    <n v="0"/>
    <x v="3"/>
    <s v="Toby Braunhardt"/>
    <x v="0"/>
    <m/>
    <s v="Phoenix"/>
    <s v="Arizona"/>
    <s v="West"/>
    <x v="1"/>
    <x v="8"/>
    <s v="SpineVue Locking Slant-D Ring Binders by Cardinal"/>
    <x v="2238"/>
    <n v="3"/>
    <n v="0.7"/>
    <n v="-6.0324"/>
  </r>
  <r>
    <n v="9002"/>
    <x v="266"/>
    <x v="2"/>
    <x v="4"/>
    <d v="2011-12-09T00:00:00"/>
    <n v="7"/>
    <x v="1"/>
    <s v="Elizabeth Moffitt"/>
    <x v="1"/>
    <m/>
    <s v="Sandy Springs"/>
    <s v="Georgia"/>
    <s v="South"/>
    <x v="2"/>
    <x v="11"/>
    <s v="Kingston Digital DataTraveler 8GB USB 2.0"/>
    <x v="5432"/>
    <n v="1"/>
    <n v="0"/>
    <n v="0.83299999999999996"/>
  </r>
  <r>
    <n v="9003"/>
    <x v="266"/>
    <x v="2"/>
    <x v="4"/>
    <d v="2011-12-09T00:00:00"/>
    <n v="7"/>
    <x v="1"/>
    <s v="Elizabeth Moffitt"/>
    <x v="1"/>
    <m/>
    <s v="Sandy Springs"/>
    <s v="Georgia"/>
    <s v="South"/>
    <x v="1"/>
    <x v="10"/>
    <s v="RSVP Cards &amp; Envelopes, Blank White, 8-1/2&quot; X 11&quot;, 24 Cards/25 Envelopes/Set"/>
    <x v="593"/>
    <n v="3"/>
    <n v="0"/>
    <n v="7.1627999999999998"/>
  </r>
  <r>
    <n v="9004"/>
    <x v="57"/>
    <x v="1"/>
    <x v="3"/>
    <d v="2012-04-06T00:00:00"/>
    <n v="1"/>
    <x v="3"/>
    <s v="Jennifer Ferguson"/>
    <x v="0"/>
    <m/>
    <s v="Spokane"/>
    <s v="Washington"/>
    <s v="West"/>
    <x v="2"/>
    <x v="11"/>
    <s v="SanDisk Ultra 64 GB MicroSDHC Class 10 Memory Card"/>
    <x v="5433"/>
    <n v="6"/>
    <n v="0"/>
    <n v="26.3934"/>
  </r>
  <r>
    <n v="9005"/>
    <x v="57"/>
    <x v="1"/>
    <x v="3"/>
    <d v="2012-04-06T00:00:00"/>
    <n v="1"/>
    <x v="3"/>
    <s v="Jennifer Ferguson"/>
    <x v="0"/>
    <m/>
    <s v="Spokane"/>
    <s v="Washington"/>
    <s v="West"/>
    <x v="1"/>
    <x v="6"/>
    <s v="Dixon Ticonderoga Pencils"/>
    <x v="4748"/>
    <n v="8"/>
    <n v="0"/>
    <n v="6.4367999999999999"/>
  </r>
  <r>
    <n v="9006"/>
    <x v="551"/>
    <x v="3"/>
    <x v="0"/>
    <d v="2014-11-19T00:00:00"/>
    <n v="0"/>
    <x v="3"/>
    <s v="Nona Balk"/>
    <x v="1"/>
    <m/>
    <s v="Milwaukee"/>
    <s v="Wisconsin"/>
    <s v="Central"/>
    <x v="1"/>
    <x v="4"/>
    <s v="Decoflex Hanging Personal Folder File, Blue"/>
    <x v="448"/>
    <n v="6"/>
    <n v="0"/>
    <n v="24.980399999999999"/>
  </r>
  <r>
    <n v="9007"/>
    <x v="551"/>
    <x v="3"/>
    <x v="0"/>
    <d v="2014-11-19T00:00:00"/>
    <n v="0"/>
    <x v="3"/>
    <s v="Nona Balk"/>
    <x v="1"/>
    <m/>
    <s v="Milwaukee"/>
    <s v="Wisconsin"/>
    <s v="Central"/>
    <x v="1"/>
    <x v="4"/>
    <s v="Companion Letter/Legal File, Black"/>
    <x v="5434"/>
    <n v="1"/>
    <n v="0"/>
    <n v="10.572800000000001"/>
  </r>
  <r>
    <n v="9008"/>
    <x v="551"/>
    <x v="3"/>
    <x v="0"/>
    <d v="2014-11-19T00:00:00"/>
    <n v="0"/>
    <x v="3"/>
    <s v="Nona Balk"/>
    <x v="1"/>
    <m/>
    <s v="Milwaukee"/>
    <s v="Wisconsin"/>
    <s v="Central"/>
    <x v="1"/>
    <x v="2"/>
    <s v="Avery 487"/>
    <x v="1552"/>
    <n v="2"/>
    <n v="0"/>
    <n v="3.4685999999999999"/>
  </r>
  <r>
    <n v="9009"/>
    <x v="551"/>
    <x v="3"/>
    <x v="0"/>
    <d v="2014-11-19T00:00:00"/>
    <n v="0"/>
    <x v="3"/>
    <s v="Nona Balk"/>
    <x v="1"/>
    <m/>
    <s v="Milwaukee"/>
    <s v="Wisconsin"/>
    <s v="Central"/>
    <x v="0"/>
    <x v="5"/>
    <s v="GE General Purpose, Extra Long Life, Showcase &amp; Floodlight Incandescent Bulbs"/>
    <x v="5435"/>
    <n v="2"/>
    <n v="0"/>
    <n v="2.7353999999999998"/>
  </r>
  <r>
    <n v="9010"/>
    <x v="1210"/>
    <x v="3"/>
    <x v="7"/>
    <d v="2014-07-19T00:00:00"/>
    <n v="6"/>
    <x v="1"/>
    <s v="Cari Schnelling"/>
    <x v="0"/>
    <m/>
    <s v="Fairfield"/>
    <s v="Ohio"/>
    <s v="East"/>
    <x v="1"/>
    <x v="10"/>
    <s v="Wirebound Message Books, Four 2 3/4 x 5 Forms per Page, 200 Sets per Book"/>
    <x v="5436"/>
    <n v="1"/>
    <n v="0.2"/>
    <n v="1.1924999999999999"/>
  </r>
  <r>
    <n v="9011"/>
    <x v="240"/>
    <x v="3"/>
    <x v="5"/>
    <d v="2014-05-24T00:00:00"/>
    <n v="4"/>
    <x v="1"/>
    <s v="Neil Ducich"/>
    <x v="1"/>
    <m/>
    <s v="Huntsville"/>
    <s v="Alabama"/>
    <s v="South"/>
    <x v="1"/>
    <x v="8"/>
    <s v="Wilson Jones Four-Pocket Poly Binders"/>
    <x v="4165"/>
    <n v="4"/>
    <n v="0"/>
    <n v="12.8184"/>
  </r>
  <r>
    <n v="9012"/>
    <x v="139"/>
    <x v="1"/>
    <x v="4"/>
    <d v="2012-12-21T00:00:00"/>
    <n v="1"/>
    <x v="2"/>
    <s v="Emily Ducich"/>
    <x v="2"/>
    <m/>
    <s v="Houston"/>
    <s v="Texas"/>
    <s v="Central"/>
    <x v="2"/>
    <x v="11"/>
    <s v="Hypercom P1300 Pinpad"/>
    <x v="4470"/>
    <n v="2"/>
    <n v="0.2"/>
    <n v="21.42"/>
  </r>
  <r>
    <n v="9013"/>
    <x v="823"/>
    <x v="0"/>
    <x v="11"/>
    <d v="2013-02-22T00:00:00"/>
    <n v="1"/>
    <x v="2"/>
    <s v="Erin Ashbrook"/>
    <x v="1"/>
    <m/>
    <s v="New York City"/>
    <s v="New York"/>
    <s v="East"/>
    <x v="0"/>
    <x v="5"/>
    <s v="Floodlight Indoor Halogen Bulbs, 1 Bulb per Pack, 60 Watts"/>
    <x v="5437"/>
    <n v="7"/>
    <n v="0"/>
    <n v="66.542000000000002"/>
  </r>
  <r>
    <n v="9014"/>
    <x v="257"/>
    <x v="3"/>
    <x v="10"/>
    <d v="2014-03-23T00:00:00"/>
    <n v="4"/>
    <x v="1"/>
    <s v="Barry Pond"/>
    <x v="1"/>
    <m/>
    <s v="Los Angeles"/>
    <s v="California"/>
    <s v="West"/>
    <x v="1"/>
    <x v="6"/>
    <s v="Prang Drawing Pencil Set"/>
    <x v="2213"/>
    <n v="5"/>
    <n v="0"/>
    <n v="3.7530000000000001"/>
  </r>
  <r>
    <n v="9015"/>
    <x v="257"/>
    <x v="3"/>
    <x v="10"/>
    <d v="2014-03-23T00:00:00"/>
    <n v="4"/>
    <x v="1"/>
    <s v="Barry Pond"/>
    <x v="1"/>
    <m/>
    <s v="Los Angeles"/>
    <s v="California"/>
    <s v="West"/>
    <x v="1"/>
    <x v="12"/>
    <s v="Peel &amp; Seel Envelopes"/>
    <x v="5438"/>
    <n v="5"/>
    <n v="0"/>
    <n v="9.3119999999999994"/>
  </r>
  <r>
    <n v="9016"/>
    <x v="907"/>
    <x v="0"/>
    <x v="4"/>
    <d v="2013-12-24T00:00:00"/>
    <n v="6"/>
    <x v="1"/>
    <s v="Noel Staavos"/>
    <x v="1"/>
    <m/>
    <s v="Carlsbad"/>
    <s v="New Mexico"/>
    <s v="West"/>
    <x v="1"/>
    <x v="8"/>
    <s v="Ibico Plastic and Wire Spiral Binding Combs"/>
    <x v="5439"/>
    <n v="2"/>
    <n v="0.2"/>
    <n v="4.3836000000000004"/>
  </r>
  <r>
    <n v="9017"/>
    <x v="907"/>
    <x v="0"/>
    <x v="4"/>
    <d v="2013-12-24T00:00:00"/>
    <n v="6"/>
    <x v="1"/>
    <s v="Noel Staavos"/>
    <x v="1"/>
    <m/>
    <s v="Carlsbad"/>
    <s v="New Mexico"/>
    <s v="West"/>
    <x v="1"/>
    <x v="8"/>
    <s v="GBC Laser Imprintable Binding System Covers, Desert Sand"/>
    <x v="3161"/>
    <n v="1"/>
    <n v="0.2"/>
    <n v="3.8529"/>
  </r>
  <r>
    <n v="9018"/>
    <x v="253"/>
    <x v="0"/>
    <x v="10"/>
    <d v="2013-03-29T00:00:00"/>
    <n v="2"/>
    <x v="0"/>
    <s v="Mark Van Huff"/>
    <x v="0"/>
    <m/>
    <s v="Pocatello"/>
    <s v="Idaho"/>
    <s v="West"/>
    <x v="1"/>
    <x v="10"/>
    <s v="Adams Telephone Message Book W/Dividers/Space For Phone Numbers, 5 1/4&quot;X8 1/2&quot;, 300/Messages"/>
    <x v="4459"/>
    <n v="3"/>
    <n v="0"/>
    <n v="8.6435999999999993"/>
  </r>
  <r>
    <n v="9019"/>
    <x v="253"/>
    <x v="0"/>
    <x v="10"/>
    <d v="2013-03-29T00:00:00"/>
    <n v="2"/>
    <x v="0"/>
    <s v="Mark Van Huff"/>
    <x v="0"/>
    <m/>
    <s v="Pocatello"/>
    <s v="Idaho"/>
    <s v="West"/>
    <x v="1"/>
    <x v="8"/>
    <s v="Wilson Jones Hanging View Binder, White, 1&quot;"/>
    <x v="339"/>
    <n v="3"/>
    <n v="0.2"/>
    <n v="5.5380000000000003"/>
  </r>
  <r>
    <n v="9020"/>
    <x v="757"/>
    <x v="2"/>
    <x v="4"/>
    <d v="2011-12-18T00:00:00"/>
    <n v="2"/>
    <x v="0"/>
    <s v="Laurel Elliston"/>
    <x v="0"/>
    <m/>
    <s v="Springfield"/>
    <s v="Virginia"/>
    <s v="South"/>
    <x v="2"/>
    <x v="11"/>
    <s v="Case Logic 2.4GHz Wireless Keyboard"/>
    <x v="2564"/>
    <n v="2"/>
    <n v="0"/>
    <n v="7.9984000000000002"/>
  </r>
  <r>
    <n v="9021"/>
    <x v="757"/>
    <x v="2"/>
    <x v="4"/>
    <d v="2011-12-18T00:00:00"/>
    <n v="2"/>
    <x v="0"/>
    <s v="Laurel Elliston"/>
    <x v="0"/>
    <m/>
    <s v="Springfield"/>
    <s v="Virginia"/>
    <s v="South"/>
    <x v="0"/>
    <x v="5"/>
    <s v="Ultra Door Push Plate"/>
    <x v="2074"/>
    <n v="6"/>
    <n v="0"/>
    <n v="9.7218"/>
  </r>
  <r>
    <n v="9022"/>
    <x v="219"/>
    <x v="1"/>
    <x v="0"/>
    <d v="2012-11-20T00:00:00"/>
    <n v="5"/>
    <x v="1"/>
    <s v="Victoria Pisteka"/>
    <x v="1"/>
    <m/>
    <s v="Toledo"/>
    <s v="Ohio"/>
    <s v="East"/>
    <x v="1"/>
    <x v="8"/>
    <s v="Wilson Jones Elliptical Ring 3 1/2&quot; Capacity Binders, 800 sheets"/>
    <x v="5440"/>
    <n v="13"/>
    <n v="0.7"/>
    <n v="-116.84399999999999"/>
  </r>
  <r>
    <n v="9023"/>
    <x v="250"/>
    <x v="0"/>
    <x v="6"/>
    <d v="2013-08-24T00:00:00"/>
    <n v="1"/>
    <x v="2"/>
    <s v="Tony Chapman"/>
    <x v="2"/>
    <m/>
    <s v="Fort Collins"/>
    <s v="Colorado"/>
    <s v="West"/>
    <x v="0"/>
    <x v="5"/>
    <s v="Dana Halogen Swing-Arm Architect Lamp"/>
    <x v="5441"/>
    <n v="3"/>
    <n v="0.2"/>
    <n v="9.8328000000000007"/>
  </r>
  <r>
    <n v="9024"/>
    <x v="685"/>
    <x v="1"/>
    <x v="1"/>
    <d v="2012-07-02T00:00:00"/>
    <n v="3"/>
    <x v="2"/>
    <s v="Sheri Gordon"/>
    <x v="0"/>
    <m/>
    <s v="New York City"/>
    <s v="New York"/>
    <s v="East"/>
    <x v="0"/>
    <x v="1"/>
    <s v="Office Star - Mesh Screen back chair with Vinyl seat"/>
    <x v="5442"/>
    <n v="1"/>
    <n v="0.1"/>
    <n v="1.3098000000000001"/>
  </r>
  <r>
    <n v="9025"/>
    <x v="190"/>
    <x v="0"/>
    <x v="1"/>
    <d v="2013-07-03T00:00:00"/>
    <n v="6"/>
    <x v="1"/>
    <s v="Victoria Pisteka"/>
    <x v="1"/>
    <m/>
    <s v="New York City"/>
    <s v="New York"/>
    <s v="East"/>
    <x v="2"/>
    <x v="11"/>
    <s v="AmazonBasics 3-Button USB Wired Mouse"/>
    <x v="5443"/>
    <n v="3"/>
    <n v="0"/>
    <n v="9.0170999999999992"/>
  </r>
  <r>
    <n v="9026"/>
    <x v="190"/>
    <x v="0"/>
    <x v="1"/>
    <d v="2013-07-03T00:00:00"/>
    <n v="6"/>
    <x v="1"/>
    <s v="Victoria Pisteka"/>
    <x v="1"/>
    <m/>
    <s v="New York City"/>
    <s v="New York"/>
    <s v="East"/>
    <x v="2"/>
    <x v="11"/>
    <s v="Perixx PERIBOARD-512B, Ergonomic Split Keyboard"/>
    <x v="3943"/>
    <n v="4"/>
    <n v="0"/>
    <n v="9.7972000000000001"/>
  </r>
  <r>
    <n v="9027"/>
    <x v="190"/>
    <x v="0"/>
    <x v="1"/>
    <d v="2013-07-03T00:00:00"/>
    <n v="6"/>
    <x v="1"/>
    <s v="Victoria Pisteka"/>
    <x v="1"/>
    <m/>
    <s v="New York City"/>
    <s v="New York"/>
    <s v="East"/>
    <x v="0"/>
    <x v="5"/>
    <s v="DAX Executive Solid Wood Document Frame, Desktop or Hang, Mahogany, 5 x 7"/>
    <x v="1250"/>
    <n v="3"/>
    <n v="0"/>
    <n v="12.8316"/>
  </r>
  <r>
    <n v="9028"/>
    <x v="42"/>
    <x v="0"/>
    <x v="8"/>
    <d v="2013-09-23T00:00:00"/>
    <n v="5"/>
    <x v="1"/>
    <s v="Patrick O'Donnell"/>
    <x v="0"/>
    <m/>
    <s v="Marlborough"/>
    <s v="Massachusetts"/>
    <s v="East"/>
    <x v="0"/>
    <x v="5"/>
    <s v="C-Line Magnetic Cubicle Keepers, Clear Polypropylene"/>
    <x v="1450"/>
    <n v="3"/>
    <n v="0"/>
    <n v="6.2244000000000002"/>
  </r>
  <r>
    <n v="9029"/>
    <x v="42"/>
    <x v="0"/>
    <x v="8"/>
    <d v="2013-09-23T00:00:00"/>
    <n v="5"/>
    <x v="1"/>
    <s v="Patrick O'Donnell"/>
    <x v="0"/>
    <m/>
    <s v="Marlborough"/>
    <s v="Massachusetts"/>
    <s v="East"/>
    <x v="0"/>
    <x v="5"/>
    <s v="Howard Miller 14-1/2&quot; Diameter Chrome Round Wall Clock"/>
    <x v="1838"/>
    <n v="3"/>
    <n v="0"/>
    <n v="61.382399999999997"/>
  </r>
  <r>
    <n v="9030"/>
    <x v="667"/>
    <x v="2"/>
    <x v="7"/>
    <d v="2011-07-23T00:00:00"/>
    <n v="5"/>
    <x v="1"/>
    <s v="Jack Lebron"/>
    <x v="0"/>
    <m/>
    <s v="New Rochelle"/>
    <s v="New York"/>
    <s v="East"/>
    <x v="1"/>
    <x v="8"/>
    <s v="Cardinal Slant-D Ring Binder, Heavy Gauge Vinyl"/>
    <x v="1150"/>
    <n v="2"/>
    <n v="0.2"/>
    <n v="4.5187999999999997"/>
  </r>
  <r>
    <n v="9031"/>
    <x v="853"/>
    <x v="3"/>
    <x v="8"/>
    <d v="2014-09-02T00:00:00"/>
    <n v="0"/>
    <x v="3"/>
    <s v="Rick Wilson"/>
    <x v="1"/>
    <m/>
    <s v="Seattle"/>
    <s v="Washington"/>
    <s v="West"/>
    <x v="1"/>
    <x v="9"/>
    <s v="Honeywell Quietcare HEPA Air Cleaner"/>
    <x v="5444"/>
    <n v="4"/>
    <n v="0"/>
    <n v="103.818"/>
  </r>
  <r>
    <n v="9032"/>
    <x v="853"/>
    <x v="3"/>
    <x v="8"/>
    <d v="2014-09-02T00:00:00"/>
    <n v="0"/>
    <x v="3"/>
    <s v="Rick Wilson"/>
    <x v="1"/>
    <m/>
    <s v="Seattle"/>
    <s v="Washington"/>
    <s v="West"/>
    <x v="0"/>
    <x v="3"/>
    <s v="KI Conference Tables"/>
    <x v="5445"/>
    <n v="4"/>
    <n v="0"/>
    <n v="45.369599999999998"/>
  </r>
  <r>
    <n v="9033"/>
    <x v="738"/>
    <x v="3"/>
    <x v="1"/>
    <d v="2014-06-27T00:00:00"/>
    <n v="4"/>
    <x v="1"/>
    <s v="Rick Bensley"/>
    <x v="2"/>
    <m/>
    <s v="Detroit"/>
    <s v="Michigan"/>
    <s v="Central"/>
    <x v="0"/>
    <x v="1"/>
    <s v="Hon Deluxe Fabric Upholstered Stacking Chairs, Rounded Back"/>
    <x v="5446"/>
    <n v="2"/>
    <n v="0"/>
    <n v="146.38800000000001"/>
  </r>
  <r>
    <n v="9034"/>
    <x v="814"/>
    <x v="2"/>
    <x v="8"/>
    <d v="2011-09-07T00:00:00"/>
    <n v="5"/>
    <x v="1"/>
    <s v="Sanjit Chand"/>
    <x v="0"/>
    <m/>
    <s v="Fayetteville"/>
    <s v="Arkansas"/>
    <s v="South"/>
    <x v="1"/>
    <x v="8"/>
    <s v="GBC DocuBind TL300 Electric Binding System"/>
    <x v="1612"/>
    <n v="2"/>
    <n v="0"/>
    <n v="843.17060000000004"/>
  </r>
  <r>
    <n v="9035"/>
    <x v="486"/>
    <x v="1"/>
    <x v="2"/>
    <d v="2012-10-05T00:00:00"/>
    <n v="4"/>
    <x v="1"/>
    <s v="Eric Murdock"/>
    <x v="0"/>
    <m/>
    <s v="Quincy"/>
    <s v="Illinois"/>
    <s v="Central"/>
    <x v="1"/>
    <x v="8"/>
    <s v="Accohide Poly Flexible Ring Binders"/>
    <x v="5447"/>
    <n v="4"/>
    <n v="0.8"/>
    <n v="-4.4880000000000004"/>
  </r>
  <r>
    <n v="9036"/>
    <x v="486"/>
    <x v="1"/>
    <x v="2"/>
    <d v="2012-10-05T00:00:00"/>
    <n v="4"/>
    <x v="1"/>
    <s v="Eric Murdock"/>
    <x v="0"/>
    <m/>
    <s v="Quincy"/>
    <s v="Illinois"/>
    <s v="Central"/>
    <x v="2"/>
    <x v="11"/>
    <s v="Lenovo 17-Key USB Numeric Keypad"/>
    <x v="5448"/>
    <n v="4"/>
    <n v="0.2"/>
    <n v="2.7191999999999998"/>
  </r>
  <r>
    <n v="9037"/>
    <x v="1003"/>
    <x v="1"/>
    <x v="3"/>
    <d v="2012-04-10T00:00:00"/>
    <n v="3"/>
    <x v="2"/>
    <s v="Resi Pölking"/>
    <x v="0"/>
    <m/>
    <s v="New York City"/>
    <s v="New York"/>
    <s v="East"/>
    <x v="1"/>
    <x v="10"/>
    <s v="Xerox 192"/>
    <x v="233"/>
    <n v="4"/>
    <n v="0"/>
    <n v="12.441599999999999"/>
  </r>
  <r>
    <n v="9038"/>
    <x v="1003"/>
    <x v="1"/>
    <x v="3"/>
    <d v="2012-04-10T00:00:00"/>
    <n v="3"/>
    <x v="2"/>
    <s v="Resi Pölking"/>
    <x v="0"/>
    <m/>
    <s v="New York City"/>
    <s v="New York"/>
    <s v="East"/>
    <x v="1"/>
    <x v="4"/>
    <s v="X-Rack File for Hanging Folders"/>
    <x v="2383"/>
    <n v="2"/>
    <n v="0"/>
    <n v="5.8708"/>
  </r>
  <r>
    <n v="9039"/>
    <x v="610"/>
    <x v="3"/>
    <x v="0"/>
    <d v="2014-11-22T00:00:00"/>
    <n v="0"/>
    <x v="3"/>
    <s v="Henia Zydlo"/>
    <x v="0"/>
    <m/>
    <s v="Houston"/>
    <s v="Texas"/>
    <s v="Central"/>
    <x v="2"/>
    <x v="7"/>
    <s v="Motorola HK250 Universal Bluetooth Headset"/>
    <x v="494"/>
    <n v="3"/>
    <n v="0.2"/>
    <n v="-12.4146"/>
  </r>
  <r>
    <n v="9040"/>
    <x v="907"/>
    <x v="0"/>
    <x v="4"/>
    <d v="2013-12-22T00:00:00"/>
    <n v="4"/>
    <x v="1"/>
    <s v="Adrian Barton"/>
    <x v="0"/>
    <m/>
    <s v="Detroit"/>
    <s v="Michigan"/>
    <s v="Central"/>
    <x v="1"/>
    <x v="8"/>
    <s v="GBC Ibimaster 500 Manual ProClick Binding System"/>
    <x v="5449"/>
    <n v="13"/>
    <n v="0"/>
    <n v="4946.37"/>
  </r>
  <r>
    <n v="9041"/>
    <x v="111"/>
    <x v="2"/>
    <x v="8"/>
    <d v="2011-09-24T00:00:00"/>
    <n v="5"/>
    <x v="1"/>
    <s v="Neil Ducich"/>
    <x v="1"/>
    <m/>
    <s v="Chandler"/>
    <s v="Arizona"/>
    <s v="West"/>
    <x v="0"/>
    <x v="3"/>
    <s v="Hon 2111 Invitation Series Straight Table"/>
    <x v="5450"/>
    <n v="1"/>
    <n v="0.5"/>
    <n v="-45.827300000000001"/>
  </r>
  <r>
    <n v="9042"/>
    <x v="450"/>
    <x v="2"/>
    <x v="8"/>
    <d v="2011-10-03T00:00:00"/>
    <n v="5"/>
    <x v="1"/>
    <s v="Xylona Preis"/>
    <x v="0"/>
    <m/>
    <s v="Hollywood"/>
    <s v="Florida"/>
    <s v="South"/>
    <x v="0"/>
    <x v="5"/>
    <s v="Deflect-o DuraMat Antistatic Studded Beveled Mat for Medium Pile Carpeting"/>
    <x v="5451"/>
    <n v="4"/>
    <n v="0.2"/>
    <n v="16.854399999999998"/>
  </r>
  <r>
    <n v="9043"/>
    <x v="357"/>
    <x v="1"/>
    <x v="8"/>
    <d v="2012-09-26T00:00:00"/>
    <n v="4"/>
    <x v="0"/>
    <s v="Muhammed MacIntyre"/>
    <x v="1"/>
    <m/>
    <s v="Los Angeles"/>
    <s v="California"/>
    <s v="West"/>
    <x v="1"/>
    <x v="9"/>
    <s v="Kensington 6 Outlet Guardian Standard Surge Protector"/>
    <x v="635"/>
    <n v="3"/>
    <n v="0"/>
    <n v="16.588799999999999"/>
  </r>
  <r>
    <n v="9044"/>
    <x v="77"/>
    <x v="0"/>
    <x v="0"/>
    <d v="2013-11-14T00:00:00"/>
    <n v="6"/>
    <x v="1"/>
    <s v="Marina Lichtenstein"/>
    <x v="1"/>
    <m/>
    <s v="San Francisco"/>
    <s v="California"/>
    <s v="West"/>
    <x v="2"/>
    <x v="11"/>
    <s v="NETGEAR AC1750 Dual Band Gigabit Smart WiFi Router"/>
    <x v="647"/>
    <n v="3"/>
    <n v="0"/>
    <n v="163.18979999999999"/>
  </r>
  <r>
    <n v="9045"/>
    <x v="819"/>
    <x v="3"/>
    <x v="4"/>
    <d v="2014-12-21T00:00:00"/>
    <n v="4"/>
    <x v="0"/>
    <s v="Kalyca Meade"/>
    <x v="1"/>
    <m/>
    <s v="Sunnyvale"/>
    <s v="California"/>
    <s v="West"/>
    <x v="1"/>
    <x v="8"/>
    <s v="Accohide Poly Flexible Ring Binders"/>
    <x v="4290"/>
    <n v="2"/>
    <n v="0.2"/>
    <n v="2.2440000000000002"/>
  </r>
  <r>
    <n v="9046"/>
    <x v="819"/>
    <x v="3"/>
    <x v="4"/>
    <d v="2014-12-21T00:00:00"/>
    <n v="4"/>
    <x v="0"/>
    <s v="Kalyca Meade"/>
    <x v="1"/>
    <m/>
    <s v="Sunnyvale"/>
    <s v="California"/>
    <s v="West"/>
    <x v="2"/>
    <x v="11"/>
    <s v="Imation Secure Drive + Hardware Encrypted USB flash drive - 16 GB"/>
    <x v="5452"/>
    <n v="5"/>
    <n v="0"/>
    <n v="45.588000000000001"/>
  </r>
  <r>
    <n v="9047"/>
    <x v="819"/>
    <x v="3"/>
    <x v="4"/>
    <d v="2014-12-21T00:00:00"/>
    <n v="4"/>
    <x v="0"/>
    <s v="Kalyca Meade"/>
    <x v="1"/>
    <m/>
    <s v="Sunnyvale"/>
    <s v="California"/>
    <s v="West"/>
    <x v="2"/>
    <x v="11"/>
    <s v="Microsoft Natural Ergonomic Keyboard 4000"/>
    <x v="179"/>
    <n v="5"/>
    <n v="0"/>
    <n v="31.4895"/>
  </r>
  <r>
    <n v="9048"/>
    <x v="819"/>
    <x v="3"/>
    <x v="4"/>
    <d v="2014-12-21T00:00:00"/>
    <n v="4"/>
    <x v="0"/>
    <s v="Kalyca Meade"/>
    <x v="1"/>
    <m/>
    <s v="Sunnyvale"/>
    <s v="California"/>
    <s v="West"/>
    <x v="1"/>
    <x v="6"/>
    <s v="Bulldog Table or Wall-Mount Pencil Sharpener"/>
    <x v="5453"/>
    <n v="5"/>
    <n v="0"/>
    <n v="8.6854999999999993"/>
  </r>
  <r>
    <n v="9049"/>
    <x v="819"/>
    <x v="3"/>
    <x v="4"/>
    <d v="2014-12-21T00:00:00"/>
    <n v="4"/>
    <x v="0"/>
    <s v="Kalyca Meade"/>
    <x v="1"/>
    <m/>
    <s v="Sunnyvale"/>
    <s v="California"/>
    <s v="West"/>
    <x v="1"/>
    <x v="2"/>
    <s v="Avery 475"/>
    <x v="1821"/>
    <n v="3"/>
    <n v="0"/>
    <n v="22.2"/>
  </r>
  <r>
    <n v="9050"/>
    <x v="158"/>
    <x v="2"/>
    <x v="8"/>
    <d v="2011-09-25T00:00:00"/>
    <n v="4"/>
    <x v="1"/>
    <s v="Sara Luxemburg"/>
    <x v="2"/>
    <m/>
    <s v="New York City"/>
    <s v="New York"/>
    <s v="East"/>
    <x v="1"/>
    <x v="6"/>
    <s v="Boston 16801 Nautilus Battery Pencil Sharpener"/>
    <x v="5454"/>
    <n v="3"/>
    <n v="0"/>
    <n v="17.1678"/>
  </r>
  <r>
    <n v="9051"/>
    <x v="1211"/>
    <x v="1"/>
    <x v="5"/>
    <d v="2012-05-22T00:00:00"/>
    <n v="4"/>
    <x v="1"/>
    <s v="Anthony Jacobs"/>
    <x v="1"/>
    <m/>
    <s v="Los Angeles"/>
    <s v="California"/>
    <s v="West"/>
    <x v="1"/>
    <x v="10"/>
    <s v="Wirebound Message Book, 4 per Page"/>
    <x v="139"/>
    <n v="2"/>
    <n v="0"/>
    <n v="5.3213999999999997"/>
  </r>
  <r>
    <n v="9052"/>
    <x v="959"/>
    <x v="2"/>
    <x v="10"/>
    <d v="2011-03-31T00:00:00"/>
    <n v="5"/>
    <x v="0"/>
    <s v="Damala Kotsonis"/>
    <x v="1"/>
    <m/>
    <s v="San Francisco"/>
    <s v="California"/>
    <s v="West"/>
    <x v="1"/>
    <x v="6"/>
    <s v="Newell 308"/>
    <x v="3525"/>
    <n v="2"/>
    <n v="0"/>
    <n v="0.84"/>
  </r>
  <r>
    <n v="9053"/>
    <x v="959"/>
    <x v="2"/>
    <x v="10"/>
    <d v="2011-03-31T00:00:00"/>
    <n v="5"/>
    <x v="0"/>
    <s v="Damala Kotsonis"/>
    <x v="1"/>
    <m/>
    <s v="San Francisco"/>
    <s v="California"/>
    <s v="West"/>
    <x v="1"/>
    <x v="8"/>
    <s v="Wilson Jones Leather-Like Binders with DublLock Round Rings"/>
    <x v="688"/>
    <n v="4"/>
    <n v="0.2"/>
    <n v="9.4283999999999999"/>
  </r>
  <r>
    <n v="9054"/>
    <x v="959"/>
    <x v="2"/>
    <x v="10"/>
    <d v="2011-03-31T00:00:00"/>
    <n v="5"/>
    <x v="0"/>
    <s v="Damala Kotsonis"/>
    <x v="1"/>
    <m/>
    <s v="San Francisco"/>
    <s v="California"/>
    <s v="West"/>
    <x v="2"/>
    <x v="7"/>
    <s v="Griffin GC17055 Auxiliary Audio Cable"/>
    <x v="5455"/>
    <n v="2"/>
    <n v="0.2"/>
    <n v="2.8784000000000001"/>
  </r>
  <r>
    <n v="9055"/>
    <x v="585"/>
    <x v="3"/>
    <x v="8"/>
    <d v="2014-09-29T00:00:00"/>
    <n v="6"/>
    <x v="1"/>
    <s v="Berenike Kampe"/>
    <x v="0"/>
    <m/>
    <s v="Santa Ana"/>
    <s v="California"/>
    <s v="West"/>
    <x v="1"/>
    <x v="14"/>
    <s v="Fiskars Softgrip Scissors"/>
    <x v="2099"/>
    <n v="2"/>
    <n v="0"/>
    <n v="6.1487999999999996"/>
  </r>
  <r>
    <n v="9056"/>
    <x v="811"/>
    <x v="1"/>
    <x v="8"/>
    <d v="2012-09-17T00:00:00"/>
    <n v="5"/>
    <x v="0"/>
    <s v="Craig Carreira"/>
    <x v="0"/>
    <m/>
    <s v="Seattle"/>
    <s v="Washington"/>
    <s v="West"/>
    <x v="2"/>
    <x v="11"/>
    <s v="Memorex Froggy Flash Drive 4 GB"/>
    <x v="223"/>
    <n v="2"/>
    <n v="0"/>
    <n v="8.5722000000000005"/>
  </r>
  <r>
    <n v="9057"/>
    <x v="121"/>
    <x v="1"/>
    <x v="0"/>
    <d v="2012-11-04T00:00:00"/>
    <n v="2"/>
    <x v="2"/>
    <s v="Emily Ducich"/>
    <x v="2"/>
    <m/>
    <s v="New York City"/>
    <s v="New York"/>
    <s v="East"/>
    <x v="0"/>
    <x v="1"/>
    <s v="Hon Olson Stacker Chairs"/>
    <x v="5456"/>
    <n v="11"/>
    <n v="0.1"/>
    <n v="553.39020000000005"/>
  </r>
  <r>
    <n v="9058"/>
    <x v="1182"/>
    <x v="1"/>
    <x v="2"/>
    <d v="2012-10-24T00:00:00"/>
    <n v="4"/>
    <x v="1"/>
    <s v="Stewart Visinsky"/>
    <x v="0"/>
    <m/>
    <s v="Los Angeles"/>
    <s v="California"/>
    <s v="West"/>
    <x v="0"/>
    <x v="5"/>
    <s v="Nu-Dell Oak Frame"/>
    <x v="4021"/>
    <n v="7"/>
    <n v="0"/>
    <n v="23.923200000000001"/>
  </r>
  <r>
    <n v="9059"/>
    <x v="1182"/>
    <x v="1"/>
    <x v="2"/>
    <d v="2012-10-24T00:00:00"/>
    <n v="4"/>
    <x v="1"/>
    <s v="Stewart Visinsky"/>
    <x v="0"/>
    <m/>
    <s v="Los Angeles"/>
    <s v="California"/>
    <s v="West"/>
    <x v="0"/>
    <x v="3"/>
    <s v="SAFCO PlanMaster Boards, 60w x 37-1/2d, White Melamine"/>
    <x v="5457"/>
    <n v="3"/>
    <n v="0.2"/>
    <n v="27.3582"/>
  </r>
  <r>
    <n v="9060"/>
    <x v="403"/>
    <x v="0"/>
    <x v="1"/>
    <d v="2013-06-19T00:00:00"/>
    <n v="4"/>
    <x v="1"/>
    <s v="Anthony Rawles"/>
    <x v="1"/>
    <m/>
    <s v="Seattle"/>
    <s v="Washington"/>
    <s v="West"/>
    <x v="0"/>
    <x v="3"/>
    <s v="Hon Non-Folding Utility Tables"/>
    <x v="5458"/>
    <n v="7"/>
    <n v="0"/>
    <n v="334.55099999999999"/>
  </r>
  <r>
    <n v="9061"/>
    <x v="312"/>
    <x v="1"/>
    <x v="0"/>
    <d v="2012-11-21T00:00:00"/>
    <n v="1"/>
    <x v="2"/>
    <s v="Chris Selesnick"/>
    <x v="1"/>
    <m/>
    <s v="San Diego"/>
    <s v="California"/>
    <s v="West"/>
    <x v="1"/>
    <x v="8"/>
    <s v="Performers Binder/Pad Holder, Black"/>
    <x v="5459"/>
    <n v="4"/>
    <n v="0.2"/>
    <n v="33.636000000000003"/>
  </r>
  <r>
    <n v="9062"/>
    <x v="312"/>
    <x v="1"/>
    <x v="0"/>
    <d v="2012-11-21T00:00:00"/>
    <n v="1"/>
    <x v="2"/>
    <s v="Chris Selesnick"/>
    <x v="1"/>
    <m/>
    <s v="San Diego"/>
    <s v="California"/>
    <s v="West"/>
    <x v="1"/>
    <x v="2"/>
    <s v="Avery 485"/>
    <x v="2255"/>
    <n v="4"/>
    <n v="0"/>
    <n v="23.5564"/>
  </r>
  <r>
    <n v="9063"/>
    <x v="1212"/>
    <x v="0"/>
    <x v="11"/>
    <d v="2013-03-07T00:00:00"/>
    <n v="7"/>
    <x v="1"/>
    <s v="Rick Reed"/>
    <x v="1"/>
    <m/>
    <s v="New York City"/>
    <s v="New York"/>
    <s v="East"/>
    <x v="1"/>
    <x v="13"/>
    <s v="Staples"/>
    <x v="5460"/>
    <n v="6"/>
    <n v="0"/>
    <n v="18.239999999999998"/>
  </r>
  <r>
    <n v="9064"/>
    <x v="1005"/>
    <x v="2"/>
    <x v="2"/>
    <d v="2011-10-20T00:00:00"/>
    <n v="6"/>
    <x v="1"/>
    <s v="Bradley Drucker"/>
    <x v="0"/>
    <m/>
    <s v="Chicago"/>
    <s v="Illinois"/>
    <s v="Central"/>
    <x v="1"/>
    <x v="10"/>
    <s v="Xerox 1951"/>
    <x v="5461"/>
    <n v="13"/>
    <n v="0.2"/>
    <n v="100.685"/>
  </r>
  <r>
    <n v="9065"/>
    <x v="1005"/>
    <x v="2"/>
    <x v="2"/>
    <d v="2011-10-20T00:00:00"/>
    <n v="6"/>
    <x v="1"/>
    <s v="Bradley Drucker"/>
    <x v="0"/>
    <m/>
    <s v="Chicago"/>
    <s v="Illinois"/>
    <s v="Central"/>
    <x v="1"/>
    <x v="8"/>
    <s v="Pressboard Covers with Storage Hooks, 9 1/2&quot; x 11&quot;, Light Blue"/>
    <x v="194"/>
    <n v="3"/>
    <n v="0.8"/>
    <n v="-4.8609"/>
  </r>
  <r>
    <n v="9066"/>
    <x v="1005"/>
    <x v="2"/>
    <x v="2"/>
    <d v="2011-10-20T00:00:00"/>
    <n v="6"/>
    <x v="1"/>
    <s v="Bradley Drucker"/>
    <x v="0"/>
    <m/>
    <s v="Chicago"/>
    <s v="Illinois"/>
    <s v="Central"/>
    <x v="1"/>
    <x v="10"/>
    <s v="Xerox 1903"/>
    <x v="4336"/>
    <n v="4"/>
    <n v="0.2"/>
    <n v="6.9367999999999999"/>
  </r>
  <r>
    <n v="9067"/>
    <x v="1143"/>
    <x v="3"/>
    <x v="5"/>
    <d v="2014-05-31T00:00:00"/>
    <n v="4"/>
    <x v="1"/>
    <s v="Bryan Mills"/>
    <x v="0"/>
    <m/>
    <s v="Harrisonburg"/>
    <s v="Virginia"/>
    <s v="South"/>
    <x v="2"/>
    <x v="11"/>
    <s v="Verbatim Slim CD and DVD Storage Cases, 50/Pack"/>
    <x v="5462"/>
    <n v="2"/>
    <n v="0"/>
    <n v="6.9240000000000004"/>
  </r>
  <r>
    <n v="9068"/>
    <x v="1084"/>
    <x v="0"/>
    <x v="11"/>
    <d v="2013-02-10T00:00:00"/>
    <n v="6"/>
    <x v="1"/>
    <s v="Maribeth Schnelling"/>
    <x v="0"/>
    <m/>
    <s v="Rockville"/>
    <s v="Maryland"/>
    <s v="East"/>
    <x v="2"/>
    <x v="7"/>
    <s v="AT&amp;T 17929 Lendline Telephone"/>
    <x v="3377"/>
    <n v="2"/>
    <n v="0"/>
    <n v="23.524799999999999"/>
  </r>
  <r>
    <n v="9069"/>
    <x v="476"/>
    <x v="0"/>
    <x v="8"/>
    <d v="2013-09-06T00:00:00"/>
    <n v="3"/>
    <x v="0"/>
    <s v="Becky Martin"/>
    <x v="0"/>
    <m/>
    <s v="Des Moines"/>
    <s v="Washington"/>
    <s v="West"/>
    <x v="0"/>
    <x v="1"/>
    <s v="Global Leather Task Chair, Black"/>
    <x v="1775"/>
    <n v="3"/>
    <n v="0.2"/>
    <n v="-2.6997"/>
  </r>
  <r>
    <n v="9070"/>
    <x v="476"/>
    <x v="0"/>
    <x v="8"/>
    <d v="2013-09-06T00:00:00"/>
    <n v="3"/>
    <x v="0"/>
    <s v="Becky Martin"/>
    <x v="0"/>
    <m/>
    <s v="Des Moines"/>
    <s v="Washington"/>
    <s v="West"/>
    <x v="1"/>
    <x v="12"/>
    <s v="Inter-Office Recycled Envelopes, Brown Kraft, Button-String,10&quot; x 13&quot; , 100/Box"/>
    <x v="4196"/>
    <n v="3"/>
    <n v="0"/>
    <n v="30.991800000000001"/>
  </r>
  <r>
    <n v="9071"/>
    <x v="769"/>
    <x v="3"/>
    <x v="4"/>
    <d v="2014-12-06T00:00:00"/>
    <n v="1"/>
    <x v="2"/>
    <s v="Katrina Edelman"/>
    <x v="1"/>
    <m/>
    <s v="Philadelphia"/>
    <s v="Pennsylvania"/>
    <s v="East"/>
    <x v="0"/>
    <x v="5"/>
    <s v="C-Line Cubicle Keepers Polyproplyene Holder With Velcro Backings"/>
    <x v="1366"/>
    <n v="3"/>
    <n v="0.2"/>
    <n v="2.6960999999999999"/>
  </r>
  <r>
    <n v="9072"/>
    <x v="821"/>
    <x v="1"/>
    <x v="1"/>
    <d v="2012-06-16T00:00:00"/>
    <n v="4"/>
    <x v="1"/>
    <s v="Sam Zeldin"/>
    <x v="2"/>
    <m/>
    <s v="Columbus"/>
    <s v="Indiana"/>
    <s v="Central"/>
    <x v="1"/>
    <x v="4"/>
    <s v="Recycled Eldon Regeneration Jumbo File"/>
    <x v="332"/>
    <n v="2"/>
    <n v="0"/>
    <n v="6.8768000000000002"/>
  </r>
  <r>
    <n v="9073"/>
    <x v="913"/>
    <x v="0"/>
    <x v="8"/>
    <d v="2013-09-09T00:00:00"/>
    <n v="4"/>
    <x v="1"/>
    <s v="Mick Brown"/>
    <x v="0"/>
    <m/>
    <s v="Springfield"/>
    <s v="Missouri"/>
    <s v="Central"/>
    <x v="1"/>
    <x v="12"/>
    <s v="Staples"/>
    <x v="3319"/>
    <n v="2"/>
    <n v="0"/>
    <n v="7.7831999999999999"/>
  </r>
  <r>
    <n v="9074"/>
    <x v="913"/>
    <x v="0"/>
    <x v="8"/>
    <d v="2013-09-09T00:00:00"/>
    <n v="4"/>
    <x v="1"/>
    <s v="Mick Brown"/>
    <x v="0"/>
    <m/>
    <s v="Springfield"/>
    <s v="Missouri"/>
    <s v="Central"/>
    <x v="2"/>
    <x v="11"/>
    <s v="Sony Micro Vault Click 16 GB USB 2.0 Flash Drive"/>
    <x v="5463"/>
    <n v="5"/>
    <n v="0"/>
    <n v="67.188000000000002"/>
  </r>
  <r>
    <n v="9075"/>
    <x v="419"/>
    <x v="2"/>
    <x v="3"/>
    <d v="2011-04-26T00:00:00"/>
    <n v="5"/>
    <x v="1"/>
    <s v="Dorothy Badders"/>
    <x v="1"/>
    <m/>
    <s v="Henderson"/>
    <s v="Kentucky"/>
    <s v="South"/>
    <x v="1"/>
    <x v="4"/>
    <s v="SAFCO Commercial Wire Shelving, Black"/>
    <x v="5464"/>
    <n v="6"/>
    <n v="0"/>
    <n v="0"/>
  </r>
  <r>
    <n v="9076"/>
    <x v="599"/>
    <x v="1"/>
    <x v="0"/>
    <d v="2012-11-08T00:00:00"/>
    <n v="3"/>
    <x v="2"/>
    <s v="Christy Brittain"/>
    <x v="0"/>
    <m/>
    <s v="Lakewood"/>
    <s v="Ohio"/>
    <s v="East"/>
    <x v="1"/>
    <x v="8"/>
    <s v="Insertable Tab Post Binder Dividers"/>
    <x v="570"/>
    <n v="3"/>
    <n v="0.7"/>
    <n v="-5.5338000000000003"/>
  </r>
  <r>
    <n v="9077"/>
    <x v="599"/>
    <x v="1"/>
    <x v="0"/>
    <d v="2012-11-08T00:00:00"/>
    <n v="3"/>
    <x v="2"/>
    <s v="Christy Brittain"/>
    <x v="0"/>
    <m/>
    <s v="Lakewood"/>
    <s v="Ohio"/>
    <s v="East"/>
    <x v="1"/>
    <x v="14"/>
    <s v="Acme Titanium Bonded Scissors"/>
    <x v="5465"/>
    <n v="4"/>
    <n v="0.2"/>
    <n v="2.04"/>
  </r>
  <r>
    <n v="9078"/>
    <x v="935"/>
    <x v="2"/>
    <x v="0"/>
    <d v="2011-11-07T00:00:00"/>
    <n v="4"/>
    <x v="1"/>
    <s v="Stephanie Phelps"/>
    <x v="1"/>
    <m/>
    <s v="Omaha"/>
    <s v="Nebraska"/>
    <s v="Central"/>
    <x v="2"/>
    <x v="11"/>
    <s v="Belkin F8E887 USB Wired Ergonomic Keyboard"/>
    <x v="1309"/>
    <n v="3"/>
    <n v="0"/>
    <n v="18.893699999999999"/>
  </r>
  <r>
    <n v="9079"/>
    <x v="595"/>
    <x v="0"/>
    <x v="11"/>
    <d v="2013-02-23T00:00:00"/>
    <n v="7"/>
    <x v="1"/>
    <s v="Giulietta Weimer"/>
    <x v="0"/>
    <m/>
    <s v="Henderson"/>
    <s v="Kentucky"/>
    <s v="South"/>
    <x v="0"/>
    <x v="5"/>
    <s v="Eldon Cleatmat Plus Chair Mats for High Pile Carpets"/>
    <x v="5466"/>
    <n v="4"/>
    <n v="0"/>
    <n v="34.988799999999998"/>
  </r>
  <r>
    <n v="9080"/>
    <x v="595"/>
    <x v="0"/>
    <x v="11"/>
    <d v="2013-02-23T00:00:00"/>
    <n v="7"/>
    <x v="1"/>
    <s v="Giulietta Weimer"/>
    <x v="0"/>
    <m/>
    <s v="Henderson"/>
    <s v="Kentucky"/>
    <s v="South"/>
    <x v="1"/>
    <x v="8"/>
    <s v="Wilson Jones “Snap” Scratch Pad Binder Tool for Ring Binders"/>
    <x v="4773"/>
    <n v="1"/>
    <n v="0"/>
    <n v="2.61"/>
  </r>
  <r>
    <n v="9081"/>
    <x v="220"/>
    <x v="3"/>
    <x v="8"/>
    <d v="2014-09-14T00:00:00"/>
    <n v="2"/>
    <x v="0"/>
    <s v="Ken Heidel"/>
    <x v="1"/>
    <m/>
    <s v="Santa Ana"/>
    <s v="California"/>
    <s v="West"/>
    <x v="2"/>
    <x v="7"/>
    <s v="OtterBox Defender Series Case - Samsung Galaxy S4"/>
    <x v="2092"/>
    <n v="6"/>
    <n v="0.2"/>
    <n v="17.994"/>
  </r>
  <r>
    <n v="9082"/>
    <x v="220"/>
    <x v="3"/>
    <x v="8"/>
    <d v="2014-09-14T00:00:00"/>
    <n v="2"/>
    <x v="0"/>
    <s v="Ken Heidel"/>
    <x v="1"/>
    <m/>
    <s v="Santa Ana"/>
    <s v="California"/>
    <s v="West"/>
    <x v="1"/>
    <x v="10"/>
    <s v="Xerox 192"/>
    <x v="537"/>
    <n v="3"/>
    <n v="0"/>
    <n v="9.3312000000000008"/>
  </r>
  <r>
    <n v="9083"/>
    <x v="808"/>
    <x v="3"/>
    <x v="0"/>
    <d v="2014-11-07T00:00:00"/>
    <n v="4"/>
    <x v="1"/>
    <s v="Barry Gonzalez"/>
    <x v="0"/>
    <m/>
    <s v="Springfield"/>
    <s v="Virginia"/>
    <s v="South"/>
    <x v="1"/>
    <x v="6"/>
    <s v="Newell 318"/>
    <x v="345"/>
    <n v="2"/>
    <n v="0"/>
    <n v="1.4456"/>
  </r>
  <r>
    <n v="9084"/>
    <x v="525"/>
    <x v="1"/>
    <x v="11"/>
    <d v="2012-02-08T00:00:00"/>
    <n v="2"/>
    <x v="2"/>
    <s v="Lori Olson"/>
    <x v="1"/>
    <m/>
    <s v="Suffolk"/>
    <s v="Virginia"/>
    <s v="South"/>
    <x v="1"/>
    <x v="4"/>
    <s v="Tennsco Industrial Shelving"/>
    <x v="64"/>
    <n v="3"/>
    <n v="0"/>
    <n v="2.9346000000000001"/>
  </r>
  <r>
    <n v="9085"/>
    <x v="525"/>
    <x v="1"/>
    <x v="11"/>
    <d v="2012-02-08T00:00:00"/>
    <n v="2"/>
    <x v="2"/>
    <s v="Lori Olson"/>
    <x v="1"/>
    <m/>
    <s v="Suffolk"/>
    <s v="Virginia"/>
    <s v="South"/>
    <x v="1"/>
    <x v="10"/>
    <s v="Xerox 1920"/>
    <x v="2680"/>
    <n v="5"/>
    <n v="0"/>
    <n v="13.455"/>
  </r>
  <r>
    <n v="9086"/>
    <x v="545"/>
    <x v="0"/>
    <x v="8"/>
    <d v="2013-09-13T00:00:00"/>
    <n v="2"/>
    <x v="0"/>
    <s v="Dianna Vittorini"/>
    <x v="0"/>
    <m/>
    <s v="Los Angeles"/>
    <s v="California"/>
    <s v="West"/>
    <x v="1"/>
    <x v="8"/>
    <s v="Ibico EB-19 Dual Function Manual Binding System"/>
    <x v="4604"/>
    <n v="2"/>
    <n v="0.2"/>
    <n v="89.954800000000006"/>
  </r>
  <r>
    <n v="9087"/>
    <x v="182"/>
    <x v="0"/>
    <x v="8"/>
    <d v="2013-10-01T00:00:00"/>
    <n v="4"/>
    <x v="1"/>
    <s v="Lisa Ryan"/>
    <x v="1"/>
    <m/>
    <s v="Houston"/>
    <s v="Texas"/>
    <s v="Central"/>
    <x v="1"/>
    <x v="9"/>
    <s v="Hoover Commercial Lightweight Upright Vacuum with E-Z Empty Dirt Cup"/>
    <x v="5467"/>
    <n v="2"/>
    <n v="0.8"/>
    <n v="-251.18639999999999"/>
  </r>
  <r>
    <n v="9088"/>
    <x v="182"/>
    <x v="0"/>
    <x v="8"/>
    <d v="2013-10-01T00:00:00"/>
    <n v="4"/>
    <x v="1"/>
    <s v="Lisa Ryan"/>
    <x v="1"/>
    <m/>
    <s v="Houston"/>
    <s v="Texas"/>
    <s v="Central"/>
    <x v="0"/>
    <x v="1"/>
    <s v="High-Back Leather Manager's Chair"/>
    <x v="5468"/>
    <n v="5"/>
    <n v="0.3"/>
    <n v="-136.48949999999999"/>
  </r>
  <r>
    <n v="9089"/>
    <x v="83"/>
    <x v="1"/>
    <x v="4"/>
    <d v="2012-12-20T00:00:00"/>
    <n v="5"/>
    <x v="1"/>
    <s v="Rick Reed"/>
    <x v="1"/>
    <m/>
    <s v="Cary"/>
    <s v="North Carolina"/>
    <s v="South"/>
    <x v="2"/>
    <x v="7"/>
    <s v="Cisco Small Business SPA 502G VoIP phone"/>
    <x v="2126"/>
    <n v="3"/>
    <n v="0.2"/>
    <n v="21.5397"/>
  </r>
  <r>
    <n v="9090"/>
    <x v="42"/>
    <x v="0"/>
    <x v="8"/>
    <d v="2013-09-21T00:00:00"/>
    <n v="3"/>
    <x v="0"/>
    <s v="Troy Staebel"/>
    <x v="0"/>
    <m/>
    <s v="Springfield"/>
    <s v="Ohio"/>
    <s v="East"/>
    <x v="1"/>
    <x v="4"/>
    <s v="Safco Industrial Shelving"/>
    <x v="5469"/>
    <n v="5"/>
    <n v="0.2"/>
    <n v="-62.772500000000001"/>
  </r>
  <r>
    <n v="9091"/>
    <x v="119"/>
    <x v="3"/>
    <x v="2"/>
    <d v="2014-10-16T00:00:00"/>
    <n v="2"/>
    <x v="2"/>
    <s v="Alan Hwang"/>
    <x v="0"/>
    <m/>
    <s v="Louisville"/>
    <s v="Kentucky"/>
    <s v="South"/>
    <x v="1"/>
    <x v="4"/>
    <s v="Trav-L-File Heavy-Duty Shuttle II, Black"/>
    <x v="5470"/>
    <n v="8"/>
    <n v="0"/>
    <n v="104.568"/>
  </r>
  <r>
    <n v="9092"/>
    <x v="1141"/>
    <x v="1"/>
    <x v="1"/>
    <d v="2012-07-03T00:00:00"/>
    <n v="5"/>
    <x v="0"/>
    <s v="Dorothy Wardle"/>
    <x v="1"/>
    <m/>
    <s v="Troy"/>
    <s v="Ohio"/>
    <s v="East"/>
    <x v="1"/>
    <x v="10"/>
    <s v="Xerox 1999"/>
    <x v="12"/>
    <n v="3"/>
    <n v="0.2"/>
    <n v="5.4432"/>
  </r>
  <r>
    <n v="9093"/>
    <x v="1141"/>
    <x v="1"/>
    <x v="1"/>
    <d v="2012-07-03T00:00:00"/>
    <n v="5"/>
    <x v="0"/>
    <s v="Dorothy Wardle"/>
    <x v="1"/>
    <m/>
    <s v="Troy"/>
    <s v="Ohio"/>
    <s v="East"/>
    <x v="0"/>
    <x v="0"/>
    <s v="Sauder Forest Hills Library with Doors, Woodland Oak Finish"/>
    <x v="5471"/>
    <n v="6"/>
    <n v="0.5"/>
    <n v="-376.69319999999999"/>
  </r>
  <r>
    <n v="9094"/>
    <x v="932"/>
    <x v="1"/>
    <x v="1"/>
    <d v="2012-06-05T00:00:00"/>
    <n v="4"/>
    <x v="1"/>
    <s v="Ashley Jarboe"/>
    <x v="0"/>
    <m/>
    <s v="Detroit"/>
    <s v="Michigan"/>
    <s v="Central"/>
    <x v="2"/>
    <x v="7"/>
    <s v="Polycom CX300 Desktop Phone USB VoIP phone"/>
    <x v="3633"/>
    <n v="2"/>
    <n v="0"/>
    <n v="83.994399999999999"/>
  </r>
  <r>
    <n v="9095"/>
    <x v="932"/>
    <x v="1"/>
    <x v="1"/>
    <d v="2012-06-05T00:00:00"/>
    <n v="4"/>
    <x v="1"/>
    <s v="Ashley Jarboe"/>
    <x v="0"/>
    <m/>
    <s v="Detroit"/>
    <s v="Michigan"/>
    <s v="Central"/>
    <x v="1"/>
    <x v="8"/>
    <s v="Catalog Binders with Expanding Posts"/>
    <x v="5472"/>
    <n v="6"/>
    <n v="0"/>
    <n v="181.65600000000001"/>
  </r>
  <r>
    <n v="9096"/>
    <x v="932"/>
    <x v="1"/>
    <x v="1"/>
    <d v="2012-06-05T00:00:00"/>
    <n v="4"/>
    <x v="1"/>
    <s v="Ashley Jarboe"/>
    <x v="0"/>
    <m/>
    <s v="Detroit"/>
    <s v="Michigan"/>
    <s v="Central"/>
    <x v="2"/>
    <x v="7"/>
    <s v="iKross Bluetooth Portable Keyboard + Cell Phone Stand Holder + Brush for Apple iPhone 5S 5C 5, 4S 4"/>
    <x v="362"/>
    <n v="2"/>
    <n v="0"/>
    <n v="11.731999999999999"/>
  </r>
  <r>
    <n v="9097"/>
    <x v="932"/>
    <x v="1"/>
    <x v="1"/>
    <d v="2012-06-05T00:00:00"/>
    <n v="4"/>
    <x v="1"/>
    <s v="Ashley Jarboe"/>
    <x v="0"/>
    <m/>
    <s v="Detroit"/>
    <s v="Michigan"/>
    <s v="Central"/>
    <x v="1"/>
    <x v="2"/>
    <s v="Avery 491"/>
    <x v="1301"/>
    <n v="7"/>
    <n v="0"/>
    <n v="13.2986"/>
  </r>
  <r>
    <n v="9098"/>
    <x v="791"/>
    <x v="2"/>
    <x v="3"/>
    <d v="2011-04-17T00:00:00"/>
    <n v="5"/>
    <x v="1"/>
    <s v="Stewart Visinsky"/>
    <x v="0"/>
    <m/>
    <s v="Bloomington"/>
    <s v="Indiana"/>
    <s v="Central"/>
    <x v="1"/>
    <x v="10"/>
    <s v="Xerox 213"/>
    <x v="56"/>
    <n v="5"/>
    <n v="0"/>
    <n v="15.552"/>
  </r>
  <r>
    <n v="9099"/>
    <x v="386"/>
    <x v="3"/>
    <x v="2"/>
    <d v="2014-10-17T00:00:00"/>
    <n v="4"/>
    <x v="1"/>
    <s v="Matthew Grinstein"/>
    <x v="2"/>
    <m/>
    <s v="Dallas"/>
    <s v="Texas"/>
    <s v="Central"/>
    <x v="2"/>
    <x v="7"/>
    <s v="Clarity 53712"/>
    <x v="4085"/>
    <n v="7"/>
    <n v="0.2"/>
    <n v="27.715800000000002"/>
  </r>
  <r>
    <n v="9100"/>
    <x v="386"/>
    <x v="3"/>
    <x v="2"/>
    <d v="2014-10-17T00:00:00"/>
    <n v="4"/>
    <x v="1"/>
    <s v="Matthew Grinstein"/>
    <x v="2"/>
    <m/>
    <s v="Dallas"/>
    <s v="Texas"/>
    <s v="Central"/>
    <x v="1"/>
    <x v="10"/>
    <s v="Xerox 1993"/>
    <x v="559"/>
    <n v="2"/>
    <n v="0.2"/>
    <n v="3.7584"/>
  </r>
  <r>
    <n v="9101"/>
    <x v="386"/>
    <x v="3"/>
    <x v="2"/>
    <d v="2014-10-17T00:00:00"/>
    <n v="4"/>
    <x v="1"/>
    <s v="Matthew Grinstein"/>
    <x v="2"/>
    <m/>
    <s v="Dallas"/>
    <s v="Texas"/>
    <s v="Central"/>
    <x v="2"/>
    <x v="11"/>
    <s v="Plantronics CS510 - Over-the-Head monaural Wireless Headset System"/>
    <x v="5473"/>
    <n v="3"/>
    <n v="0.2"/>
    <n v="128.68049999999999"/>
  </r>
  <r>
    <n v="9102"/>
    <x v="209"/>
    <x v="1"/>
    <x v="0"/>
    <d v="2012-11-12T00:00:00"/>
    <n v="5"/>
    <x v="1"/>
    <s v="Adrian Barton"/>
    <x v="0"/>
    <m/>
    <s v="Houston"/>
    <s v="Texas"/>
    <s v="Central"/>
    <x v="1"/>
    <x v="6"/>
    <s v="Lumber Crayons"/>
    <x v="5474"/>
    <n v="3"/>
    <n v="0.2"/>
    <n v="5.319"/>
  </r>
  <r>
    <n v="9103"/>
    <x v="209"/>
    <x v="1"/>
    <x v="0"/>
    <d v="2012-11-12T00:00:00"/>
    <n v="5"/>
    <x v="1"/>
    <s v="Adrian Barton"/>
    <x v="0"/>
    <m/>
    <s v="Houston"/>
    <s v="Texas"/>
    <s v="Central"/>
    <x v="1"/>
    <x v="4"/>
    <s v="Gould Plastics 9-Pocket Panel Bin, 18-3/8w x 5-1/4d x 20-1/2h, Black"/>
    <x v="556"/>
    <n v="2"/>
    <n v="0.2"/>
    <n v="-16.956800000000001"/>
  </r>
  <r>
    <n v="9104"/>
    <x v="209"/>
    <x v="1"/>
    <x v="0"/>
    <d v="2012-11-12T00:00:00"/>
    <n v="5"/>
    <x v="1"/>
    <s v="Adrian Barton"/>
    <x v="0"/>
    <m/>
    <s v="Houston"/>
    <s v="Texas"/>
    <s v="Central"/>
    <x v="0"/>
    <x v="5"/>
    <s v="Tenex Chairmats For Use with Hard Floors"/>
    <x v="643"/>
    <n v="5"/>
    <n v="0.6"/>
    <n v="-84.447999999999993"/>
  </r>
  <r>
    <n v="9105"/>
    <x v="209"/>
    <x v="1"/>
    <x v="0"/>
    <d v="2012-11-12T00:00:00"/>
    <n v="5"/>
    <x v="1"/>
    <s v="Adrian Barton"/>
    <x v="0"/>
    <m/>
    <s v="Houston"/>
    <s v="Texas"/>
    <s v="Central"/>
    <x v="1"/>
    <x v="8"/>
    <s v="Avery Recycled Flexi-View Covers for Binding Systems"/>
    <x v="4078"/>
    <n v="10"/>
    <n v="0.8"/>
    <n v="-51.295999999999999"/>
  </r>
  <r>
    <n v="9106"/>
    <x v="209"/>
    <x v="1"/>
    <x v="0"/>
    <d v="2012-11-12T00:00:00"/>
    <n v="5"/>
    <x v="1"/>
    <s v="Adrian Barton"/>
    <x v="0"/>
    <m/>
    <s v="Houston"/>
    <s v="Texas"/>
    <s v="Central"/>
    <x v="1"/>
    <x v="4"/>
    <s v="Fellowes Recycled Storage Drawers"/>
    <x v="5475"/>
    <n v="2"/>
    <n v="0.2"/>
    <n v="-28.867799999999999"/>
  </r>
  <r>
    <n v="9107"/>
    <x v="209"/>
    <x v="1"/>
    <x v="0"/>
    <d v="2012-11-12T00:00:00"/>
    <n v="5"/>
    <x v="1"/>
    <s v="Adrian Barton"/>
    <x v="0"/>
    <m/>
    <s v="Houston"/>
    <s v="Texas"/>
    <s v="Central"/>
    <x v="2"/>
    <x v="15"/>
    <s v="Canon PC170 Desktop Personal Copier"/>
    <x v="3030"/>
    <n v="3"/>
    <n v="0.4"/>
    <n v="33.589500000000001"/>
  </r>
  <r>
    <n v="9108"/>
    <x v="442"/>
    <x v="1"/>
    <x v="5"/>
    <d v="2012-05-28T00:00:00"/>
    <n v="3"/>
    <x v="2"/>
    <s v="Muhammed MacIntyre"/>
    <x v="1"/>
    <m/>
    <s v="Haltom City"/>
    <s v="Texas"/>
    <s v="Central"/>
    <x v="1"/>
    <x v="14"/>
    <s v="Fiskars Spring-Action Scissors"/>
    <x v="4"/>
    <n v="2"/>
    <n v="0.2"/>
    <n v="1.6776"/>
  </r>
  <r>
    <n v="9109"/>
    <x v="442"/>
    <x v="1"/>
    <x v="5"/>
    <d v="2012-05-28T00:00:00"/>
    <n v="3"/>
    <x v="2"/>
    <s v="Muhammed MacIntyre"/>
    <x v="1"/>
    <m/>
    <s v="Haltom City"/>
    <s v="Texas"/>
    <s v="Central"/>
    <x v="1"/>
    <x v="10"/>
    <s v="Xerox 1978"/>
    <x v="5476"/>
    <n v="7"/>
    <n v="0.2"/>
    <n v="11.7334"/>
  </r>
  <r>
    <n v="9110"/>
    <x v="442"/>
    <x v="1"/>
    <x v="5"/>
    <d v="2012-05-28T00:00:00"/>
    <n v="3"/>
    <x v="2"/>
    <s v="Muhammed MacIntyre"/>
    <x v="1"/>
    <m/>
    <s v="Haltom City"/>
    <s v="Texas"/>
    <s v="Central"/>
    <x v="2"/>
    <x v="11"/>
    <s v="Logitech G35 7.1-Channel Surround Sound Headset"/>
    <x v="3568"/>
    <n v="2"/>
    <n v="0.2"/>
    <n v="36.397199999999998"/>
  </r>
  <r>
    <n v="9111"/>
    <x v="303"/>
    <x v="2"/>
    <x v="2"/>
    <d v="2011-10-15T00:00:00"/>
    <n v="2"/>
    <x v="2"/>
    <s v="Michelle Arnett"/>
    <x v="2"/>
    <m/>
    <s v="Richmond"/>
    <s v="Virginia"/>
    <s v="South"/>
    <x v="1"/>
    <x v="12"/>
    <s v="Pastel Pink Envelopes"/>
    <x v="3343"/>
    <n v="5"/>
    <n v="0"/>
    <n v="17.472000000000001"/>
  </r>
  <r>
    <n v="9112"/>
    <x v="303"/>
    <x v="2"/>
    <x v="2"/>
    <d v="2011-10-15T00:00:00"/>
    <n v="2"/>
    <x v="2"/>
    <s v="Michelle Arnett"/>
    <x v="2"/>
    <m/>
    <s v="Richmond"/>
    <s v="Virginia"/>
    <s v="South"/>
    <x v="2"/>
    <x v="11"/>
    <s v="SanDisk Cruzer 16 GB USB Flash Drive"/>
    <x v="1003"/>
    <n v="2"/>
    <n v="0"/>
    <n v="4.3624000000000001"/>
  </r>
  <r>
    <n v="9113"/>
    <x v="303"/>
    <x v="2"/>
    <x v="2"/>
    <d v="2011-10-15T00:00:00"/>
    <n v="2"/>
    <x v="2"/>
    <s v="Michelle Arnett"/>
    <x v="2"/>
    <m/>
    <s v="Richmond"/>
    <s v="Virginia"/>
    <s v="South"/>
    <x v="1"/>
    <x v="4"/>
    <s v="Space Solutions Industrial Galvanized Steel Shelving."/>
    <x v="5477"/>
    <n v="4"/>
    <n v="0"/>
    <n v="6.3040000000000003"/>
  </r>
  <r>
    <n v="9114"/>
    <x v="303"/>
    <x v="2"/>
    <x v="2"/>
    <d v="2011-10-15T00:00:00"/>
    <n v="2"/>
    <x v="2"/>
    <s v="Michelle Arnett"/>
    <x v="2"/>
    <m/>
    <s v="Richmond"/>
    <s v="Virginia"/>
    <s v="South"/>
    <x v="1"/>
    <x v="8"/>
    <s v="Wilson Jones Standard D-Ring Binders"/>
    <x v="5478"/>
    <n v="3"/>
    <n v="0"/>
    <n v="7.1345999999999998"/>
  </r>
  <r>
    <n v="9115"/>
    <x v="569"/>
    <x v="0"/>
    <x v="11"/>
    <d v="2013-02-10T00:00:00"/>
    <n v="3"/>
    <x v="0"/>
    <s v="Erica Bern"/>
    <x v="1"/>
    <m/>
    <s v="Los Angeles"/>
    <s v="California"/>
    <s v="West"/>
    <x v="2"/>
    <x v="7"/>
    <s v="Motorola L703CM"/>
    <x v="4537"/>
    <n v="5"/>
    <n v="0.2"/>
    <n v="38.997500000000002"/>
  </r>
  <r>
    <n v="9116"/>
    <x v="617"/>
    <x v="3"/>
    <x v="9"/>
    <d v="2014-01-25T00:00:00"/>
    <n v="5"/>
    <x v="0"/>
    <s v="Neola Schneider"/>
    <x v="0"/>
    <m/>
    <s v="Philadelphia"/>
    <s v="Pennsylvania"/>
    <s v="East"/>
    <x v="2"/>
    <x v="7"/>
    <s v="Wilson Electronics DB Pro Signal Booster"/>
    <x v="5479"/>
    <n v="2"/>
    <n v="0.4"/>
    <n v="-93.08"/>
  </r>
  <r>
    <n v="9117"/>
    <x v="617"/>
    <x v="3"/>
    <x v="9"/>
    <d v="2014-01-25T00:00:00"/>
    <n v="5"/>
    <x v="0"/>
    <s v="Neola Schneider"/>
    <x v="0"/>
    <m/>
    <s v="Philadelphia"/>
    <s v="Pennsylvania"/>
    <s v="East"/>
    <x v="0"/>
    <x v="5"/>
    <s v="12-1/2 Diameter Round Wall Clock"/>
    <x v="1303"/>
    <n v="2"/>
    <n v="0.2"/>
    <n v="6.3936000000000002"/>
  </r>
  <r>
    <n v="9118"/>
    <x v="617"/>
    <x v="3"/>
    <x v="9"/>
    <d v="2014-01-25T00:00:00"/>
    <n v="5"/>
    <x v="0"/>
    <s v="Neola Schneider"/>
    <x v="0"/>
    <m/>
    <s v="Philadelphia"/>
    <s v="Pennsylvania"/>
    <s v="East"/>
    <x v="0"/>
    <x v="1"/>
    <s v="Global Comet Stacking Arm Chair"/>
    <x v="4843"/>
    <n v="3"/>
    <n v="0.3"/>
    <n v="-63.3765"/>
  </r>
  <r>
    <n v="9119"/>
    <x v="617"/>
    <x v="3"/>
    <x v="9"/>
    <d v="2014-01-25T00:00:00"/>
    <n v="5"/>
    <x v="0"/>
    <s v="Neola Schneider"/>
    <x v="0"/>
    <m/>
    <s v="Philadelphia"/>
    <s v="Pennsylvania"/>
    <s v="East"/>
    <x v="1"/>
    <x v="10"/>
    <s v="Strathmore Photo Mount Cards"/>
    <x v="5480"/>
    <n v="4"/>
    <n v="0.2"/>
    <n v="7.0511999999999997"/>
  </r>
  <r>
    <n v="9120"/>
    <x v="112"/>
    <x v="0"/>
    <x v="1"/>
    <d v="2013-06-13T00:00:00"/>
    <n v="6"/>
    <x v="1"/>
    <s v="Ross Baird"/>
    <x v="2"/>
    <m/>
    <s v="Los Angeles"/>
    <s v="California"/>
    <s v="West"/>
    <x v="1"/>
    <x v="2"/>
    <s v="Avery 488"/>
    <x v="421"/>
    <n v="7"/>
    <n v="0"/>
    <n v="10.584"/>
  </r>
  <r>
    <n v="9121"/>
    <x v="112"/>
    <x v="0"/>
    <x v="1"/>
    <d v="2013-06-13T00:00:00"/>
    <n v="6"/>
    <x v="1"/>
    <s v="Ross Baird"/>
    <x v="2"/>
    <m/>
    <s v="Los Angeles"/>
    <s v="California"/>
    <s v="West"/>
    <x v="1"/>
    <x v="10"/>
    <s v="Xerox Blank Computer Paper"/>
    <x v="3324"/>
    <n v="5"/>
    <n v="0"/>
    <n v="46.953000000000003"/>
  </r>
  <r>
    <n v="9122"/>
    <x v="257"/>
    <x v="3"/>
    <x v="10"/>
    <d v="2014-03-21T00:00:00"/>
    <n v="2"/>
    <x v="0"/>
    <s v="Jason Klamczynski"/>
    <x v="1"/>
    <m/>
    <s v="Los Angeles"/>
    <s v="California"/>
    <s v="West"/>
    <x v="1"/>
    <x v="9"/>
    <s v="Fellowes Basic Home/Office Series Surge Protectors"/>
    <x v="1750"/>
    <n v="7"/>
    <n v="0"/>
    <n v="26.349399999999999"/>
  </r>
  <r>
    <n v="9123"/>
    <x v="221"/>
    <x v="3"/>
    <x v="0"/>
    <d v="2014-11-25T00:00:00"/>
    <n v="0"/>
    <x v="3"/>
    <s v="Patrick Ryan"/>
    <x v="0"/>
    <m/>
    <s v="San Francisco"/>
    <s v="California"/>
    <s v="West"/>
    <x v="1"/>
    <x v="10"/>
    <s v="Southworth 100% Résumé Paper, 24lb."/>
    <x v="3890"/>
    <n v="1"/>
    <n v="0"/>
    <n v="3.5009999999999999"/>
  </r>
  <r>
    <n v="9124"/>
    <x v="491"/>
    <x v="0"/>
    <x v="0"/>
    <d v="2013-11-29T00:00:00"/>
    <n v="2"/>
    <x v="0"/>
    <s v="Eric Hoffmann"/>
    <x v="0"/>
    <m/>
    <s v="Philadelphia"/>
    <s v="Pennsylvania"/>
    <s v="East"/>
    <x v="1"/>
    <x v="8"/>
    <s v="Binding Machine Supplies"/>
    <x v="5481"/>
    <n v="9"/>
    <n v="0.7"/>
    <n v="-57.756599999999999"/>
  </r>
  <r>
    <n v="9125"/>
    <x v="298"/>
    <x v="0"/>
    <x v="6"/>
    <d v="2013-08-21T00:00:00"/>
    <n v="2"/>
    <x v="0"/>
    <s v="Matt Abelman"/>
    <x v="2"/>
    <m/>
    <s v="Houston"/>
    <s v="Texas"/>
    <s v="Central"/>
    <x v="0"/>
    <x v="5"/>
    <s v="Staples"/>
    <x v="1235"/>
    <n v="3"/>
    <n v="0.6"/>
    <n v="-3.8208000000000002"/>
  </r>
  <r>
    <n v="9126"/>
    <x v="298"/>
    <x v="0"/>
    <x v="6"/>
    <d v="2013-08-21T00:00:00"/>
    <n v="2"/>
    <x v="0"/>
    <s v="Matt Abelman"/>
    <x v="2"/>
    <m/>
    <s v="Houston"/>
    <s v="Texas"/>
    <s v="Central"/>
    <x v="0"/>
    <x v="5"/>
    <s v="OIC Stacking Trays"/>
    <x v="752"/>
    <n v="4"/>
    <n v="0.6"/>
    <n v="-2.1375999999999999"/>
  </r>
  <r>
    <n v="9127"/>
    <x v="109"/>
    <x v="1"/>
    <x v="0"/>
    <d v="2012-12-03T00:00:00"/>
    <n v="5"/>
    <x v="1"/>
    <s v="Michelle Arnett"/>
    <x v="2"/>
    <m/>
    <s v="Las Cruces"/>
    <s v="New Mexico"/>
    <s v="West"/>
    <x v="1"/>
    <x v="6"/>
    <s v="BIC Brite Liner Highlighters"/>
    <x v="5482"/>
    <n v="2"/>
    <n v="0"/>
    <n v="3.4775999999999998"/>
  </r>
  <r>
    <n v="9128"/>
    <x v="1126"/>
    <x v="3"/>
    <x v="5"/>
    <d v="2014-06-02T00:00:00"/>
    <n v="7"/>
    <x v="1"/>
    <s v="Jeremy Lonsdale"/>
    <x v="0"/>
    <m/>
    <s v="Houston"/>
    <s v="Texas"/>
    <s v="Central"/>
    <x v="1"/>
    <x v="4"/>
    <s v="Iris 3-Drawer Stacking Bin, Black"/>
    <x v="5483"/>
    <n v="3"/>
    <n v="0.2"/>
    <n v="-11.2806"/>
  </r>
  <r>
    <n v="9129"/>
    <x v="507"/>
    <x v="3"/>
    <x v="8"/>
    <d v="2014-09-06T00:00:00"/>
    <n v="1"/>
    <x v="2"/>
    <s v="Aaron Smayling"/>
    <x v="1"/>
    <m/>
    <s v="Redmond"/>
    <s v="Oregon"/>
    <s v="West"/>
    <x v="1"/>
    <x v="8"/>
    <s v="Avery Trapezoid Extra Heavy Duty 4&quot; Binders"/>
    <x v="5484"/>
    <n v="7"/>
    <n v="0.7"/>
    <n v="-58.716000000000001"/>
  </r>
  <r>
    <n v="9130"/>
    <x v="830"/>
    <x v="0"/>
    <x v="10"/>
    <d v="2013-03-27T00:00:00"/>
    <n v="2"/>
    <x v="0"/>
    <s v="Dan Campbell"/>
    <x v="0"/>
    <m/>
    <s v="Cleveland"/>
    <s v="Ohio"/>
    <s v="East"/>
    <x v="0"/>
    <x v="0"/>
    <s v="O'Sullivan Living Dimensions 3-Shelf Bookcases"/>
    <x v="5485"/>
    <n v="3"/>
    <n v="0.5"/>
    <n v="-241.17599999999999"/>
  </r>
  <r>
    <n v="9131"/>
    <x v="830"/>
    <x v="0"/>
    <x v="10"/>
    <d v="2013-03-27T00:00:00"/>
    <n v="2"/>
    <x v="0"/>
    <s v="Dan Campbell"/>
    <x v="0"/>
    <m/>
    <s v="Cleveland"/>
    <s v="Ohio"/>
    <s v="East"/>
    <x v="1"/>
    <x v="6"/>
    <s v="Hunt BOSTON Vista Battery-Operated Pencil Sharpener, Black"/>
    <x v="3923"/>
    <n v="2"/>
    <n v="0.2"/>
    <n v="1.6324000000000001"/>
  </r>
  <r>
    <n v="9132"/>
    <x v="39"/>
    <x v="3"/>
    <x v="5"/>
    <d v="2014-06-02T00:00:00"/>
    <n v="4"/>
    <x v="1"/>
    <s v="Michael Dominguez"/>
    <x v="1"/>
    <m/>
    <s v="Laurel"/>
    <s v="Maryland"/>
    <s v="East"/>
    <x v="0"/>
    <x v="5"/>
    <s v="DAX Wood Document Frame"/>
    <x v="1287"/>
    <n v="2"/>
    <n v="0"/>
    <n v="9.8856000000000002"/>
  </r>
  <r>
    <n v="9133"/>
    <x v="39"/>
    <x v="3"/>
    <x v="5"/>
    <d v="2014-06-02T00:00:00"/>
    <n v="4"/>
    <x v="1"/>
    <s v="Michael Dominguez"/>
    <x v="1"/>
    <m/>
    <s v="Laurel"/>
    <s v="Maryland"/>
    <s v="East"/>
    <x v="1"/>
    <x v="9"/>
    <s v="Fellowes 8 Outlet Superior Workstation Surge Protector"/>
    <x v="5486"/>
    <n v="3"/>
    <n v="0"/>
    <n v="36.287700000000001"/>
  </r>
  <r>
    <n v="9134"/>
    <x v="284"/>
    <x v="1"/>
    <x v="6"/>
    <d v="2012-09-04T00:00:00"/>
    <n v="4"/>
    <x v="1"/>
    <s v="Rick Huthwaite"/>
    <x v="2"/>
    <m/>
    <s v="San Diego"/>
    <s v="California"/>
    <s v="West"/>
    <x v="2"/>
    <x v="7"/>
    <s v="Toshiba IPT2010-SD IP Telephone"/>
    <x v="5487"/>
    <n v="5"/>
    <n v="0.2"/>
    <n v="41.697000000000003"/>
  </r>
  <r>
    <n v="9135"/>
    <x v="408"/>
    <x v="0"/>
    <x v="3"/>
    <d v="2013-04-18T00:00:00"/>
    <n v="5"/>
    <x v="1"/>
    <s v="Thomas Boland"/>
    <x v="1"/>
    <m/>
    <s v="Wilson"/>
    <s v="North Carolina"/>
    <s v="South"/>
    <x v="1"/>
    <x v="4"/>
    <s v="Fellowes Bankers Box Recycled Super Stor/Drawer"/>
    <x v="5001"/>
    <n v="3"/>
    <n v="0.2"/>
    <n v="-22.671600000000002"/>
  </r>
  <r>
    <n v="9136"/>
    <x v="408"/>
    <x v="0"/>
    <x v="3"/>
    <d v="2013-04-18T00:00:00"/>
    <n v="5"/>
    <x v="1"/>
    <s v="Thomas Boland"/>
    <x v="1"/>
    <m/>
    <s v="Wilson"/>
    <s v="North Carolina"/>
    <s v="South"/>
    <x v="1"/>
    <x v="4"/>
    <s v="Fellowes Bankers Box Staxonsteel Drawer File/Stacking System"/>
    <x v="5488"/>
    <n v="1"/>
    <n v="0.2"/>
    <n v="-5.1984000000000004"/>
  </r>
  <r>
    <n v="9137"/>
    <x v="408"/>
    <x v="0"/>
    <x v="3"/>
    <d v="2013-04-18T00:00:00"/>
    <n v="5"/>
    <x v="1"/>
    <s v="Thomas Boland"/>
    <x v="1"/>
    <m/>
    <s v="Wilson"/>
    <s v="North Carolina"/>
    <s v="South"/>
    <x v="1"/>
    <x v="10"/>
    <s v="TOPS &quot;Important Message&quot; Pads, Canary, 4-1/4 x 5-1/2, 50 Sheets per Pad"/>
    <x v="1495"/>
    <n v="3"/>
    <n v="0.2"/>
    <n v="3.4668000000000001"/>
  </r>
  <r>
    <n v="9138"/>
    <x v="563"/>
    <x v="2"/>
    <x v="11"/>
    <d v="2011-02-10T00:00:00"/>
    <n v="7"/>
    <x v="1"/>
    <s v="Eric Barreto"/>
    <x v="0"/>
    <m/>
    <s v="Saint Petersburg"/>
    <s v="Florida"/>
    <s v="South"/>
    <x v="1"/>
    <x v="8"/>
    <s v="Surelock Post Binders"/>
    <x v="823"/>
    <n v="2"/>
    <n v="0.7"/>
    <n v="-12.224"/>
  </r>
  <r>
    <n v="9139"/>
    <x v="563"/>
    <x v="2"/>
    <x v="11"/>
    <d v="2011-02-10T00:00:00"/>
    <n v="7"/>
    <x v="1"/>
    <s v="Eric Barreto"/>
    <x v="0"/>
    <m/>
    <s v="Saint Petersburg"/>
    <s v="Florida"/>
    <s v="South"/>
    <x v="2"/>
    <x v="7"/>
    <s v="AT&amp;T 17929 Lendline Telephone"/>
    <x v="2131"/>
    <n v="5"/>
    <n v="0.2"/>
    <n v="13.571999999999999"/>
  </r>
  <r>
    <n v="9140"/>
    <x v="814"/>
    <x v="2"/>
    <x v="8"/>
    <d v="2011-09-08T00:00:00"/>
    <n v="6"/>
    <x v="1"/>
    <s v="Bryan Mills"/>
    <x v="0"/>
    <m/>
    <s v="Buffalo Grove"/>
    <s v="Illinois"/>
    <s v="Central"/>
    <x v="2"/>
    <x v="11"/>
    <s v="Logitech Gaming G510s - Keyboard"/>
    <x v="5267"/>
    <n v="7"/>
    <n v="0.2"/>
    <n v="95.188800000000001"/>
  </r>
  <r>
    <n v="9141"/>
    <x v="1033"/>
    <x v="3"/>
    <x v="2"/>
    <d v="2014-10-03T00:00:00"/>
    <n v="2"/>
    <x v="0"/>
    <s v="Bradley Talbott"/>
    <x v="2"/>
    <m/>
    <s v="Los Angeles"/>
    <s v="California"/>
    <s v="West"/>
    <x v="2"/>
    <x v="11"/>
    <s v="Razer Kraken PRO Over Ear PC and Music Headset"/>
    <x v="457"/>
    <n v="2"/>
    <n v="0"/>
    <n v="47.994"/>
  </r>
  <r>
    <n v="9142"/>
    <x v="64"/>
    <x v="0"/>
    <x v="8"/>
    <d v="2013-09-08T00:00:00"/>
    <n v="2"/>
    <x v="2"/>
    <s v="Fred Wasserman"/>
    <x v="1"/>
    <m/>
    <s v="New York City"/>
    <s v="New York"/>
    <s v="East"/>
    <x v="2"/>
    <x v="7"/>
    <s v="LF Elite 3D Dazzle Designer Hard Case Cover, Lf Stylus Pen and Wiper For Apple Iphone 5c Mini Lite"/>
    <x v="3477"/>
    <n v="4"/>
    <n v="0"/>
    <n v="12.208"/>
  </r>
  <r>
    <n v="9143"/>
    <x v="968"/>
    <x v="3"/>
    <x v="5"/>
    <d v="2014-05-27T00:00:00"/>
    <n v="6"/>
    <x v="1"/>
    <s v="Rick Duston"/>
    <x v="0"/>
    <m/>
    <s v="Las Vegas"/>
    <s v="Nevada"/>
    <s v="West"/>
    <x v="1"/>
    <x v="8"/>
    <s v="Wilson Jones Impact Binders"/>
    <x v="1808"/>
    <n v="2"/>
    <n v="0.2"/>
    <n v="3.0044"/>
  </r>
  <r>
    <n v="9144"/>
    <x v="968"/>
    <x v="3"/>
    <x v="5"/>
    <d v="2014-05-27T00:00:00"/>
    <n v="6"/>
    <x v="1"/>
    <s v="Rick Duston"/>
    <x v="0"/>
    <m/>
    <s v="Las Vegas"/>
    <s v="Nevada"/>
    <s v="West"/>
    <x v="2"/>
    <x v="7"/>
    <s v="Motorola L703CM"/>
    <x v="5489"/>
    <n v="9"/>
    <n v="0.2"/>
    <n v="70.195499999999996"/>
  </r>
  <r>
    <n v="9145"/>
    <x v="968"/>
    <x v="3"/>
    <x v="5"/>
    <d v="2014-05-27T00:00:00"/>
    <n v="6"/>
    <x v="1"/>
    <s v="Rick Duston"/>
    <x v="0"/>
    <m/>
    <s v="Las Vegas"/>
    <s v="Nevada"/>
    <s v="West"/>
    <x v="1"/>
    <x v="9"/>
    <s v="Fellowes Basic Home/Office Series Surge Protectors"/>
    <x v="5490"/>
    <n v="5"/>
    <n v="0"/>
    <n v="18.821000000000002"/>
  </r>
  <r>
    <n v="9146"/>
    <x v="1181"/>
    <x v="1"/>
    <x v="8"/>
    <d v="2012-09-24T00:00:00"/>
    <n v="4"/>
    <x v="1"/>
    <s v="Theone Pippenger"/>
    <x v="0"/>
    <m/>
    <s v="Naperville"/>
    <s v="Illinois"/>
    <s v="Central"/>
    <x v="1"/>
    <x v="8"/>
    <s v="Acco Translucent Poly Ring Binders"/>
    <x v="1774"/>
    <n v="3"/>
    <n v="0.8"/>
    <n v="-4.4927999999999999"/>
  </r>
  <r>
    <n v="9147"/>
    <x v="1156"/>
    <x v="0"/>
    <x v="9"/>
    <d v="2013-01-27T00:00:00"/>
    <n v="4"/>
    <x v="1"/>
    <s v="Claudia Bergmann"/>
    <x v="1"/>
    <m/>
    <s v="Burlington"/>
    <s v="Vermont"/>
    <s v="East"/>
    <x v="2"/>
    <x v="11"/>
    <s v="Logitech Wireless Marathon Mouse M705"/>
    <x v="2564"/>
    <n v="2"/>
    <n v="0"/>
    <n v="42.991399999999999"/>
  </r>
  <r>
    <n v="9148"/>
    <x v="1156"/>
    <x v="0"/>
    <x v="9"/>
    <d v="2013-01-27T00:00:00"/>
    <n v="4"/>
    <x v="1"/>
    <s v="Claudia Bergmann"/>
    <x v="1"/>
    <m/>
    <s v="Burlington"/>
    <s v="Vermont"/>
    <s v="East"/>
    <x v="1"/>
    <x v="6"/>
    <s v="4009 Highlighters"/>
    <x v="1384"/>
    <n v="6"/>
    <n v="0"/>
    <n v="2.7336"/>
  </r>
  <r>
    <n v="9149"/>
    <x v="1156"/>
    <x v="0"/>
    <x v="9"/>
    <d v="2013-01-27T00:00:00"/>
    <n v="4"/>
    <x v="1"/>
    <s v="Claudia Bergmann"/>
    <x v="1"/>
    <m/>
    <s v="Burlington"/>
    <s v="Vermont"/>
    <s v="East"/>
    <x v="1"/>
    <x v="4"/>
    <s v="Iceberg Mobile Mega Data/Printer Cart "/>
    <x v="5491"/>
    <n v="13"/>
    <n v="0"/>
    <n v="406.71539999999999"/>
  </r>
  <r>
    <n v="9150"/>
    <x v="106"/>
    <x v="2"/>
    <x v="1"/>
    <d v="2011-06-06T00:00:00"/>
    <n v="5"/>
    <x v="1"/>
    <s v="Quincy Jones"/>
    <x v="1"/>
    <m/>
    <s v="Detroit"/>
    <s v="Michigan"/>
    <s v="Central"/>
    <x v="1"/>
    <x v="8"/>
    <s v="Wilson Jones Heavy-Duty Casebound Ring Binders with Metal Hinges"/>
    <x v="5492"/>
    <n v="4"/>
    <n v="0"/>
    <n v="66.508799999999994"/>
  </r>
  <r>
    <n v="9151"/>
    <x v="106"/>
    <x v="2"/>
    <x v="1"/>
    <d v="2011-06-06T00:00:00"/>
    <n v="5"/>
    <x v="1"/>
    <s v="Quincy Jones"/>
    <x v="1"/>
    <m/>
    <s v="Detroit"/>
    <s v="Michigan"/>
    <s v="Central"/>
    <x v="1"/>
    <x v="9"/>
    <s v="Acco 6 Outlet Guardian Premium Surge Suppressor"/>
    <x v="5493"/>
    <n v="5"/>
    <n v="0.1"/>
    <n v="12.375999999999999"/>
  </r>
  <r>
    <n v="9152"/>
    <x v="496"/>
    <x v="1"/>
    <x v="8"/>
    <d v="2012-09-29T00:00:00"/>
    <n v="5"/>
    <x v="0"/>
    <s v="Kunst Miller"/>
    <x v="0"/>
    <m/>
    <s v="Avondale"/>
    <s v="Arizona"/>
    <s v="West"/>
    <x v="1"/>
    <x v="6"/>
    <s v="Dixon Ticonderoga Core-Lock Colored Pencils"/>
    <x v="4581"/>
    <n v="2"/>
    <n v="0.2"/>
    <n v="2.3685999999999998"/>
  </r>
  <r>
    <n v="9153"/>
    <x v="496"/>
    <x v="1"/>
    <x v="8"/>
    <d v="2012-09-29T00:00:00"/>
    <n v="5"/>
    <x v="0"/>
    <s v="Kunst Miller"/>
    <x v="0"/>
    <m/>
    <s v="Avondale"/>
    <s v="Arizona"/>
    <s v="West"/>
    <x v="2"/>
    <x v="11"/>
    <s v="HP Standard 104 key PS/2 Keyboard"/>
    <x v="347"/>
    <n v="2"/>
    <n v="0.2"/>
    <n v="1.45"/>
  </r>
  <r>
    <n v="9154"/>
    <x v="496"/>
    <x v="1"/>
    <x v="8"/>
    <d v="2012-09-29T00:00:00"/>
    <n v="5"/>
    <x v="0"/>
    <s v="Kunst Miller"/>
    <x v="0"/>
    <m/>
    <s v="Avondale"/>
    <s v="Arizona"/>
    <s v="West"/>
    <x v="1"/>
    <x v="6"/>
    <s v="Newell 317"/>
    <x v="2265"/>
    <n v="7"/>
    <n v="0.2"/>
    <n v="1.8522000000000001"/>
  </r>
  <r>
    <n v="9155"/>
    <x v="1147"/>
    <x v="0"/>
    <x v="6"/>
    <d v="2013-08-04T00:00:00"/>
    <n v="2"/>
    <x v="0"/>
    <s v="Khloe Miller"/>
    <x v="0"/>
    <m/>
    <s v="Philadelphia"/>
    <s v="Pennsylvania"/>
    <s v="East"/>
    <x v="0"/>
    <x v="5"/>
    <s v="Eldon 500 Class Desk Accessories"/>
    <x v="5494"/>
    <n v="2"/>
    <n v="0.2"/>
    <n v="3.1381999999999999"/>
  </r>
  <r>
    <n v="9156"/>
    <x v="1213"/>
    <x v="2"/>
    <x v="9"/>
    <d v="2011-01-29T00:00:00"/>
    <n v="5"/>
    <x v="1"/>
    <s v="Ionia McGrath"/>
    <x v="0"/>
    <m/>
    <s v="Las Vegas"/>
    <s v="Nevada"/>
    <s v="West"/>
    <x v="1"/>
    <x v="10"/>
    <s v="Xerox 195"/>
    <x v="1574"/>
    <n v="6"/>
    <n v="0"/>
    <n v="19.238399999999999"/>
  </r>
  <r>
    <n v="9157"/>
    <x v="472"/>
    <x v="2"/>
    <x v="6"/>
    <d v="2011-08-08T00:00:00"/>
    <n v="4"/>
    <x v="1"/>
    <s v="Marina Lichtenstein"/>
    <x v="1"/>
    <m/>
    <s v="Bangor"/>
    <s v="Maine"/>
    <s v="East"/>
    <x v="1"/>
    <x v="9"/>
    <s v="Eureka The Boss Cordless Rechargeable Stick Vac"/>
    <x v="5495"/>
    <n v="2"/>
    <n v="0"/>
    <n v="27.529199999999999"/>
  </r>
  <r>
    <n v="9158"/>
    <x v="472"/>
    <x v="2"/>
    <x v="6"/>
    <d v="2011-08-08T00:00:00"/>
    <n v="4"/>
    <x v="1"/>
    <s v="Marina Lichtenstein"/>
    <x v="1"/>
    <m/>
    <s v="Bangor"/>
    <s v="Maine"/>
    <s v="East"/>
    <x v="1"/>
    <x v="10"/>
    <s v="Southworth 25% Cotton Premium Laser Paper and Envelopes"/>
    <x v="5496"/>
    <n v="13"/>
    <n v="0"/>
    <n v="124.6752"/>
  </r>
  <r>
    <n v="9159"/>
    <x v="472"/>
    <x v="2"/>
    <x v="6"/>
    <d v="2011-08-08T00:00:00"/>
    <n v="4"/>
    <x v="1"/>
    <s v="Marina Lichtenstein"/>
    <x v="1"/>
    <m/>
    <s v="Bangor"/>
    <s v="Maine"/>
    <s v="East"/>
    <x v="2"/>
    <x v="11"/>
    <s v="Maxell 4.7GB DVD-R"/>
    <x v="5497"/>
    <n v="9"/>
    <n v="0"/>
    <n v="104.7222"/>
  </r>
  <r>
    <n v="9160"/>
    <x v="888"/>
    <x v="0"/>
    <x v="6"/>
    <d v="2013-08-15T00:00:00"/>
    <n v="5"/>
    <x v="1"/>
    <s v="Gary Hansen"/>
    <x v="2"/>
    <m/>
    <s v="Hendersonville"/>
    <s v="Tennessee"/>
    <s v="South"/>
    <x v="1"/>
    <x v="8"/>
    <s v="Tuff Stuff Recycled Round Ring Binders"/>
    <x v="5498"/>
    <n v="3"/>
    <n v="0.7"/>
    <n v="-3.0366"/>
  </r>
  <r>
    <n v="9161"/>
    <x v="888"/>
    <x v="0"/>
    <x v="6"/>
    <d v="2013-08-15T00:00:00"/>
    <n v="5"/>
    <x v="1"/>
    <s v="Gary Hansen"/>
    <x v="2"/>
    <m/>
    <s v="Hendersonville"/>
    <s v="Tennessee"/>
    <s v="South"/>
    <x v="1"/>
    <x v="8"/>
    <s v="Avery Durable Slant Ring Binders"/>
    <x v="5264"/>
    <n v="5"/>
    <n v="0.7"/>
    <n v="-7.92"/>
  </r>
  <r>
    <n v="9162"/>
    <x v="16"/>
    <x v="0"/>
    <x v="4"/>
    <d v="2013-12-13T00:00:00"/>
    <n v="4"/>
    <x v="1"/>
    <s v="Arthur Gainer"/>
    <x v="0"/>
    <m/>
    <s v="Eau Claire"/>
    <s v="Wisconsin"/>
    <s v="Central"/>
    <x v="0"/>
    <x v="0"/>
    <s v="Bush Westfield Collection Bookcases, Dark Cherry Finish"/>
    <x v="5499"/>
    <n v="7"/>
    <n v="0"/>
    <n v="32.468800000000002"/>
  </r>
  <r>
    <n v="9163"/>
    <x v="16"/>
    <x v="0"/>
    <x v="4"/>
    <d v="2013-12-13T00:00:00"/>
    <n v="4"/>
    <x v="1"/>
    <s v="Arthur Gainer"/>
    <x v="0"/>
    <m/>
    <s v="Eau Claire"/>
    <s v="Wisconsin"/>
    <s v="Central"/>
    <x v="0"/>
    <x v="1"/>
    <s v="Hon GuestStacker Chair"/>
    <x v="5500"/>
    <n v="3"/>
    <n v="0"/>
    <n v="176.80260000000001"/>
  </r>
  <r>
    <n v="9164"/>
    <x v="1214"/>
    <x v="1"/>
    <x v="1"/>
    <d v="2012-06-12T00:00:00"/>
    <n v="4"/>
    <x v="1"/>
    <s v="Maureen Gnade"/>
    <x v="0"/>
    <m/>
    <s v="Chicago"/>
    <s v="Illinois"/>
    <s v="Central"/>
    <x v="2"/>
    <x v="11"/>
    <s v="Maxell 4.7GB DVD+R 5/Pack"/>
    <x v="477"/>
    <n v="3"/>
    <n v="0.2"/>
    <n v="0.74250000000000005"/>
  </r>
  <r>
    <n v="9165"/>
    <x v="1214"/>
    <x v="1"/>
    <x v="1"/>
    <d v="2012-06-12T00:00:00"/>
    <n v="4"/>
    <x v="1"/>
    <s v="Maureen Gnade"/>
    <x v="0"/>
    <m/>
    <s v="Chicago"/>
    <s v="Illinois"/>
    <s v="Central"/>
    <x v="1"/>
    <x v="9"/>
    <s v="Hoover Shoulder Vac Commercial Portable Vacuum"/>
    <x v="5501"/>
    <n v="2"/>
    <n v="0.8"/>
    <n v="-393.60199999999998"/>
  </r>
  <r>
    <n v="9166"/>
    <x v="890"/>
    <x v="0"/>
    <x v="1"/>
    <d v="2013-06-27T00:00:00"/>
    <n v="2"/>
    <x v="0"/>
    <s v="Max Jones"/>
    <x v="0"/>
    <m/>
    <s v="San Diego"/>
    <s v="California"/>
    <s v="West"/>
    <x v="2"/>
    <x v="15"/>
    <s v="Okidata MB760 Printer"/>
    <x v="5502"/>
    <n v="4"/>
    <n v="0.2"/>
    <n v="503.64"/>
  </r>
  <r>
    <n v="9167"/>
    <x v="890"/>
    <x v="0"/>
    <x v="1"/>
    <d v="2013-06-27T00:00:00"/>
    <n v="2"/>
    <x v="0"/>
    <s v="Max Jones"/>
    <x v="0"/>
    <m/>
    <s v="San Diego"/>
    <s v="California"/>
    <s v="West"/>
    <x v="1"/>
    <x v="10"/>
    <s v="Xerox 189"/>
    <x v="1230"/>
    <n v="1"/>
    <n v="0"/>
    <n v="50.328000000000003"/>
  </r>
  <r>
    <n v="9168"/>
    <x v="890"/>
    <x v="0"/>
    <x v="1"/>
    <d v="2013-06-27T00:00:00"/>
    <n v="2"/>
    <x v="0"/>
    <s v="Max Jones"/>
    <x v="0"/>
    <m/>
    <s v="San Diego"/>
    <s v="California"/>
    <s v="West"/>
    <x v="1"/>
    <x v="9"/>
    <s v="APC 7 Outlet Network SurgeArrest Surge Protector"/>
    <x v="2566"/>
    <n v="3"/>
    <n v="0"/>
    <n v="72.432000000000002"/>
  </r>
  <r>
    <n v="9169"/>
    <x v="543"/>
    <x v="0"/>
    <x v="10"/>
    <d v="2013-03-20T00:00:00"/>
    <n v="4"/>
    <x v="1"/>
    <s v="Sanjit Jacobs"/>
    <x v="2"/>
    <m/>
    <s v="Jackson"/>
    <s v="Mississippi"/>
    <s v="South"/>
    <x v="1"/>
    <x v="10"/>
    <s v="Xerox 1964"/>
    <x v="5503"/>
    <n v="14"/>
    <n v="0"/>
    <n v="147.08959999999999"/>
  </r>
  <r>
    <n v="9170"/>
    <x v="543"/>
    <x v="0"/>
    <x v="10"/>
    <d v="2013-03-20T00:00:00"/>
    <n v="4"/>
    <x v="1"/>
    <s v="Sanjit Jacobs"/>
    <x v="2"/>
    <m/>
    <s v="Jackson"/>
    <s v="Mississippi"/>
    <s v="South"/>
    <x v="1"/>
    <x v="10"/>
    <s v="Xerox 1964"/>
    <x v="1816"/>
    <n v="2"/>
    <n v="0"/>
    <n v="21.012799999999999"/>
  </r>
  <r>
    <n v="9171"/>
    <x v="49"/>
    <x v="0"/>
    <x v="4"/>
    <d v="2013-12-02T00:00:00"/>
    <n v="0"/>
    <x v="3"/>
    <s v="Laurel Beltran"/>
    <x v="2"/>
    <m/>
    <s v="Oxnard"/>
    <s v="California"/>
    <s v="West"/>
    <x v="0"/>
    <x v="5"/>
    <s v="Tenex Chairmats For Use With Carpeted Floors"/>
    <x v="5504"/>
    <n v="2"/>
    <n v="0"/>
    <n v="1.5980000000000001"/>
  </r>
  <r>
    <n v="9172"/>
    <x v="49"/>
    <x v="0"/>
    <x v="4"/>
    <d v="2013-12-02T00:00:00"/>
    <n v="0"/>
    <x v="3"/>
    <s v="Laurel Beltran"/>
    <x v="2"/>
    <m/>
    <s v="Oxnard"/>
    <s v="California"/>
    <s v="West"/>
    <x v="1"/>
    <x v="10"/>
    <s v="Xerox 1886"/>
    <x v="3531"/>
    <n v="1"/>
    <n v="0"/>
    <n v="22.992000000000001"/>
  </r>
  <r>
    <n v="9173"/>
    <x v="49"/>
    <x v="0"/>
    <x v="4"/>
    <d v="2013-12-02T00:00:00"/>
    <n v="0"/>
    <x v="3"/>
    <s v="Laurel Beltran"/>
    <x v="2"/>
    <m/>
    <s v="Oxnard"/>
    <s v="California"/>
    <s v="West"/>
    <x v="1"/>
    <x v="4"/>
    <s v="Sauder Facets Collection Locker/File Cabinet, Sky Alder Finish"/>
    <x v="5505"/>
    <n v="3"/>
    <n v="0"/>
    <n v="222.58799999999999"/>
  </r>
  <r>
    <n v="9174"/>
    <x v="49"/>
    <x v="0"/>
    <x v="4"/>
    <d v="2013-12-02T00:00:00"/>
    <n v="0"/>
    <x v="3"/>
    <s v="Laurel Beltran"/>
    <x v="2"/>
    <m/>
    <s v="Oxnard"/>
    <s v="California"/>
    <s v="West"/>
    <x v="1"/>
    <x v="12"/>
    <s v="#10- 4 1/8&quot; x 9 1/2&quot; Security-Tint Envelopes"/>
    <x v="988"/>
    <n v="3"/>
    <n v="0"/>
    <n v="11.2308"/>
  </r>
  <r>
    <n v="9175"/>
    <x v="492"/>
    <x v="3"/>
    <x v="1"/>
    <d v="2014-06-15T00:00:00"/>
    <n v="2"/>
    <x v="0"/>
    <s v="Sarah Brown"/>
    <x v="0"/>
    <m/>
    <s v="Kent"/>
    <s v="Washington"/>
    <s v="West"/>
    <x v="2"/>
    <x v="7"/>
    <s v="OtterBox Defender Series Case - Samsung Galaxy S4"/>
    <x v="973"/>
    <n v="3"/>
    <n v="0.2"/>
    <n v="8.9969999999999999"/>
  </r>
  <r>
    <n v="9176"/>
    <x v="492"/>
    <x v="3"/>
    <x v="1"/>
    <d v="2014-06-15T00:00:00"/>
    <n v="2"/>
    <x v="0"/>
    <s v="Sarah Brown"/>
    <x v="0"/>
    <m/>
    <s v="Kent"/>
    <s v="Washington"/>
    <s v="West"/>
    <x v="1"/>
    <x v="10"/>
    <s v="Xerox 203"/>
    <x v="537"/>
    <n v="3"/>
    <n v="0"/>
    <n v="9.3312000000000008"/>
  </r>
  <r>
    <n v="9177"/>
    <x v="690"/>
    <x v="0"/>
    <x v="10"/>
    <d v="2013-03-25T00:00:00"/>
    <n v="5"/>
    <x v="1"/>
    <s v="Corey Catlett"/>
    <x v="1"/>
    <m/>
    <s v="Nashville"/>
    <s v="Tennessee"/>
    <s v="South"/>
    <x v="1"/>
    <x v="8"/>
    <s v="Ibico Recycled Grain-Textured Covers"/>
    <x v="756"/>
    <n v="3"/>
    <n v="0.7"/>
    <n v="-20.724"/>
  </r>
  <r>
    <n v="9178"/>
    <x v="696"/>
    <x v="0"/>
    <x v="0"/>
    <d v="2013-11-19T00:00:00"/>
    <n v="4"/>
    <x v="1"/>
    <s v="Darren Powers"/>
    <x v="0"/>
    <m/>
    <s v="New York City"/>
    <s v="New York"/>
    <s v="East"/>
    <x v="2"/>
    <x v="7"/>
    <s v="SmartStand Mobile Device Holder, Assorted Colors"/>
    <x v="62"/>
    <n v="2"/>
    <n v="0"/>
    <n v="3.9144000000000001"/>
  </r>
  <r>
    <n v="9179"/>
    <x v="696"/>
    <x v="0"/>
    <x v="0"/>
    <d v="2013-11-19T00:00:00"/>
    <n v="4"/>
    <x v="1"/>
    <s v="Darren Powers"/>
    <x v="0"/>
    <m/>
    <s v="New York City"/>
    <s v="New York"/>
    <s v="East"/>
    <x v="1"/>
    <x v="6"/>
    <s v="Boston Home &amp; Office Model 2000 Electric Pencil Sharpeners"/>
    <x v="5506"/>
    <n v="1"/>
    <n v="0"/>
    <n v="6.149"/>
  </r>
  <r>
    <n v="9180"/>
    <x v="783"/>
    <x v="3"/>
    <x v="6"/>
    <d v="2014-08-12T00:00:00"/>
    <n v="4"/>
    <x v="1"/>
    <s v="Jeremy Lonsdale"/>
    <x v="0"/>
    <m/>
    <s v="Westminster"/>
    <s v="California"/>
    <s v="West"/>
    <x v="2"/>
    <x v="7"/>
    <s v="Polycom VoiceStation 500 Conference phone"/>
    <x v="5507"/>
    <n v="3"/>
    <n v="0.2"/>
    <n v="44.2425"/>
  </r>
  <r>
    <n v="9181"/>
    <x v="783"/>
    <x v="3"/>
    <x v="6"/>
    <d v="2014-08-12T00:00:00"/>
    <n v="4"/>
    <x v="1"/>
    <s v="Jeremy Lonsdale"/>
    <x v="0"/>
    <m/>
    <s v="Westminster"/>
    <s v="California"/>
    <s v="West"/>
    <x v="1"/>
    <x v="8"/>
    <s v="Cardinal Holdit Business Card Pockets"/>
    <x v="1627"/>
    <n v="3"/>
    <n v="0.2"/>
    <n v="4.1832000000000003"/>
  </r>
  <r>
    <n v="9182"/>
    <x v="783"/>
    <x v="3"/>
    <x v="6"/>
    <d v="2014-08-12T00:00:00"/>
    <n v="4"/>
    <x v="1"/>
    <s v="Jeremy Lonsdale"/>
    <x v="0"/>
    <m/>
    <s v="Westminster"/>
    <s v="California"/>
    <s v="West"/>
    <x v="1"/>
    <x v="8"/>
    <s v="Mead 1st Gear 2&quot; Zipper Binder, Asst. Colors"/>
    <x v="5508"/>
    <n v="3"/>
    <n v="0.2"/>
    <n v="11.673"/>
  </r>
  <r>
    <n v="9183"/>
    <x v="783"/>
    <x v="3"/>
    <x v="6"/>
    <d v="2014-08-12T00:00:00"/>
    <n v="4"/>
    <x v="1"/>
    <s v="Jeremy Lonsdale"/>
    <x v="0"/>
    <m/>
    <s v="Westminster"/>
    <s v="California"/>
    <s v="West"/>
    <x v="2"/>
    <x v="11"/>
    <s v="Sony Micro Vault Click 4 GB USB 2.0 Flash Drive"/>
    <x v="5509"/>
    <n v="4"/>
    <n v="0"/>
    <n v="7.8064"/>
  </r>
  <r>
    <n v="9184"/>
    <x v="783"/>
    <x v="3"/>
    <x v="6"/>
    <d v="2014-08-12T00:00:00"/>
    <n v="4"/>
    <x v="1"/>
    <s v="Jeremy Lonsdale"/>
    <x v="0"/>
    <m/>
    <s v="Westminster"/>
    <s v="California"/>
    <s v="West"/>
    <x v="1"/>
    <x v="10"/>
    <s v="Xerox 1881"/>
    <x v="332"/>
    <n v="2"/>
    <n v="0"/>
    <n v="11.543200000000001"/>
  </r>
  <r>
    <n v="9185"/>
    <x v="783"/>
    <x v="3"/>
    <x v="6"/>
    <d v="2014-08-12T00:00:00"/>
    <n v="4"/>
    <x v="1"/>
    <s v="Jeremy Lonsdale"/>
    <x v="0"/>
    <m/>
    <s v="Westminster"/>
    <s v="California"/>
    <s v="West"/>
    <x v="0"/>
    <x v="5"/>
    <s v="Howard Miller 13-3/4&quot; Diameter Brushed Chrome Round Wall Clock"/>
    <x v="2616"/>
    <n v="1"/>
    <n v="0"/>
    <n v="15.525"/>
  </r>
  <r>
    <n v="9186"/>
    <x v="783"/>
    <x v="3"/>
    <x v="6"/>
    <d v="2014-08-12T00:00:00"/>
    <n v="4"/>
    <x v="1"/>
    <s v="Jeremy Lonsdale"/>
    <x v="0"/>
    <m/>
    <s v="Westminster"/>
    <s v="California"/>
    <s v="West"/>
    <x v="0"/>
    <x v="1"/>
    <s v="Global Enterprise Series Seating Low-Back Swivel/Tilt Chairs"/>
    <x v="5510"/>
    <n v="1"/>
    <n v="0.2"/>
    <n v="25.898"/>
  </r>
  <r>
    <n v="9187"/>
    <x v="783"/>
    <x v="3"/>
    <x v="6"/>
    <d v="2014-08-12T00:00:00"/>
    <n v="4"/>
    <x v="1"/>
    <s v="Jeremy Lonsdale"/>
    <x v="0"/>
    <m/>
    <s v="Westminster"/>
    <s v="California"/>
    <s v="West"/>
    <x v="1"/>
    <x v="9"/>
    <s v="3.6 Cubic Foot Counter Height Office Refrigerator"/>
    <x v="5511"/>
    <n v="5"/>
    <n v="0"/>
    <n v="412.46800000000002"/>
  </r>
  <r>
    <n v="9188"/>
    <x v="291"/>
    <x v="1"/>
    <x v="6"/>
    <d v="2012-08-25T00:00:00"/>
    <n v="4"/>
    <x v="1"/>
    <s v="Sean Miller"/>
    <x v="2"/>
    <m/>
    <s v="Allentown"/>
    <s v="Pennsylvania"/>
    <s v="East"/>
    <x v="1"/>
    <x v="14"/>
    <s v="Staples"/>
    <x v="4120"/>
    <n v="2"/>
    <n v="0.2"/>
    <n v="-0.6976"/>
  </r>
  <r>
    <n v="9189"/>
    <x v="291"/>
    <x v="1"/>
    <x v="6"/>
    <d v="2012-08-25T00:00:00"/>
    <n v="4"/>
    <x v="1"/>
    <s v="Sean Miller"/>
    <x v="2"/>
    <m/>
    <s v="Allentown"/>
    <s v="Pennsylvania"/>
    <s v="East"/>
    <x v="2"/>
    <x v="11"/>
    <s v="Sabrent 4-Port USB 2.0 Hub"/>
    <x v="4809"/>
    <n v="4"/>
    <n v="0.2"/>
    <n v="3.8024"/>
  </r>
  <r>
    <n v="9190"/>
    <x v="291"/>
    <x v="1"/>
    <x v="6"/>
    <d v="2012-08-25T00:00:00"/>
    <n v="4"/>
    <x v="1"/>
    <s v="Sean Miller"/>
    <x v="2"/>
    <m/>
    <s v="Allentown"/>
    <s v="Pennsylvania"/>
    <s v="East"/>
    <x v="1"/>
    <x v="4"/>
    <s v="SAFCO Commercial Wire Shelving, Black"/>
    <x v="5512"/>
    <n v="6"/>
    <n v="0.2"/>
    <n v="-165.768"/>
  </r>
  <r>
    <n v="9191"/>
    <x v="291"/>
    <x v="1"/>
    <x v="6"/>
    <d v="2012-08-25T00:00:00"/>
    <n v="4"/>
    <x v="1"/>
    <s v="Sean Miller"/>
    <x v="2"/>
    <m/>
    <s v="Allentown"/>
    <s v="Pennsylvania"/>
    <s v="East"/>
    <x v="1"/>
    <x v="8"/>
    <s v="GBC DocuBind P100 Manual Binding Machine"/>
    <x v="5513"/>
    <n v="2"/>
    <n v="0.7"/>
    <n v="-82.99"/>
  </r>
  <r>
    <n v="9192"/>
    <x v="291"/>
    <x v="1"/>
    <x v="6"/>
    <d v="2012-08-25T00:00:00"/>
    <n v="4"/>
    <x v="1"/>
    <s v="Sean Miller"/>
    <x v="2"/>
    <m/>
    <s v="Allentown"/>
    <s v="Pennsylvania"/>
    <s v="East"/>
    <x v="1"/>
    <x v="10"/>
    <s v="Xerox 1979"/>
    <x v="1967"/>
    <n v="2"/>
    <n v="0.2"/>
    <n v="15.49"/>
  </r>
  <r>
    <n v="9193"/>
    <x v="121"/>
    <x v="1"/>
    <x v="0"/>
    <d v="2012-11-07T00:00:00"/>
    <n v="5"/>
    <x v="1"/>
    <s v="Barry Blumstein"/>
    <x v="1"/>
    <m/>
    <s v="San Antonio"/>
    <s v="Texas"/>
    <s v="Central"/>
    <x v="1"/>
    <x v="8"/>
    <s v="GBC Premium Transparent Covers with Diagonal Lined Pattern"/>
    <x v="5514"/>
    <n v="7"/>
    <n v="0.8"/>
    <n v="-46.995199999999997"/>
  </r>
  <r>
    <n v="9194"/>
    <x v="121"/>
    <x v="1"/>
    <x v="0"/>
    <d v="2012-11-07T00:00:00"/>
    <n v="5"/>
    <x v="1"/>
    <s v="Barry Blumstein"/>
    <x v="1"/>
    <m/>
    <s v="San Antonio"/>
    <s v="Texas"/>
    <s v="Central"/>
    <x v="2"/>
    <x v="7"/>
    <s v="Aastra 6757i CT Wireless VoIP phone"/>
    <x v="3430"/>
    <n v="2"/>
    <n v="0.2"/>
    <n v="38.779200000000003"/>
  </r>
  <r>
    <n v="9195"/>
    <x v="953"/>
    <x v="2"/>
    <x v="0"/>
    <d v="2011-12-06T00:00:00"/>
    <n v="6"/>
    <x v="1"/>
    <s v="Philip Brown"/>
    <x v="0"/>
    <m/>
    <s v="Avondale"/>
    <s v="Arizona"/>
    <s v="West"/>
    <x v="1"/>
    <x v="14"/>
    <s v="Acme Office Executive Series Stainless Steel Trimmers"/>
    <x v="1388"/>
    <n v="7"/>
    <n v="0.2"/>
    <n v="3.5994000000000002"/>
  </r>
  <r>
    <n v="9196"/>
    <x v="953"/>
    <x v="2"/>
    <x v="0"/>
    <d v="2011-12-06T00:00:00"/>
    <n v="6"/>
    <x v="1"/>
    <s v="Philip Brown"/>
    <x v="0"/>
    <m/>
    <s v="Avondale"/>
    <s v="Arizona"/>
    <s v="West"/>
    <x v="2"/>
    <x v="11"/>
    <s v="Memorex 25GB 6X Branded Blu-Ray Recordable Disc, 30/Pack"/>
    <x v="5515"/>
    <n v="4"/>
    <n v="0.2"/>
    <n v="-16.614000000000001"/>
  </r>
  <r>
    <n v="9197"/>
    <x v="1025"/>
    <x v="2"/>
    <x v="5"/>
    <d v="2011-05-15T00:00:00"/>
    <n v="5"/>
    <x v="1"/>
    <s v="Greg Matthias"/>
    <x v="0"/>
    <m/>
    <s v="San Jose"/>
    <s v="California"/>
    <s v="West"/>
    <x v="1"/>
    <x v="10"/>
    <s v="Southworth 25% Cotton Premium Laser Paper and Envelopes"/>
    <x v="786"/>
    <n v="2"/>
    <n v="0"/>
    <n v="19.180800000000001"/>
  </r>
  <r>
    <n v="9198"/>
    <x v="1025"/>
    <x v="2"/>
    <x v="5"/>
    <d v="2011-05-15T00:00:00"/>
    <n v="5"/>
    <x v="1"/>
    <s v="Greg Matthias"/>
    <x v="0"/>
    <m/>
    <s v="San Jose"/>
    <s v="California"/>
    <s v="West"/>
    <x v="2"/>
    <x v="7"/>
    <s v="Wilson Electronics DB Pro Signal Booster"/>
    <x v="5516"/>
    <n v="5"/>
    <n v="0.2"/>
    <n v="125.3"/>
  </r>
  <r>
    <n v="9199"/>
    <x v="1025"/>
    <x v="2"/>
    <x v="5"/>
    <d v="2011-05-15T00:00:00"/>
    <n v="5"/>
    <x v="1"/>
    <s v="Greg Matthias"/>
    <x v="0"/>
    <m/>
    <s v="San Jose"/>
    <s v="California"/>
    <s v="West"/>
    <x v="1"/>
    <x v="14"/>
    <s v="Acme Design Stainless Steel Bent Scissors"/>
    <x v="5517"/>
    <n v="6"/>
    <n v="0"/>
    <n v="11.0808"/>
  </r>
  <r>
    <n v="9200"/>
    <x v="1025"/>
    <x v="2"/>
    <x v="5"/>
    <d v="2011-05-15T00:00:00"/>
    <n v="5"/>
    <x v="1"/>
    <s v="Greg Matthias"/>
    <x v="0"/>
    <m/>
    <s v="San Jose"/>
    <s v="California"/>
    <s v="West"/>
    <x v="0"/>
    <x v="1"/>
    <s v="Hon Pagoda Stacking Chairs"/>
    <x v="5518"/>
    <n v="1"/>
    <n v="0.2"/>
    <n v="32.097999999999999"/>
  </r>
  <r>
    <n v="9201"/>
    <x v="508"/>
    <x v="0"/>
    <x v="2"/>
    <d v="2013-10-21T00:00:00"/>
    <n v="3"/>
    <x v="2"/>
    <s v="Nick Radford"/>
    <x v="0"/>
    <m/>
    <s v="Perth Amboy"/>
    <s v="New Jersey"/>
    <s v="East"/>
    <x v="0"/>
    <x v="0"/>
    <s v="O'Sullivan Living Dimensions 2-Shelf Bookcases"/>
    <x v="5519"/>
    <n v="1"/>
    <n v="0"/>
    <n v="12.098000000000001"/>
  </r>
  <r>
    <n v="9202"/>
    <x v="508"/>
    <x v="0"/>
    <x v="2"/>
    <d v="2013-10-21T00:00:00"/>
    <n v="3"/>
    <x v="2"/>
    <s v="Nick Radford"/>
    <x v="0"/>
    <m/>
    <s v="Perth Amboy"/>
    <s v="New Jersey"/>
    <s v="East"/>
    <x v="1"/>
    <x v="8"/>
    <s v="GBC ProClick 150 Presentation Binding System"/>
    <x v="5520"/>
    <n v="1"/>
    <n v="0"/>
    <n v="148.51060000000001"/>
  </r>
  <r>
    <n v="9203"/>
    <x v="859"/>
    <x v="0"/>
    <x v="2"/>
    <d v="2013-11-04T00:00:00"/>
    <n v="4"/>
    <x v="1"/>
    <s v="Edward Hooks"/>
    <x v="1"/>
    <m/>
    <s v="New York City"/>
    <s v="New York"/>
    <s v="East"/>
    <x v="1"/>
    <x v="8"/>
    <s v="GBC Personal VeloBind Strips"/>
    <x v="1505"/>
    <n v="3"/>
    <n v="0.2"/>
    <n v="10.0632"/>
  </r>
  <r>
    <n v="9204"/>
    <x v="859"/>
    <x v="0"/>
    <x v="2"/>
    <d v="2013-11-04T00:00:00"/>
    <n v="4"/>
    <x v="1"/>
    <s v="Edward Hooks"/>
    <x v="1"/>
    <m/>
    <s v="New York City"/>
    <s v="New York"/>
    <s v="East"/>
    <x v="1"/>
    <x v="6"/>
    <s v="Boston KS Multi-Size Manual Pencil Sharpener"/>
    <x v="1152"/>
    <n v="5"/>
    <n v="0"/>
    <n v="32.186"/>
  </r>
  <r>
    <n v="9205"/>
    <x v="49"/>
    <x v="0"/>
    <x v="4"/>
    <d v="2013-12-06T00:00:00"/>
    <n v="4"/>
    <x v="1"/>
    <s v="Fred Hopkins"/>
    <x v="1"/>
    <m/>
    <s v="Los Angeles"/>
    <s v="California"/>
    <s v="West"/>
    <x v="1"/>
    <x v="6"/>
    <s v="Sanford Colorific Colored Pencils, 12/Box"/>
    <x v="4023"/>
    <n v="8"/>
    <n v="0"/>
    <n v="6.9119999999999999"/>
  </r>
  <r>
    <n v="9206"/>
    <x v="438"/>
    <x v="0"/>
    <x v="3"/>
    <d v="2013-04-22T00:00:00"/>
    <n v="0"/>
    <x v="3"/>
    <s v="Brian Thompson"/>
    <x v="0"/>
    <m/>
    <s v="Milford"/>
    <s v="Connecticut"/>
    <s v="East"/>
    <x v="1"/>
    <x v="6"/>
    <s v="Colorific Watercolor Pencils"/>
    <x v="1142"/>
    <n v="3"/>
    <n v="0"/>
    <n v="4.4892000000000003"/>
  </r>
  <r>
    <n v="9207"/>
    <x v="438"/>
    <x v="0"/>
    <x v="3"/>
    <d v="2013-04-22T00:00:00"/>
    <n v="0"/>
    <x v="3"/>
    <s v="Brian Thompson"/>
    <x v="0"/>
    <m/>
    <s v="Milford"/>
    <s v="Connecticut"/>
    <s v="East"/>
    <x v="1"/>
    <x v="10"/>
    <s v="Xerox 209"/>
    <x v="187"/>
    <n v="8"/>
    <n v="0"/>
    <n v="24.883199999999999"/>
  </r>
  <r>
    <n v="9208"/>
    <x v="646"/>
    <x v="3"/>
    <x v="6"/>
    <d v="2014-08-08T00:00:00"/>
    <n v="4"/>
    <x v="1"/>
    <s v="Adrian Barton"/>
    <x v="0"/>
    <m/>
    <s v="Bloomington"/>
    <s v="Illinois"/>
    <s v="Central"/>
    <x v="2"/>
    <x v="11"/>
    <s v="Kensington K72356US Mouse-in-a-Box USB Desktop Mouse"/>
    <x v="5521"/>
    <n v="3"/>
    <n v="0.2"/>
    <n v="7.4654999999999996"/>
  </r>
  <r>
    <n v="9209"/>
    <x v="646"/>
    <x v="3"/>
    <x v="6"/>
    <d v="2014-08-09T00:00:00"/>
    <n v="5"/>
    <x v="0"/>
    <s v="Scot Coram"/>
    <x v="1"/>
    <m/>
    <s v="Seattle"/>
    <s v="Washington"/>
    <s v="West"/>
    <x v="1"/>
    <x v="4"/>
    <s v="Letter/Legal File Tote with Clear Snap-On Lid, Black Granite"/>
    <x v="5522"/>
    <n v="1"/>
    <n v="0"/>
    <n v="4.1756000000000002"/>
  </r>
  <r>
    <n v="9210"/>
    <x v="157"/>
    <x v="3"/>
    <x v="4"/>
    <d v="2014-12-15T00:00:00"/>
    <n v="3"/>
    <x v="0"/>
    <s v="Roy Skaria"/>
    <x v="2"/>
    <m/>
    <s v="Burlington"/>
    <s v="Iowa"/>
    <s v="Central"/>
    <x v="1"/>
    <x v="12"/>
    <s v="Pastel Pink Envelopes"/>
    <x v="6"/>
    <n v="1"/>
    <n v="0"/>
    <n v="3.4944000000000002"/>
  </r>
  <r>
    <n v="9211"/>
    <x v="157"/>
    <x v="3"/>
    <x v="4"/>
    <d v="2014-12-15T00:00:00"/>
    <n v="3"/>
    <x v="0"/>
    <s v="Roy Skaria"/>
    <x v="2"/>
    <m/>
    <s v="Burlington"/>
    <s v="Iowa"/>
    <s v="Central"/>
    <x v="1"/>
    <x v="8"/>
    <s v="Wilson Jones Easy Flow II Sheet Lifters"/>
    <x v="5331"/>
    <n v="3"/>
    <n v="0"/>
    <n v="2.5920000000000001"/>
  </r>
  <r>
    <n v="9212"/>
    <x v="948"/>
    <x v="1"/>
    <x v="10"/>
    <d v="2012-03-19T00:00:00"/>
    <n v="5"/>
    <x v="1"/>
    <s v="Arianne Irving"/>
    <x v="0"/>
    <m/>
    <s v="Roseville"/>
    <s v="California"/>
    <s v="West"/>
    <x v="1"/>
    <x v="10"/>
    <s v="Xerox 223"/>
    <x v="537"/>
    <n v="3"/>
    <n v="0"/>
    <n v="9.3312000000000008"/>
  </r>
  <r>
    <n v="9213"/>
    <x v="589"/>
    <x v="2"/>
    <x v="4"/>
    <d v="2011-12-15T00:00:00"/>
    <n v="7"/>
    <x v="1"/>
    <s v="Denny Joy"/>
    <x v="1"/>
    <m/>
    <s v="San Francisco"/>
    <s v="California"/>
    <s v="West"/>
    <x v="0"/>
    <x v="5"/>
    <s v="Luxo Economy Swing Arm Lamp"/>
    <x v="1143"/>
    <n v="2"/>
    <n v="0"/>
    <n v="11.166399999999999"/>
  </r>
  <r>
    <n v="9214"/>
    <x v="589"/>
    <x v="2"/>
    <x v="4"/>
    <d v="2011-12-15T00:00:00"/>
    <n v="7"/>
    <x v="1"/>
    <s v="Denny Joy"/>
    <x v="1"/>
    <m/>
    <s v="San Francisco"/>
    <s v="California"/>
    <s v="West"/>
    <x v="0"/>
    <x v="5"/>
    <s v="DAX Natural Wood-Tone Poster Frame"/>
    <x v="3946"/>
    <n v="3"/>
    <n v="0"/>
    <n v="28.598400000000002"/>
  </r>
  <r>
    <n v="9215"/>
    <x v="1033"/>
    <x v="3"/>
    <x v="2"/>
    <d v="2014-10-03T00:00:00"/>
    <n v="2"/>
    <x v="2"/>
    <s v="Barbara Fisher"/>
    <x v="1"/>
    <m/>
    <s v="Philadelphia"/>
    <s v="Pennsylvania"/>
    <s v="East"/>
    <x v="1"/>
    <x v="2"/>
    <s v="Self-Adhesive Address Labels for Typewriters with Dispenser Box"/>
    <x v="5523"/>
    <n v="7"/>
    <n v="0.2"/>
    <n v="6.9741"/>
  </r>
  <r>
    <n v="9216"/>
    <x v="831"/>
    <x v="0"/>
    <x v="0"/>
    <d v="2013-11-27T00:00:00"/>
    <n v="5"/>
    <x v="1"/>
    <s v="Tiffany House"/>
    <x v="1"/>
    <m/>
    <s v="Los Angeles"/>
    <s v="California"/>
    <s v="West"/>
    <x v="1"/>
    <x v="10"/>
    <s v="Xerox 222"/>
    <x v="56"/>
    <n v="5"/>
    <n v="0"/>
    <n v="15.552"/>
  </r>
  <r>
    <n v="9217"/>
    <x v="221"/>
    <x v="3"/>
    <x v="0"/>
    <d v="2014-12-01T00:00:00"/>
    <n v="6"/>
    <x v="1"/>
    <s v="Jason Gross"/>
    <x v="1"/>
    <m/>
    <s v="Odessa"/>
    <s v="Texas"/>
    <s v="Central"/>
    <x v="1"/>
    <x v="9"/>
    <s v="Holmes Replacement Filter for HEPA Air Cleaner, Very Large Room, HEPA Filter"/>
    <x v="5524"/>
    <n v="1"/>
    <n v="0.8"/>
    <n v="-24.771599999999999"/>
  </r>
  <r>
    <n v="9218"/>
    <x v="237"/>
    <x v="3"/>
    <x v="0"/>
    <d v="2014-11-18T00:00:00"/>
    <n v="3"/>
    <x v="2"/>
    <s v="Arthur Wiediger"/>
    <x v="2"/>
    <m/>
    <s v="Minneapolis"/>
    <s v="Minnesota"/>
    <s v="Central"/>
    <x v="1"/>
    <x v="12"/>
    <s v="Security-Tint Envelopes"/>
    <x v="764"/>
    <n v="2"/>
    <n v="0"/>
    <n v="7.4871999999999996"/>
  </r>
  <r>
    <n v="9219"/>
    <x v="748"/>
    <x v="1"/>
    <x v="6"/>
    <d v="2012-08-20T00:00:00"/>
    <n v="4"/>
    <x v="1"/>
    <s v="Joni Wasserman"/>
    <x v="0"/>
    <m/>
    <s v="Philadelphia"/>
    <s v="Pennsylvania"/>
    <s v="East"/>
    <x v="1"/>
    <x v="4"/>
    <s v="Iris Project Case"/>
    <x v="4998"/>
    <n v="7"/>
    <n v="0.2"/>
    <n v="3.3515999999999999"/>
  </r>
  <r>
    <n v="9220"/>
    <x v="748"/>
    <x v="1"/>
    <x v="6"/>
    <d v="2012-08-20T00:00:00"/>
    <n v="4"/>
    <x v="1"/>
    <s v="Joni Wasserman"/>
    <x v="0"/>
    <m/>
    <s v="Philadelphia"/>
    <s v="Pennsylvania"/>
    <s v="East"/>
    <x v="0"/>
    <x v="0"/>
    <s v="O'Sullivan Plantations 2-Door Library in Landvery Oak"/>
    <x v="5485"/>
    <n v="3"/>
    <n v="0.5"/>
    <n v="-204.99959999999999"/>
  </r>
  <r>
    <n v="9221"/>
    <x v="119"/>
    <x v="3"/>
    <x v="2"/>
    <d v="2014-10-15T00:00:00"/>
    <n v="1"/>
    <x v="2"/>
    <s v="Michelle Huthwaite"/>
    <x v="0"/>
    <m/>
    <s v="Lafayette"/>
    <s v="Louisiana"/>
    <s v="South"/>
    <x v="1"/>
    <x v="2"/>
    <s v="Avery 52"/>
    <x v="466"/>
    <n v="3"/>
    <n v="0"/>
    <n v="5.2028999999999996"/>
  </r>
  <r>
    <n v="9222"/>
    <x v="119"/>
    <x v="3"/>
    <x v="2"/>
    <d v="2014-10-15T00:00:00"/>
    <n v="1"/>
    <x v="2"/>
    <s v="Michelle Huthwaite"/>
    <x v="0"/>
    <m/>
    <s v="Lafayette"/>
    <s v="Louisiana"/>
    <s v="South"/>
    <x v="0"/>
    <x v="3"/>
    <s v="Bretford Rectangular Conference Table Tops"/>
    <x v="5525"/>
    <n v="4"/>
    <n v="0"/>
    <n v="346.03960000000001"/>
  </r>
  <r>
    <n v="9223"/>
    <x v="119"/>
    <x v="3"/>
    <x v="2"/>
    <d v="2014-10-15T00:00:00"/>
    <n v="1"/>
    <x v="2"/>
    <s v="Michelle Huthwaite"/>
    <x v="0"/>
    <m/>
    <s v="Lafayette"/>
    <s v="Louisiana"/>
    <s v="South"/>
    <x v="1"/>
    <x v="10"/>
    <s v="Xerox 231"/>
    <x v="233"/>
    <n v="4"/>
    <n v="0"/>
    <n v="12.441599999999999"/>
  </r>
  <r>
    <n v="9224"/>
    <x v="259"/>
    <x v="3"/>
    <x v="0"/>
    <d v="2014-11-05T00:00:00"/>
    <n v="0"/>
    <x v="3"/>
    <s v="Frank Merwin"/>
    <x v="2"/>
    <m/>
    <s v="Bryan"/>
    <s v="Texas"/>
    <s v="Central"/>
    <x v="1"/>
    <x v="8"/>
    <s v="GBC Standard Plastic Binding Systems' Combs"/>
    <x v="5526"/>
    <n v="6"/>
    <n v="0.8"/>
    <n v="-13.188000000000001"/>
  </r>
  <r>
    <n v="9225"/>
    <x v="259"/>
    <x v="3"/>
    <x v="0"/>
    <d v="2014-11-05T00:00:00"/>
    <n v="0"/>
    <x v="3"/>
    <s v="Frank Merwin"/>
    <x v="2"/>
    <m/>
    <s v="Bryan"/>
    <s v="Texas"/>
    <s v="Central"/>
    <x v="1"/>
    <x v="8"/>
    <s v="Self-Adhesive Ring Binder Labels"/>
    <x v="4729"/>
    <n v="2"/>
    <n v="0.8"/>
    <n v="-2.3231999999999999"/>
  </r>
  <r>
    <n v="9226"/>
    <x v="259"/>
    <x v="3"/>
    <x v="0"/>
    <d v="2014-11-05T00:00:00"/>
    <n v="0"/>
    <x v="3"/>
    <s v="Frank Merwin"/>
    <x v="2"/>
    <m/>
    <s v="Bryan"/>
    <s v="Texas"/>
    <s v="Central"/>
    <x v="1"/>
    <x v="8"/>
    <s v="Wilson Jones Impact Binders"/>
    <x v="5527"/>
    <n v="4"/>
    <n v="0.8"/>
    <n v="-6.4231999999999996"/>
  </r>
  <r>
    <n v="9227"/>
    <x v="259"/>
    <x v="3"/>
    <x v="0"/>
    <d v="2014-11-05T00:00:00"/>
    <n v="0"/>
    <x v="3"/>
    <s v="Frank Merwin"/>
    <x v="2"/>
    <m/>
    <s v="Bryan"/>
    <s v="Texas"/>
    <s v="Central"/>
    <x v="1"/>
    <x v="4"/>
    <s v="Rogers Deluxe File Chest"/>
    <x v="5528"/>
    <n v="3"/>
    <n v="0.2"/>
    <n v="-12.528600000000001"/>
  </r>
  <r>
    <n v="9228"/>
    <x v="498"/>
    <x v="3"/>
    <x v="10"/>
    <d v="2014-03-25T00:00:00"/>
    <n v="5"/>
    <x v="1"/>
    <s v="George Zrebassa"/>
    <x v="1"/>
    <m/>
    <s v="Los Angeles"/>
    <s v="California"/>
    <s v="West"/>
    <x v="1"/>
    <x v="9"/>
    <s v="Belkin 5 Outlet SurgeMaster Power Centers"/>
    <x v="5529"/>
    <n v="7"/>
    <n v="0"/>
    <n v="106.7808"/>
  </r>
  <r>
    <n v="9229"/>
    <x v="935"/>
    <x v="2"/>
    <x v="0"/>
    <d v="2011-11-03T00:00:00"/>
    <n v="0"/>
    <x v="3"/>
    <s v="Tracy Collins"/>
    <x v="2"/>
    <m/>
    <s v="Los Angeles"/>
    <s v="California"/>
    <s v="West"/>
    <x v="1"/>
    <x v="6"/>
    <s v="Prang Dustless Chalk Sticks"/>
    <x v="944"/>
    <n v="4"/>
    <n v="0"/>
    <n v="3.36"/>
  </r>
  <r>
    <n v="9230"/>
    <x v="283"/>
    <x v="3"/>
    <x v="7"/>
    <d v="2014-07-27T00:00:00"/>
    <n v="3"/>
    <x v="2"/>
    <s v="Tracy Blumstein"/>
    <x v="0"/>
    <m/>
    <s v="Los Angeles"/>
    <s v="California"/>
    <s v="West"/>
    <x v="1"/>
    <x v="8"/>
    <s v="Cardinal HOLDit! Binder Insert Strips,Extra Strips"/>
    <x v="5530"/>
    <n v="3"/>
    <n v="0.2"/>
    <n v="5.5071000000000003"/>
  </r>
  <r>
    <n v="9231"/>
    <x v="283"/>
    <x v="3"/>
    <x v="7"/>
    <d v="2014-07-27T00:00:00"/>
    <n v="3"/>
    <x v="2"/>
    <s v="Tracy Blumstein"/>
    <x v="0"/>
    <m/>
    <s v="Los Angeles"/>
    <s v="California"/>
    <s v="West"/>
    <x v="1"/>
    <x v="10"/>
    <s v="Weyerhaeuser First Choice Laser/Copy Paper (20Lb. and 88 Bright)"/>
    <x v="707"/>
    <n v="9"/>
    <n v="0"/>
    <n v="27.993600000000001"/>
  </r>
  <r>
    <n v="9232"/>
    <x v="422"/>
    <x v="2"/>
    <x v="4"/>
    <d v="2011-12-31T00:00:00"/>
    <n v="4"/>
    <x v="1"/>
    <s v="Resi Pölking"/>
    <x v="0"/>
    <m/>
    <s v="Phoenix"/>
    <s v="Arizona"/>
    <s v="West"/>
    <x v="1"/>
    <x v="8"/>
    <s v="GBC DocuBind 300 Electric Binding Machine"/>
    <x v="5531"/>
    <n v="6"/>
    <n v="0.7"/>
    <n v="-694.29359999999997"/>
  </r>
  <r>
    <n v="9233"/>
    <x v="476"/>
    <x v="0"/>
    <x v="8"/>
    <d v="2013-09-07T00:00:00"/>
    <n v="4"/>
    <x v="1"/>
    <s v="Lena Radford"/>
    <x v="0"/>
    <m/>
    <s v="Los Angeles"/>
    <s v="California"/>
    <s v="West"/>
    <x v="0"/>
    <x v="5"/>
    <s v="Ultra Door Pull Handle"/>
    <x v="5532"/>
    <n v="9"/>
    <n v="0"/>
    <n v="31.244399999999999"/>
  </r>
  <r>
    <n v="9234"/>
    <x v="476"/>
    <x v="0"/>
    <x v="8"/>
    <d v="2013-09-07T00:00:00"/>
    <n v="4"/>
    <x v="1"/>
    <s v="Lena Radford"/>
    <x v="0"/>
    <m/>
    <s v="Los Angeles"/>
    <s v="California"/>
    <s v="West"/>
    <x v="1"/>
    <x v="4"/>
    <s v="Akro Stacking Bins"/>
    <x v="5533"/>
    <n v="3"/>
    <n v="0"/>
    <n v="0.94679999999999997"/>
  </r>
  <r>
    <n v="9235"/>
    <x v="476"/>
    <x v="0"/>
    <x v="8"/>
    <d v="2013-09-07T00:00:00"/>
    <n v="4"/>
    <x v="1"/>
    <s v="Lena Radford"/>
    <x v="0"/>
    <m/>
    <s v="Los Angeles"/>
    <s v="California"/>
    <s v="West"/>
    <x v="2"/>
    <x v="7"/>
    <s v="Cisco Unified IP Phone 7945G VoIP phone"/>
    <x v="2645"/>
    <n v="4"/>
    <n v="0.2"/>
    <n v="68.197999999999993"/>
  </r>
  <r>
    <n v="9236"/>
    <x v="476"/>
    <x v="0"/>
    <x v="8"/>
    <d v="2013-09-07T00:00:00"/>
    <n v="4"/>
    <x v="1"/>
    <s v="Lena Radford"/>
    <x v="0"/>
    <m/>
    <s v="Los Angeles"/>
    <s v="California"/>
    <s v="West"/>
    <x v="1"/>
    <x v="6"/>
    <s v="Blackstonian Pencils"/>
    <x v="3450"/>
    <n v="7"/>
    <n v="0"/>
    <n v="5.2332000000000001"/>
  </r>
  <r>
    <n v="9237"/>
    <x v="476"/>
    <x v="0"/>
    <x v="8"/>
    <d v="2013-09-07T00:00:00"/>
    <n v="4"/>
    <x v="1"/>
    <s v="Lena Radford"/>
    <x v="0"/>
    <m/>
    <s v="Los Angeles"/>
    <s v="California"/>
    <s v="West"/>
    <x v="0"/>
    <x v="3"/>
    <s v="Chromcraft Rectangular Conference Tables"/>
    <x v="2613"/>
    <n v="3"/>
    <n v="0.2"/>
    <n v="28.436399999999999"/>
  </r>
  <r>
    <n v="9238"/>
    <x v="476"/>
    <x v="0"/>
    <x v="8"/>
    <d v="2013-09-07T00:00:00"/>
    <n v="4"/>
    <x v="1"/>
    <s v="Lena Radford"/>
    <x v="0"/>
    <m/>
    <s v="Los Angeles"/>
    <s v="California"/>
    <s v="West"/>
    <x v="1"/>
    <x v="8"/>
    <s v="SpineVue Locking Slant-D Ring Binders by Cardinal"/>
    <x v="1746"/>
    <n v="1"/>
    <n v="0.2"/>
    <n v="2.5592000000000001"/>
  </r>
  <r>
    <n v="9239"/>
    <x v="512"/>
    <x v="3"/>
    <x v="11"/>
    <d v="2014-02-15T00:00:00"/>
    <n v="3"/>
    <x v="2"/>
    <s v="Magdelene Morse"/>
    <x v="0"/>
    <m/>
    <s v="Columbus"/>
    <s v="Ohio"/>
    <s v="East"/>
    <x v="0"/>
    <x v="5"/>
    <s v="Deflect-o RollaMat Studded, Beveled Mat for Medium Pile Carpeting"/>
    <x v="5534"/>
    <n v="2"/>
    <n v="0.2"/>
    <n v="-3.6892"/>
  </r>
  <r>
    <n v="9240"/>
    <x v="855"/>
    <x v="3"/>
    <x v="2"/>
    <d v="2014-11-03T00:00:00"/>
    <n v="6"/>
    <x v="1"/>
    <s v="Nona Balk"/>
    <x v="1"/>
    <m/>
    <s v="Tallahassee"/>
    <s v="Florida"/>
    <s v="South"/>
    <x v="1"/>
    <x v="10"/>
    <s v="Staples"/>
    <x v="5535"/>
    <n v="7"/>
    <n v="0.2"/>
    <n v="20.584199999999999"/>
  </r>
  <r>
    <n v="9241"/>
    <x v="855"/>
    <x v="3"/>
    <x v="2"/>
    <d v="2014-11-03T00:00:00"/>
    <n v="6"/>
    <x v="1"/>
    <s v="Nona Balk"/>
    <x v="1"/>
    <m/>
    <s v="Tallahassee"/>
    <s v="Florida"/>
    <s v="South"/>
    <x v="1"/>
    <x v="8"/>
    <s v="Avery Hole Reinforcements"/>
    <x v="1540"/>
    <n v="3"/>
    <n v="0.7"/>
    <n v="-3.9249000000000001"/>
  </r>
  <r>
    <n v="9242"/>
    <x v="855"/>
    <x v="3"/>
    <x v="2"/>
    <d v="2014-11-03T00:00:00"/>
    <n v="6"/>
    <x v="1"/>
    <s v="Nona Balk"/>
    <x v="1"/>
    <m/>
    <s v="Tallahassee"/>
    <s v="Florida"/>
    <s v="South"/>
    <x v="1"/>
    <x v="6"/>
    <s v="Rogers Handheld Barrel Pencil Sharpener"/>
    <x v="5536"/>
    <n v="3"/>
    <n v="0.2"/>
    <n v="0.57540000000000002"/>
  </r>
  <r>
    <n v="9243"/>
    <x v="868"/>
    <x v="2"/>
    <x v="7"/>
    <d v="2011-07-14T00:00:00"/>
    <n v="5"/>
    <x v="1"/>
    <s v="Darrin Sayre"/>
    <x v="2"/>
    <m/>
    <s v="San Francisco"/>
    <s v="California"/>
    <s v="West"/>
    <x v="1"/>
    <x v="8"/>
    <s v="Avery Hidden Tab Dividers for Binding Systems"/>
    <x v="1471"/>
    <n v="6"/>
    <n v="0.2"/>
    <n v="4.6487999999999996"/>
  </r>
  <r>
    <n v="9244"/>
    <x v="868"/>
    <x v="2"/>
    <x v="7"/>
    <d v="2011-07-14T00:00:00"/>
    <n v="5"/>
    <x v="1"/>
    <s v="Darrin Sayre"/>
    <x v="2"/>
    <m/>
    <s v="San Francisco"/>
    <s v="California"/>
    <s v="West"/>
    <x v="0"/>
    <x v="0"/>
    <s v="Bush Heritage Pine Collection 5-Shelf Bookcase, Albany Pine Finish, *Special Order"/>
    <x v="997"/>
    <n v="1"/>
    <n v="0.15"/>
    <n v="7.0490000000000004"/>
  </r>
  <r>
    <n v="9245"/>
    <x v="868"/>
    <x v="2"/>
    <x v="7"/>
    <d v="2011-07-14T00:00:00"/>
    <n v="5"/>
    <x v="1"/>
    <s v="Darrin Sayre"/>
    <x v="2"/>
    <m/>
    <s v="San Francisco"/>
    <s v="California"/>
    <s v="West"/>
    <x v="1"/>
    <x v="6"/>
    <s v="Prang Drawing Pencil Set"/>
    <x v="345"/>
    <n v="2"/>
    <n v="0"/>
    <n v="2.2240000000000002"/>
  </r>
  <r>
    <n v="9246"/>
    <x v="868"/>
    <x v="2"/>
    <x v="7"/>
    <d v="2011-07-14T00:00:00"/>
    <n v="5"/>
    <x v="1"/>
    <s v="Darrin Sayre"/>
    <x v="2"/>
    <m/>
    <s v="San Francisco"/>
    <s v="California"/>
    <s v="West"/>
    <x v="1"/>
    <x v="10"/>
    <s v="Xerox 1967"/>
    <x v="56"/>
    <n v="5"/>
    <n v="0"/>
    <n v="15.552"/>
  </r>
  <r>
    <n v="9247"/>
    <x v="1053"/>
    <x v="3"/>
    <x v="5"/>
    <d v="2014-05-27T00:00:00"/>
    <n v="4"/>
    <x v="1"/>
    <s v="Vicky Freymann"/>
    <x v="2"/>
    <m/>
    <s v="San Francisco"/>
    <s v="California"/>
    <s v="West"/>
    <x v="1"/>
    <x v="6"/>
    <s v="Newell 350"/>
    <x v="294"/>
    <n v="3"/>
    <n v="0"/>
    <n v="2.8536000000000001"/>
  </r>
  <r>
    <n v="9248"/>
    <x v="1053"/>
    <x v="3"/>
    <x v="5"/>
    <d v="2014-05-27T00:00:00"/>
    <n v="4"/>
    <x v="1"/>
    <s v="Vicky Freymann"/>
    <x v="2"/>
    <m/>
    <s v="San Francisco"/>
    <s v="California"/>
    <s v="West"/>
    <x v="1"/>
    <x v="6"/>
    <s v="Newell 333"/>
    <x v="1094"/>
    <n v="1"/>
    <n v="0"/>
    <n v="0.7228"/>
  </r>
  <r>
    <n v="9249"/>
    <x v="338"/>
    <x v="0"/>
    <x v="0"/>
    <d v="2013-11-15T00:00:00"/>
    <n v="4"/>
    <x v="1"/>
    <s v="Scott Williamson"/>
    <x v="0"/>
    <m/>
    <s v="New York City"/>
    <s v="New York"/>
    <s v="East"/>
    <x v="1"/>
    <x v="8"/>
    <s v="Presstex Flexible Ring Binders"/>
    <x v="1026"/>
    <n v="1"/>
    <n v="0.2"/>
    <n v="1.365"/>
  </r>
  <r>
    <n v="9250"/>
    <x v="338"/>
    <x v="0"/>
    <x v="0"/>
    <d v="2013-11-15T00:00:00"/>
    <n v="4"/>
    <x v="1"/>
    <s v="Scott Williamson"/>
    <x v="0"/>
    <m/>
    <s v="New York City"/>
    <s v="New York"/>
    <s v="East"/>
    <x v="2"/>
    <x v="7"/>
    <s v="BlackBerry Q10"/>
    <x v="1837"/>
    <n v="7"/>
    <n v="0"/>
    <n v="220.48249999999999"/>
  </r>
  <r>
    <n v="9251"/>
    <x v="499"/>
    <x v="0"/>
    <x v="4"/>
    <d v="2013-12-07T00:00:00"/>
    <n v="4"/>
    <x v="1"/>
    <s v="Pauline Webber"/>
    <x v="1"/>
    <m/>
    <s v="Marion"/>
    <s v="Iowa"/>
    <s v="Central"/>
    <x v="1"/>
    <x v="8"/>
    <s v="GBC White Gloss Covers, Plain Front"/>
    <x v="5537"/>
    <n v="8"/>
    <n v="0"/>
    <n v="54.444800000000001"/>
  </r>
  <r>
    <n v="9252"/>
    <x v="580"/>
    <x v="3"/>
    <x v="10"/>
    <d v="2014-03-09T00:00:00"/>
    <n v="6"/>
    <x v="1"/>
    <s v="Ken Dana"/>
    <x v="1"/>
    <m/>
    <s v="Los Angeles"/>
    <s v="California"/>
    <s v="West"/>
    <x v="1"/>
    <x v="8"/>
    <s v="Catalog Binders with Expanding Posts"/>
    <x v="3725"/>
    <n v="2"/>
    <n v="0.2"/>
    <n v="33.64"/>
  </r>
  <r>
    <n v="9253"/>
    <x v="397"/>
    <x v="3"/>
    <x v="8"/>
    <d v="2014-09-26T00:00:00"/>
    <n v="2"/>
    <x v="0"/>
    <s v="Doug O'Connell"/>
    <x v="0"/>
    <m/>
    <s v="Pine Bluff"/>
    <s v="Arkansas"/>
    <s v="South"/>
    <x v="2"/>
    <x v="11"/>
    <s v="Microsoft Wireless Mobile Mouse 4000"/>
    <x v="1695"/>
    <n v="5"/>
    <n v="0"/>
    <n v="63.984000000000002"/>
  </r>
  <r>
    <n v="9254"/>
    <x v="397"/>
    <x v="3"/>
    <x v="8"/>
    <d v="2014-09-26T00:00:00"/>
    <n v="2"/>
    <x v="0"/>
    <s v="Doug O'Connell"/>
    <x v="0"/>
    <m/>
    <s v="Pine Bluff"/>
    <s v="Arkansas"/>
    <s v="South"/>
    <x v="1"/>
    <x v="10"/>
    <s v="Xerox 225"/>
    <x v="91"/>
    <n v="2"/>
    <n v="0"/>
    <n v="6.2207999999999997"/>
  </r>
  <r>
    <n v="9255"/>
    <x v="1058"/>
    <x v="2"/>
    <x v="11"/>
    <d v="2011-02-16T00:00:00"/>
    <n v="4"/>
    <x v="0"/>
    <s v="Guy Armstrong"/>
    <x v="0"/>
    <m/>
    <s v="Columbia"/>
    <s v="Missouri"/>
    <s v="Central"/>
    <x v="0"/>
    <x v="1"/>
    <s v="Global Value Mid-Back Manager's Chair, Gray"/>
    <x v="5538"/>
    <n v="1"/>
    <n v="0"/>
    <n v="15.2225"/>
  </r>
  <r>
    <n v="9256"/>
    <x v="1058"/>
    <x v="2"/>
    <x v="11"/>
    <d v="2011-02-16T00:00:00"/>
    <n v="4"/>
    <x v="0"/>
    <s v="Guy Armstrong"/>
    <x v="0"/>
    <m/>
    <s v="Columbia"/>
    <s v="Missouri"/>
    <s v="Central"/>
    <x v="1"/>
    <x v="2"/>
    <s v="Avery 483"/>
    <x v="1801"/>
    <n v="3"/>
    <n v="0"/>
    <n v="6.8723999999999998"/>
  </r>
  <r>
    <n v="9257"/>
    <x v="1058"/>
    <x v="2"/>
    <x v="11"/>
    <d v="2011-02-16T00:00:00"/>
    <n v="4"/>
    <x v="0"/>
    <s v="Guy Armstrong"/>
    <x v="0"/>
    <m/>
    <s v="Columbia"/>
    <s v="Missouri"/>
    <s v="Central"/>
    <x v="1"/>
    <x v="8"/>
    <s v="Wilson Jones Turn Tabs Binder Tool for Ring Binders"/>
    <x v="1313"/>
    <n v="2"/>
    <n v="0"/>
    <n v="4.4344000000000001"/>
  </r>
  <r>
    <n v="9258"/>
    <x v="1058"/>
    <x v="2"/>
    <x v="11"/>
    <d v="2011-02-16T00:00:00"/>
    <n v="4"/>
    <x v="0"/>
    <s v="Guy Armstrong"/>
    <x v="0"/>
    <m/>
    <s v="Columbia"/>
    <s v="Missouri"/>
    <s v="Central"/>
    <x v="0"/>
    <x v="5"/>
    <s v="Rubbermaid ClusterMat Chairmats, Mat Size- 66&quot; x 60&quot;, Lip 20&quot; x 11&quot; -90 Degree Angle"/>
    <x v="737"/>
    <n v="3"/>
    <n v="0"/>
    <n v="53.270400000000002"/>
  </r>
  <r>
    <n v="9259"/>
    <x v="1058"/>
    <x v="2"/>
    <x v="11"/>
    <d v="2011-02-16T00:00:00"/>
    <n v="4"/>
    <x v="0"/>
    <s v="Guy Armstrong"/>
    <x v="0"/>
    <m/>
    <s v="Columbia"/>
    <s v="Missouri"/>
    <s v="Central"/>
    <x v="1"/>
    <x v="8"/>
    <s v="VariCap6 Expandable Binder"/>
    <x v="5539"/>
    <n v="3"/>
    <n v="0"/>
    <n v="24.393000000000001"/>
  </r>
  <r>
    <n v="9260"/>
    <x v="1058"/>
    <x v="2"/>
    <x v="11"/>
    <d v="2011-02-16T00:00:00"/>
    <n v="4"/>
    <x v="0"/>
    <s v="Guy Armstrong"/>
    <x v="0"/>
    <m/>
    <s v="Columbia"/>
    <s v="Missouri"/>
    <s v="Central"/>
    <x v="1"/>
    <x v="4"/>
    <s v="Fellowes Neat Ideas Storage Cubes"/>
    <x v="643"/>
    <n v="2"/>
    <n v="0"/>
    <n v="2.5983999999999998"/>
  </r>
  <r>
    <n v="9261"/>
    <x v="343"/>
    <x v="3"/>
    <x v="0"/>
    <d v="2014-11-15T00:00:00"/>
    <n v="3"/>
    <x v="0"/>
    <s v="Jeremy Lonsdale"/>
    <x v="0"/>
    <m/>
    <s v="Aberdeen"/>
    <s v="South Dakota"/>
    <s v="Central"/>
    <x v="1"/>
    <x v="14"/>
    <s v="Acme Titanium Bonded Scissors"/>
    <x v="4048"/>
    <n v="3"/>
    <n v="0"/>
    <n v="6.63"/>
  </r>
  <r>
    <n v="9262"/>
    <x v="264"/>
    <x v="3"/>
    <x v="8"/>
    <d v="2014-09-03T00:00:00"/>
    <n v="0"/>
    <x v="3"/>
    <s v="Stephanie Ulpright"/>
    <x v="2"/>
    <m/>
    <s v="Seattle"/>
    <s v="Washington"/>
    <s v="West"/>
    <x v="0"/>
    <x v="1"/>
    <s v="Global Leather Task Chair, Black"/>
    <x v="1775"/>
    <n v="3"/>
    <n v="0.2"/>
    <n v="-2.6997"/>
  </r>
  <r>
    <n v="9263"/>
    <x v="330"/>
    <x v="1"/>
    <x v="2"/>
    <d v="2012-10-13T00:00:00"/>
    <n v="4"/>
    <x v="1"/>
    <s v="Fred McMath"/>
    <x v="0"/>
    <m/>
    <s v="Detroit"/>
    <s v="Michigan"/>
    <s v="Central"/>
    <x v="0"/>
    <x v="1"/>
    <s v="High-Back Leather Manager's Chair"/>
    <x v="1917"/>
    <n v="3"/>
    <n v="0"/>
    <n v="35.097299999999997"/>
  </r>
  <r>
    <n v="9264"/>
    <x v="330"/>
    <x v="1"/>
    <x v="2"/>
    <d v="2012-10-13T00:00:00"/>
    <n v="4"/>
    <x v="1"/>
    <s v="Fred McMath"/>
    <x v="0"/>
    <m/>
    <s v="Detroit"/>
    <s v="Michigan"/>
    <s v="Central"/>
    <x v="1"/>
    <x v="9"/>
    <s v="Belkin 8 Outlet SurgeMaster II Gold Surge Protector"/>
    <x v="5540"/>
    <n v="5"/>
    <n v="0.1"/>
    <n v="53.981999999999999"/>
  </r>
  <r>
    <n v="9265"/>
    <x v="221"/>
    <x v="3"/>
    <x v="0"/>
    <d v="2014-12-02T00:00:00"/>
    <n v="7"/>
    <x v="1"/>
    <s v="Maribeth Yedwab"/>
    <x v="1"/>
    <m/>
    <s v="Memphis"/>
    <s v="Tennessee"/>
    <s v="South"/>
    <x v="1"/>
    <x v="8"/>
    <s v="Mead 1st Gear 2&quot; Zipper Binder, Asst. Colors"/>
    <x v="3177"/>
    <n v="3"/>
    <n v="0.7"/>
    <n v="-7.782"/>
  </r>
  <r>
    <n v="9266"/>
    <x v="221"/>
    <x v="3"/>
    <x v="0"/>
    <d v="2014-12-02T00:00:00"/>
    <n v="7"/>
    <x v="1"/>
    <s v="Maribeth Yedwab"/>
    <x v="1"/>
    <m/>
    <s v="Memphis"/>
    <s v="Tennessee"/>
    <s v="South"/>
    <x v="1"/>
    <x v="12"/>
    <s v="Peel &amp; Seel Recycled Catalog Envelopes, Brown"/>
    <x v="5541"/>
    <n v="7"/>
    <n v="0.2"/>
    <n v="24.318000000000001"/>
  </r>
  <r>
    <n v="9267"/>
    <x v="1215"/>
    <x v="2"/>
    <x v="11"/>
    <d v="2011-02-10T00:00:00"/>
    <n v="1"/>
    <x v="2"/>
    <s v="Nathan Mautz"/>
    <x v="2"/>
    <m/>
    <s v="North Las Vegas"/>
    <s v="Nevada"/>
    <s v="West"/>
    <x v="0"/>
    <x v="5"/>
    <s v="Master Caster Door Stop, Large Brown"/>
    <x v="58"/>
    <n v="2"/>
    <n v="0"/>
    <n v="5.5327999999999999"/>
  </r>
  <r>
    <n v="9268"/>
    <x v="12"/>
    <x v="1"/>
    <x v="8"/>
    <d v="2012-09-25T00:00:00"/>
    <n v="0"/>
    <x v="3"/>
    <s v="Carlos Soltero"/>
    <x v="0"/>
    <m/>
    <s v="Freeport"/>
    <s v="New York"/>
    <s v="East"/>
    <x v="0"/>
    <x v="1"/>
    <s v="Hon Comfortask Task/Swivel Chairs"/>
    <x v="5542"/>
    <n v="1"/>
    <n v="0.1"/>
    <n v="6.8388"/>
  </r>
  <r>
    <n v="9269"/>
    <x v="12"/>
    <x v="1"/>
    <x v="8"/>
    <d v="2012-09-25T00:00:00"/>
    <n v="0"/>
    <x v="3"/>
    <s v="Carlos Soltero"/>
    <x v="0"/>
    <m/>
    <s v="Freeport"/>
    <s v="New York"/>
    <s v="East"/>
    <x v="1"/>
    <x v="10"/>
    <s v="Xerox 1923"/>
    <x v="130"/>
    <n v="3"/>
    <n v="0"/>
    <n v="9.6191999999999993"/>
  </r>
  <r>
    <n v="9270"/>
    <x v="170"/>
    <x v="3"/>
    <x v="6"/>
    <d v="2014-08-29T00:00:00"/>
    <n v="7"/>
    <x v="1"/>
    <s v="Pete Kriz"/>
    <x v="0"/>
    <m/>
    <s v="New York City"/>
    <s v="New York"/>
    <s v="East"/>
    <x v="1"/>
    <x v="8"/>
    <s v="Avery Metallic Poly Binders"/>
    <x v="5543"/>
    <n v="7"/>
    <n v="0.2"/>
    <n v="11.2308"/>
  </r>
  <r>
    <n v="9271"/>
    <x v="170"/>
    <x v="3"/>
    <x v="6"/>
    <d v="2014-08-29T00:00:00"/>
    <n v="7"/>
    <x v="1"/>
    <s v="Pete Kriz"/>
    <x v="0"/>
    <m/>
    <s v="New York City"/>
    <s v="New York"/>
    <s v="East"/>
    <x v="1"/>
    <x v="8"/>
    <s v="GBC DocuBind TL300 Electric Binding System"/>
    <x v="5544"/>
    <n v="6"/>
    <n v="0.2"/>
    <n v="1453.1238000000001"/>
  </r>
  <r>
    <n v="9272"/>
    <x v="536"/>
    <x v="0"/>
    <x v="5"/>
    <d v="2013-05-18T00:00:00"/>
    <n v="5"/>
    <x v="1"/>
    <s v="Harry Marie"/>
    <x v="1"/>
    <m/>
    <s v="New York City"/>
    <s v="New York"/>
    <s v="East"/>
    <x v="0"/>
    <x v="5"/>
    <s v="OIC Stacking Trays"/>
    <x v="4613"/>
    <n v="3"/>
    <n v="0"/>
    <n v="4.4088000000000003"/>
  </r>
  <r>
    <n v="9273"/>
    <x v="536"/>
    <x v="0"/>
    <x v="5"/>
    <d v="2013-05-18T00:00:00"/>
    <n v="5"/>
    <x v="1"/>
    <s v="Harry Marie"/>
    <x v="1"/>
    <m/>
    <s v="New York City"/>
    <s v="New York"/>
    <s v="East"/>
    <x v="2"/>
    <x v="7"/>
    <s v="Jawbone JAMBOX Wireless Bluetooth Speaker"/>
    <x v="2050"/>
    <n v="4"/>
    <n v="0"/>
    <n v="303.3408"/>
  </r>
  <r>
    <n v="9274"/>
    <x v="264"/>
    <x v="3"/>
    <x v="8"/>
    <d v="2014-09-07T00:00:00"/>
    <n v="4"/>
    <x v="1"/>
    <s v="Alan Hwang"/>
    <x v="0"/>
    <m/>
    <s v="Henderson"/>
    <s v="Kentucky"/>
    <s v="South"/>
    <x v="1"/>
    <x v="8"/>
    <s v="GBC DocuBind 300 Electric Binding Machine"/>
    <x v="2758"/>
    <n v="3"/>
    <n v="0"/>
    <n v="757.41120000000001"/>
  </r>
  <r>
    <n v="9275"/>
    <x v="982"/>
    <x v="2"/>
    <x v="2"/>
    <d v="2011-10-10T00:00:00"/>
    <n v="0"/>
    <x v="3"/>
    <s v="Fred Chung"/>
    <x v="1"/>
    <m/>
    <s v="Albuquerque"/>
    <s v="New Mexico"/>
    <s v="West"/>
    <x v="1"/>
    <x v="6"/>
    <s v="Dixon Ticonderoga Core-Lock Colored Pencils, 48-Color Set"/>
    <x v="5545"/>
    <n v="7"/>
    <n v="0"/>
    <n v="112.574"/>
  </r>
  <r>
    <n v="9276"/>
    <x v="439"/>
    <x v="0"/>
    <x v="5"/>
    <d v="2013-05-30T00:00:00"/>
    <n v="3"/>
    <x v="0"/>
    <s v="Cathy Prescott"/>
    <x v="1"/>
    <m/>
    <s v="Delray Beach"/>
    <s v="Florida"/>
    <s v="South"/>
    <x v="1"/>
    <x v="4"/>
    <s v="Advantus Rolling Drawer Organizers"/>
    <x v="5546"/>
    <n v="6"/>
    <n v="0.2"/>
    <n v="13.8528"/>
  </r>
  <r>
    <n v="9277"/>
    <x v="439"/>
    <x v="0"/>
    <x v="5"/>
    <d v="2013-05-30T00:00:00"/>
    <n v="3"/>
    <x v="0"/>
    <s v="Cathy Prescott"/>
    <x v="1"/>
    <m/>
    <s v="Delray Beach"/>
    <s v="Florida"/>
    <s v="South"/>
    <x v="2"/>
    <x v="11"/>
    <s v="Imation 32GB Pocket Pro USB 3.0 Flash Drive - 32 GB - Black - 1 P ..."/>
    <x v="5547"/>
    <n v="2"/>
    <n v="0.2"/>
    <n v="11.98"/>
  </r>
  <r>
    <n v="9278"/>
    <x v="96"/>
    <x v="3"/>
    <x v="4"/>
    <d v="2014-12-06T00:00:00"/>
    <n v="4"/>
    <x v="1"/>
    <s v="Sean Christensen"/>
    <x v="0"/>
    <m/>
    <s v="Philadelphia"/>
    <s v="Pennsylvania"/>
    <s v="East"/>
    <x v="1"/>
    <x v="2"/>
    <s v="Avery 483"/>
    <x v="795"/>
    <n v="4"/>
    <n v="0.2"/>
    <n v="5.1791999999999998"/>
  </r>
  <r>
    <n v="9279"/>
    <x v="96"/>
    <x v="3"/>
    <x v="4"/>
    <d v="2014-12-06T00:00:00"/>
    <n v="4"/>
    <x v="1"/>
    <s v="Sean Christensen"/>
    <x v="0"/>
    <m/>
    <s v="Philadelphia"/>
    <s v="Pennsylvania"/>
    <s v="East"/>
    <x v="1"/>
    <x v="8"/>
    <s v="Acco Pressboard Covers with Storage Hooks, 14 7/8&quot; x 11&quot;, Dark Blue"/>
    <x v="5548"/>
    <n v="7"/>
    <n v="0.7"/>
    <n v="-5.6006999999999998"/>
  </r>
  <r>
    <n v="9280"/>
    <x v="96"/>
    <x v="3"/>
    <x v="4"/>
    <d v="2014-12-06T00:00:00"/>
    <n v="4"/>
    <x v="1"/>
    <s v="Sean Christensen"/>
    <x v="0"/>
    <m/>
    <s v="Philadelphia"/>
    <s v="Pennsylvania"/>
    <s v="East"/>
    <x v="0"/>
    <x v="1"/>
    <s v="Global Commerce Series High-Back Swivel/Tilt Chairs"/>
    <x v="5549"/>
    <n v="2"/>
    <n v="0.3"/>
    <n v="-28.498000000000001"/>
  </r>
  <r>
    <n v="9281"/>
    <x v="873"/>
    <x v="0"/>
    <x v="8"/>
    <d v="2013-09-25T00:00:00"/>
    <n v="4"/>
    <x v="1"/>
    <s v="Heather Jas"/>
    <x v="2"/>
    <m/>
    <s v="Seattle"/>
    <s v="Washington"/>
    <s v="West"/>
    <x v="0"/>
    <x v="0"/>
    <s v="O'Sullivan 5-Shelf Heavy-Duty Bookcases"/>
    <x v="3413"/>
    <n v="2"/>
    <n v="0"/>
    <n v="40.97"/>
  </r>
  <r>
    <n v="9282"/>
    <x v="220"/>
    <x v="3"/>
    <x v="8"/>
    <d v="2014-09-16T00:00:00"/>
    <n v="4"/>
    <x v="1"/>
    <s v="Cassandra Brandow"/>
    <x v="0"/>
    <m/>
    <s v="Richmond"/>
    <s v="Virginia"/>
    <s v="South"/>
    <x v="1"/>
    <x v="9"/>
    <s v="Hoover Commercial SteamVac"/>
    <x v="4490"/>
    <n v="5"/>
    <n v="0"/>
    <n v="20.37"/>
  </r>
  <r>
    <n v="9283"/>
    <x v="945"/>
    <x v="0"/>
    <x v="4"/>
    <d v="2014-01-05T00:00:00"/>
    <n v="5"/>
    <x v="1"/>
    <s v="Evan Henry"/>
    <x v="0"/>
    <m/>
    <s v="West Palm Beach"/>
    <s v="Florida"/>
    <s v="South"/>
    <x v="1"/>
    <x v="10"/>
    <s v="Embossed Ink Jet Note Cards"/>
    <x v="5550"/>
    <n v="4"/>
    <n v="0.2"/>
    <n v="25.278400000000001"/>
  </r>
  <r>
    <n v="9284"/>
    <x v="264"/>
    <x v="3"/>
    <x v="8"/>
    <d v="2014-09-05T00:00:00"/>
    <n v="2"/>
    <x v="0"/>
    <s v="Luke Weiss"/>
    <x v="0"/>
    <m/>
    <s v="Fort Collins"/>
    <s v="Colorado"/>
    <s v="West"/>
    <x v="1"/>
    <x v="2"/>
    <s v="Avery 519"/>
    <x v="3190"/>
    <n v="2"/>
    <n v="0.2"/>
    <n v="3.9474"/>
  </r>
  <r>
    <n v="9285"/>
    <x v="728"/>
    <x v="2"/>
    <x v="0"/>
    <d v="2011-11-23T00:00:00"/>
    <n v="5"/>
    <x v="1"/>
    <s v="Michael Kennedy"/>
    <x v="1"/>
    <m/>
    <s v="Franklin"/>
    <s v="Wisconsin"/>
    <s v="Central"/>
    <x v="0"/>
    <x v="1"/>
    <s v="Office Star - Mesh Screen back chair with Vinyl seat"/>
    <x v="600"/>
    <n v="3"/>
    <n v="0"/>
    <n v="43.223399999999998"/>
  </r>
  <r>
    <n v="9286"/>
    <x v="82"/>
    <x v="1"/>
    <x v="0"/>
    <d v="2012-11-24T00:00:00"/>
    <n v="3"/>
    <x v="2"/>
    <s v="John Huston"/>
    <x v="0"/>
    <m/>
    <s v="Monroe"/>
    <s v="North Carolina"/>
    <s v="South"/>
    <x v="0"/>
    <x v="5"/>
    <s v="Executive Impressions 14&quot; Two-Color Numerals Wall Clock"/>
    <x v="268"/>
    <n v="1"/>
    <n v="0.2"/>
    <n v="4.7712000000000003"/>
  </r>
  <r>
    <n v="9287"/>
    <x v="249"/>
    <x v="3"/>
    <x v="1"/>
    <d v="2014-06-27T00:00:00"/>
    <n v="7"/>
    <x v="1"/>
    <s v="Deborah Brumfield"/>
    <x v="2"/>
    <m/>
    <s v="Dallas"/>
    <s v="Texas"/>
    <s v="Central"/>
    <x v="1"/>
    <x v="8"/>
    <s v="GBC Plasticlear Binding Covers"/>
    <x v="4734"/>
    <n v="3"/>
    <n v="0.8"/>
    <n v="-11.020799999999999"/>
  </r>
  <r>
    <n v="9288"/>
    <x v="249"/>
    <x v="3"/>
    <x v="1"/>
    <d v="2014-06-27T00:00:00"/>
    <n v="7"/>
    <x v="1"/>
    <s v="Deborah Brumfield"/>
    <x v="2"/>
    <m/>
    <s v="Dallas"/>
    <s v="Texas"/>
    <s v="Central"/>
    <x v="0"/>
    <x v="3"/>
    <s v="Chromcraft Bull-Nose Wood Round Conference Table Top, Wood Base"/>
    <x v="5551"/>
    <n v="3"/>
    <n v="0.3"/>
    <n v="-84.961500000000001"/>
  </r>
  <r>
    <n v="9289"/>
    <x v="329"/>
    <x v="3"/>
    <x v="4"/>
    <d v="2014-12-04T00:00:00"/>
    <n v="3"/>
    <x v="2"/>
    <s v="Trudy Brown"/>
    <x v="0"/>
    <m/>
    <s v="Philadelphia"/>
    <s v="Pennsylvania"/>
    <s v="East"/>
    <x v="0"/>
    <x v="1"/>
    <s v="Global Commerce Series Low-Back Swivel/Tilt Chairs"/>
    <x v="5552"/>
    <n v="6"/>
    <n v="0.3"/>
    <n v="-15.418799999999999"/>
  </r>
  <r>
    <n v="9290"/>
    <x v="488"/>
    <x v="2"/>
    <x v="3"/>
    <d v="2011-04-26T00:00:00"/>
    <n v="3"/>
    <x v="0"/>
    <s v="Nathan Mautz"/>
    <x v="2"/>
    <m/>
    <s v="San Francisco"/>
    <s v="California"/>
    <s v="West"/>
    <x v="1"/>
    <x v="10"/>
    <s v="Xerox 1891"/>
    <x v="5553"/>
    <n v="1"/>
    <n v="0"/>
    <n v="22.9877"/>
  </r>
  <r>
    <n v="9291"/>
    <x v="865"/>
    <x v="2"/>
    <x v="8"/>
    <d v="2011-09-25T00:00:00"/>
    <n v="2"/>
    <x v="2"/>
    <s v="Thomas Thornton"/>
    <x v="0"/>
    <m/>
    <s v="Dover"/>
    <s v="Delaware"/>
    <s v="East"/>
    <x v="1"/>
    <x v="6"/>
    <s v="Newell 351"/>
    <x v="294"/>
    <n v="3"/>
    <n v="0"/>
    <n v="2.8536000000000001"/>
  </r>
  <r>
    <n v="9292"/>
    <x v="865"/>
    <x v="2"/>
    <x v="8"/>
    <d v="2011-09-25T00:00:00"/>
    <n v="2"/>
    <x v="2"/>
    <s v="Thomas Thornton"/>
    <x v="0"/>
    <m/>
    <s v="Dover"/>
    <s v="Delaware"/>
    <s v="East"/>
    <x v="1"/>
    <x v="8"/>
    <s v="Ibico Covers for Plastic or Wire Binding Elements"/>
    <x v="1323"/>
    <n v="3"/>
    <n v="0"/>
    <n v="15.525"/>
  </r>
  <r>
    <n v="9293"/>
    <x v="580"/>
    <x v="3"/>
    <x v="10"/>
    <d v="2014-03-03T00:00:00"/>
    <n v="0"/>
    <x v="3"/>
    <s v="Roland Schwarz"/>
    <x v="1"/>
    <m/>
    <s v="Waco"/>
    <s v="Texas"/>
    <s v="Central"/>
    <x v="1"/>
    <x v="8"/>
    <s v="Acco Suede Grain Vinyl Round Ring Binder"/>
    <x v="5554"/>
    <n v="1"/>
    <n v="0.8"/>
    <n v="-0.94520000000000004"/>
  </r>
  <r>
    <n v="9294"/>
    <x v="701"/>
    <x v="3"/>
    <x v="0"/>
    <d v="2014-11-22T00:00:00"/>
    <n v="4"/>
    <x v="0"/>
    <s v="Trudy Brown"/>
    <x v="0"/>
    <m/>
    <s v="Hagerstown"/>
    <s v="Maryland"/>
    <s v="East"/>
    <x v="1"/>
    <x v="8"/>
    <s v="Angle-D Binders with Locking Rings, Label Holders"/>
    <x v="1844"/>
    <n v="6"/>
    <n v="0"/>
    <n v="20.585999999999999"/>
  </r>
  <r>
    <n v="9295"/>
    <x v="39"/>
    <x v="3"/>
    <x v="5"/>
    <d v="2014-06-02T00:00:00"/>
    <n v="4"/>
    <x v="1"/>
    <s v="Alice McCarthy"/>
    <x v="1"/>
    <m/>
    <s v="Cleveland"/>
    <s v="Ohio"/>
    <s v="East"/>
    <x v="1"/>
    <x v="10"/>
    <s v="HP Office Recycled Paper (20Lb. and 87 Bright)"/>
    <x v="847"/>
    <n v="3"/>
    <n v="0.2"/>
    <n v="5.0286"/>
  </r>
  <r>
    <n v="9296"/>
    <x v="39"/>
    <x v="3"/>
    <x v="5"/>
    <d v="2014-06-02T00:00:00"/>
    <n v="4"/>
    <x v="1"/>
    <s v="Alice McCarthy"/>
    <x v="1"/>
    <m/>
    <s v="Cleveland"/>
    <s v="Ohio"/>
    <s v="East"/>
    <x v="0"/>
    <x v="0"/>
    <s v="Bush Westfield Collection Bookcases, Medium Cherry Finish"/>
    <x v="4518"/>
    <n v="4"/>
    <n v="0.5"/>
    <n v="-64.937600000000003"/>
  </r>
  <r>
    <n v="9297"/>
    <x v="24"/>
    <x v="1"/>
    <x v="3"/>
    <d v="2012-04-22T00:00:00"/>
    <n v="4"/>
    <x v="0"/>
    <s v="Michael Paige"/>
    <x v="1"/>
    <m/>
    <s v="Mcallen"/>
    <s v="Texas"/>
    <s v="Central"/>
    <x v="2"/>
    <x v="11"/>
    <s v="TRENDnet 56K USB 2.0 Phone, Internet and Fax Modem"/>
    <x v="2890"/>
    <n v="2"/>
    <n v="0.2"/>
    <n v="8.2848000000000006"/>
  </r>
  <r>
    <n v="9298"/>
    <x v="24"/>
    <x v="1"/>
    <x v="3"/>
    <d v="2012-04-22T00:00:00"/>
    <n v="4"/>
    <x v="0"/>
    <s v="Michael Paige"/>
    <x v="1"/>
    <m/>
    <s v="Mcallen"/>
    <s v="Texas"/>
    <s v="Central"/>
    <x v="2"/>
    <x v="7"/>
    <s v="Grandstream GXP2100 Mainstream Business Phone"/>
    <x v="4329"/>
    <n v="4"/>
    <n v="0.2"/>
    <n v="24.476800000000001"/>
  </r>
  <r>
    <n v="9299"/>
    <x v="24"/>
    <x v="1"/>
    <x v="3"/>
    <d v="2012-04-22T00:00:00"/>
    <n v="4"/>
    <x v="0"/>
    <s v="Michael Paige"/>
    <x v="1"/>
    <m/>
    <s v="Mcallen"/>
    <s v="Texas"/>
    <s v="Central"/>
    <x v="1"/>
    <x v="6"/>
    <s v="Boston School Pro Electric Pencil Sharpener, 1670"/>
    <x v="1339"/>
    <n v="3"/>
    <n v="0.2"/>
    <n v="6.5057999999999998"/>
  </r>
  <r>
    <n v="9300"/>
    <x v="24"/>
    <x v="1"/>
    <x v="3"/>
    <d v="2012-04-22T00:00:00"/>
    <n v="4"/>
    <x v="0"/>
    <s v="Michael Paige"/>
    <x v="1"/>
    <m/>
    <s v="Mcallen"/>
    <s v="Texas"/>
    <s v="Central"/>
    <x v="1"/>
    <x v="8"/>
    <s v="GBC Standard Recycled Report Covers, Clear Plastic Sheets"/>
    <x v="3093"/>
    <n v="2"/>
    <n v="0.8"/>
    <n v="-6.8992000000000004"/>
  </r>
  <r>
    <n v="9301"/>
    <x v="24"/>
    <x v="1"/>
    <x v="3"/>
    <d v="2012-04-22T00:00:00"/>
    <n v="4"/>
    <x v="0"/>
    <s v="Michael Paige"/>
    <x v="1"/>
    <m/>
    <s v="Mcallen"/>
    <s v="Texas"/>
    <s v="Central"/>
    <x v="0"/>
    <x v="1"/>
    <s v="Global Geo Office Task Chair, Gray"/>
    <x v="4193"/>
    <n v="1"/>
    <n v="0.3"/>
    <n v="-20.245000000000001"/>
  </r>
  <r>
    <n v="9302"/>
    <x v="24"/>
    <x v="1"/>
    <x v="3"/>
    <d v="2012-04-22T00:00:00"/>
    <n v="4"/>
    <x v="0"/>
    <s v="Michael Paige"/>
    <x v="1"/>
    <m/>
    <s v="Mcallen"/>
    <s v="Texas"/>
    <s v="Central"/>
    <x v="2"/>
    <x v="7"/>
    <s v="Lunatik TT5L-002 Taktik Strike Impact Protection System for iPhone 5"/>
    <x v="5555"/>
    <n v="2"/>
    <n v="0.2"/>
    <n v="6.1230000000000002"/>
  </r>
  <r>
    <n v="9303"/>
    <x v="24"/>
    <x v="1"/>
    <x v="3"/>
    <d v="2012-04-22T00:00:00"/>
    <n v="4"/>
    <x v="0"/>
    <s v="Michael Paige"/>
    <x v="1"/>
    <m/>
    <s v="Mcallen"/>
    <s v="Texas"/>
    <s v="Central"/>
    <x v="1"/>
    <x v="6"/>
    <s v="Newell 348"/>
    <x v="956"/>
    <n v="3"/>
    <n v="0.2"/>
    <n v="0.88560000000000005"/>
  </r>
  <r>
    <n v="9304"/>
    <x v="24"/>
    <x v="1"/>
    <x v="3"/>
    <d v="2012-04-22T00:00:00"/>
    <n v="4"/>
    <x v="0"/>
    <s v="Michael Paige"/>
    <x v="1"/>
    <m/>
    <s v="Mcallen"/>
    <s v="Texas"/>
    <s v="Central"/>
    <x v="1"/>
    <x v="10"/>
    <s v="Xerox 1994"/>
    <x v="12"/>
    <n v="3"/>
    <n v="0.2"/>
    <n v="5.4432"/>
  </r>
  <r>
    <n v="9305"/>
    <x v="24"/>
    <x v="1"/>
    <x v="3"/>
    <d v="2012-04-22T00:00:00"/>
    <n v="4"/>
    <x v="0"/>
    <s v="Michael Paige"/>
    <x v="1"/>
    <m/>
    <s v="Mcallen"/>
    <s v="Texas"/>
    <s v="Central"/>
    <x v="1"/>
    <x v="8"/>
    <s v="GBC Plastic Binding Combs"/>
    <x v="3466"/>
    <n v="1"/>
    <n v="0.8"/>
    <n v="-2.2877999999999998"/>
  </r>
  <r>
    <n v="9306"/>
    <x v="444"/>
    <x v="1"/>
    <x v="8"/>
    <d v="2012-09-24T00:00:00"/>
    <n v="5"/>
    <x v="1"/>
    <s v="Marc Harrigan"/>
    <x v="2"/>
    <m/>
    <s v="Santa Fe"/>
    <s v="New Mexico"/>
    <s v="West"/>
    <x v="1"/>
    <x v="6"/>
    <s v="Newell 323"/>
    <x v="3566"/>
    <n v="5"/>
    <n v="0"/>
    <n v="2.1840000000000002"/>
  </r>
  <r>
    <n v="9307"/>
    <x v="727"/>
    <x v="2"/>
    <x v="10"/>
    <d v="2011-03-30T00:00:00"/>
    <n v="5"/>
    <x v="1"/>
    <s v="Christina Anderson"/>
    <x v="0"/>
    <m/>
    <s v="San Francisco"/>
    <s v="California"/>
    <s v="West"/>
    <x v="1"/>
    <x v="6"/>
    <s v="Newell 35"/>
    <x v="2578"/>
    <n v="2"/>
    <n v="0"/>
    <n v="1.9024000000000001"/>
  </r>
  <r>
    <n v="9308"/>
    <x v="727"/>
    <x v="2"/>
    <x v="10"/>
    <d v="2011-03-30T00:00:00"/>
    <n v="5"/>
    <x v="1"/>
    <s v="Christina Anderson"/>
    <x v="0"/>
    <m/>
    <s v="San Francisco"/>
    <s v="California"/>
    <s v="West"/>
    <x v="1"/>
    <x v="6"/>
    <s v="Eberhard Faber 3 1/2&quot; Golf Pencils"/>
    <x v="3544"/>
    <n v="2"/>
    <n v="0"/>
    <n v="3.72"/>
  </r>
  <r>
    <n v="9309"/>
    <x v="727"/>
    <x v="2"/>
    <x v="10"/>
    <d v="2011-03-30T00:00:00"/>
    <n v="5"/>
    <x v="1"/>
    <s v="Christina Anderson"/>
    <x v="0"/>
    <m/>
    <s v="San Francisco"/>
    <s v="California"/>
    <s v="West"/>
    <x v="2"/>
    <x v="11"/>
    <s v="Imation Swivel Flash Drive USB flash drive - 8 GB"/>
    <x v="295"/>
    <n v="4"/>
    <n v="0"/>
    <n v="15.917999999999999"/>
  </r>
  <r>
    <n v="9310"/>
    <x v="727"/>
    <x v="2"/>
    <x v="10"/>
    <d v="2011-03-30T00:00:00"/>
    <n v="5"/>
    <x v="1"/>
    <s v="Christina Anderson"/>
    <x v="0"/>
    <m/>
    <s v="San Francisco"/>
    <s v="California"/>
    <s v="West"/>
    <x v="1"/>
    <x v="6"/>
    <s v="BIC Brite Liner Grip Highlighters, Assorted, 5/Pack"/>
    <x v="2326"/>
    <n v="6"/>
    <n v="0"/>
    <n v="9.9215999999999998"/>
  </r>
  <r>
    <n v="9311"/>
    <x v="370"/>
    <x v="0"/>
    <x v="6"/>
    <d v="2013-09-01T00:00:00"/>
    <n v="5"/>
    <x v="1"/>
    <s v="Ken Dana"/>
    <x v="1"/>
    <m/>
    <s v="New York City"/>
    <s v="New York"/>
    <s v="East"/>
    <x v="1"/>
    <x v="8"/>
    <s v="Deluxe Heavy-Duty Vinyl Round Ring Binder"/>
    <x v="4603"/>
    <n v="8"/>
    <n v="0.2"/>
    <n v="45.84"/>
  </r>
  <r>
    <n v="9312"/>
    <x v="904"/>
    <x v="3"/>
    <x v="10"/>
    <d v="2014-03-13T00:00:00"/>
    <n v="6"/>
    <x v="1"/>
    <s v="Don Weiss"/>
    <x v="0"/>
    <m/>
    <s v="Dallas"/>
    <s v="Texas"/>
    <s v="Central"/>
    <x v="1"/>
    <x v="2"/>
    <s v="Avery 511"/>
    <x v="1253"/>
    <n v="2"/>
    <n v="0.2"/>
    <n v="1.7248000000000001"/>
  </r>
  <r>
    <n v="9313"/>
    <x v="904"/>
    <x v="3"/>
    <x v="10"/>
    <d v="2014-03-13T00:00:00"/>
    <n v="6"/>
    <x v="1"/>
    <s v="Don Weiss"/>
    <x v="0"/>
    <m/>
    <s v="Dallas"/>
    <s v="Texas"/>
    <s v="Central"/>
    <x v="1"/>
    <x v="6"/>
    <s v="Newell 345"/>
    <x v="5556"/>
    <n v="4"/>
    <n v="0.2"/>
    <n v="4.7615999999999996"/>
  </r>
  <r>
    <n v="9314"/>
    <x v="1216"/>
    <x v="1"/>
    <x v="0"/>
    <d v="2012-11-11T00:00:00"/>
    <n v="0"/>
    <x v="3"/>
    <s v="Andrew Gjertsen"/>
    <x v="1"/>
    <m/>
    <s v="Detroit"/>
    <s v="Michigan"/>
    <s v="Central"/>
    <x v="1"/>
    <x v="4"/>
    <s v="Advantus 10-Drawer Portable Organizer, Chrome Metal Frame, Smoke Drawers"/>
    <x v="5557"/>
    <n v="7"/>
    <n v="0"/>
    <n v="117.1296"/>
  </r>
  <r>
    <n v="9315"/>
    <x v="1216"/>
    <x v="1"/>
    <x v="0"/>
    <d v="2012-11-11T00:00:00"/>
    <n v="0"/>
    <x v="3"/>
    <s v="Andrew Gjertsen"/>
    <x v="1"/>
    <m/>
    <s v="Detroit"/>
    <s v="Michigan"/>
    <s v="Central"/>
    <x v="1"/>
    <x v="9"/>
    <s v="Holmes Replacement Filter for HEPA Air Cleaner, Very Large Room, HEPA Filter"/>
    <x v="5558"/>
    <n v="2"/>
    <n v="0.1"/>
    <n v="46.790799999999997"/>
  </r>
  <r>
    <n v="9316"/>
    <x v="41"/>
    <x v="0"/>
    <x v="3"/>
    <d v="2013-04-10T00:00:00"/>
    <n v="4"/>
    <x v="1"/>
    <s v="Justin Hirsh"/>
    <x v="0"/>
    <m/>
    <s v="Philadelphia"/>
    <s v="Pennsylvania"/>
    <s v="East"/>
    <x v="2"/>
    <x v="7"/>
    <s v="Clearsounds A400"/>
    <x v="957"/>
    <n v="3"/>
    <n v="0.4"/>
    <n v="-27.715800000000002"/>
  </r>
  <r>
    <n v="9317"/>
    <x v="41"/>
    <x v="0"/>
    <x v="3"/>
    <d v="2013-04-10T00:00:00"/>
    <n v="4"/>
    <x v="1"/>
    <s v="Justin Hirsh"/>
    <x v="0"/>
    <m/>
    <s v="Philadelphia"/>
    <s v="Pennsylvania"/>
    <s v="East"/>
    <x v="1"/>
    <x v="14"/>
    <s v="Premier Automatic Letter Opener"/>
    <x v="5559"/>
    <n v="4"/>
    <n v="0.2"/>
    <n v="-163.45160000000001"/>
  </r>
  <r>
    <n v="9318"/>
    <x v="1217"/>
    <x v="3"/>
    <x v="11"/>
    <d v="2014-02-27T00:00:00"/>
    <n v="5"/>
    <x v="1"/>
    <s v="Dave Kipp"/>
    <x v="0"/>
    <m/>
    <s v="Carrollton"/>
    <s v="Texas"/>
    <s v="Central"/>
    <x v="2"/>
    <x v="11"/>
    <s v="Microsoft Natural Keyboard Elite"/>
    <x v="5560"/>
    <n v="1"/>
    <n v="0.2"/>
    <n v="-2.9940000000000002"/>
  </r>
  <r>
    <n v="9319"/>
    <x v="228"/>
    <x v="3"/>
    <x v="7"/>
    <d v="2014-07-26T00:00:00"/>
    <n v="5"/>
    <x v="1"/>
    <s v="Anthony Rawles"/>
    <x v="1"/>
    <m/>
    <s v="New York City"/>
    <s v="New York"/>
    <s v="East"/>
    <x v="1"/>
    <x v="10"/>
    <s v="Xerox 1977"/>
    <x v="518"/>
    <n v="2"/>
    <n v="0"/>
    <n v="6.4127999999999998"/>
  </r>
  <r>
    <n v="9320"/>
    <x v="228"/>
    <x v="3"/>
    <x v="7"/>
    <d v="2014-07-26T00:00:00"/>
    <n v="5"/>
    <x v="1"/>
    <s v="Anthony Rawles"/>
    <x v="1"/>
    <m/>
    <s v="New York City"/>
    <s v="New York"/>
    <s v="East"/>
    <x v="0"/>
    <x v="1"/>
    <s v="Office Star - Task Chair with Contemporary Loop Arms"/>
    <x v="5561"/>
    <n v="2"/>
    <n v="0.1"/>
    <n v="25.474399999999999"/>
  </r>
  <r>
    <n v="9321"/>
    <x v="228"/>
    <x v="3"/>
    <x v="7"/>
    <d v="2014-07-26T00:00:00"/>
    <n v="5"/>
    <x v="1"/>
    <s v="Anthony Rawles"/>
    <x v="1"/>
    <m/>
    <s v="New York City"/>
    <s v="New York"/>
    <s v="East"/>
    <x v="0"/>
    <x v="5"/>
    <s v="Tenex B1-RE Series Chair Mats for Low Pile Carpets"/>
    <x v="5562"/>
    <n v="4"/>
    <n v="0"/>
    <n v="31.266400000000001"/>
  </r>
  <r>
    <n v="9322"/>
    <x v="254"/>
    <x v="0"/>
    <x v="0"/>
    <d v="2013-11-09T00:00:00"/>
    <n v="4"/>
    <x v="1"/>
    <s v="Sally Matthias"/>
    <x v="0"/>
    <m/>
    <s v="Houston"/>
    <s v="Texas"/>
    <s v="Central"/>
    <x v="0"/>
    <x v="5"/>
    <s v="DAX Two-Tone Rosewood/Black Document Frame, Desktop, 5 x 7"/>
    <x v="5563"/>
    <n v="3"/>
    <n v="0.6"/>
    <n v="-5.6879999999999997"/>
  </r>
  <r>
    <n v="9323"/>
    <x v="254"/>
    <x v="0"/>
    <x v="0"/>
    <d v="2013-11-09T00:00:00"/>
    <n v="4"/>
    <x v="1"/>
    <s v="Sally Matthias"/>
    <x v="0"/>
    <m/>
    <s v="Houston"/>
    <s v="Texas"/>
    <s v="Central"/>
    <x v="0"/>
    <x v="5"/>
    <s v="Deflect-o EconoMat Studded, No Bevel Mat for Low Pile Carpeting"/>
    <x v="516"/>
    <n v="4"/>
    <n v="0.6"/>
    <n v="-84.2928"/>
  </r>
  <r>
    <n v="9324"/>
    <x v="397"/>
    <x v="3"/>
    <x v="8"/>
    <d v="2014-09-30T00:00:00"/>
    <n v="6"/>
    <x v="1"/>
    <s v="Duane Benoit"/>
    <x v="0"/>
    <m/>
    <s v="Los Angeles"/>
    <s v="California"/>
    <s v="West"/>
    <x v="1"/>
    <x v="10"/>
    <s v="Xerox 1909"/>
    <x v="5564"/>
    <n v="8"/>
    <n v="0"/>
    <n v="97.078400000000002"/>
  </r>
  <r>
    <n v="9325"/>
    <x v="397"/>
    <x v="3"/>
    <x v="8"/>
    <d v="2014-09-30T00:00:00"/>
    <n v="6"/>
    <x v="1"/>
    <s v="Duane Benoit"/>
    <x v="0"/>
    <m/>
    <s v="Los Angeles"/>
    <s v="California"/>
    <s v="West"/>
    <x v="0"/>
    <x v="1"/>
    <s v="GuestStacker Chair with Chrome Finish Legs"/>
    <x v="5565"/>
    <n v="2"/>
    <n v="0.2"/>
    <n v="59.4816"/>
  </r>
  <r>
    <n v="9326"/>
    <x v="397"/>
    <x v="3"/>
    <x v="8"/>
    <d v="2014-09-30T00:00:00"/>
    <n v="6"/>
    <x v="1"/>
    <s v="Duane Benoit"/>
    <x v="0"/>
    <m/>
    <s v="Los Angeles"/>
    <s v="California"/>
    <s v="West"/>
    <x v="1"/>
    <x v="8"/>
    <s v="Ibico Plastic Spiral Binding Combs"/>
    <x v="5566"/>
    <n v="3"/>
    <n v="0.2"/>
    <n v="23.712"/>
  </r>
  <r>
    <n v="9327"/>
    <x v="210"/>
    <x v="3"/>
    <x v="8"/>
    <d v="2014-09-11T00:00:00"/>
    <n v="3"/>
    <x v="2"/>
    <s v="Phillip Flathmann"/>
    <x v="0"/>
    <m/>
    <s v="Edmonds"/>
    <s v="Washington"/>
    <s v="West"/>
    <x v="0"/>
    <x v="5"/>
    <s v="DAX Two-Tone Silver Metal Document Frame"/>
    <x v="4016"/>
    <n v="4"/>
    <n v="0"/>
    <n v="34.812800000000003"/>
  </r>
  <r>
    <n v="9328"/>
    <x v="210"/>
    <x v="3"/>
    <x v="8"/>
    <d v="2014-09-11T00:00:00"/>
    <n v="3"/>
    <x v="2"/>
    <s v="Phillip Flathmann"/>
    <x v="0"/>
    <m/>
    <s v="Edmonds"/>
    <s v="Washington"/>
    <s v="West"/>
    <x v="2"/>
    <x v="7"/>
    <s v="Konftel 250 Conference phone - Charcoal black"/>
    <x v="5567"/>
    <n v="2"/>
    <n v="0.2"/>
    <n v="34.178400000000003"/>
  </r>
  <r>
    <n v="9329"/>
    <x v="210"/>
    <x v="3"/>
    <x v="8"/>
    <d v="2014-09-11T00:00:00"/>
    <n v="3"/>
    <x v="2"/>
    <s v="Phillip Flathmann"/>
    <x v="0"/>
    <m/>
    <s v="Edmonds"/>
    <s v="Washington"/>
    <s v="West"/>
    <x v="1"/>
    <x v="6"/>
    <s v="Boston 1799 Powerhouse Electric Pencil Sharpener"/>
    <x v="2232"/>
    <n v="1"/>
    <n v="0"/>
    <n v="7.2744"/>
  </r>
  <r>
    <n v="9330"/>
    <x v="109"/>
    <x v="1"/>
    <x v="0"/>
    <d v="2012-11-30T00:00:00"/>
    <n v="2"/>
    <x v="2"/>
    <s v="Ashley Jarboe"/>
    <x v="0"/>
    <m/>
    <s v="San Francisco"/>
    <s v="California"/>
    <s v="West"/>
    <x v="1"/>
    <x v="9"/>
    <s v="Holmes Visible Mist Ultrasonic Humidifier with 2.3-Gallon Output per Day, Replacement Filter"/>
    <x v="5568"/>
    <n v="4"/>
    <n v="0"/>
    <n v="15.395200000000001"/>
  </r>
  <r>
    <n v="9331"/>
    <x v="768"/>
    <x v="1"/>
    <x v="0"/>
    <d v="2012-11-18T00:00:00"/>
    <n v="6"/>
    <x v="1"/>
    <s v="Eugene Barchas"/>
    <x v="0"/>
    <m/>
    <s v="New York City"/>
    <s v="New York"/>
    <s v="East"/>
    <x v="1"/>
    <x v="12"/>
    <s v="Staples"/>
    <x v="2505"/>
    <n v="2"/>
    <n v="0"/>
    <n v="7.3132000000000001"/>
  </r>
  <r>
    <n v="9332"/>
    <x v="321"/>
    <x v="0"/>
    <x v="8"/>
    <d v="2013-10-04T00:00:00"/>
    <n v="4"/>
    <x v="1"/>
    <s v="Erin Smith"/>
    <x v="1"/>
    <m/>
    <s v="Springfield"/>
    <s v="Oregon"/>
    <s v="West"/>
    <x v="2"/>
    <x v="7"/>
    <s v="Wilson Electronics DB Pro Signal Booster"/>
    <x v="3848"/>
    <n v="3"/>
    <n v="0.2"/>
    <n v="75.180000000000007"/>
  </r>
  <r>
    <n v="9333"/>
    <x v="220"/>
    <x v="3"/>
    <x v="8"/>
    <d v="2014-09-14T00:00:00"/>
    <n v="2"/>
    <x v="0"/>
    <s v="Shahid Shariari"/>
    <x v="0"/>
    <m/>
    <s v="Georgetown"/>
    <s v="Kentucky"/>
    <s v="South"/>
    <x v="1"/>
    <x v="9"/>
    <s v="Fellowes Premier Superior Surge Suppressor, 10-Outlet, With Phone and Remote"/>
    <x v="5569"/>
    <n v="4"/>
    <n v="0"/>
    <n v="50.876800000000003"/>
  </r>
  <r>
    <n v="9334"/>
    <x v="220"/>
    <x v="3"/>
    <x v="8"/>
    <d v="2014-09-14T00:00:00"/>
    <n v="2"/>
    <x v="0"/>
    <s v="Shahid Shariari"/>
    <x v="0"/>
    <m/>
    <s v="Georgetown"/>
    <s v="Kentucky"/>
    <s v="South"/>
    <x v="1"/>
    <x v="13"/>
    <s v="Acco Clips to Go Binder Clips, 24 Clips in Two Sizes"/>
    <x v="1168"/>
    <n v="4"/>
    <n v="0"/>
    <n v="6.6740000000000004"/>
  </r>
  <r>
    <n v="9335"/>
    <x v="927"/>
    <x v="3"/>
    <x v="5"/>
    <d v="2014-05-03T00:00:00"/>
    <n v="1"/>
    <x v="2"/>
    <s v="Arthur Gainer"/>
    <x v="0"/>
    <m/>
    <s v="Coral Springs"/>
    <s v="Florida"/>
    <s v="South"/>
    <x v="0"/>
    <x v="0"/>
    <s v="Bush Somerset Collection Bookcase"/>
    <x v="2317"/>
    <n v="3"/>
    <n v="0.2"/>
    <n v="-15.717599999999999"/>
  </r>
  <r>
    <n v="9336"/>
    <x v="927"/>
    <x v="3"/>
    <x v="5"/>
    <d v="2014-05-03T00:00:00"/>
    <n v="1"/>
    <x v="2"/>
    <s v="Arthur Gainer"/>
    <x v="0"/>
    <m/>
    <s v="Coral Springs"/>
    <s v="Florida"/>
    <s v="South"/>
    <x v="1"/>
    <x v="2"/>
    <s v="Avery 492"/>
    <x v="871"/>
    <n v="2"/>
    <n v="0.2"/>
    <n v="1.4976"/>
  </r>
  <r>
    <n v="9337"/>
    <x v="118"/>
    <x v="3"/>
    <x v="8"/>
    <d v="2014-09-21T00:00:00"/>
    <n v="4"/>
    <x v="1"/>
    <s v="Craig Yedwab"/>
    <x v="1"/>
    <m/>
    <s v="San Francisco"/>
    <s v="California"/>
    <s v="West"/>
    <x v="1"/>
    <x v="13"/>
    <s v="OIC Colored Binder Clips, Assorted Sizes"/>
    <x v="1488"/>
    <n v="5"/>
    <n v="0"/>
    <n v="8.7710000000000008"/>
  </r>
  <r>
    <n v="9338"/>
    <x v="538"/>
    <x v="2"/>
    <x v="2"/>
    <d v="2011-10-22T00:00:00"/>
    <n v="3"/>
    <x v="0"/>
    <s v="Rachel Payne"/>
    <x v="1"/>
    <m/>
    <s v="San Francisco"/>
    <s v="California"/>
    <s v="West"/>
    <x v="1"/>
    <x v="8"/>
    <s v="Accohide Poly Flexible Ring Binders"/>
    <x v="5447"/>
    <n v="1"/>
    <n v="0.2"/>
    <n v="1.1220000000000001"/>
  </r>
  <r>
    <n v="9339"/>
    <x v="538"/>
    <x v="2"/>
    <x v="2"/>
    <d v="2011-10-22T00:00:00"/>
    <n v="3"/>
    <x v="0"/>
    <s v="Rachel Payne"/>
    <x v="1"/>
    <m/>
    <s v="San Francisco"/>
    <s v="California"/>
    <s v="West"/>
    <x v="1"/>
    <x v="8"/>
    <s v="Avery Durable Slant Ring Binders With Label Holder"/>
    <x v="5570"/>
    <n v="6"/>
    <n v="0.2"/>
    <n v="7.0224000000000002"/>
  </r>
  <r>
    <n v="9340"/>
    <x v="538"/>
    <x v="2"/>
    <x v="2"/>
    <d v="2011-10-22T00:00:00"/>
    <n v="3"/>
    <x v="0"/>
    <s v="Rachel Payne"/>
    <x v="1"/>
    <m/>
    <s v="San Francisco"/>
    <s v="California"/>
    <s v="West"/>
    <x v="1"/>
    <x v="10"/>
    <s v="Xerox 1917"/>
    <x v="64"/>
    <n v="3"/>
    <n v="0"/>
    <n v="68.963099999999997"/>
  </r>
  <r>
    <n v="9341"/>
    <x v="538"/>
    <x v="2"/>
    <x v="2"/>
    <d v="2011-10-22T00:00:00"/>
    <n v="3"/>
    <x v="0"/>
    <s v="Rachel Payne"/>
    <x v="1"/>
    <m/>
    <s v="San Francisco"/>
    <s v="California"/>
    <s v="West"/>
    <x v="1"/>
    <x v="2"/>
    <s v="Avery 480"/>
    <x v="2022"/>
    <n v="5"/>
    <n v="0"/>
    <n v="9"/>
  </r>
  <r>
    <n v="9342"/>
    <x v="538"/>
    <x v="2"/>
    <x v="2"/>
    <d v="2011-10-22T00:00:00"/>
    <n v="3"/>
    <x v="0"/>
    <s v="Rachel Payne"/>
    <x v="1"/>
    <m/>
    <s v="San Francisco"/>
    <s v="California"/>
    <s v="West"/>
    <x v="2"/>
    <x v="7"/>
    <s v="Panasonic KX TS208W Corded phone"/>
    <x v="5571"/>
    <n v="3"/>
    <n v="0.2"/>
    <n v="11.7576"/>
  </r>
  <r>
    <n v="9343"/>
    <x v="69"/>
    <x v="0"/>
    <x v="10"/>
    <d v="2013-03-19T00:00:00"/>
    <n v="5"/>
    <x v="1"/>
    <s v="Dennis Bolton"/>
    <x v="2"/>
    <m/>
    <s v="Riverside"/>
    <s v="California"/>
    <s v="West"/>
    <x v="1"/>
    <x v="8"/>
    <s v="Cardinal EasyOpen D-Ring Binders"/>
    <x v="771"/>
    <n v="7"/>
    <n v="0.2"/>
    <n v="19.193999999999999"/>
  </r>
  <r>
    <n v="9344"/>
    <x v="922"/>
    <x v="3"/>
    <x v="11"/>
    <d v="2014-02-21T00:00:00"/>
    <n v="3"/>
    <x v="2"/>
    <s v="Christine Kargatis"/>
    <x v="2"/>
    <m/>
    <s v="Troy"/>
    <s v="Ohio"/>
    <s v="East"/>
    <x v="0"/>
    <x v="3"/>
    <s v="SAFCO PlanMaster Boards, 60w x 37-1/2d, White Melamine"/>
    <x v="3861"/>
    <n v="5"/>
    <n v="0.4"/>
    <n v="-106.393"/>
  </r>
  <r>
    <n v="9345"/>
    <x v="922"/>
    <x v="3"/>
    <x v="11"/>
    <d v="2014-02-21T00:00:00"/>
    <n v="3"/>
    <x v="2"/>
    <s v="Christine Kargatis"/>
    <x v="2"/>
    <m/>
    <s v="Troy"/>
    <s v="Ohio"/>
    <s v="East"/>
    <x v="1"/>
    <x v="8"/>
    <s v="Acco Pressboard Covers with Storage Hooks, 14 7/8&quot; x 11&quot;, Executive Red"/>
    <x v="3416"/>
    <n v="5"/>
    <n v="0.7"/>
    <n v="-4.7625000000000002"/>
  </r>
  <r>
    <n v="9346"/>
    <x v="922"/>
    <x v="3"/>
    <x v="11"/>
    <d v="2014-02-21T00:00:00"/>
    <n v="3"/>
    <x v="2"/>
    <s v="Christine Kargatis"/>
    <x v="2"/>
    <m/>
    <s v="Troy"/>
    <s v="Ohio"/>
    <s v="East"/>
    <x v="2"/>
    <x v="7"/>
    <s v="Vtech CS6719"/>
    <x v="5572"/>
    <n v="1"/>
    <n v="0.4"/>
    <n v="-11.518800000000001"/>
  </r>
  <r>
    <n v="9347"/>
    <x v="922"/>
    <x v="3"/>
    <x v="11"/>
    <d v="2014-02-21T00:00:00"/>
    <n v="3"/>
    <x v="2"/>
    <s v="Christine Kargatis"/>
    <x v="2"/>
    <m/>
    <s v="Troy"/>
    <s v="Ohio"/>
    <s v="East"/>
    <x v="0"/>
    <x v="5"/>
    <s v="Flat Face Poster Frame"/>
    <x v="611"/>
    <n v="2"/>
    <n v="0.2"/>
    <n v="8.2896000000000001"/>
  </r>
  <r>
    <n v="9348"/>
    <x v="922"/>
    <x v="3"/>
    <x v="11"/>
    <d v="2014-02-21T00:00:00"/>
    <n v="3"/>
    <x v="2"/>
    <s v="Christine Kargatis"/>
    <x v="2"/>
    <m/>
    <s v="Troy"/>
    <s v="Ohio"/>
    <s v="East"/>
    <x v="0"/>
    <x v="1"/>
    <s v="Global Commerce Series Low-Back Swivel/Tilt Chairs"/>
    <x v="4287"/>
    <n v="5"/>
    <n v="0.3"/>
    <n v="-12.849"/>
  </r>
  <r>
    <n v="9349"/>
    <x v="596"/>
    <x v="0"/>
    <x v="4"/>
    <d v="2013-12-29T00:00:00"/>
    <n v="6"/>
    <x v="1"/>
    <s v="Duane Noonan"/>
    <x v="0"/>
    <m/>
    <s v="Moreno Valley"/>
    <s v="California"/>
    <s v="West"/>
    <x v="0"/>
    <x v="5"/>
    <s v="Deflect-o DuraMat Antistatic Studded Beveled Mat for Medium Pile Carpeting"/>
    <x v="5573"/>
    <n v="8"/>
    <n v="0"/>
    <n v="202.25280000000001"/>
  </r>
  <r>
    <n v="9350"/>
    <x v="596"/>
    <x v="0"/>
    <x v="4"/>
    <d v="2013-12-29T00:00:00"/>
    <n v="6"/>
    <x v="1"/>
    <s v="Duane Noonan"/>
    <x v="0"/>
    <m/>
    <s v="Moreno Valley"/>
    <s v="California"/>
    <s v="West"/>
    <x v="0"/>
    <x v="5"/>
    <s v="Magnifier Swing Arm Lamp"/>
    <x v="108"/>
    <n v="2"/>
    <n v="0"/>
    <n v="10.909599999999999"/>
  </r>
  <r>
    <n v="9351"/>
    <x v="713"/>
    <x v="0"/>
    <x v="8"/>
    <d v="2013-09-28T00:00:00"/>
    <n v="4"/>
    <x v="1"/>
    <s v="Dave Poirier"/>
    <x v="1"/>
    <m/>
    <s v="Seattle"/>
    <s v="Washington"/>
    <s v="West"/>
    <x v="1"/>
    <x v="8"/>
    <s v="ACCOHIDE 3-Ring Binder, Blue, 1&quot;"/>
    <x v="1145"/>
    <n v="4"/>
    <n v="0.2"/>
    <n v="4.4603999999999999"/>
  </r>
  <r>
    <n v="9352"/>
    <x v="713"/>
    <x v="0"/>
    <x v="8"/>
    <d v="2013-09-28T00:00:00"/>
    <n v="4"/>
    <x v="1"/>
    <s v="Dave Poirier"/>
    <x v="1"/>
    <m/>
    <s v="Seattle"/>
    <s v="Washington"/>
    <s v="West"/>
    <x v="0"/>
    <x v="1"/>
    <s v="Global Deluxe Steno Chair"/>
    <x v="4086"/>
    <n v="3"/>
    <n v="0.2"/>
    <n v="-20.784600000000001"/>
  </r>
  <r>
    <n v="9353"/>
    <x v="241"/>
    <x v="3"/>
    <x v="8"/>
    <d v="2014-09-27T00:00:00"/>
    <n v="2"/>
    <x v="2"/>
    <s v="Rose O'Brian"/>
    <x v="0"/>
    <m/>
    <s v="Chicago"/>
    <s v="Illinois"/>
    <s v="Central"/>
    <x v="0"/>
    <x v="1"/>
    <s v="GuestStacker Chair with Chrome Finish Legs"/>
    <x v="3230"/>
    <n v="2"/>
    <n v="0.3"/>
    <n v="-14.8704"/>
  </r>
  <r>
    <n v="9354"/>
    <x v="241"/>
    <x v="3"/>
    <x v="8"/>
    <d v="2014-09-27T00:00:00"/>
    <n v="2"/>
    <x v="2"/>
    <s v="Rose O'Brian"/>
    <x v="0"/>
    <m/>
    <s v="Chicago"/>
    <s v="Illinois"/>
    <s v="Central"/>
    <x v="1"/>
    <x v="10"/>
    <s v="Wirebound Voice Message Log Book"/>
    <x v="5574"/>
    <n v="3"/>
    <n v="0.2"/>
    <n v="3.7128000000000001"/>
  </r>
  <r>
    <n v="9355"/>
    <x v="494"/>
    <x v="1"/>
    <x v="4"/>
    <d v="2012-12-05T00:00:00"/>
    <n v="4"/>
    <x v="1"/>
    <s v="Matt Abelman"/>
    <x v="2"/>
    <m/>
    <s v="Jackson"/>
    <s v="Michigan"/>
    <s v="Central"/>
    <x v="1"/>
    <x v="10"/>
    <s v="Xerox 207"/>
    <x v="537"/>
    <n v="3"/>
    <n v="0"/>
    <n v="9.3312000000000008"/>
  </r>
  <r>
    <n v="9356"/>
    <x v="494"/>
    <x v="1"/>
    <x v="4"/>
    <d v="2012-12-05T00:00:00"/>
    <n v="4"/>
    <x v="1"/>
    <s v="Matt Abelman"/>
    <x v="2"/>
    <m/>
    <s v="Jackson"/>
    <s v="Michigan"/>
    <s v="Central"/>
    <x v="1"/>
    <x v="6"/>
    <s v="Newell 307"/>
    <x v="1026"/>
    <n v="2"/>
    <n v="0"/>
    <n v="1.0192000000000001"/>
  </r>
  <r>
    <n v="9357"/>
    <x v="494"/>
    <x v="1"/>
    <x v="4"/>
    <d v="2012-12-05T00:00:00"/>
    <n v="4"/>
    <x v="1"/>
    <s v="Matt Abelman"/>
    <x v="2"/>
    <m/>
    <s v="Jackson"/>
    <s v="Michigan"/>
    <s v="Central"/>
    <x v="1"/>
    <x v="10"/>
    <s v="Wirebound Message Books, Four 2 3/4&quot; x 5&quot; Forms per Page, 600 Sets per Book"/>
    <x v="1878"/>
    <n v="2"/>
    <n v="0"/>
    <n v="8.7138000000000009"/>
  </r>
  <r>
    <n v="9358"/>
    <x v="967"/>
    <x v="0"/>
    <x v="9"/>
    <d v="2013-01-28T00:00:00"/>
    <n v="3"/>
    <x v="0"/>
    <s v="Jonathan Doherty"/>
    <x v="1"/>
    <m/>
    <s v="New York City"/>
    <s v="New York"/>
    <s v="East"/>
    <x v="1"/>
    <x v="8"/>
    <s v="GBC Standard Recycled Report Covers, Clear Plastic Sheets"/>
    <x v="136"/>
    <n v="5"/>
    <n v="0.2"/>
    <n v="15.092000000000001"/>
  </r>
  <r>
    <n v="9359"/>
    <x v="967"/>
    <x v="0"/>
    <x v="9"/>
    <d v="2013-01-28T00:00:00"/>
    <n v="3"/>
    <x v="0"/>
    <s v="Jonathan Doherty"/>
    <x v="1"/>
    <m/>
    <s v="New York City"/>
    <s v="New York"/>
    <s v="East"/>
    <x v="0"/>
    <x v="3"/>
    <s v="Chromcraft Round Conference Tables"/>
    <x v="5575"/>
    <n v="3"/>
    <n v="0.4"/>
    <n v="-99.345299999999995"/>
  </r>
  <r>
    <n v="9360"/>
    <x v="967"/>
    <x v="0"/>
    <x v="9"/>
    <d v="2013-01-28T00:00:00"/>
    <n v="3"/>
    <x v="0"/>
    <s v="Jonathan Doherty"/>
    <x v="1"/>
    <m/>
    <s v="New York City"/>
    <s v="New York"/>
    <s v="East"/>
    <x v="0"/>
    <x v="5"/>
    <s v="Tenex B1-RE Series Chair Mats for Low Pile Carpets"/>
    <x v="44"/>
    <n v="1"/>
    <n v="0"/>
    <n v="7.8166000000000002"/>
  </r>
  <r>
    <n v="9361"/>
    <x v="967"/>
    <x v="0"/>
    <x v="9"/>
    <d v="2013-01-28T00:00:00"/>
    <n v="3"/>
    <x v="0"/>
    <s v="Jonathan Doherty"/>
    <x v="1"/>
    <m/>
    <s v="New York City"/>
    <s v="New York"/>
    <s v="East"/>
    <x v="1"/>
    <x v="4"/>
    <s v="SAFCO Commercial Wire Shelving, 72h"/>
    <x v="5576"/>
    <n v="7"/>
    <n v="0"/>
    <n v="0"/>
  </r>
  <r>
    <n v="9362"/>
    <x v="708"/>
    <x v="3"/>
    <x v="10"/>
    <d v="2014-03-26T00:00:00"/>
    <n v="4"/>
    <x v="1"/>
    <s v="Paul Stevenson"/>
    <x v="2"/>
    <m/>
    <s v="Seattle"/>
    <s v="Washington"/>
    <s v="West"/>
    <x v="1"/>
    <x v="8"/>
    <s v="C-Line Peel &amp; Stick Add-On Filing Pockets, 8-3/4 x 5-1/8, 10/Pack"/>
    <x v="5577"/>
    <n v="6"/>
    <n v="0.2"/>
    <n v="10.3194"/>
  </r>
  <r>
    <n v="9363"/>
    <x v="708"/>
    <x v="3"/>
    <x v="10"/>
    <d v="2014-03-26T00:00:00"/>
    <n v="4"/>
    <x v="1"/>
    <s v="Paul Stevenson"/>
    <x v="2"/>
    <m/>
    <s v="Seattle"/>
    <s v="Washington"/>
    <s v="West"/>
    <x v="1"/>
    <x v="13"/>
    <s v="Super Bands, 12/Pack"/>
    <x v="5578"/>
    <n v="7"/>
    <n v="0"/>
    <n v="0.3906"/>
  </r>
  <r>
    <n v="9364"/>
    <x v="708"/>
    <x v="3"/>
    <x v="10"/>
    <d v="2014-03-26T00:00:00"/>
    <n v="4"/>
    <x v="1"/>
    <s v="Paul Stevenson"/>
    <x v="2"/>
    <m/>
    <s v="Seattle"/>
    <s v="Washington"/>
    <s v="West"/>
    <x v="0"/>
    <x v="5"/>
    <s v="Eldon Expressions Wood Desk Accessories, Oak"/>
    <x v="2997"/>
    <n v="3"/>
    <n v="0"/>
    <n v="6.4206000000000003"/>
  </r>
  <r>
    <n v="9365"/>
    <x v="708"/>
    <x v="3"/>
    <x v="10"/>
    <d v="2014-03-26T00:00:00"/>
    <n v="4"/>
    <x v="1"/>
    <s v="Paul Stevenson"/>
    <x v="2"/>
    <m/>
    <s v="Seattle"/>
    <s v="Washington"/>
    <s v="West"/>
    <x v="1"/>
    <x v="4"/>
    <s v="Fellowes Officeware Wire Shelving"/>
    <x v="699"/>
    <n v="4"/>
    <n v="0"/>
    <n v="7.1863999999999999"/>
  </r>
  <r>
    <n v="9366"/>
    <x v="963"/>
    <x v="2"/>
    <x v="6"/>
    <d v="2011-08-25T00:00:00"/>
    <n v="3"/>
    <x v="2"/>
    <s v="Jennifer Ferguson"/>
    <x v="0"/>
    <m/>
    <s v="Saint Charles"/>
    <s v="Missouri"/>
    <s v="Central"/>
    <x v="1"/>
    <x v="10"/>
    <s v="Xerox 1899"/>
    <x v="1049"/>
    <n v="2"/>
    <n v="0"/>
    <n v="5.6643999999999997"/>
  </r>
  <r>
    <n v="9367"/>
    <x v="785"/>
    <x v="2"/>
    <x v="1"/>
    <d v="2011-06-13T00:00:00"/>
    <n v="5"/>
    <x v="1"/>
    <s v="Rick Duston"/>
    <x v="0"/>
    <m/>
    <s v="Long Beach"/>
    <s v="New York"/>
    <s v="East"/>
    <x v="1"/>
    <x v="8"/>
    <s v="Green Canvas Binder for 8-1/2&quot; x 14&quot; Sheets"/>
    <x v="5579"/>
    <n v="2"/>
    <n v="0.2"/>
    <n v="25.68"/>
  </r>
  <r>
    <n v="9368"/>
    <x v="785"/>
    <x v="2"/>
    <x v="1"/>
    <d v="2011-06-13T00:00:00"/>
    <n v="5"/>
    <x v="1"/>
    <s v="Rick Duston"/>
    <x v="0"/>
    <m/>
    <s v="Long Beach"/>
    <s v="New York"/>
    <s v="East"/>
    <x v="1"/>
    <x v="4"/>
    <s v="Tennsco Snap-Together Open Shelving Units, Starter Sets and Add-On Units"/>
    <x v="5580"/>
    <n v="6"/>
    <n v="0"/>
    <n v="83.843999999999994"/>
  </r>
  <r>
    <n v="9369"/>
    <x v="281"/>
    <x v="0"/>
    <x v="3"/>
    <d v="2013-04-10T00:00:00"/>
    <n v="2"/>
    <x v="2"/>
    <s v="Erin Smith"/>
    <x v="1"/>
    <m/>
    <s v="Lakewood"/>
    <s v="New Jersey"/>
    <s v="East"/>
    <x v="1"/>
    <x v="10"/>
    <s v="Xerox 1939"/>
    <x v="2428"/>
    <n v="2"/>
    <n v="0"/>
    <n v="18.211200000000002"/>
  </r>
  <r>
    <n v="9370"/>
    <x v="659"/>
    <x v="3"/>
    <x v="0"/>
    <d v="2014-11-10T00:00:00"/>
    <n v="2"/>
    <x v="0"/>
    <s v="Katherine Nockton"/>
    <x v="1"/>
    <m/>
    <s v="Clinton"/>
    <s v="Maryland"/>
    <s v="East"/>
    <x v="0"/>
    <x v="1"/>
    <s v="Global Highback Leather Tilter in Burgundy"/>
    <x v="5581"/>
    <n v="3"/>
    <n v="0"/>
    <n v="43.675199999999997"/>
  </r>
  <r>
    <n v="9371"/>
    <x v="352"/>
    <x v="1"/>
    <x v="5"/>
    <d v="2012-05-31T00:00:00"/>
    <n v="2"/>
    <x v="2"/>
    <s v="Victoria Pisteka"/>
    <x v="1"/>
    <m/>
    <s v="Columbus"/>
    <s v="Ohio"/>
    <s v="East"/>
    <x v="0"/>
    <x v="5"/>
    <s v="Tensor &quot;Hersey Kiss&quot; Styled Floor Lamp"/>
    <x v="1501"/>
    <n v="4"/>
    <n v="0.2"/>
    <n v="-4.1567999999999996"/>
  </r>
  <r>
    <n v="9372"/>
    <x v="352"/>
    <x v="1"/>
    <x v="5"/>
    <d v="2012-05-31T00:00:00"/>
    <n v="2"/>
    <x v="2"/>
    <s v="Victoria Pisteka"/>
    <x v="1"/>
    <m/>
    <s v="Columbus"/>
    <s v="Ohio"/>
    <s v="East"/>
    <x v="0"/>
    <x v="1"/>
    <s v="Novimex Swivel Fabric Task Chair"/>
    <x v="2555"/>
    <n v="3"/>
    <n v="0.3"/>
    <n v="-86.058599999999998"/>
  </r>
  <r>
    <n v="9373"/>
    <x v="352"/>
    <x v="1"/>
    <x v="5"/>
    <d v="2012-05-31T00:00:00"/>
    <n v="2"/>
    <x v="2"/>
    <s v="Victoria Pisteka"/>
    <x v="1"/>
    <m/>
    <s v="Columbus"/>
    <s v="Ohio"/>
    <s v="East"/>
    <x v="1"/>
    <x v="13"/>
    <s v="Ideal Clamps"/>
    <x v="1384"/>
    <n v="5"/>
    <n v="0.2"/>
    <n v="2.9144999999999999"/>
  </r>
  <r>
    <n v="9374"/>
    <x v="917"/>
    <x v="3"/>
    <x v="5"/>
    <d v="2014-05-12T00:00:00"/>
    <n v="4"/>
    <x v="1"/>
    <s v="Carlos Soltero"/>
    <x v="0"/>
    <m/>
    <s v="Pasadena"/>
    <s v="California"/>
    <s v="West"/>
    <x v="2"/>
    <x v="7"/>
    <s v="Blue Parrot B250XT Professional Grade Wireless Bluetooth Headset with"/>
    <x v="1159"/>
    <n v="7"/>
    <n v="0.2"/>
    <n v="52.493000000000002"/>
  </r>
  <r>
    <n v="9375"/>
    <x v="410"/>
    <x v="0"/>
    <x v="1"/>
    <d v="2013-06-10T00:00:00"/>
    <n v="4"/>
    <x v="1"/>
    <s v="Ken Brennan"/>
    <x v="1"/>
    <m/>
    <s v="Seattle"/>
    <s v="Washington"/>
    <s v="West"/>
    <x v="1"/>
    <x v="14"/>
    <s v="Acme Box Cutter Scissors"/>
    <x v="5582"/>
    <n v="6"/>
    <n v="0"/>
    <n v="15.9588"/>
  </r>
  <r>
    <n v="9376"/>
    <x v="639"/>
    <x v="1"/>
    <x v="4"/>
    <d v="2012-12-19T00:00:00"/>
    <n v="5"/>
    <x v="0"/>
    <s v="Ashley Jarboe"/>
    <x v="0"/>
    <m/>
    <s v="Los Angeles"/>
    <s v="California"/>
    <s v="West"/>
    <x v="2"/>
    <x v="11"/>
    <s v="Micro Innovations USB RF Wireless Keyboard with Mouse"/>
    <x v="1406"/>
    <n v="2"/>
    <n v="0"/>
    <n v="10.5"/>
  </r>
  <r>
    <n v="9377"/>
    <x v="53"/>
    <x v="3"/>
    <x v="4"/>
    <d v="2014-12-30T00:00:00"/>
    <n v="4"/>
    <x v="1"/>
    <s v="Patrick O'Donnell"/>
    <x v="0"/>
    <m/>
    <s v="East Orange"/>
    <s v="New Jersey"/>
    <s v="East"/>
    <x v="2"/>
    <x v="11"/>
    <s v="Memorex Micro Travel Drive 4 GB"/>
    <x v="5583"/>
    <n v="3"/>
    <n v="0"/>
    <n v="13.673999999999999"/>
  </r>
  <r>
    <n v="9378"/>
    <x v="94"/>
    <x v="3"/>
    <x v="4"/>
    <d v="2014-12-22T00:00:00"/>
    <n v="4"/>
    <x v="1"/>
    <s v="Dave Poirier"/>
    <x v="1"/>
    <m/>
    <s v="Eau Claire"/>
    <s v="Wisconsin"/>
    <s v="Central"/>
    <x v="1"/>
    <x v="4"/>
    <s v="Adjustable Personal File Tote"/>
    <x v="5584"/>
    <n v="2"/>
    <n v="0"/>
    <n v="8.4656000000000002"/>
  </r>
  <r>
    <n v="9379"/>
    <x v="1120"/>
    <x v="0"/>
    <x v="5"/>
    <d v="2013-05-16T00:00:00"/>
    <n v="5"/>
    <x v="1"/>
    <s v="Gene McClure"/>
    <x v="0"/>
    <m/>
    <s v="Chicago"/>
    <s v="Illinois"/>
    <s v="Central"/>
    <x v="1"/>
    <x v="12"/>
    <s v="Grip Seal Envelopes"/>
    <x v="5585"/>
    <n v="2"/>
    <n v="0.2"/>
    <n v="2.3868"/>
  </r>
  <r>
    <n v="9380"/>
    <x v="851"/>
    <x v="2"/>
    <x v="4"/>
    <d v="2011-12-27T00:00:00"/>
    <n v="4"/>
    <x v="0"/>
    <s v="Craig Carreira"/>
    <x v="0"/>
    <m/>
    <s v="Tampa"/>
    <s v="Florida"/>
    <s v="South"/>
    <x v="1"/>
    <x v="10"/>
    <s v="Computer Printout Paper with Letter-Trim Perforations"/>
    <x v="2748"/>
    <n v="3"/>
    <n v="0.2"/>
    <n v="15.934799999999999"/>
  </r>
  <r>
    <n v="9381"/>
    <x v="851"/>
    <x v="2"/>
    <x v="4"/>
    <d v="2011-12-27T00:00:00"/>
    <n v="4"/>
    <x v="0"/>
    <s v="Craig Carreira"/>
    <x v="0"/>
    <m/>
    <s v="Tampa"/>
    <s v="Florida"/>
    <s v="South"/>
    <x v="0"/>
    <x v="1"/>
    <s v="Padded Folding Chairs, Black, 4/Carton"/>
    <x v="1445"/>
    <n v="1"/>
    <n v="0.2"/>
    <n v="6.4783999999999997"/>
  </r>
  <r>
    <n v="9382"/>
    <x v="851"/>
    <x v="2"/>
    <x v="4"/>
    <d v="2011-12-27T00:00:00"/>
    <n v="4"/>
    <x v="0"/>
    <s v="Craig Carreira"/>
    <x v="0"/>
    <m/>
    <s v="Tampa"/>
    <s v="Florida"/>
    <s v="South"/>
    <x v="1"/>
    <x v="4"/>
    <s v="Tennsco 6- and 18-Compartment Lockers"/>
    <x v="5586"/>
    <n v="2"/>
    <n v="0.2"/>
    <n v="-10.6068"/>
  </r>
  <r>
    <n v="9383"/>
    <x v="851"/>
    <x v="2"/>
    <x v="4"/>
    <d v="2011-12-27T00:00:00"/>
    <n v="4"/>
    <x v="0"/>
    <s v="Craig Carreira"/>
    <x v="0"/>
    <m/>
    <s v="Tampa"/>
    <s v="Florida"/>
    <s v="South"/>
    <x v="1"/>
    <x v="6"/>
    <s v="Prang Dustless Chalk Sticks"/>
    <x v="2000"/>
    <n v="1"/>
    <n v="0.2"/>
    <n v="0.504"/>
  </r>
  <r>
    <n v="9384"/>
    <x v="851"/>
    <x v="2"/>
    <x v="4"/>
    <d v="2011-12-27T00:00:00"/>
    <n v="4"/>
    <x v="0"/>
    <s v="Craig Carreira"/>
    <x v="0"/>
    <m/>
    <s v="Tampa"/>
    <s v="Florida"/>
    <s v="South"/>
    <x v="1"/>
    <x v="4"/>
    <s v="Acco Perma 3000 Stacking Storage Drawers"/>
    <x v="202"/>
    <n v="5"/>
    <n v="0.2"/>
    <n v="-1.0489999999999999"/>
  </r>
  <r>
    <n v="9385"/>
    <x v="938"/>
    <x v="3"/>
    <x v="6"/>
    <d v="2014-08-17T00:00:00"/>
    <n v="5"/>
    <x v="1"/>
    <s v="Sanjit Jacobs"/>
    <x v="2"/>
    <m/>
    <s v="New York City"/>
    <s v="New York"/>
    <s v="East"/>
    <x v="1"/>
    <x v="10"/>
    <s v="Xerox 226"/>
    <x v="233"/>
    <n v="4"/>
    <n v="0"/>
    <n v="12.441599999999999"/>
  </r>
  <r>
    <n v="9386"/>
    <x v="151"/>
    <x v="3"/>
    <x v="6"/>
    <d v="2014-09-01T00:00:00"/>
    <n v="4"/>
    <x v="1"/>
    <s v="Sarah Foster"/>
    <x v="0"/>
    <m/>
    <s v="Mesa"/>
    <s v="Arizona"/>
    <s v="West"/>
    <x v="0"/>
    <x v="5"/>
    <s v="Flat Face Poster Frame"/>
    <x v="5587"/>
    <n v="8"/>
    <n v="0.2"/>
    <n v="33.1584"/>
  </r>
  <r>
    <n v="9387"/>
    <x v="617"/>
    <x v="3"/>
    <x v="9"/>
    <d v="2014-01-24T00:00:00"/>
    <n v="4"/>
    <x v="1"/>
    <s v="Raymond Messe"/>
    <x v="0"/>
    <m/>
    <s v="Burlington"/>
    <s v="Vermont"/>
    <s v="East"/>
    <x v="1"/>
    <x v="10"/>
    <s v="Xerox 191"/>
    <x v="705"/>
    <n v="4"/>
    <n v="0"/>
    <n v="37.562399999999997"/>
  </r>
  <r>
    <n v="9388"/>
    <x v="617"/>
    <x v="3"/>
    <x v="9"/>
    <d v="2014-01-24T00:00:00"/>
    <n v="4"/>
    <x v="1"/>
    <s v="Raymond Messe"/>
    <x v="0"/>
    <m/>
    <s v="Burlington"/>
    <s v="Vermont"/>
    <s v="East"/>
    <x v="1"/>
    <x v="10"/>
    <s v="Xerox 1881"/>
    <x v="5588"/>
    <n v="1"/>
    <n v="0"/>
    <n v="5.7716000000000003"/>
  </r>
  <r>
    <n v="9389"/>
    <x v="617"/>
    <x v="3"/>
    <x v="9"/>
    <d v="2014-01-24T00:00:00"/>
    <n v="4"/>
    <x v="1"/>
    <s v="Raymond Messe"/>
    <x v="0"/>
    <m/>
    <s v="Burlington"/>
    <s v="Vermont"/>
    <s v="East"/>
    <x v="1"/>
    <x v="9"/>
    <s v="Avanti 4.4 Cu. Ft. Refrigerator"/>
    <x v="3036"/>
    <n v="3"/>
    <n v="0"/>
    <n v="152.0232"/>
  </r>
  <r>
    <n v="9390"/>
    <x v="617"/>
    <x v="3"/>
    <x v="9"/>
    <d v="2014-01-24T00:00:00"/>
    <n v="4"/>
    <x v="1"/>
    <s v="Raymond Messe"/>
    <x v="0"/>
    <m/>
    <s v="Burlington"/>
    <s v="Vermont"/>
    <s v="East"/>
    <x v="1"/>
    <x v="12"/>
    <s v="Poly String Tie Envelopes"/>
    <x v="5589"/>
    <n v="1"/>
    <n v="0"/>
    <n v="0.95879999999999999"/>
  </r>
  <r>
    <n v="9391"/>
    <x v="974"/>
    <x v="1"/>
    <x v="1"/>
    <d v="2012-06-24T00:00:00"/>
    <n v="5"/>
    <x v="1"/>
    <s v="Katherine Murray"/>
    <x v="2"/>
    <m/>
    <s v="Houston"/>
    <s v="Texas"/>
    <s v="Central"/>
    <x v="1"/>
    <x v="4"/>
    <s v="Recycled Steel Personal File for Hanging File Folders"/>
    <x v="1863"/>
    <n v="5"/>
    <n v="0.2"/>
    <n v="14.307499999999999"/>
  </r>
  <r>
    <n v="9392"/>
    <x v="677"/>
    <x v="3"/>
    <x v="10"/>
    <d v="2014-03-17T00:00:00"/>
    <n v="3"/>
    <x v="2"/>
    <s v="Frank Hawley"/>
    <x v="1"/>
    <m/>
    <s v="Aurora"/>
    <s v="Illinois"/>
    <s v="Central"/>
    <x v="2"/>
    <x v="7"/>
    <s v="PowerGen Dual USB Car Charger"/>
    <x v="462"/>
    <n v="1"/>
    <n v="0.2"/>
    <n v="2.5973999999999999"/>
  </r>
  <r>
    <n v="9393"/>
    <x v="969"/>
    <x v="1"/>
    <x v="2"/>
    <d v="2012-10-25T00:00:00"/>
    <n v="0"/>
    <x v="3"/>
    <s v="Deirdre Greer"/>
    <x v="1"/>
    <m/>
    <s v="Denver"/>
    <s v="Colorado"/>
    <s v="West"/>
    <x v="0"/>
    <x v="1"/>
    <s v="Global Highback Leather Tilter in Burgundy"/>
    <x v="5590"/>
    <n v="8"/>
    <n v="0.2"/>
    <n v="-29.116800000000001"/>
  </r>
  <r>
    <n v="9394"/>
    <x v="59"/>
    <x v="2"/>
    <x v="8"/>
    <d v="2011-09-23T00:00:00"/>
    <n v="3"/>
    <x v="2"/>
    <s v="Mitch Webber"/>
    <x v="0"/>
    <m/>
    <s v="New York City"/>
    <s v="New York"/>
    <s v="East"/>
    <x v="2"/>
    <x v="7"/>
    <s v="Ooma Telo VoIP Home Phone System"/>
    <x v="3125"/>
    <n v="5"/>
    <n v="0"/>
    <n v="157.48750000000001"/>
  </r>
  <r>
    <n v="9395"/>
    <x v="59"/>
    <x v="2"/>
    <x v="8"/>
    <d v="2011-09-23T00:00:00"/>
    <n v="3"/>
    <x v="2"/>
    <s v="Mitch Webber"/>
    <x v="0"/>
    <m/>
    <s v="New York City"/>
    <s v="New York"/>
    <s v="East"/>
    <x v="0"/>
    <x v="1"/>
    <s v="Global Leather Executive Chair"/>
    <x v="3223"/>
    <n v="2"/>
    <n v="0.1"/>
    <n v="140.39599999999999"/>
  </r>
  <r>
    <n v="9396"/>
    <x v="59"/>
    <x v="2"/>
    <x v="8"/>
    <d v="2011-09-23T00:00:00"/>
    <n v="3"/>
    <x v="2"/>
    <s v="Mitch Webber"/>
    <x v="0"/>
    <m/>
    <s v="New York City"/>
    <s v="New York"/>
    <s v="East"/>
    <x v="0"/>
    <x v="0"/>
    <s v="DMI Eclipse Executive Suite Bookcases"/>
    <x v="476"/>
    <n v="2"/>
    <n v="0.2"/>
    <n v="-10.019600000000001"/>
  </r>
  <r>
    <n v="9397"/>
    <x v="59"/>
    <x v="2"/>
    <x v="8"/>
    <d v="2011-09-23T00:00:00"/>
    <n v="3"/>
    <x v="2"/>
    <s v="Mitch Webber"/>
    <x v="0"/>
    <m/>
    <s v="New York City"/>
    <s v="New York"/>
    <s v="East"/>
    <x v="1"/>
    <x v="2"/>
    <s v="Avery 485"/>
    <x v="50"/>
    <n v="6"/>
    <n v="0"/>
    <n v="35.334600000000002"/>
  </r>
  <r>
    <n v="9398"/>
    <x v="59"/>
    <x v="2"/>
    <x v="8"/>
    <d v="2011-09-23T00:00:00"/>
    <n v="3"/>
    <x v="2"/>
    <s v="Mitch Webber"/>
    <x v="0"/>
    <m/>
    <s v="New York City"/>
    <s v="New York"/>
    <s v="East"/>
    <x v="1"/>
    <x v="9"/>
    <s v="Euro-Pro Shark Turbo Vacuum"/>
    <x v="4583"/>
    <n v="1"/>
    <n v="0"/>
    <n v="8.0548000000000002"/>
  </r>
  <r>
    <n v="9399"/>
    <x v="59"/>
    <x v="2"/>
    <x v="8"/>
    <d v="2011-09-23T00:00:00"/>
    <n v="3"/>
    <x v="2"/>
    <s v="Mitch Webber"/>
    <x v="0"/>
    <m/>
    <s v="New York City"/>
    <s v="New York"/>
    <s v="East"/>
    <x v="2"/>
    <x v="7"/>
    <s v="Panasonic KX-TG9541B DECT 6.0 Digital 2-Line Expandable Cordless Phone With Digital Answering System"/>
    <x v="5591"/>
    <n v="9"/>
    <n v="0"/>
    <n v="661.45590000000004"/>
  </r>
  <r>
    <n v="9400"/>
    <x v="583"/>
    <x v="0"/>
    <x v="0"/>
    <d v="2013-11-16T00:00:00"/>
    <n v="4"/>
    <x v="1"/>
    <s v="Sung Chung"/>
    <x v="0"/>
    <m/>
    <s v="Arlington Heights"/>
    <s v="Illinois"/>
    <s v="Central"/>
    <x v="1"/>
    <x v="6"/>
    <s v="Newell 332"/>
    <x v="492"/>
    <n v="6"/>
    <n v="0.2"/>
    <n v="1.2347999999999999"/>
  </r>
  <r>
    <n v="9401"/>
    <x v="1218"/>
    <x v="1"/>
    <x v="8"/>
    <d v="2012-09-21T00:00:00"/>
    <n v="5"/>
    <x v="1"/>
    <s v="Bradley Drucker"/>
    <x v="0"/>
    <m/>
    <s v="Newport News"/>
    <s v="Virginia"/>
    <s v="South"/>
    <x v="1"/>
    <x v="12"/>
    <s v="Staples"/>
    <x v="4791"/>
    <n v="4"/>
    <n v="0"/>
    <n v="14.6264"/>
  </r>
  <r>
    <n v="9402"/>
    <x v="1219"/>
    <x v="2"/>
    <x v="1"/>
    <d v="2011-06-28T00:00:00"/>
    <n v="4"/>
    <x v="1"/>
    <s v="Liz Pelletier"/>
    <x v="0"/>
    <m/>
    <s v="Tucson"/>
    <s v="Arizona"/>
    <s v="West"/>
    <x v="0"/>
    <x v="5"/>
    <s v="Acrylic Self-Standing Desk Frames"/>
    <x v="5592"/>
    <n v="2"/>
    <n v="0.2"/>
    <n v="0.96120000000000005"/>
  </r>
  <r>
    <n v="9403"/>
    <x v="399"/>
    <x v="0"/>
    <x v="6"/>
    <d v="2013-08-18T00:00:00"/>
    <n v="5"/>
    <x v="0"/>
    <s v="Nora Preis"/>
    <x v="0"/>
    <m/>
    <s v="New York City"/>
    <s v="New York"/>
    <s v="East"/>
    <x v="0"/>
    <x v="3"/>
    <s v="Chromcraft Round Conference Tables"/>
    <x v="5593"/>
    <n v="2"/>
    <n v="0.4"/>
    <n v="-66.230199999999996"/>
  </r>
  <r>
    <n v="9404"/>
    <x v="399"/>
    <x v="0"/>
    <x v="6"/>
    <d v="2013-08-18T00:00:00"/>
    <n v="5"/>
    <x v="0"/>
    <s v="Nora Preis"/>
    <x v="0"/>
    <m/>
    <s v="New York City"/>
    <s v="New York"/>
    <s v="East"/>
    <x v="1"/>
    <x v="4"/>
    <s v="Tennsco 6- and 18-Compartment Lockers"/>
    <x v="5594"/>
    <n v="6"/>
    <n v="0"/>
    <n v="286.3836"/>
  </r>
  <r>
    <n v="9405"/>
    <x v="669"/>
    <x v="3"/>
    <x v="3"/>
    <d v="2014-04-18T00:00:00"/>
    <n v="4"/>
    <x v="1"/>
    <s v="Dave Poirier"/>
    <x v="1"/>
    <m/>
    <s v="Philadelphia"/>
    <s v="Pennsylvania"/>
    <s v="East"/>
    <x v="1"/>
    <x v="13"/>
    <s v="Translucent Push Pins by OIC"/>
    <x v="1054"/>
    <n v="5"/>
    <n v="0.2"/>
    <n v="1.6830000000000001"/>
  </r>
  <r>
    <n v="9406"/>
    <x v="619"/>
    <x v="2"/>
    <x v="10"/>
    <d v="2011-03-17T00:00:00"/>
    <n v="3"/>
    <x v="2"/>
    <s v="Rick Bensley"/>
    <x v="2"/>
    <m/>
    <s v="Chicago"/>
    <s v="Illinois"/>
    <s v="Central"/>
    <x v="2"/>
    <x v="15"/>
    <s v="Hewlett-Packard Deskjet 6540 Color Inkjet Printer"/>
    <x v="5595"/>
    <n v="2"/>
    <n v="0.3"/>
    <n v="156.047"/>
  </r>
  <r>
    <n v="9407"/>
    <x v="619"/>
    <x v="2"/>
    <x v="10"/>
    <d v="2011-03-17T00:00:00"/>
    <n v="3"/>
    <x v="2"/>
    <s v="Rick Bensley"/>
    <x v="2"/>
    <m/>
    <s v="Chicago"/>
    <s v="Illinois"/>
    <s v="Central"/>
    <x v="1"/>
    <x v="10"/>
    <s v="Xerox 1963"/>
    <x v="578"/>
    <n v="2"/>
    <n v="0.2"/>
    <n v="2.64"/>
  </r>
  <r>
    <n v="9408"/>
    <x v="585"/>
    <x v="3"/>
    <x v="8"/>
    <d v="2014-09-25T00:00:00"/>
    <n v="2"/>
    <x v="0"/>
    <s v="Logan Currie"/>
    <x v="0"/>
    <m/>
    <s v="New York City"/>
    <s v="New York"/>
    <s v="East"/>
    <x v="2"/>
    <x v="11"/>
    <s v="WD My Passport Ultra 2TB Portable External Hard Drive"/>
    <x v="5596"/>
    <n v="9"/>
    <n v="0"/>
    <n v="171.36"/>
  </r>
  <r>
    <n v="9409"/>
    <x v="585"/>
    <x v="3"/>
    <x v="8"/>
    <d v="2014-09-25T00:00:00"/>
    <n v="2"/>
    <x v="0"/>
    <s v="Logan Currie"/>
    <x v="0"/>
    <m/>
    <s v="New York City"/>
    <s v="New York"/>
    <s v="East"/>
    <x v="0"/>
    <x v="5"/>
    <s v="Eldon 500 Class Desk Accessories"/>
    <x v="5597"/>
    <n v="1"/>
    <n v="0"/>
    <n v="3.9830999999999999"/>
  </r>
  <r>
    <n v="9410"/>
    <x v="389"/>
    <x v="3"/>
    <x v="4"/>
    <d v="2014-12-14T00:00:00"/>
    <n v="3"/>
    <x v="2"/>
    <s v="William Brown"/>
    <x v="0"/>
    <m/>
    <s v="Philadelphia"/>
    <s v="Pennsylvania"/>
    <s v="East"/>
    <x v="1"/>
    <x v="8"/>
    <s v="Heavy-Duty E-Z-D Binders"/>
    <x v="5598"/>
    <n v="1"/>
    <n v="0.7"/>
    <n v="-2.5093000000000001"/>
  </r>
  <r>
    <n v="9411"/>
    <x v="389"/>
    <x v="3"/>
    <x v="4"/>
    <d v="2014-12-14T00:00:00"/>
    <n v="3"/>
    <x v="2"/>
    <s v="William Brown"/>
    <x v="0"/>
    <m/>
    <s v="Philadelphia"/>
    <s v="Pennsylvania"/>
    <s v="East"/>
    <x v="0"/>
    <x v="5"/>
    <s v="Contract Clock, 14&quot;, Brown"/>
    <x v="1177"/>
    <n v="5"/>
    <n v="0.2"/>
    <n v="15.385999999999999"/>
  </r>
  <r>
    <n v="9412"/>
    <x v="612"/>
    <x v="0"/>
    <x v="10"/>
    <d v="2013-03-15T00:00:00"/>
    <n v="4"/>
    <x v="0"/>
    <s v="Maya Herman"/>
    <x v="1"/>
    <m/>
    <s v="Glendale"/>
    <s v="Arizona"/>
    <s v="West"/>
    <x v="1"/>
    <x v="4"/>
    <s v="Mini 13-1/2 Capacity Data Binder Rack, Pearl"/>
    <x v="5599"/>
    <n v="1"/>
    <n v="0.2"/>
    <n v="6.5434999999999999"/>
  </r>
  <r>
    <n v="9413"/>
    <x v="746"/>
    <x v="1"/>
    <x v="9"/>
    <d v="2012-01-29T00:00:00"/>
    <n v="2"/>
    <x v="2"/>
    <s v="Sean Christensen"/>
    <x v="0"/>
    <m/>
    <s v="Los Angeles"/>
    <s v="California"/>
    <s v="West"/>
    <x v="0"/>
    <x v="1"/>
    <s v="HON 5400 Series Task Chairs for Big and Tall"/>
    <x v="5118"/>
    <n v="5"/>
    <n v="0.2"/>
    <n v="0"/>
  </r>
  <r>
    <n v="9414"/>
    <x v="182"/>
    <x v="0"/>
    <x v="8"/>
    <d v="2013-09-28T00:00:00"/>
    <n v="1"/>
    <x v="2"/>
    <s v="Matt Hagelstein"/>
    <x v="1"/>
    <m/>
    <s v="Houston"/>
    <s v="Texas"/>
    <s v="Central"/>
    <x v="1"/>
    <x v="8"/>
    <s v="GBC Recycled VeloBinder Covers"/>
    <x v="5600"/>
    <n v="2"/>
    <n v="0.8"/>
    <n v="-11.587199999999999"/>
  </r>
  <r>
    <n v="9415"/>
    <x v="1090"/>
    <x v="1"/>
    <x v="2"/>
    <d v="2012-10-22T00:00:00"/>
    <n v="4"/>
    <x v="1"/>
    <s v="John Castell"/>
    <x v="0"/>
    <m/>
    <s v="Seattle"/>
    <s v="Washington"/>
    <s v="West"/>
    <x v="2"/>
    <x v="7"/>
    <s v="Motorola L703CM"/>
    <x v="2475"/>
    <n v="2"/>
    <n v="0.2"/>
    <n v="15.599"/>
  </r>
  <r>
    <n v="9416"/>
    <x v="1090"/>
    <x v="1"/>
    <x v="2"/>
    <d v="2012-10-22T00:00:00"/>
    <n v="4"/>
    <x v="1"/>
    <s v="John Castell"/>
    <x v="0"/>
    <m/>
    <s v="Seattle"/>
    <s v="Washington"/>
    <s v="West"/>
    <x v="1"/>
    <x v="10"/>
    <s v="Xerox 1903"/>
    <x v="1444"/>
    <n v="3"/>
    <n v="0"/>
    <n v="8.7905999999999995"/>
  </r>
  <r>
    <n v="9417"/>
    <x v="1090"/>
    <x v="1"/>
    <x v="2"/>
    <d v="2012-10-22T00:00:00"/>
    <n v="4"/>
    <x v="1"/>
    <s v="John Castell"/>
    <x v="0"/>
    <m/>
    <s v="Seattle"/>
    <s v="Washington"/>
    <s v="West"/>
    <x v="0"/>
    <x v="5"/>
    <s v="Eldon 100 Class Desk Accessories"/>
    <x v="3601"/>
    <n v="3"/>
    <n v="0"/>
    <n v="3.2351999999999999"/>
  </r>
  <r>
    <n v="9418"/>
    <x v="1220"/>
    <x v="2"/>
    <x v="2"/>
    <d v="2011-11-01T00:00:00"/>
    <n v="5"/>
    <x v="1"/>
    <s v="Ross DeVincentis"/>
    <x v="2"/>
    <m/>
    <s v="Fayetteville"/>
    <s v="North Carolina"/>
    <s v="South"/>
    <x v="1"/>
    <x v="10"/>
    <s v="Xerox 2"/>
    <x v="559"/>
    <n v="2"/>
    <n v="0.2"/>
    <n v="3.6288"/>
  </r>
  <r>
    <n v="9419"/>
    <x v="1220"/>
    <x v="2"/>
    <x v="2"/>
    <d v="2011-11-01T00:00:00"/>
    <n v="5"/>
    <x v="1"/>
    <s v="Ross DeVincentis"/>
    <x v="2"/>
    <m/>
    <s v="Fayetteville"/>
    <s v="North Carolina"/>
    <s v="South"/>
    <x v="1"/>
    <x v="10"/>
    <s v="Staples"/>
    <x v="1627"/>
    <n v="3"/>
    <n v="0.2"/>
    <n v="4.0338000000000003"/>
  </r>
  <r>
    <n v="9420"/>
    <x v="280"/>
    <x v="3"/>
    <x v="2"/>
    <d v="2014-10-05T00:00:00"/>
    <n v="2"/>
    <x v="0"/>
    <s v="Steve Chapman"/>
    <x v="1"/>
    <m/>
    <s v="Houston"/>
    <s v="Texas"/>
    <s v="Central"/>
    <x v="1"/>
    <x v="9"/>
    <s v="Fellowes Superior 10 Outlet Split Surge Protector"/>
    <x v="5052"/>
    <n v="2"/>
    <n v="0.8"/>
    <n v="-38.821199999999997"/>
  </r>
  <r>
    <n v="9421"/>
    <x v="280"/>
    <x v="3"/>
    <x v="2"/>
    <d v="2014-10-05T00:00:00"/>
    <n v="2"/>
    <x v="0"/>
    <s v="Steve Chapman"/>
    <x v="1"/>
    <m/>
    <s v="Houston"/>
    <s v="Texas"/>
    <s v="Central"/>
    <x v="1"/>
    <x v="9"/>
    <s v="Acco 6 Outlet Guardian Premium Plus Surge Suppressor"/>
    <x v="5601"/>
    <n v="6"/>
    <n v="0.8"/>
    <n v="-56.059199999999997"/>
  </r>
  <r>
    <n v="9422"/>
    <x v="149"/>
    <x v="2"/>
    <x v="7"/>
    <d v="2011-07-27T00:00:00"/>
    <n v="4"/>
    <x v="1"/>
    <s v="Nick Crebassa"/>
    <x v="1"/>
    <m/>
    <s v="San Francisco"/>
    <s v="California"/>
    <s v="West"/>
    <x v="2"/>
    <x v="7"/>
    <s v="VTech DS6151"/>
    <x v="2752"/>
    <n v="6"/>
    <n v="0.2"/>
    <n v="60.475200000000001"/>
  </r>
  <r>
    <n v="9423"/>
    <x v="149"/>
    <x v="2"/>
    <x v="7"/>
    <d v="2011-07-27T00:00:00"/>
    <n v="4"/>
    <x v="1"/>
    <s v="Nick Crebassa"/>
    <x v="1"/>
    <m/>
    <s v="San Francisco"/>
    <s v="California"/>
    <s v="West"/>
    <x v="1"/>
    <x v="14"/>
    <s v="Acme Softgrip Scissors"/>
    <x v="5300"/>
    <n v="5"/>
    <n v="0"/>
    <n v="11.803000000000001"/>
  </r>
  <r>
    <n v="9424"/>
    <x v="149"/>
    <x v="2"/>
    <x v="7"/>
    <d v="2011-07-27T00:00:00"/>
    <n v="4"/>
    <x v="1"/>
    <s v="Nick Crebassa"/>
    <x v="1"/>
    <m/>
    <s v="San Francisco"/>
    <s v="California"/>
    <s v="West"/>
    <x v="2"/>
    <x v="7"/>
    <s v="AT&amp;T CL2909"/>
    <x v="214"/>
    <n v="3"/>
    <n v="0.2"/>
    <n v="37.796999999999997"/>
  </r>
  <r>
    <n v="9425"/>
    <x v="149"/>
    <x v="2"/>
    <x v="7"/>
    <d v="2011-07-27T00:00:00"/>
    <n v="4"/>
    <x v="1"/>
    <s v="Nick Crebassa"/>
    <x v="1"/>
    <m/>
    <s v="San Francisco"/>
    <s v="California"/>
    <s v="West"/>
    <x v="2"/>
    <x v="11"/>
    <s v="Imation 8gb Micro Traveldrive Usb 2.0 Flash Drive"/>
    <x v="47"/>
    <n v="3"/>
    <n v="0"/>
    <n v="4.95"/>
  </r>
  <r>
    <n v="9426"/>
    <x v="171"/>
    <x v="2"/>
    <x v="8"/>
    <d v="2011-09-17T00:00:00"/>
    <n v="5"/>
    <x v="0"/>
    <s v="Luke Weiss"/>
    <x v="0"/>
    <m/>
    <s v="New York City"/>
    <s v="New York"/>
    <s v="East"/>
    <x v="0"/>
    <x v="1"/>
    <s v="HON 5400 Series Task Chairs for Big and Tall"/>
    <x v="5602"/>
    <n v="6"/>
    <n v="0.1"/>
    <n v="420.58800000000002"/>
  </r>
  <r>
    <n v="9427"/>
    <x v="306"/>
    <x v="0"/>
    <x v="8"/>
    <d v="2013-09-21T00:00:00"/>
    <n v="5"/>
    <x v="1"/>
    <s v="Angele Hood"/>
    <x v="0"/>
    <m/>
    <s v="Seattle"/>
    <s v="Washington"/>
    <s v="West"/>
    <x v="1"/>
    <x v="6"/>
    <s v="SANFORD Major Accent Highlighters"/>
    <x v="3704"/>
    <n v="5"/>
    <n v="0"/>
    <n v="13.452"/>
  </r>
  <r>
    <n v="9428"/>
    <x v="501"/>
    <x v="2"/>
    <x v="0"/>
    <d v="2011-12-01T00:00:00"/>
    <n v="4"/>
    <x v="1"/>
    <s v="Jack O'Briant"/>
    <x v="1"/>
    <m/>
    <s v="Buffalo"/>
    <s v="New York"/>
    <s v="East"/>
    <x v="0"/>
    <x v="5"/>
    <s v="Eldon Radial Chair Mat for Low to Medium Pile Carpets"/>
    <x v="3255"/>
    <n v="5"/>
    <n v="0"/>
    <n v="39.979999999999997"/>
  </r>
  <r>
    <n v="9429"/>
    <x v="218"/>
    <x v="2"/>
    <x v="5"/>
    <d v="2011-05-16T00:00:00"/>
    <n v="5"/>
    <x v="1"/>
    <s v="Victoria Wilson"/>
    <x v="1"/>
    <m/>
    <s v="Huntsville"/>
    <s v="Texas"/>
    <s v="Central"/>
    <x v="0"/>
    <x v="1"/>
    <s v="Hon Multipurpose Stacking Arm Chairs"/>
    <x v="1877"/>
    <n v="8"/>
    <n v="0.3"/>
    <n v="-69.311999999999998"/>
  </r>
  <r>
    <n v="9430"/>
    <x v="834"/>
    <x v="1"/>
    <x v="6"/>
    <d v="2012-09-01T00:00:00"/>
    <n v="4"/>
    <x v="1"/>
    <s v="Ben Peterman"/>
    <x v="1"/>
    <m/>
    <s v="Dallas"/>
    <s v="Texas"/>
    <s v="Central"/>
    <x v="2"/>
    <x v="7"/>
    <s v="Mitel MiVoice 5330e IP Phone"/>
    <x v="1113"/>
    <n v="5"/>
    <n v="0.2"/>
    <n v="82.497"/>
  </r>
  <r>
    <n v="9431"/>
    <x v="834"/>
    <x v="1"/>
    <x v="6"/>
    <d v="2012-09-01T00:00:00"/>
    <n v="4"/>
    <x v="1"/>
    <s v="Ben Peterman"/>
    <x v="1"/>
    <m/>
    <s v="Dallas"/>
    <s v="Texas"/>
    <s v="Central"/>
    <x v="0"/>
    <x v="3"/>
    <s v="Hon 2111 Invitation Series Straight Table"/>
    <x v="5603"/>
    <n v="1"/>
    <n v="0.3"/>
    <n v="-16.261299999999999"/>
  </r>
  <r>
    <n v="9432"/>
    <x v="974"/>
    <x v="1"/>
    <x v="1"/>
    <d v="2012-06-19T00:00:00"/>
    <n v="0"/>
    <x v="3"/>
    <s v="Paul Prost"/>
    <x v="2"/>
    <m/>
    <s v="Philadelphia"/>
    <s v="Pennsylvania"/>
    <s v="East"/>
    <x v="1"/>
    <x v="2"/>
    <s v="Self-Adhesive Address Labels for Typewriters with Dispenser Box"/>
    <x v="2144"/>
    <n v="2"/>
    <n v="0.2"/>
    <n v="1.9925999999999999"/>
  </r>
  <r>
    <n v="9433"/>
    <x v="493"/>
    <x v="1"/>
    <x v="6"/>
    <d v="2012-08-23T00:00:00"/>
    <n v="6"/>
    <x v="1"/>
    <s v="Steven Cartwright"/>
    <x v="0"/>
    <m/>
    <s v="Peoria"/>
    <s v="Arizona"/>
    <s v="West"/>
    <x v="2"/>
    <x v="11"/>
    <s v="Imation Clip USB flash drive - 8 GB"/>
    <x v="5268"/>
    <n v="2"/>
    <n v="0.2"/>
    <n v="-5.2640000000000002"/>
  </r>
  <r>
    <n v="9434"/>
    <x v="493"/>
    <x v="1"/>
    <x v="6"/>
    <d v="2012-08-23T00:00:00"/>
    <n v="6"/>
    <x v="1"/>
    <s v="Steven Cartwright"/>
    <x v="0"/>
    <m/>
    <s v="Peoria"/>
    <s v="Arizona"/>
    <s v="West"/>
    <x v="1"/>
    <x v="10"/>
    <s v="Xerox 21"/>
    <x v="1566"/>
    <n v="7"/>
    <n v="0.2"/>
    <n v="12.700799999999999"/>
  </r>
  <r>
    <n v="9435"/>
    <x v="493"/>
    <x v="1"/>
    <x v="6"/>
    <d v="2012-08-23T00:00:00"/>
    <n v="6"/>
    <x v="1"/>
    <s v="Steven Cartwright"/>
    <x v="0"/>
    <m/>
    <s v="Peoria"/>
    <s v="Arizona"/>
    <s v="West"/>
    <x v="1"/>
    <x v="6"/>
    <s v="Newell 336"/>
    <x v="1495"/>
    <n v="3"/>
    <n v="0.2"/>
    <n v="1.1556"/>
  </r>
  <r>
    <n v="9436"/>
    <x v="493"/>
    <x v="1"/>
    <x v="6"/>
    <d v="2012-08-23T00:00:00"/>
    <n v="6"/>
    <x v="1"/>
    <s v="Steven Cartwright"/>
    <x v="0"/>
    <m/>
    <s v="Peoria"/>
    <s v="Arizona"/>
    <s v="West"/>
    <x v="2"/>
    <x v="11"/>
    <s v="First Data FD10 PIN Pad"/>
    <x v="5604"/>
    <n v="4"/>
    <n v="0.2"/>
    <n v="-31.6"/>
  </r>
  <r>
    <n v="9437"/>
    <x v="12"/>
    <x v="1"/>
    <x v="8"/>
    <d v="2012-09-25T00:00:00"/>
    <n v="0"/>
    <x v="3"/>
    <s v="Bryan Mills"/>
    <x v="0"/>
    <m/>
    <s v="Philadelphia"/>
    <s v="Pennsylvania"/>
    <s v="East"/>
    <x v="1"/>
    <x v="8"/>
    <s v="Acco Pressboard Covers with Storage Hooks, 14 7/8&quot; x 11&quot;, Light Blue"/>
    <x v="194"/>
    <n v="2"/>
    <n v="0.7"/>
    <n v="-2.0621999999999998"/>
  </r>
  <r>
    <n v="9438"/>
    <x v="1143"/>
    <x v="3"/>
    <x v="5"/>
    <d v="2014-06-01T00:00:00"/>
    <n v="5"/>
    <x v="1"/>
    <s v="Carlos Daly"/>
    <x v="0"/>
    <m/>
    <s v="Oceanside"/>
    <s v="California"/>
    <s v="West"/>
    <x v="1"/>
    <x v="10"/>
    <s v="Xerox 201"/>
    <x v="91"/>
    <n v="2"/>
    <n v="0"/>
    <n v="6.2207999999999997"/>
  </r>
  <r>
    <n v="9439"/>
    <x v="689"/>
    <x v="3"/>
    <x v="6"/>
    <d v="2014-08-06T00:00:00"/>
    <n v="5"/>
    <x v="1"/>
    <s v="Greg Matthias"/>
    <x v="0"/>
    <m/>
    <s v="Philadelphia"/>
    <s v="Pennsylvania"/>
    <s v="East"/>
    <x v="2"/>
    <x v="7"/>
    <s v="Polycom SoundPoint Pro SE-225 Corded phone"/>
    <x v="5605"/>
    <n v="4"/>
    <n v="0.4"/>
    <n v="-57.115200000000002"/>
  </r>
  <r>
    <n v="9440"/>
    <x v="36"/>
    <x v="2"/>
    <x v="2"/>
    <d v="2011-10-17T00:00:00"/>
    <n v="5"/>
    <x v="1"/>
    <s v="Barry Pond"/>
    <x v="1"/>
    <m/>
    <s v="Chicago"/>
    <s v="Illinois"/>
    <s v="Central"/>
    <x v="1"/>
    <x v="14"/>
    <s v="Acme Hot Forged Carbon Steel Scissors with Nickel-Plated Handles, 3 7/8&quot; Cut, 8&quot;L"/>
    <x v="5606"/>
    <n v="2"/>
    <n v="0.2"/>
    <n v="2.5019999999999998"/>
  </r>
  <r>
    <n v="9441"/>
    <x v="594"/>
    <x v="2"/>
    <x v="5"/>
    <d v="2011-05-29T00:00:00"/>
    <n v="4"/>
    <x v="1"/>
    <s v="Barry Weirich"/>
    <x v="0"/>
    <m/>
    <s v="New York City"/>
    <s v="New York"/>
    <s v="East"/>
    <x v="1"/>
    <x v="10"/>
    <s v="Strathmore Photo Frame Cards"/>
    <x v="2"/>
    <n v="2"/>
    <n v="0"/>
    <n v="6.7252000000000001"/>
  </r>
  <r>
    <n v="9442"/>
    <x v="282"/>
    <x v="2"/>
    <x v="4"/>
    <d v="2011-12-31T00:00:00"/>
    <n v="2"/>
    <x v="0"/>
    <s v="Ricardo Emerson"/>
    <x v="0"/>
    <m/>
    <s v="Kent"/>
    <s v="Ohio"/>
    <s v="East"/>
    <x v="1"/>
    <x v="9"/>
    <s v="Acco 6 Outlet Guardian Standard Surge Suppressor"/>
    <x v="5607"/>
    <n v="5"/>
    <n v="0.2"/>
    <n v="6.0449999999999999"/>
  </r>
  <r>
    <n v="9443"/>
    <x v="104"/>
    <x v="3"/>
    <x v="3"/>
    <d v="2014-04-12T00:00:00"/>
    <n v="4"/>
    <x v="1"/>
    <s v="Hallie Redmond"/>
    <x v="2"/>
    <m/>
    <s v="Jacksonville"/>
    <s v="Florida"/>
    <s v="South"/>
    <x v="1"/>
    <x v="6"/>
    <s v="50 Colored Long Pencils"/>
    <x v="5608"/>
    <n v="2"/>
    <n v="0.2"/>
    <n v="1.2192000000000001"/>
  </r>
  <r>
    <n v="9444"/>
    <x v="104"/>
    <x v="3"/>
    <x v="3"/>
    <d v="2014-04-12T00:00:00"/>
    <n v="4"/>
    <x v="1"/>
    <s v="Hallie Redmond"/>
    <x v="2"/>
    <m/>
    <s v="Jacksonville"/>
    <s v="Florida"/>
    <s v="South"/>
    <x v="2"/>
    <x v="7"/>
    <s v="AT&amp;T 1080 Corded phone"/>
    <x v="977"/>
    <n v="2"/>
    <n v="0.2"/>
    <n v="19.178599999999999"/>
  </r>
  <r>
    <n v="9445"/>
    <x v="1201"/>
    <x v="1"/>
    <x v="10"/>
    <d v="2012-03-02T00:00:00"/>
    <n v="1"/>
    <x v="2"/>
    <s v="Tracy Poddar"/>
    <x v="1"/>
    <m/>
    <s v="Coppell"/>
    <s v="Texas"/>
    <s v="Central"/>
    <x v="2"/>
    <x v="7"/>
    <s v="Jackery Bar Premium Fast-charging Portable Charger"/>
    <x v="3044"/>
    <n v="4"/>
    <n v="0.2"/>
    <n v="34.741999999999997"/>
  </r>
  <r>
    <n v="9446"/>
    <x v="352"/>
    <x v="1"/>
    <x v="5"/>
    <d v="2012-06-03T00:00:00"/>
    <n v="5"/>
    <x v="1"/>
    <s v="Karl Braun"/>
    <x v="0"/>
    <m/>
    <s v="Indianapolis"/>
    <s v="Indiana"/>
    <s v="Central"/>
    <x v="1"/>
    <x v="2"/>
    <s v="Avery 476"/>
    <x v="708"/>
    <n v="3"/>
    <n v="0"/>
    <n v="5.6993999999999998"/>
  </r>
  <r>
    <n v="9447"/>
    <x v="897"/>
    <x v="0"/>
    <x v="8"/>
    <d v="2013-09-29T00:00:00"/>
    <n v="6"/>
    <x v="1"/>
    <s v="Anna Chung"/>
    <x v="0"/>
    <m/>
    <s v="Lawrence"/>
    <s v="Indiana"/>
    <s v="Central"/>
    <x v="1"/>
    <x v="10"/>
    <s v="Xerox 1895"/>
    <x v="1197"/>
    <n v="6"/>
    <n v="0"/>
    <n v="16.146000000000001"/>
  </r>
  <r>
    <n v="9448"/>
    <x v="837"/>
    <x v="3"/>
    <x v="5"/>
    <d v="2014-06-04T00:00:00"/>
    <n v="7"/>
    <x v="1"/>
    <s v="Duane Noonan"/>
    <x v="0"/>
    <m/>
    <s v="Tulsa"/>
    <s v="Oklahoma"/>
    <s v="Central"/>
    <x v="0"/>
    <x v="5"/>
    <s v="Electrix Architect's Clamp-On Swing Arm Lamp, Black"/>
    <x v="5609"/>
    <n v="5"/>
    <n v="0"/>
    <n v="138.417"/>
  </r>
  <r>
    <n v="9449"/>
    <x v="42"/>
    <x v="0"/>
    <x v="8"/>
    <d v="2013-09-24T00:00:00"/>
    <n v="6"/>
    <x v="1"/>
    <s v="Chuck Clark"/>
    <x v="2"/>
    <m/>
    <s v="Redmond"/>
    <s v="Washington"/>
    <s v="West"/>
    <x v="1"/>
    <x v="2"/>
    <s v="Avery 481"/>
    <x v="3987"/>
    <n v="4"/>
    <n v="0"/>
    <n v="5.9135999999999997"/>
  </r>
  <r>
    <n v="9450"/>
    <x v="78"/>
    <x v="2"/>
    <x v="8"/>
    <d v="2011-09-13T00:00:00"/>
    <n v="5"/>
    <x v="1"/>
    <s v="Toby Swindell"/>
    <x v="0"/>
    <m/>
    <s v="San Francisco"/>
    <s v="California"/>
    <s v="West"/>
    <x v="1"/>
    <x v="8"/>
    <s v="Acco PRESSTEX Data Binder with Storage Hooks, Light Blue, 9 1/2&quot; X 11&quot;"/>
    <x v="5298"/>
    <n v="2"/>
    <n v="0.2"/>
    <n v="3.0127999999999999"/>
  </r>
  <r>
    <n v="9451"/>
    <x v="95"/>
    <x v="3"/>
    <x v="1"/>
    <d v="2014-06-08T00:00:00"/>
    <n v="4"/>
    <x v="1"/>
    <s v="Meg O'Connel"/>
    <x v="2"/>
    <m/>
    <s v="Spokane"/>
    <s v="Washington"/>
    <s v="West"/>
    <x v="1"/>
    <x v="4"/>
    <s v="Eldon Gobal File Keepers"/>
    <x v="5610"/>
    <n v="9"/>
    <n v="0"/>
    <n v="5.4504000000000001"/>
  </r>
  <r>
    <n v="9452"/>
    <x v="694"/>
    <x v="1"/>
    <x v="8"/>
    <d v="2012-10-05T00:00:00"/>
    <n v="7"/>
    <x v="1"/>
    <s v="Roy Phan"/>
    <x v="1"/>
    <m/>
    <s v="Los Angeles"/>
    <s v="California"/>
    <s v="West"/>
    <x v="1"/>
    <x v="9"/>
    <s v="Acco Smartsocket Table Surge Protector, 6 Color-Coded Adapter Outlets"/>
    <x v="5611"/>
    <n v="3"/>
    <n v="0"/>
    <n v="55.844999999999999"/>
  </r>
  <r>
    <n v="9453"/>
    <x v="694"/>
    <x v="1"/>
    <x v="8"/>
    <d v="2012-10-05T00:00:00"/>
    <n v="7"/>
    <x v="1"/>
    <s v="Roy Phan"/>
    <x v="1"/>
    <m/>
    <s v="Los Angeles"/>
    <s v="California"/>
    <s v="West"/>
    <x v="1"/>
    <x v="8"/>
    <s v="GBC Recycled VeloBinder Covers"/>
    <x v="5612"/>
    <n v="6"/>
    <n v="0.2"/>
    <n v="26.5824"/>
  </r>
  <r>
    <n v="9454"/>
    <x v="694"/>
    <x v="1"/>
    <x v="8"/>
    <d v="2012-10-05T00:00:00"/>
    <n v="7"/>
    <x v="1"/>
    <s v="Roy Phan"/>
    <x v="1"/>
    <m/>
    <s v="Los Angeles"/>
    <s v="California"/>
    <s v="West"/>
    <x v="1"/>
    <x v="14"/>
    <s v="Acme Galleria Hot Forged Steel Scissors with Colored Handles"/>
    <x v="5613"/>
    <n v="3"/>
    <n v="0"/>
    <n v="13.6851"/>
  </r>
  <r>
    <n v="9455"/>
    <x v="694"/>
    <x v="1"/>
    <x v="8"/>
    <d v="2012-10-05T00:00:00"/>
    <n v="7"/>
    <x v="1"/>
    <s v="Roy Phan"/>
    <x v="1"/>
    <m/>
    <s v="Los Angeles"/>
    <s v="California"/>
    <s v="West"/>
    <x v="2"/>
    <x v="7"/>
    <s v="Motorola HK250 Universal Bluetooth Headset"/>
    <x v="2790"/>
    <n v="2"/>
    <n v="0.2"/>
    <n v="-8.2764000000000006"/>
  </r>
  <r>
    <n v="9456"/>
    <x v="950"/>
    <x v="0"/>
    <x v="1"/>
    <d v="2013-06-20T00:00:00"/>
    <n v="3"/>
    <x v="0"/>
    <s v="James Lanier"/>
    <x v="2"/>
    <m/>
    <s v="Chattanooga"/>
    <s v="Tennessee"/>
    <s v="South"/>
    <x v="2"/>
    <x v="15"/>
    <s v="Penpower WorldCard Pro Card Scanner"/>
    <x v="5614"/>
    <n v="1"/>
    <n v="0.5"/>
    <n v="-1.8294999999999999"/>
  </r>
  <r>
    <n v="9457"/>
    <x v="837"/>
    <x v="3"/>
    <x v="5"/>
    <d v="2014-06-04T00:00:00"/>
    <n v="7"/>
    <x v="1"/>
    <s v="Bart Watters"/>
    <x v="1"/>
    <m/>
    <s v="Greensboro"/>
    <s v="North Carolina"/>
    <s v="South"/>
    <x v="2"/>
    <x v="11"/>
    <s v="Sony 8GB Class 10 Micro SDHC R40 Memory Card"/>
    <x v="5615"/>
    <n v="3"/>
    <n v="0.2"/>
    <n v="0.33989999999999998"/>
  </r>
  <r>
    <n v="9458"/>
    <x v="837"/>
    <x v="3"/>
    <x v="5"/>
    <d v="2014-06-04T00:00:00"/>
    <n v="7"/>
    <x v="1"/>
    <s v="Bart Watters"/>
    <x v="1"/>
    <m/>
    <s v="Greensboro"/>
    <s v="North Carolina"/>
    <s v="South"/>
    <x v="1"/>
    <x v="8"/>
    <s v="Fellowes Twister Kit, Gray/Clear, 3/pkg"/>
    <x v="5616"/>
    <n v="5"/>
    <n v="0.7"/>
    <n v="-10.050000000000001"/>
  </r>
  <r>
    <n v="9459"/>
    <x v="1148"/>
    <x v="2"/>
    <x v="2"/>
    <d v="2011-10-14T00:00:00"/>
    <n v="5"/>
    <x v="1"/>
    <s v="Shirley Jackson"/>
    <x v="0"/>
    <m/>
    <s v="San Francisco"/>
    <s v="California"/>
    <s v="West"/>
    <x v="1"/>
    <x v="6"/>
    <s v="Boston Heavy-Duty Trimline Electric Pencil Sharpeners"/>
    <x v="5617"/>
    <n v="3"/>
    <n v="0"/>
    <n v="41.933999999999997"/>
  </r>
  <r>
    <n v="9460"/>
    <x v="1148"/>
    <x v="2"/>
    <x v="2"/>
    <d v="2011-10-14T00:00:00"/>
    <n v="5"/>
    <x v="1"/>
    <s v="Shirley Jackson"/>
    <x v="0"/>
    <m/>
    <s v="San Francisco"/>
    <s v="California"/>
    <s v="West"/>
    <x v="2"/>
    <x v="7"/>
    <s v="iOttie HLCRIO102 Car Mount"/>
    <x v="312"/>
    <n v="1"/>
    <n v="0.2"/>
    <n v="-2.9984999999999999"/>
  </r>
  <r>
    <n v="9461"/>
    <x v="664"/>
    <x v="2"/>
    <x v="0"/>
    <d v="2011-11-22T00:00:00"/>
    <n v="5"/>
    <x v="0"/>
    <s v="Frank Gastineau"/>
    <x v="2"/>
    <m/>
    <s v="New York City"/>
    <s v="New York"/>
    <s v="East"/>
    <x v="1"/>
    <x v="10"/>
    <s v="Southworth 100% Cotton The Best Paper"/>
    <x v="799"/>
    <n v="3"/>
    <n v="0"/>
    <n v="17.22"/>
  </r>
  <r>
    <n v="9462"/>
    <x v="538"/>
    <x v="2"/>
    <x v="2"/>
    <d v="2011-10-24T00:00:00"/>
    <n v="5"/>
    <x v="1"/>
    <s v="Eugene Hildebrand"/>
    <x v="2"/>
    <m/>
    <s v="Lakewood"/>
    <s v="California"/>
    <s v="West"/>
    <x v="2"/>
    <x v="7"/>
    <s v="RCA Visys Integrated PBX 8-Line Router"/>
    <x v="5618"/>
    <n v="6"/>
    <n v="0.2"/>
    <n v="20.097000000000001"/>
  </r>
  <r>
    <n v="9463"/>
    <x v="920"/>
    <x v="3"/>
    <x v="0"/>
    <d v="2014-12-01T00:00:00"/>
    <n v="5"/>
    <x v="0"/>
    <s v="Brendan Sweed"/>
    <x v="1"/>
    <m/>
    <s v="Louisville"/>
    <s v="Kentucky"/>
    <s v="South"/>
    <x v="0"/>
    <x v="1"/>
    <s v="Office Star - Professional Matrix Back Chair with 2-to-1 Synchro Tilt and Mesh Fabric Seat"/>
    <x v="4233"/>
    <n v="2"/>
    <n v="0"/>
    <n v="168.47040000000001"/>
  </r>
  <r>
    <n v="9464"/>
    <x v="1221"/>
    <x v="2"/>
    <x v="11"/>
    <d v="2011-03-03T00:00:00"/>
    <n v="3"/>
    <x v="2"/>
    <s v="Joy Smith"/>
    <x v="0"/>
    <m/>
    <s v="Columbus"/>
    <s v="Ohio"/>
    <s v="East"/>
    <x v="1"/>
    <x v="6"/>
    <s v="Zebra Zazzle Fluorescent Highlighters"/>
    <x v="526"/>
    <n v="4"/>
    <n v="0.2"/>
    <n v="3.4047999999999998"/>
  </r>
  <r>
    <n v="9465"/>
    <x v="1059"/>
    <x v="2"/>
    <x v="4"/>
    <d v="2011-12-25T00:00:00"/>
    <n v="4"/>
    <x v="1"/>
    <s v="John Castell"/>
    <x v="0"/>
    <m/>
    <s v="Newark"/>
    <s v="Delaware"/>
    <s v="East"/>
    <x v="1"/>
    <x v="2"/>
    <s v="Avery 492"/>
    <x v="1300"/>
    <n v="6"/>
    <n v="0"/>
    <n v="7.9488000000000003"/>
  </r>
  <r>
    <n v="9466"/>
    <x v="258"/>
    <x v="0"/>
    <x v="0"/>
    <d v="2013-11-24T00:00:00"/>
    <n v="4"/>
    <x v="1"/>
    <s v="Janet Molinari"/>
    <x v="1"/>
    <m/>
    <s v="Seattle"/>
    <s v="Washington"/>
    <s v="West"/>
    <x v="0"/>
    <x v="5"/>
    <s v="Tenex Chairmats For Use With Carpeted Floors"/>
    <x v="5504"/>
    <n v="2"/>
    <n v="0"/>
    <n v="1.5980000000000001"/>
  </r>
  <r>
    <n v="9467"/>
    <x v="60"/>
    <x v="3"/>
    <x v="0"/>
    <d v="2014-11-11T00:00:00"/>
    <n v="5"/>
    <x v="0"/>
    <s v="Christina DeMoss"/>
    <x v="0"/>
    <m/>
    <s v="New York City"/>
    <s v="New York"/>
    <s v="East"/>
    <x v="1"/>
    <x v="8"/>
    <s v="GBC Prestige Therm-A-Bind Covers"/>
    <x v="5619"/>
    <n v="6"/>
    <n v="0.2"/>
    <n v="55.5822"/>
  </r>
  <r>
    <n v="9468"/>
    <x v="60"/>
    <x v="3"/>
    <x v="0"/>
    <d v="2014-11-11T00:00:00"/>
    <n v="5"/>
    <x v="0"/>
    <s v="Christina DeMoss"/>
    <x v="0"/>
    <m/>
    <s v="New York City"/>
    <s v="New York"/>
    <s v="East"/>
    <x v="0"/>
    <x v="3"/>
    <s v="Balt Split Level Computer Training Table"/>
    <x v="4207"/>
    <n v="2"/>
    <n v="0.4"/>
    <n v="-66.599999999999994"/>
  </r>
  <r>
    <n v="9469"/>
    <x v="60"/>
    <x v="3"/>
    <x v="0"/>
    <d v="2014-11-11T00:00:00"/>
    <n v="5"/>
    <x v="0"/>
    <s v="Christina DeMoss"/>
    <x v="0"/>
    <m/>
    <s v="New York City"/>
    <s v="New York"/>
    <s v="East"/>
    <x v="1"/>
    <x v="10"/>
    <s v="Xerox 202"/>
    <x v="91"/>
    <n v="2"/>
    <n v="0"/>
    <n v="6.2207999999999997"/>
  </r>
  <r>
    <n v="9470"/>
    <x v="60"/>
    <x v="3"/>
    <x v="0"/>
    <d v="2014-11-11T00:00:00"/>
    <n v="5"/>
    <x v="0"/>
    <s v="Christina DeMoss"/>
    <x v="0"/>
    <m/>
    <s v="New York City"/>
    <s v="New York"/>
    <s v="East"/>
    <x v="1"/>
    <x v="10"/>
    <s v="Eaton Premium Continuous-Feed Paper, 25% Cotton, Letter Size, White, 1000 Shts/Box"/>
    <x v="168"/>
    <n v="2"/>
    <n v="0"/>
    <n v="53.260800000000003"/>
  </r>
  <r>
    <n v="9471"/>
    <x v="60"/>
    <x v="3"/>
    <x v="0"/>
    <d v="2014-11-11T00:00:00"/>
    <n v="5"/>
    <x v="0"/>
    <s v="Christina DeMoss"/>
    <x v="0"/>
    <m/>
    <s v="New York City"/>
    <s v="New York"/>
    <s v="East"/>
    <x v="2"/>
    <x v="7"/>
    <s v="Anker Astro 15000mAh USB Portable Charger"/>
    <x v="2564"/>
    <n v="2"/>
    <n v="0"/>
    <n v="3.9992000000000001"/>
  </r>
  <r>
    <n v="9472"/>
    <x v="60"/>
    <x v="3"/>
    <x v="0"/>
    <d v="2014-11-11T00:00:00"/>
    <n v="5"/>
    <x v="0"/>
    <s v="Christina DeMoss"/>
    <x v="0"/>
    <m/>
    <s v="New York City"/>
    <s v="New York"/>
    <s v="East"/>
    <x v="1"/>
    <x v="8"/>
    <s v="Avery Premier Heavy-Duty Binder with Round Locking Rings"/>
    <x v="5574"/>
    <n v="1"/>
    <n v="0.2"/>
    <n v="3.7128000000000001"/>
  </r>
  <r>
    <n v="9473"/>
    <x v="60"/>
    <x v="3"/>
    <x v="0"/>
    <d v="2014-11-11T00:00:00"/>
    <n v="5"/>
    <x v="0"/>
    <s v="Christina DeMoss"/>
    <x v="0"/>
    <m/>
    <s v="New York City"/>
    <s v="New York"/>
    <s v="East"/>
    <x v="0"/>
    <x v="1"/>
    <s v="Harbour Creations 67200 Series Stacking Chairs"/>
    <x v="5620"/>
    <n v="2"/>
    <n v="0.1"/>
    <n v="24.2012"/>
  </r>
  <r>
    <n v="9474"/>
    <x v="60"/>
    <x v="3"/>
    <x v="0"/>
    <d v="2014-11-11T00:00:00"/>
    <n v="5"/>
    <x v="0"/>
    <s v="Christina DeMoss"/>
    <x v="0"/>
    <m/>
    <s v="New York City"/>
    <s v="New York"/>
    <s v="East"/>
    <x v="0"/>
    <x v="5"/>
    <s v="Career Cubicle Clock, 8 1/4&quot;, Black"/>
    <x v="5621"/>
    <n v="5"/>
    <n v="0"/>
    <n v="38.531999999999996"/>
  </r>
  <r>
    <n v="9475"/>
    <x v="70"/>
    <x v="1"/>
    <x v="5"/>
    <d v="2012-06-05T00:00:00"/>
    <n v="5"/>
    <x v="0"/>
    <s v="Janet Molinari"/>
    <x v="1"/>
    <m/>
    <s v="Chicago"/>
    <s v="Illinois"/>
    <s v="Central"/>
    <x v="1"/>
    <x v="2"/>
    <s v="Avery 501"/>
    <x v="2144"/>
    <n v="2"/>
    <n v="0.2"/>
    <n v="1.9925999999999999"/>
  </r>
  <r>
    <n v="9476"/>
    <x v="70"/>
    <x v="1"/>
    <x v="5"/>
    <d v="2012-06-05T00:00:00"/>
    <n v="5"/>
    <x v="0"/>
    <s v="Janet Molinari"/>
    <x v="1"/>
    <m/>
    <s v="Chicago"/>
    <s v="Illinois"/>
    <s v="Central"/>
    <x v="1"/>
    <x v="10"/>
    <s v="Xerox 1988"/>
    <x v="4107"/>
    <n v="7"/>
    <n v="0.2"/>
    <n v="54.215000000000003"/>
  </r>
  <r>
    <n v="9477"/>
    <x v="70"/>
    <x v="1"/>
    <x v="5"/>
    <d v="2012-06-05T00:00:00"/>
    <n v="5"/>
    <x v="0"/>
    <s v="Janet Molinari"/>
    <x v="1"/>
    <m/>
    <s v="Chicago"/>
    <s v="Illinois"/>
    <s v="Central"/>
    <x v="0"/>
    <x v="5"/>
    <s v="Tenex Traditional Chairmats for Hard Floors, Average Lip, 36&quot; x 48&quot;"/>
    <x v="5622"/>
    <n v="2"/>
    <n v="0.6"/>
    <n v="-61.872"/>
  </r>
  <r>
    <n v="9478"/>
    <x v="70"/>
    <x v="1"/>
    <x v="5"/>
    <d v="2012-06-05T00:00:00"/>
    <n v="5"/>
    <x v="0"/>
    <s v="Janet Molinari"/>
    <x v="1"/>
    <m/>
    <s v="Chicago"/>
    <s v="Illinois"/>
    <s v="Central"/>
    <x v="1"/>
    <x v="8"/>
    <s v="Storex Dura Pro Binders"/>
    <x v="2940"/>
    <n v="3"/>
    <n v="0.8"/>
    <n v="-6.2370000000000001"/>
  </r>
  <r>
    <n v="9479"/>
    <x v="557"/>
    <x v="2"/>
    <x v="8"/>
    <d v="2011-09-14T00:00:00"/>
    <n v="7"/>
    <x v="1"/>
    <s v="Shahid Shariari"/>
    <x v="0"/>
    <m/>
    <s v="Oswego"/>
    <s v="Illinois"/>
    <s v="Central"/>
    <x v="1"/>
    <x v="13"/>
    <s v="Acco Hot Clips Clips to Go"/>
    <x v="5623"/>
    <n v="5"/>
    <n v="0.2"/>
    <n v="4.1124999999999998"/>
  </r>
  <r>
    <n v="9480"/>
    <x v="557"/>
    <x v="2"/>
    <x v="8"/>
    <d v="2011-09-14T00:00:00"/>
    <n v="7"/>
    <x v="1"/>
    <s v="Shahid Shariari"/>
    <x v="0"/>
    <m/>
    <s v="Oswego"/>
    <s v="Illinois"/>
    <s v="Central"/>
    <x v="1"/>
    <x v="8"/>
    <s v="Avery Heavy-Duty EZD View Binder with Locking Rings"/>
    <x v="5624"/>
    <n v="3"/>
    <n v="0.8"/>
    <n v="-6.5076000000000001"/>
  </r>
  <r>
    <n v="9481"/>
    <x v="557"/>
    <x v="2"/>
    <x v="8"/>
    <d v="2011-09-14T00:00:00"/>
    <n v="7"/>
    <x v="1"/>
    <s v="Shahid Shariari"/>
    <x v="0"/>
    <m/>
    <s v="Oswego"/>
    <s v="Illinois"/>
    <s v="Central"/>
    <x v="1"/>
    <x v="8"/>
    <s v="Ibico Hi-Tech Manual Binding System"/>
    <x v="5625"/>
    <n v="5"/>
    <n v="0.8"/>
    <n v="-533.73249999999996"/>
  </r>
  <r>
    <n v="9482"/>
    <x v="44"/>
    <x v="3"/>
    <x v="0"/>
    <d v="2014-11-13T00:00:00"/>
    <n v="6"/>
    <x v="1"/>
    <s v="Harry Greene"/>
    <x v="0"/>
    <m/>
    <s v="Dallas"/>
    <s v="Texas"/>
    <s v="Central"/>
    <x v="1"/>
    <x v="4"/>
    <s v="SimpliFile Personal File, Black Granite, 15w x 6-15/16d x 11-1/4h"/>
    <x v="1318"/>
    <n v="2"/>
    <n v="0.2"/>
    <n v="1.8160000000000001"/>
  </r>
  <r>
    <n v="9483"/>
    <x v="782"/>
    <x v="1"/>
    <x v="1"/>
    <d v="2012-06-24T00:00:00"/>
    <n v="4"/>
    <x v="0"/>
    <s v="Becky Castell"/>
    <x v="2"/>
    <m/>
    <s v="Philadelphia"/>
    <s v="Pennsylvania"/>
    <s v="East"/>
    <x v="2"/>
    <x v="11"/>
    <s v="Razer Tiamat Over Ear 7.1 Surround Sound PC Gaming Headset"/>
    <x v="4398"/>
    <n v="2"/>
    <n v="0.2"/>
    <n v="91.995400000000004"/>
  </r>
  <r>
    <n v="9484"/>
    <x v="192"/>
    <x v="2"/>
    <x v="7"/>
    <d v="2011-07-28T00:00:00"/>
    <n v="6"/>
    <x v="1"/>
    <s v="Alejandro Ballentine"/>
    <x v="2"/>
    <m/>
    <s v="Los Angeles"/>
    <s v="California"/>
    <s v="West"/>
    <x v="1"/>
    <x v="6"/>
    <s v="Crayola Colored Pencils"/>
    <x v="1195"/>
    <n v="6"/>
    <n v="0"/>
    <n v="6.4943999999999997"/>
  </r>
  <r>
    <n v="9485"/>
    <x v="499"/>
    <x v="0"/>
    <x v="4"/>
    <d v="2013-12-05T00:00:00"/>
    <n v="2"/>
    <x v="0"/>
    <s v="Muhammed Yedwab"/>
    <x v="1"/>
    <m/>
    <s v="Houston"/>
    <s v="Texas"/>
    <s v="Central"/>
    <x v="0"/>
    <x v="0"/>
    <s v="Sauder Camden County Collection Library"/>
    <x v="5626"/>
    <n v="10"/>
    <n v="0.32"/>
    <n v="-137.976"/>
  </r>
  <r>
    <n v="9486"/>
    <x v="499"/>
    <x v="0"/>
    <x v="4"/>
    <d v="2013-12-05T00:00:00"/>
    <n v="2"/>
    <x v="0"/>
    <s v="Muhammed Yedwab"/>
    <x v="1"/>
    <m/>
    <s v="Houston"/>
    <s v="Texas"/>
    <s v="Central"/>
    <x v="1"/>
    <x v="10"/>
    <s v="Xerox 1962"/>
    <x v="2723"/>
    <n v="9"/>
    <n v="0.2"/>
    <n v="9.6300000000000008"/>
  </r>
  <r>
    <n v="9487"/>
    <x v="386"/>
    <x v="3"/>
    <x v="2"/>
    <d v="2014-10-13T00:00:00"/>
    <n v="0"/>
    <x v="3"/>
    <s v="Natalie Fritzler"/>
    <x v="0"/>
    <m/>
    <s v="Wheeling"/>
    <s v="West Virginia"/>
    <s v="East"/>
    <x v="0"/>
    <x v="3"/>
    <s v="Chromcraft 48&quot; x 96&quot; Racetrack Double Pedestal Table"/>
    <x v="5627"/>
    <n v="3"/>
    <n v="0.3"/>
    <n v="-76.953599999999994"/>
  </r>
  <r>
    <n v="9488"/>
    <x v="157"/>
    <x v="3"/>
    <x v="4"/>
    <d v="2014-12-14T00:00:00"/>
    <n v="2"/>
    <x v="2"/>
    <s v="Nona Balk"/>
    <x v="1"/>
    <m/>
    <s v="Paterson"/>
    <s v="New Jersey"/>
    <s v="East"/>
    <x v="1"/>
    <x v="13"/>
    <s v="Stockwell Push Pins"/>
    <x v="2571"/>
    <n v="3"/>
    <n v="0"/>
    <n v="2.1581999999999999"/>
  </r>
  <r>
    <n v="9489"/>
    <x v="486"/>
    <x v="1"/>
    <x v="2"/>
    <d v="2012-10-04T00:00:00"/>
    <n v="3"/>
    <x v="2"/>
    <s v="Eric Murdock"/>
    <x v="0"/>
    <m/>
    <s v="Portland"/>
    <s v="Oregon"/>
    <s v="West"/>
    <x v="2"/>
    <x v="7"/>
    <s v="Wilson Electronics DB Pro Signal Booster"/>
    <x v="5628"/>
    <n v="2"/>
    <n v="0.2"/>
    <n v="50.12"/>
  </r>
  <r>
    <n v="9490"/>
    <x v="1222"/>
    <x v="0"/>
    <x v="6"/>
    <d v="2013-08-12T00:00:00"/>
    <n v="6"/>
    <x v="1"/>
    <s v="Maureen Fritzler"/>
    <x v="1"/>
    <m/>
    <s v="Huntsville"/>
    <s v="Alabama"/>
    <s v="South"/>
    <x v="1"/>
    <x v="6"/>
    <s v="Boston Model 1800 Electric Pencil Sharpener, Gray"/>
    <x v="5629"/>
    <n v="7"/>
    <n v="0"/>
    <n v="59.115000000000002"/>
  </r>
  <r>
    <n v="9491"/>
    <x v="1032"/>
    <x v="3"/>
    <x v="9"/>
    <d v="2014-01-08T00:00:00"/>
    <n v="4"/>
    <x v="1"/>
    <s v="Christopher Martinez"/>
    <x v="0"/>
    <m/>
    <s v="San Francisco"/>
    <s v="California"/>
    <s v="West"/>
    <x v="1"/>
    <x v="8"/>
    <s v="GBC ProClick 150 Presentation Binding System"/>
    <x v="5630"/>
    <n v="8"/>
    <n v="0.2"/>
    <n v="682.51679999999999"/>
  </r>
  <r>
    <n v="9492"/>
    <x v="1032"/>
    <x v="3"/>
    <x v="9"/>
    <d v="2014-01-08T00:00:00"/>
    <n v="4"/>
    <x v="1"/>
    <s v="Christopher Martinez"/>
    <x v="0"/>
    <m/>
    <s v="San Francisco"/>
    <s v="California"/>
    <s v="West"/>
    <x v="1"/>
    <x v="6"/>
    <s v="Manco Dry-Lighter Erasable Highlighter"/>
    <x v="5631"/>
    <n v="3"/>
    <n v="0"/>
    <n v="3.1008"/>
  </r>
  <r>
    <n v="9493"/>
    <x v="659"/>
    <x v="3"/>
    <x v="0"/>
    <d v="2014-11-08T00:00:00"/>
    <n v="0"/>
    <x v="3"/>
    <s v="Erin Creighton"/>
    <x v="0"/>
    <m/>
    <s v="Oklahoma City"/>
    <s v="Oklahoma"/>
    <s v="Central"/>
    <x v="1"/>
    <x v="8"/>
    <s v="Storex DuraTech Recycled Plastic Frosted Binders"/>
    <x v="5632"/>
    <n v="9"/>
    <n v="0"/>
    <n v="19.079999999999998"/>
  </r>
  <r>
    <n v="9494"/>
    <x v="835"/>
    <x v="0"/>
    <x v="9"/>
    <d v="2013-01-08T00:00:00"/>
    <n v="5"/>
    <x v="1"/>
    <s v="Bill Overfelt"/>
    <x v="1"/>
    <m/>
    <s v="Broken Arrow"/>
    <s v="Oklahoma"/>
    <s v="Central"/>
    <x v="0"/>
    <x v="3"/>
    <s v="Hon Practical Foundations 30 x 60 Training Table, Light Gray/Charcoal"/>
    <x v="5633"/>
    <n v="7"/>
    <n v="0"/>
    <n v="350.42700000000002"/>
  </r>
  <r>
    <n v="9495"/>
    <x v="835"/>
    <x v="0"/>
    <x v="9"/>
    <d v="2013-01-08T00:00:00"/>
    <n v="5"/>
    <x v="1"/>
    <s v="Bill Overfelt"/>
    <x v="1"/>
    <m/>
    <s v="Broken Arrow"/>
    <s v="Oklahoma"/>
    <s v="Central"/>
    <x v="1"/>
    <x v="8"/>
    <s v="Storex Dura Pro Binders"/>
    <x v="5264"/>
    <n v="2"/>
    <n v="0"/>
    <n v="5.3460000000000001"/>
  </r>
  <r>
    <n v="9496"/>
    <x v="536"/>
    <x v="0"/>
    <x v="5"/>
    <d v="2013-05-17T00:00:00"/>
    <n v="4"/>
    <x v="1"/>
    <s v="Vivian Mathis"/>
    <x v="0"/>
    <m/>
    <s v="Mission Viejo"/>
    <s v="California"/>
    <s v="West"/>
    <x v="2"/>
    <x v="11"/>
    <s v="Memorex Mini Travel Drive 32 GB USB 2.0 Flash Drive"/>
    <x v="5028"/>
    <n v="6"/>
    <n v="0"/>
    <n v="46.8"/>
  </r>
  <r>
    <n v="9497"/>
    <x v="536"/>
    <x v="0"/>
    <x v="5"/>
    <d v="2013-05-17T00:00:00"/>
    <n v="4"/>
    <x v="1"/>
    <s v="Vivian Mathis"/>
    <x v="0"/>
    <m/>
    <s v="Mission Viejo"/>
    <s v="California"/>
    <s v="West"/>
    <x v="1"/>
    <x v="9"/>
    <s v="Staples"/>
    <x v="1298"/>
    <n v="1"/>
    <n v="0"/>
    <n v="2.3409"/>
  </r>
  <r>
    <n v="9498"/>
    <x v="60"/>
    <x v="3"/>
    <x v="0"/>
    <d v="2014-11-08T00:00:00"/>
    <n v="2"/>
    <x v="2"/>
    <s v="Adam Bellavance"/>
    <x v="2"/>
    <m/>
    <s v="Greenwood"/>
    <s v="Indiana"/>
    <s v="Central"/>
    <x v="1"/>
    <x v="10"/>
    <s v="Ampad Gold Fibre Wirebound Steno Books, 6&quot; x 9&quot;, Gregg Ruled"/>
    <x v="5634"/>
    <n v="1"/>
    <n v="0"/>
    <n v="2.0286"/>
  </r>
  <r>
    <n v="9499"/>
    <x v="60"/>
    <x v="3"/>
    <x v="0"/>
    <d v="2014-11-08T00:00:00"/>
    <n v="2"/>
    <x v="2"/>
    <s v="Adam Bellavance"/>
    <x v="2"/>
    <m/>
    <s v="Greenwood"/>
    <s v="Indiana"/>
    <s v="Central"/>
    <x v="1"/>
    <x v="10"/>
    <s v="Staples"/>
    <x v="3730"/>
    <n v="3"/>
    <n v="0"/>
    <n v="82.290599999999998"/>
  </r>
  <r>
    <n v="9500"/>
    <x v="60"/>
    <x v="3"/>
    <x v="0"/>
    <d v="2014-11-08T00:00:00"/>
    <n v="2"/>
    <x v="2"/>
    <s v="Adam Bellavance"/>
    <x v="2"/>
    <m/>
    <s v="Greenwood"/>
    <s v="Indiana"/>
    <s v="Central"/>
    <x v="1"/>
    <x v="10"/>
    <s v="Strathmore Photo Mount Cards"/>
    <x v="760"/>
    <n v="10"/>
    <n v="0"/>
    <n v="31.187999999999999"/>
  </r>
  <r>
    <n v="9501"/>
    <x v="439"/>
    <x v="0"/>
    <x v="5"/>
    <d v="2013-05-31T00:00:00"/>
    <n v="4"/>
    <x v="1"/>
    <s v="Chris McAfee"/>
    <x v="0"/>
    <m/>
    <s v="Milwaukee"/>
    <s v="Wisconsin"/>
    <s v="Central"/>
    <x v="0"/>
    <x v="5"/>
    <s v="Nu-Dell Float Frame 11 x 14 1/2"/>
    <x v="5635"/>
    <n v="3"/>
    <n v="0"/>
    <n v="11.3148"/>
  </r>
  <r>
    <n v="9502"/>
    <x v="312"/>
    <x v="1"/>
    <x v="0"/>
    <d v="2012-11-24T00:00:00"/>
    <n v="4"/>
    <x v="1"/>
    <s v="Kelly Williams"/>
    <x v="0"/>
    <m/>
    <s v="San Francisco"/>
    <s v="California"/>
    <s v="West"/>
    <x v="0"/>
    <x v="5"/>
    <s v="Dana Swing-Arm Lamps"/>
    <x v="4492"/>
    <n v="3"/>
    <n v="0"/>
    <n v="8.01"/>
  </r>
  <r>
    <n v="9503"/>
    <x v="183"/>
    <x v="0"/>
    <x v="3"/>
    <d v="2013-04-30T00:00:00"/>
    <n v="7"/>
    <x v="1"/>
    <s v="Michael Moore"/>
    <x v="0"/>
    <m/>
    <s v="Rome"/>
    <s v="New York"/>
    <s v="East"/>
    <x v="1"/>
    <x v="6"/>
    <s v="Barrel Sharpener"/>
    <x v="5636"/>
    <n v="9"/>
    <n v="0"/>
    <n v="8.3537999999999997"/>
  </r>
  <r>
    <n v="9504"/>
    <x v="183"/>
    <x v="0"/>
    <x v="3"/>
    <d v="2013-04-30T00:00:00"/>
    <n v="7"/>
    <x v="1"/>
    <s v="Michael Moore"/>
    <x v="0"/>
    <m/>
    <s v="Rome"/>
    <s v="New York"/>
    <s v="East"/>
    <x v="1"/>
    <x v="6"/>
    <s v="Newell 32"/>
    <x v="704"/>
    <n v="1"/>
    <n v="0"/>
    <n v="0.80640000000000001"/>
  </r>
  <r>
    <n v="9505"/>
    <x v="500"/>
    <x v="0"/>
    <x v="2"/>
    <d v="2013-10-19T00:00:00"/>
    <n v="4"/>
    <x v="1"/>
    <s v="Pauline Webber"/>
    <x v="1"/>
    <m/>
    <s v="New York City"/>
    <s v="New York"/>
    <s v="East"/>
    <x v="2"/>
    <x v="7"/>
    <s v="Motorola L703CM"/>
    <x v="5637"/>
    <n v="7"/>
    <n v="0"/>
    <n v="272.98250000000002"/>
  </r>
  <r>
    <n v="9506"/>
    <x v="500"/>
    <x v="0"/>
    <x v="2"/>
    <d v="2013-10-19T00:00:00"/>
    <n v="4"/>
    <x v="1"/>
    <s v="Pauline Webber"/>
    <x v="1"/>
    <m/>
    <s v="New York City"/>
    <s v="New York"/>
    <s v="East"/>
    <x v="1"/>
    <x v="10"/>
    <s v="Xerox 1908"/>
    <x v="1359"/>
    <n v="2"/>
    <n v="0"/>
    <n v="54.860399999999998"/>
  </r>
  <r>
    <n v="9507"/>
    <x v="267"/>
    <x v="2"/>
    <x v="3"/>
    <d v="2011-04-07T00:00:00"/>
    <n v="2"/>
    <x v="0"/>
    <s v="Ruben Dartt"/>
    <x v="0"/>
    <m/>
    <s v="Dearborn Heights"/>
    <s v="Michigan"/>
    <s v="Central"/>
    <x v="1"/>
    <x v="6"/>
    <s v="Stanley Contemporary Battery Pencil Sharpeners"/>
    <x v="4170"/>
    <n v="2"/>
    <n v="0"/>
    <n v="7.476"/>
  </r>
  <r>
    <n v="9508"/>
    <x v="267"/>
    <x v="2"/>
    <x v="3"/>
    <d v="2011-04-07T00:00:00"/>
    <n v="2"/>
    <x v="0"/>
    <s v="Ruben Dartt"/>
    <x v="0"/>
    <m/>
    <s v="Dearborn Heights"/>
    <s v="Michigan"/>
    <s v="Central"/>
    <x v="1"/>
    <x v="8"/>
    <s v="Fellowes Twister Kit, Gray/Clear, 3/pkg"/>
    <x v="452"/>
    <n v="5"/>
    <n v="0"/>
    <n v="18.09"/>
  </r>
  <r>
    <n v="9509"/>
    <x v="267"/>
    <x v="2"/>
    <x v="3"/>
    <d v="2011-04-07T00:00:00"/>
    <n v="2"/>
    <x v="0"/>
    <s v="Ruben Dartt"/>
    <x v="0"/>
    <m/>
    <s v="Dearborn Heights"/>
    <s v="Michigan"/>
    <s v="Central"/>
    <x v="1"/>
    <x v="6"/>
    <s v="Binney &amp; Smith Crayola Metallic Colored Pencils, 8-Color Set"/>
    <x v="4614"/>
    <n v="3"/>
    <n v="0"/>
    <n v="4.5837000000000003"/>
  </r>
  <r>
    <n v="9510"/>
    <x v="267"/>
    <x v="2"/>
    <x v="3"/>
    <d v="2011-04-07T00:00:00"/>
    <n v="2"/>
    <x v="0"/>
    <s v="Ruben Dartt"/>
    <x v="0"/>
    <m/>
    <s v="Dearborn Heights"/>
    <s v="Michigan"/>
    <s v="Central"/>
    <x v="1"/>
    <x v="4"/>
    <s v="Space Solutions HD Industrial Steel Shelving."/>
    <x v="5638"/>
    <n v="6"/>
    <n v="0"/>
    <n v="20.694600000000001"/>
  </r>
  <r>
    <n v="9511"/>
    <x v="876"/>
    <x v="0"/>
    <x v="6"/>
    <d v="2013-08-12T00:00:00"/>
    <n v="5"/>
    <x v="1"/>
    <s v="Liz MacKendrick"/>
    <x v="0"/>
    <m/>
    <s v="New York City"/>
    <s v="New York"/>
    <s v="East"/>
    <x v="1"/>
    <x v="6"/>
    <s v="Dixon Prang Watercolor Pencils, 10-Color Set with Brush"/>
    <x v="3631"/>
    <n v="9"/>
    <n v="0"/>
    <n v="15.7194"/>
  </r>
  <r>
    <n v="9512"/>
    <x v="637"/>
    <x v="2"/>
    <x v="4"/>
    <d v="2011-12-16T00:00:00"/>
    <n v="2"/>
    <x v="2"/>
    <s v="Cari Sayre"/>
    <x v="1"/>
    <m/>
    <s v="Chicago"/>
    <s v="Illinois"/>
    <s v="Central"/>
    <x v="1"/>
    <x v="8"/>
    <s v="GBC VeloBind Cover Sets"/>
    <x v="1814"/>
    <n v="3"/>
    <n v="0.8"/>
    <n v="-13.896000000000001"/>
  </r>
  <r>
    <n v="9513"/>
    <x v="1109"/>
    <x v="3"/>
    <x v="5"/>
    <d v="2014-06-04T00:00:00"/>
    <n v="4"/>
    <x v="0"/>
    <s v="Kean Thornton"/>
    <x v="0"/>
    <m/>
    <s v="Dallas"/>
    <s v="Texas"/>
    <s v="Central"/>
    <x v="0"/>
    <x v="0"/>
    <s v="Atlantic Metals Mobile 5-Shelf Bookcases, Custom Colors"/>
    <x v="5639"/>
    <n v="1"/>
    <n v="0.32"/>
    <n v="-6.0195999999999996"/>
  </r>
  <r>
    <n v="9514"/>
    <x v="500"/>
    <x v="0"/>
    <x v="2"/>
    <d v="2013-10-20T00:00:00"/>
    <n v="5"/>
    <x v="1"/>
    <s v="Bobby Elias"/>
    <x v="0"/>
    <m/>
    <s v="Appleton"/>
    <s v="Wisconsin"/>
    <s v="Central"/>
    <x v="2"/>
    <x v="11"/>
    <s v="Plantronics CS510 - Over-the-Head monaural Wireless Headset System"/>
    <x v="5640"/>
    <n v="5"/>
    <n v="0"/>
    <n v="544.41750000000002"/>
  </r>
  <r>
    <n v="9515"/>
    <x v="619"/>
    <x v="2"/>
    <x v="10"/>
    <d v="2011-03-18T00:00:00"/>
    <n v="4"/>
    <x v="1"/>
    <s v="Neil Französisch"/>
    <x v="2"/>
    <m/>
    <s v="Jacksonville"/>
    <s v="Florida"/>
    <s v="South"/>
    <x v="1"/>
    <x v="10"/>
    <s v="Xerox 1887"/>
    <x v="5641"/>
    <n v="6"/>
    <n v="0.2"/>
    <n v="31.869599999999998"/>
  </r>
  <r>
    <n v="9516"/>
    <x v="1223"/>
    <x v="2"/>
    <x v="11"/>
    <d v="2011-02-25T00:00:00"/>
    <n v="7"/>
    <x v="1"/>
    <s v="Delfina Latchford"/>
    <x v="0"/>
    <m/>
    <s v="Chicago"/>
    <s v="Illinois"/>
    <s v="Central"/>
    <x v="1"/>
    <x v="6"/>
    <s v="Staples"/>
    <x v="5642"/>
    <n v="14"/>
    <n v="0.2"/>
    <n v="8.8087999999999997"/>
  </r>
  <r>
    <n v="9517"/>
    <x v="252"/>
    <x v="1"/>
    <x v="6"/>
    <d v="2012-08-26T00:00:00"/>
    <n v="2"/>
    <x v="0"/>
    <s v="Maurice Satty"/>
    <x v="0"/>
    <m/>
    <s v="Bowling Green"/>
    <s v="Ohio"/>
    <s v="East"/>
    <x v="2"/>
    <x v="7"/>
    <s v="Belkin SportFit Armband For iPhone 5s/5c, Fuchsia"/>
    <x v="5643"/>
    <n v="3"/>
    <n v="0.4"/>
    <n v="4.0472999999999999"/>
  </r>
  <r>
    <n v="9518"/>
    <x v="252"/>
    <x v="1"/>
    <x v="6"/>
    <d v="2012-08-26T00:00:00"/>
    <n v="2"/>
    <x v="0"/>
    <s v="Maurice Satty"/>
    <x v="0"/>
    <m/>
    <s v="Bowling Green"/>
    <s v="Ohio"/>
    <s v="East"/>
    <x v="1"/>
    <x v="2"/>
    <s v="Avery 474"/>
    <x v="2721"/>
    <n v="3"/>
    <n v="0.2"/>
    <n v="2.5055999999999998"/>
  </r>
  <r>
    <n v="9519"/>
    <x v="252"/>
    <x v="1"/>
    <x v="6"/>
    <d v="2012-08-26T00:00:00"/>
    <n v="2"/>
    <x v="0"/>
    <s v="Maurice Satty"/>
    <x v="0"/>
    <m/>
    <s v="Bowling Green"/>
    <s v="Ohio"/>
    <s v="East"/>
    <x v="1"/>
    <x v="4"/>
    <s v="Adjustable Depth Letter/Legal Cart"/>
    <x v="2708"/>
    <n v="3"/>
    <n v="0.2"/>
    <n v="48.994199999999999"/>
  </r>
  <r>
    <n v="9520"/>
    <x v="540"/>
    <x v="3"/>
    <x v="5"/>
    <d v="2014-05-13T00:00:00"/>
    <n v="4"/>
    <x v="0"/>
    <s v="Michelle Moray"/>
    <x v="0"/>
    <m/>
    <s v="San Francisco"/>
    <s v="California"/>
    <s v="West"/>
    <x v="1"/>
    <x v="9"/>
    <s v="Fellowes Mighty 8 Compact Surge Protector"/>
    <x v="5644"/>
    <n v="4"/>
    <n v="0"/>
    <n v="22.702400000000001"/>
  </r>
  <r>
    <n v="9521"/>
    <x v="1084"/>
    <x v="0"/>
    <x v="11"/>
    <d v="2013-02-09T00:00:00"/>
    <n v="5"/>
    <x v="1"/>
    <s v="Jennifer Braxton"/>
    <x v="1"/>
    <m/>
    <s v="Los Angeles"/>
    <s v="California"/>
    <s v="West"/>
    <x v="1"/>
    <x v="4"/>
    <s v="Safco Commercial Shelving"/>
    <x v="5645"/>
    <n v="2"/>
    <n v="0"/>
    <n v="3.7208000000000001"/>
  </r>
  <r>
    <n v="9522"/>
    <x v="174"/>
    <x v="2"/>
    <x v="4"/>
    <d v="2011-12-25T00:00:00"/>
    <n v="6"/>
    <x v="1"/>
    <s v="Speros Goranitis"/>
    <x v="0"/>
    <m/>
    <s v="Chicago"/>
    <s v="Illinois"/>
    <s v="Central"/>
    <x v="2"/>
    <x v="7"/>
    <s v="RCA ViSYS 25425RE1 Corded phone"/>
    <x v="824"/>
    <n v="3"/>
    <n v="0.2"/>
    <n v="36.447299999999998"/>
  </r>
  <r>
    <n v="9523"/>
    <x v="174"/>
    <x v="2"/>
    <x v="4"/>
    <d v="2011-12-25T00:00:00"/>
    <n v="6"/>
    <x v="1"/>
    <s v="Speros Goranitis"/>
    <x v="0"/>
    <m/>
    <s v="Chicago"/>
    <s v="Illinois"/>
    <s v="Central"/>
    <x v="1"/>
    <x v="10"/>
    <s v="Xerox 229"/>
    <x v="12"/>
    <n v="3"/>
    <n v="0.2"/>
    <n v="5.4432"/>
  </r>
  <r>
    <n v="9524"/>
    <x v="174"/>
    <x v="2"/>
    <x v="4"/>
    <d v="2011-12-25T00:00:00"/>
    <n v="6"/>
    <x v="1"/>
    <s v="Speros Goranitis"/>
    <x v="0"/>
    <m/>
    <s v="Chicago"/>
    <s v="Illinois"/>
    <s v="Central"/>
    <x v="1"/>
    <x v="4"/>
    <s v="Rogers Jumbo File, Granite"/>
    <x v="5646"/>
    <n v="3"/>
    <n v="0.2"/>
    <n v="-7.7405999999999997"/>
  </r>
  <r>
    <n v="9525"/>
    <x v="256"/>
    <x v="3"/>
    <x v="4"/>
    <d v="2014-12-07T00:00:00"/>
    <n v="1"/>
    <x v="2"/>
    <s v="Patrick Bzostek"/>
    <x v="2"/>
    <m/>
    <s v="Seattle"/>
    <s v="Washington"/>
    <s v="West"/>
    <x v="1"/>
    <x v="8"/>
    <s v="GBC Premium Transparent Covers with Diagonal Lined Pattern"/>
    <x v="202"/>
    <n v="5"/>
    <n v="0.2"/>
    <n v="29.372"/>
  </r>
  <r>
    <n v="9526"/>
    <x v="256"/>
    <x v="3"/>
    <x v="4"/>
    <d v="2014-12-07T00:00:00"/>
    <n v="1"/>
    <x v="2"/>
    <s v="Patrick Bzostek"/>
    <x v="2"/>
    <m/>
    <s v="Seattle"/>
    <s v="Washington"/>
    <s v="West"/>
    <x v="0"/>
    <x v="5"/>
    <s v="Eldon Radial Chair Mat for Low to Medium Pile Carpets"/>
    <x v="3255"/>
    <n v="5"/>
    <n v="0"/>
    <n v="39.979999999999997"/>
  </r>
  <r>
    <n v="9527"/>
    <x v="256"/>
    <x v="3"/>
    <x v="4"/>
    <d v="2014-12-07T00:00:00"/>
    <n v="1"/>
    <x v="2"/>
    <s v="Patrick Bzostek"/>
    <x v="2"/>
    <m/>
    <s v="Seattle"/>
    <s v="Washington"/>
    <s v="West"/>
    <x v="2"/>
    <x v="7"/>
    <s v="Cyber Acoustics AC-202b Speech Recognition Stereo Headset"/>
    <x v="5009"/>
    <n v="3"/>
    <n v="0.2"/>
    <n v="-7.0145999999999997"/>
  </r>
  <r>
    <n v="9528"/>
    <x v="256"/>
    <x v="3"/>
    <x v="4"/>
    <d v="2014-12-07T00:00:00"/>
    <n v="1"/>
    <x v="2"/>
    <s v="Patrick Bzostek"/>
    <x v="2"/>
    <m/>
    <s v="Seattle"/>
    <s v="Washington"/>
    <s v="West"/>
    <x v="1"/>
    <x v="8"/>
    <s v="GBC VeloBinder Manual Binding System"/>
    <x v="5647"/>
    <n v="6"/>
    <n v="0.2"/>
    <n v="60.463200000000001"/>
  </r>
  <r>
    <n v="9529"/>
    <x v="256"/>
    <x v="3"/>
    <x v="4"/>
    <d v="2014-12-07T00:00:00"/>
    <n v="1"/>
    <x v="2"/>
    <s v="Patrick Bzostek"/>
    <x v="2"/>
    <m/>
    <s v="Seattle"/>
    <s v="Washington"/>
    <s v="West"/>
    <x v="1"/>
    <x v="8"/>
    <s v="Fellowes Black Plastic Comb Bindings"/>
    <x v="3299"/>
    <n v="2"/>
    <n v="0.2"/>
    <n v="3.0211999999999999"/>
  </r>
  <r>
    <n v="9530"/>
    <x v="668"/>
    <x v="3"/>
    <x v="10"/>
    <d v="2014-03-26T00:00:00"/>
    <n v="1"/>
    <x v="3"/>
    <s v="Ann Chong"/>
    <x v="1"/>
    <m/>
    <s v="Beaumont"/>
    <s v="Texas"/>
    <s v="Central"/>
    <x v="1"/>
    <x v="4"/>
    <s v="Iris Project Case"/>
    <x v="2543"/>
    <n v="2"/>
    <n v="0.2"/>
    <n v="0.95760000000000001"/>
  </r>
  <r>
    <n v="9531"/>
    <x v="141"/>
    <x v="3"/>
    <x v="7"/>
    <d v="2014-07-13T00:00:00"/>
    <n v="4"/>
    <x v="1"/>
    <s v="Mathew Reese"/>
    <x v="2"/>
    <m/>
    <s v="Seattle"/>
    <s v="Washington"/>
    <s v="West"/>
    <x v="1"/>
    <x v="10"/>
    <s v="Staples"/>
    <x v="4780"/>
    <n v="2"/>
    <n v="0"/>
    <n v="24.269600000000001"/>
  </r>
  <r>
    <n v="9532"/>
    <x v="40"/>
    <x v="3"/>
    <x v="2"/>
    <d v="2014-11-01T00:00:00"/>
    <n v="5"/>
    <x v="1"/>
    <s v="Benjamin Farhat"/>
    <x v="2"/>
    <m/>
    <s v="Dallas"/>
    <s v="Texas"/>
    <s v="Central"/>
    <x v="1"/>
    <x v="4"/>
    <s v="Multi-Use Personal File Cart and Caster Set, Three Stacking Bins"/>
    <x v="5648"/>
    <n v="2"/>
    <n v="0.2"/>
    <n v="5.5616000000000003"/>
  </r>
  <r>
    <n v="9533"/>
    <x v="189"/>
    <x v="0"/>
    <x v="2"/>
    <d v="2013-11-01T00:00:00"/>
    <n v="4"/>
    <x v="1"/>
    <s v="Ben Wallace"/>
    <x v="0"/>
    <m/>
    <s v="New York City"/>
    <s v="New York"/>
    <s v="East"/>
    <x v="0"/>
    <x v="1"/>
    <s v="Metal Folding Chairs, Beige, 4/Carton"/>
    <x v="5649"/>
    <n v="14"/>
    <n v="0.1"/>
    <n v="80.777199999999993"/>
  </r>
  <r>
    <n v="9534"/>
    <x v="189"/>
    <x v="0"/>
    <x v="2"/>
    <d v="2013-11-01T00:00:00"/>
    <n v="4"/>
    <x v="1"/>
    <s v="Ben Wallace"/>
    <x v="0"/>
    <m/>
    <s v="New York City"/>
    <s v="New York"/>
    <s v="East"/>
    <x v="1"/>
    <x v="13"/>
    <s v="Advantus Push Pins, Aluminum Head"/>
    <x v="5650"/>
    <n v="7"/>
    <n v="0"/>
    <n v="12.607699999999999"/>
  </r>
  <r>
    <n v="9535"/>
    <x v="189"/>
    <x v="0"/>
    <x v="2"/>
    <d v="2013-11-01T00:00:00"/>
    <n v="4"/>
    <x v="1"/>
    <s v="Ben Wallace"/>
    <x v="0"/>
    <m/>
    <s v="New York City"/>
    <s v="New York"/>
    <s v="East"/>
    <x v="1"/>
    <x v="4"/>
    <s v="Rogers Profile Extra Capacity Storage Tub"/>
    <x v="3347"/>
    <n v="2"/>
    <n v="0"/>
    <n v="1.3391999999999999"/>
  </r>
  <r>
    <n v="9536"/>
    <x v="189"/>
    <x v="0"/>
    <x v="2"/>
    <d v="2013-11-01T00:00:00"/>
    <n v="4"/>
    <x v="1"/>
    <s v="Ben Wallace"/>
    <x v="0"/>
    <m/>
    <s v="New York City"/>
    <s v="New York"/>
    <s v="East"/>
    <x v="1"/>
    <x v="8"/>
    <s v="Prestige Round Ring Binders"/>
    <x v="1261"/>
    <n v="2"/>
    <n v="0.2"/>
    <n v="3.2831999999999999"/>
  </r>
  <r>
    <n v="9537"/>
    <x v="492"/>
    <x v="3"/>
    <x v="1"/>
    <d v="2014-06-15T00:00:00"/>
    <n v="2"/>
    <x v="0"/>
    <s v="Troy Staebel"/>
    <x v="0"/>
    <m/>
    <s v="Chicago"/>
    <s v="Illinois"/>
    <s v="Central"/>
    <x v="0"/>
    <x v="5"/>
    <s v="Eldon Expressions Wood Desk Accessories, Oak"/>
    <x v="3096"/>
    <n v="3"/>
    <n v="0.6"/>
    <n v="-6.8634000000000004"/>
  </r>
  <r>
    <n v="9538"/>
    <x v="477"/>
    <x v="0"/>
    <x v="8"/>
    <d v="2013-09-28T00:00:00"/>
    <n v="2"/>
    <x v="2"/>
    <s v="Aaron Smayling"/>
    <x v="1"/>
    <m/>
    <s v="San Francisco"/>
    <s v="California"/>
    <s v="West"/>
    <x v="0"/>
    <x v="0"/>
    <s v="Atlantic Metals Mobile 4-Shelf Bookcases, Custom Colors"/>
    <x v="5651"/>
    <n v="2"/>
    <n v="0.15"/>
    <n v="84.293999999999997"/>
  </r>
  <r>
    <n v="9539"/>
    <x v="210"/>
    <x v="3"/>
    <x v="8"/>
    <d v="2014-09-10T00:00:00"/>
    <n v="2"/>
    <x v="2"/>
    <s v="Allen Armold"/>
    <x v="0"/>
    <m/>
    <s v="Providence"/>
    <s v="Rhode Island"/>
    <s v="East"/>
    <x v="1"/>
    <x v="10"/>
    <s v="Avoid Verbal Orders Carbonless Minifold Book"/>
    <x v="2877"/>
    <n v="5"/>
    <n v="0"/>
    <n v="7.774"/>
  </r>
  <r>
    <n v="9540"/>
    <x v="210"/>
    <x v="3"/>
    <x v="8"/>
    <d v="2014-09-10T00:00:00"/>
    <n v="2"/>
    <x v="2"/>
    <s v="Allen Armold"/>
    <x v="0"/>
    <m/>
    <s v="Providence"/>
    <s v="Rhode Island"/>
    <s v="East"/>
    <x v="1"/>
    <x v="10"/>
    <s v="Xerox 191"/>
    <x v="786"/>
    <n v="2"/>
    <n v="0"/>
    <n v="18.781199999999998"/>
  </r>
  <r>
    <n v="9541"/>
    <x v="1224"/>
    <x v="1"/>
    <x v="5"/>
    <d v="2012-05-16T00:00:00"/>
    <n v="5"/>
    <x v="0"/>
    <s v="Paul Stevenson"/>
    <x v="2"/>
    <m/>
    <s v="Phoenix"/>
    <s v="Arizona"/>
    <s v="West"/>
    <x v="0"/>
    <x v="1"/>
    <s v="Global Chrome Stack Chair"/>
    <x v="2950"/>
    <n v="7"/>
    <n v="0.2"/>
    <n v="16.7972"/>
  </r>
  <r>
    <n v="9542"/>
    <x v="705"/>
    <x v="1"/>
    <x v="6"/>
    <d v="2012-08-10T00:00:00"/>
    <n v="4"/>
    <x v="1"/>
    <s v="Rachel Payne"/>
    <x v="1"/>
    <m/>
    <s v="Houston"/>
    <s v="Texas"/>
    <s v="Central"/>
    <x v="1"/>
    <x v="2"/>
    <s v="Avery 505"/>
    <x v="5652"/>
    <n v="3"/>
    <n v="0.2"/>
    <n v="13.32"/>
  </r>
  <r>
    <n v="9543"/>
    <x v="705"/>
    <x v="1"/>
    <x v="6"/>
    <d v="2012-08-10T00:00:00"/>
    <n v="4"/>
    <x v="1"/>
    <s v="Rachel Payne"/>
    <x v="1"/>
    <m/>
    <s v="Houston"/>
    <s v="Texas"/>
    <s v="Central"/>
    <x v="1"/>
    <x v="8"/>
    <s v="Avery Hole Reinforcements"/>
    <x v="5653"/>
    <n v="5"/>
    <n v="0.8"/>
    <n v="-9.6564999999999994"/>
  </r>
  <r>
    <n v="9544"/>
    <x v="705"/>
    <x v="1"/>
    <x v="6"/>
    <d v="2012-08-10T00:00:00"/>
    <n v="4"/>
    <x v="1"/>
    <s v="Rachel Payne"/>
    <x v="1"/>
    <m/>
    <s v="Houston"/>
    <s v="Texas"/>
    <s v="Central"/>
    <x v="1"/>
    <x v="10"/>
    <s v="Xerox 1906"/>
    <x v="3849"/>
    <n v="2"/>
    <n v="0.2"/>
    <n v="19.137599999999999"/>
  </r>
  <r>
    <n v="9545"/>
    <x v="705"/>
    <x v="1"/>
    <x v="6"/>
    <d v="2012-08-10T00:00:00"/>
    <n v="4"/>
    <x v="1"/>
    <s v="Rachel Payne"/>
    <x v="1"/>
    <m/>
    <s v="Houston"/>
    <s v="Texas"/>
    <s v="Central"/>
    <x v="0"/>
    <x v="0"/>
    <s v="O'Sullivan Manor Hill 2-Door Library in Brianna Oak"/>
    <x v="5654"/>
    <n v="3"/>
    <n v="0.32"/>
    <n v="-114.01739999999999"/>
  </r>
  <r>
    <n v="9546"/>
    <x v="194"/>
    <x v="2"/>
    <x v="2"/>
    <d v="2011-11-02T00:00:00"/>
    <n v="4"/>
    <x v="1"/>
    <s v="Noah Childs"/>
    <x v="1"/>
    <m/>
    <s v="Columbus"/>
    <s v="Indiana"/>
    <s v="Central"/>
    <x v="2"/>
    <x v="11"/>
    <s v="Maxell 4.7GB DVD+R 5/Pack"/>
    <x v="5013"/>
    <n v="2"/>
    <n v="0"/>
    <n v="0.89100000000000001"/>
  </r>
  <r>
    <n v="9547"/>
    <x v="194"/>
    <x v="2"/>
    <x v="2"/>
    <d v="2011-11-02T00:00:00"/>
    <n v="4"/>
    <x v="1"/>
    <s v="Noah Childs"/>
    <x v="1"/>
    <m/>
    <s v="Columbus"/>
    <s v="Indiana"/>
    <s v="Central"/>
    <x v="1"/>
    <x v="10"/>
    <s v="Snap-A-Way Black Print Carbonless Ruled Speed Letter, Triplicate"/>
    <x v="69"/>
    <n v="2"/>
    <n v="0"/>
    <n v="35.663600000000002"/>
  </r>
  <r>
    <n v="9548"/>
    <x v="1133"/>
    <x v="0"/>
    <x v="1"/>
    <d v="2013-06-21T00:00:00"/>
    <n v="2"/>
    <x v="0"/>
    <s v="Stewart Carmichael"/>
    <x v="1"/>
    <m/>
    <s v="Philadelphia"/>
    <s v="Pennsylvania"/>
    <s v="East"/>
    <x v="1"/>
    <x v="10"/>
    <s v="Xerox 1900"/>
    <x v="1297"/>
    <n v="2"/>
    <n v="0.2"/>
    <n v="2.14"/>
  </r>
  <r>
    <n v="9549"/>
    <x v="1133"/>
    <x v="0"/>
    <x v="1"/>
    <d v="2013-06-21T00:00:00"/>
    <n v="2"/>
    <x v="0"/>
    <s v="Stewart Carmichael"/>
    <x v="1"/>
    <m/>
    <s v="Philadelphia"/>
    <s v="Pennsylvania"/>
    <s v="East"/>
    <x v="1"/>
    <x v="8"/>
    <s v="DXL Angle-View Binders with Locking Rings by Samsill"/>
    <x v="5655"/>
    <n v="2"/>
    <n v="0.7"/>
    <n v="-3.855"/>
  </r>
  <r>
    <n v="9550"/>
    <x v="1133"/>
    <x v="0"/>
    <x v="1"/>
    <d v="2013-06-21T00:00:00"/>
    <n v="2"/>
    <x v="0"/>
    <s v="Stewart Carmichael"/>
    <x v="1"/>
    <m/>
    <s v="Philadelphia"/>
    <s v="Pennsylvania"/>
    <s v="East"/>
    <x v="1"/>
    <x v="9"/>
    <s v="Harmony Air Purifier"/>
    <x v="5656"/>
    <n v="3"/>
    <n v="0.2"/>
    <n v="90.72"/>
  </r>
  <r>
    <n v="9551"/>
    <x v="910"/>
    <x v="1"/>
    <x v="5"/>
    <d v="2012-05-06T00:00:00"/>
    <n v="3"/>
    <x v="2"/>
    <s v="Nicole Fjeld"/>
    <x v="2"/>
    <m/>
    <s v="San Jose"/>
    <s v="California"/>
    <s v="West"/>
    <x v="1"/>
    <x v="8"/>
    <s v="Avery Binding System Hidden Tab Executive Style Index Sets"/>
    <x v="5657"/>
    <n v="3"/>
    <n v="0.2"/>
    <n v="5.1929999999999996"/>
  </r>
  <r>
    <n v="9552"/>
    <x v="113"/>
    <x v="1"/>
    <x v="0"/>
    <d v="2012-11-14T00:00:00"/>
    <n v="4"/>
    <x v="1"/>
    <s v="Sam Craven"/>
    <x v="0"/>
    <m/>
    <s v="Philadelphia"/>
    <s v="Pennsylvania"/>
    <s v="East"/>
    <x v="1"/>
    <x v="4"/>
    <s v="Iceberg Mobile Mega Data/Printer Cart "/>
    <x v="5658"/>
    <n v="6"/>
    <n v="0.2"/>
    <n v="43.318800000000003"/>
  </r>
  <r>
    <n v="9553"/>
    <x v="1051"/>
    <x v="1"/>
    <x v="5"/>
    <d v="2012-06-03T00:00:00"/>
    <n v="4"/>
    <x v="1"/>
    <s v="Brendan Dodson"/>
    <x v="2"/>
    <m/>
    <s v="Springfield"/>
    <s v="Virginia"/>
    <s v="South"/>
    <x v="2"/>
    <x v="11"/>
    <s v="Imation Secure Drive + Hardware Encrypted USB flash drive - 16 GB"/>
    <x v="2946"/>
    <n v="4"/>
    <n v="0"/>
    <n v="36.470399999999998"/>
  </r>
  <r>
    <n v="9554"/>
    <x v="897"/>
    <x v="0"/>
    <x v="8"/>
    <d v="2013-09-28T00:00:00"/>
    <n v="5"/>
    <x v="1"/>
    <s v="Suzanne McNair"/>
    <x v="1"/>
    <m/>
    <s v="Broomfield"/>
    <s v="Colorado"/>
    <s v="West"/>
    <x v="0"/>
    <x v="5"/>
    <s v="Aluminum Document Frame"/>
    <x v="5659"/>
    <n v="7"/>
    <n v="0.2"/>
    <n v="8.5540000000000003"/>
  </r>
  <r>
    <n v="9555"/>
    <x v="109"/>
    <x v="1"/>
    <x v="0"/>
    <d v="2012-12-02T00:00:00"/>
    <n v="4"/>
    <x v="1"/>
    <s v="Eugene Barchas"/>
    <x v="0"/>
    <m/>
    <s v="Columbus"/>
    <s v="Ohio"/>
    <s v="East"/>
    <x v="0"/>
    <x v="5"/>
    <s v="Seth Thomas 13 1/2&quot; Wall Clock"/>
    <x v="4042"/>
    <n v="5"/>
    <n v="0.2"/>
    <n v="9.7789999999999999"/>
  </r>
  <r>
    <n v="9556"/>
    <x v="109"/>
    <x v="1"/>
    <x v="0"/>
    <d v="2012-12-02T00:00:00"/>
    <n v="4"/>
    <x v="1"/>
    <s v="Eugene Barchas"/>
    <x v="0"/>
    <m/>
    <s v="Columbus"/>
    <s v="Ohio"/>
    <s v="East"/>
    <x v="1"/>
    <x v="13"/>
    <s v="Staples"/>
    <x v="4917"/>
    <n v="2"/>
    <n v="0.2"/>
    <n v="0.56399999999999995"/>
  </r>
  <r>
    <n v="9557"/>
    <x v="155"/>
    <x v="1"/>
    <x v="4"/>
    <d v="2012-12-05T00:00:00"/>
    <n v="2"/>
    <x v="0"/>
    <s v="Harold Pawlan"/>
    <x v="2"/>
    <m/>
    <s v="Concord"/>
    <s v="New Hampshire"/>
    <s v="East"/>
    <x v="1"/>
    <x v="10"/>
    <s v="Xerox 1935"/>
    <x v="2337"/>
    <n v="7"/>
    <n v="0"/>
    <n v="84.943600000000004"/>
  </r>
  <r>
    <n v="9558"/>
    <x v="1136"/>
    <x v="2"/>
    <x v="2"/>
    <d v="2011-10-19T00:00:00"/>
    <n v="2"/>
    <x v="0"/>
    <s v="Evan Bailliet"/>
    <x v="0"/>
    <m/>
    <s v="Houston"/>
    <s v="Texas"/>
    <s v="Central"/>
    <x v="0"/>
    <x v="5"/>
    <s v="G.E. Longer-Life Indoor Recessed Floodlight Bulbs"/>
    <x v="5660"/>
    <n v="2"/>
    <n v="0.6"/>
    <n v="-1.5935999999999999"/>
  </r>
  <r>
    <n v="9559"/>
    <x v="973"/>
    <x v="0"/>
    <x v="5"/>
    <d v="2013-05-06T00:00:00"/>
    <n v="2"/>
    <x v="2"/>
    <s v="Susan MacKendrick"/>
    <x v="0"/>
    <m/>
    <s v="Newark"/>
    <s v="Ohio"/>
    <s v="East"/>
    <x v="2"/>
    <x v="11"/>
    <s v="Imation 16GB Mini TravelDrive USB 2.0 Flash Drive"/>
    <x v="608"/>
    <n v="5"/>
    <n v="0.2"/>
    <n v="34.786499999999997"/>
  </r>
  <r>
    <n v="9560"/>
    <x v="973"/>
    <x v="0"/>
    <x v="5"/>
    <d v="2013-05-06T00:00:00"/>
    <n v="2"/>
    <x v="2"/>
    <s v="Susan MacKendrick"/>
    <x v="0"/>
    <m/>
    <s v="Newark"/>
    <s v="Ohio"/>
    <s v="East"/>
    <x v="1"/>
    <x v="4"/>
    <s v="Tennsco Industrial Shelving"/>
    <x v="3483"/>
    <n v="5"/>
    <n v="0.2"/>
    <n v="-44.018999999999998"/>
  </r>
  <r>
    <n v="9561"/>
    <x v="973"/>
    <x v="0"/>
    <x v="5"/>
    <d v="2013-05-06T00:00:00"/>
    <n v="2"/>
    <x v="2"/>
    <s v="Susan MacKendrick"/>
    <x v="0"/>
    <m/>
    <s v="Newark"/>
    <s v="Ohio"/>
    <s v="East"/>
    <x v="0"/>
    <x v="5"/>
    <s v="Computer Room Manger, 14&quot;"/>
    <x v="3417"/>
    <n v="2"/>
    <n v="0.2"/>
    <n v="10.393599999999999"/>
  </r>
  <r>
    <n v="9562"/>
    <x v="973"/>
    <x v="0"/>
    <x v="5"/>
    <d v="2013-05-06T00:00:00"/>
    <n v="2"/>
    <x v="2"/>
    <s v="Susan MacKendrick"/>
    <x v="0"/>
    <m/>
    <s v="Newark"/>
    <s v="Ohio"/>
    <s v="East"/>
    <x v="2"/>
    <x v="11"/>
    <s v="Logitech VX Revolution Cordless Laser Mouse for Notebooks (Black)"/>
    <x v="2087"/>
    <n v="3"/>
    <n v="0.2"/>
    <n v="-75.595799999999997"/>
  </r>
  <r>
    <n v="9563"/>
    <x v="973"/>
    <x v="0"/>
    <x v="5"/>
    <d v="2013-05-06T00:00:00"/>
    <n v="2"/>
    <x v="2"/>
    <s v="Susan MacKendrick"/>
    <x v="0"/>
    <m/>
    <s v="Newark"/>
    <s v="Ohio"/>
    <s v="East"/>
    <x v="2"/>
    <x v="15"/>
    <s v="Cisco 8961 IP Phone Charcoal"/>
    <x v="5661"/>
    <n v="3"/>
    <n v="0.7"/>
    <n v="-164.9538"/>
  </r>
  <r>
    <n v="9564"/>
    <x v="973"/>
    <x v="0"/>
    <x v="5"/>
    <d v="2013-05-06T00:00:00"/>
    <n v="2"/>
    <x v="2"/>
    <s v="Susan MacKendrick"/>
    <x v="0"/>
    <m/>
    <s v="Newark"/>
    <s v="Ohio"/>
    <s v="East"/>
    <x v="1"/>
    <x v="2"/>
    <s v="Avery 496"/>
    <x v="1603"/>
    <n v="2"/>
    <n v="0.2"/>
    <n v="2.1"/>
  </r>
  <r>
    <n v="9565"/>
    <x v="932"/>
    <x v="1"/>
    <x v="1"/>
    <d v="2012-06-08T00:00:00"/>
    <n v="7"/>
    <x v="1"/>
    <s v="Catherine Glotzbach"/>
    <x v="2"/>
    <m/>
    <s v="Los Angeles"/>
    <s v="California"/>
    <s v="West"/>
    <x v="1"/>
    <x v="10"/>
    <s v="Adams Telephone Message Book W/Dividers/Space For Phone Numbers, 5 1/4&quot;X8 1/2&quot;, 300/Messages"/>
    <x v="2660"/>
    <n v="2"/>
    <n v="0"/>
    <n v="5.7624000000000004"/>
  </r>
  <r>
    <n v="9566"/>
    <x v="691"/>
    <x v="2"/>
    <x v="10"/>
    <d v="2011-03-31T00:00:00"/>
    <n v="0"/>
    <x v="3"/>
    <s v="Trudy Glocke"/>
    <x v="0"/>
    <m/>
    <s v="Tampa"/>
    <s v="Florida"/>
    <s v="South"/>
    <x v="0"/>
    <x v="1"/>
    <s v="Global Leather Highback Executive Chair with Pneumatic Height Adjustment, Black"/>
    <x v="5662"/>
    <n v="7"/>
    <n v="0.2"/>
    <n v="98.480199999999996"/>
  </r>
  <r>
    <n v="9567"/>
    <x v="691"/>
    <x v="2"/>
    <x v="10"/>
    <d v="2011-03-31T00:00:00"/>
    <n v="0"/>
    <x v="3"/>
    <s v="Trudy Glocke"/>
    <x v="0"/>
    <m/>
    <s v="Tampa"/>
    <s v="Florida"/>
    <s v="South"/>
    <x v="1"/>
    <x v="8"/>
    <s v="Ibico Plastic and Wire Spiral Binding Combs"/>
    <x v="5663"/>
    <n v="5"/>
    <n v="0.7"/>
    <n v="-10.116"/>
  </r>
  <r>
    <n v="9568"/>
    <x v="691"/>
    <x v="2"/>
    <x v="10"/>
    <d v="2011-03-31T00:00:00"/>
    <n v="0"/>
    <x v="3"/>
    <s v="Trudy Glocke"/>
    <x v="0"/>
    <m/>
    <s v="Tampa"/>
    <s v="Florida"/>
    <s v="South"/>
    <x v="1"/>
    <x v="6"/>
    <s v="Binney &amp; Smith inkTank Erasable Desk Highlighter, Chisel Tip, Yellow, 12/Box"/>
    <x v="5664"/>
    <n v="2"/>
    <n v="0.2"/>
    <n v="1.0584"/>
  </r>
  <r>
    <n v="9569"/>
    <x v="957"/>
    <x v="3"/>
    <x v="7"/>
    <d v="2014-07-08T00:00:00"/>
    <n v="2"/>
    <x v="2"/>
    <s v="Damala Kotsonis"/>
    <x v="1"/>
    <m/>
    <s v="Fremont"/>
    <s v="Nebraska"/>
    <s v="Central"/>
    <x v="2"/>
    <x v="7"/>
    <s v="Anker 36W 4-Port USB Wall Charger Travel Power Adapter for iPhone 5s 5c 5"/>
    <x v="1095"/>
    <n v="4"/>
    <n v="0"/>
    <n v="22.3888"/>
  </r>
  <r>
    <n v="9570"/>
    <x v="496"/>
    <x v="1"/>
    <x v="8"/>
    <d v="2012-09-24T00:00:00"/>
    <n v="0"/>
    <x v="3"/>
    <s v="Maria Bertelson"/>
    <x v="0"/>
    <m/>
    <s v="Columbus"/>
    <s v="Ohio"/>
    <s v="East"/>
    <x v="1"/>
    <x v="8"/>
    <s v="Accohide Poly Flexible Ring Binders"/>
    <x v="5665"/>
    <n v="6"/>
    <n v="0.7"/>
    <n v="-4.4880000000000004"/>
  </r>
  <r>
    <n v="9571"/>
    <x v="496"/>
    <x v="1"/>
    <x v="8"/>
    <d v="2012-09-24T00:00:00"/>
    <n v="0"/>
    <x v="3"/>
    <s v="Maria Bertelson"/>
    <x v="0"/>
    <m/>
    <s v="Columbus"/>
    <s v="Ohio"/>
    <s v="East"/>
    <x v="1"/>
    <x v="4"/>
    <s v="Tennsco Lockers, Sand"/>
    <x v="2939"/>
    <n v="2"/>
    <n v="0.2"/>
    <n v="1.6783999999999999"/>
  </r>
  <r>
    <n v="9572"/>
    <x v="496"/>
    <x v="1"/>
    <x v="8"/>
    <d v="2012-09-24T00:00:00"/>
    <n v="0"/>
    <x v="3"/>
    <s v="Maria Bertelson"/>
    <x v="0"/>
    <m/>
    <s v="Columbus"/>
    <s v="Ohio"/>
    <s v="East"/>
    <x v="1"/>
    <x v="12"/>
    <s v="#6 3/4 Gummed Flap White Envelopes"/>
    <x v="3329"/>
    <n v="2"/>
    <n v="0.2"/>
    <n v="5.5439999999999996"/>
  </r>
  <r>
    <n v="9573"/>
    <x v="496"/>
    <x v="1"/>
    <x v="8"/>
    <d v="2012-09-24T00:00:00"/>
    <n v="0"/>
    <x v="3"/>
    <s v="Maria Bertelson"/>
    <x v="0"/>
    <m/>
    <s v="Columbus"/>
    <s v="Ohio"/>
    <s v="East"/>
    <x v="1"/>
    <x v="2"/>
    <s v="Avery 4027 File Folder Labels for Dot Matrix Printers, 5000 Labels per Box, White"/>
    <x v="4362"/>
    <n v="1"/>
    <n v="0.2"/>
    <n v="7.9378000000000002"/>
  </r>
  <r>
    <n v="9574"/>
    <x v="496"/>
    <x v="1"/>
    <x v="8"/>
    <d v="2012-09-24T00:00:00"/>
    <n v="0"/>
    <x v="3"/>
    <s v="Maria Bertelson"/>
    <x v="0"/>
    <m/>
    <s v="Columbus"/>
    <s v="Ohio"/>
    <s v="East"/>
    <x v="1"/>
    <x v="6"/>
    <s v="Newell 347"/>
    <x v="854"/>
    <n v="5"/>
    <n v="0.2"/>
    <n v="1.9259999999999999"/>
  </r>
  <r>
    <n v="9575"/>
    <x v="863"/>
    <x v="1"/>
    <x v="6"/>
    <d v="2012-08-13T00:00:00"/>
    <n v="0"/>
    <x v="3"/>
    <s v="Sandra Flanagan"/>
    <x v="0"/>
    <m/>
    <s v="Pomona"/>
    <s v="California"/>
    <s v="West"/>
    <x v="0"/>
    <x v="5"/>
    <s v="Ultra Door Pull Handle"/>
    <x v="610"/>
    <n v="3"/>
    <n v="0"/>
    <n v="10.4148"/>
  </r>
  <r>
    <n v="9576"/>
    <x v="989"/>
    <x v="1"/>
    <x v="5"/>
    <d v="2012-05-28T00:00:00"/>
    <n v="2"/>
    <x v="0"/>
    <s v="Pamela Stobb"/>
    <x v="0"/>
    <m/>
    <s v="San Antonio"/>
    <s v="Texas"/>
    <s v="Central"/>
    <x v="0"/>
    <x v="1"/>
    <s v="Novimex Swivel Fabric Task Chair"/>
    <x v="5666"/>
    <n v="1"/>
    <n v="0.3"/>
    <n v="-28.686199999999999"/>
  </r>
  <r>
    <n v="9577"/>
    <x v="989"/>
    <x v="1"/>
    <x v="5"/>
    <d v="2012-05-28T00:00:00"/>
    <n v="2"/>
    <x v="0"/>
    <s v="Pamela Stobb"/>
    <x v="0"/>
    <m/>
    <s v="San Antonio"/>
    <s v="Texas"/>
    <s v="Central"/>
    <x v="2"/>
    <x v="15"/>
    <s v="StarTech.com 10/100 VDSL2 Ethernet Extender Kit"/>
    <x v="1448"/>
    <n v="2"/>
    <n v="0.4"/>
    <n v="-79.908000000000001"/>
  </r>
  <r>
    <n v="9578"/>
    <x v="989"/>
    <x v="1"/>
    <x v="5"/>
    <d v="2012-05-28T00:00:00"/>
    <n v="2"/>
    <x v="0"/>
    <s v="Pamela Stobb"/>
    <x v="0"/>
    <m/>
    <s v="San Antonio"/>
    <s v="Texas"/>
    <s v="Central"/>
    <x v="0"/>
    <x v="1"/>
    <s v="Global Stack Chair with Arms, Black"/>
    <x v="5667"/>
    <n v="5"/>
    <n v="0.3"/>
    <n v="-4.4969999999999999"/>
  </r>
  <r>
    <n v="9579"/>
    <x v="32"/>
    <x v="3"/>
    <x v="8"/>
    <d v="2014-09-17T00:00:00"/>
    <n v="2"/>
    <x v="2"/>
    <s v="Roger Barcio"/>
    <x v="2"/>
    <m/>
    <s v="New York City"/>
    <s v="New York"/>
    <s v="East"/>
    <x v="2"/>
    <x v="7"/>
    <s v="Wilson SignalBoost 841262 DB PRO Amplifier Kit"/>
    <x v="5668"/>
    <n v="3"/>
    <n v="0"/>
    <n v="323.95499999999998"/>
  </r>
  <r>
    <n v="9580"/>
    <x v="32"/>
    <x v="3"/>
    <x v="8"/>
    <d v="2014-09-17T00:00:00"/>
    <n v="2"/>
    <x v="2"/>
    <s v="Roger Barcio"/>
    <x v="2"/>
    <m/>
    <s v="New York City"/>
    <s v="New York"/>
    <s v="East"/>
    <x v="1"/>
    <x v="4"/>
    <s v="Sensible Storage WireTech Storage Systems"/>
    <x v="554"/>
    <n v="1"/>
    <n v="0"/>
    <n v="3.5489999999999999"/>
  </r>
  <r>
    <n v="9581"/>
    <x v="32"/>
    <x v="3"/>
    <x v="8"/>
    <d v="2014-09-17T00:00:00"/>
    <n v="2"/>
    <x v="2"/>
    <s v="Roger Barcio"/>
    <x v="2"/>
    <m/>
    <s v="New York City"/>
    <s v="New York"/>
    <s v="East"/>
    <x v="1"/>
    <x v="6"/>
    <s v="Bulldog Table or Wall-Mount Pencil Sharpener"/>
    <x v="5453"/>
    <n v="5"/>
    <n v="0"/>
    <n v="8.6854999999999993"/>
  </r>
  <r>
    <n v="9582"/>
    <x v="32"/>
    <x v="3"/>
    <x v="8"/>
    <d v="2014-09-17T00:00:00"/>
    <n v="2"/>
    <x v="2"/>
    <s v="Roger Barcio"/>
    <x v="2"/>
    <m/>
    <s v="New York City"/>
    <s v="New York"/>
    <s v="East"/>
    <x v="0"/>
    <x v="1"/>
    <s v="Office Star - Contemporary Task Swivel chair with Loop Arms, Charcoal"/>
    <x v="4302"/>
    <n v="5"/>
    <n v="0.1"/>
    <n v="-6.5490000000000004"/>
  </r>
  <r>
    <n v="9583"/>
    <x v="843"/>
    <x v="0"/>
    <x v="1"/>
    <d v="2013-06-12T00:00:00"/>
    <n v="4"/>
    <x v="1"/>
    <s v="Roy Skaria"/>
    <x v="2"/>
    <m/>
    <s v="Philadelphia"/>
    <s v="Pennsylvania"/>
    <s v="East"/>
    <x v="1"/>
    <x v="13"/>
    <s v="Ideal Clamps"/>
    <x v="2081"/>
    <n v="6"/>
    <n v="0.2"/>
    <n v="3.4973999999999998"/>
  </r>
  <r>
    <n v="9584"/>
    <x v="643"/>
    <x v="3"/>
    <x v="1"/>
    <d v="2014-06-28T00:00:00"/>
    <n v="2"/>
    <x v="0"/>
    <s v="Sarah Brown"/>
    <x v="0"/>
    <m/>
    <s v="New York City"/>
    <s v="New York"/>
    <s v="East"/>
    <x v="0"/>
    <x v="0"/>
    <s v="DMI Eclipse Executive Suite Bookcases"/>
    <x v="5669"/>
    <n v="1"/>
    <n v="0.2"/>
    <n v="-5.0098000000000003"/>
  </r>
  <r>
    <n v="9585"/>
    <x v="775"/>
    <x v="3"/>
    <x v="6"/>
    <d v="2014-08-28T00:00:00"/>
    <n v="1"/>
    <x v="2"/>
    <s v="Heather Jas"/>
    <x v="2"/>
    <m/>
    <s v="Detroit"/>
    <s v="Michigan"/>
    <s v="Central"/>
    <x v="1"/>
    <x v="4"/>
    <s v="Neat Ideas Personal Hanging Folder Files, Black"/>
    <x v="2062"/>
    <n v="4"/>
    <n v="0"/>
    <n v="13.9672"/>
  </r>
  <r>
    <n v="9586"/>
    <x v="370"/>
    <x v="0"/>
    <x v="6"/>
    <d v="2013-08-29T00:00:00"/>
    <n v="2"/>
    <x v="2"/>
    <s v="Stuart Van"/>
    <x v="1"/>
    <m/>
    <s v="Miami"/>
    <s v="Florida"/>
    <s v="South"/>
    <x v="1"/>
    <x v="10"/>
    <s v="Xerox 1944"/>
    <x v="5670"/>
    <n v="1"/>
    <n v="0.2"/>
    <n v="11.240399999999999"/>
  </r>
  <r>
    <n v="9587"/>
    <x v="741"/>
    <x v="0"/>
    <x v="0"/>
    <d v="2013-11-19T00:00:00"/>
    <n v="0"/>
    <x v="3"/>
    <s v="Bobby Elias"/>
    <x v="0"/>
    <m/>
    <s v="Concord"/>
    <s v="California"/>
    <s v="West"/>
    <x v="1"/>
    <x v="8"/>
    <s v="Recycled Premium Regency Composition Covers"/>
    <x v="2139"/>
    <n v="5"/>
    <n v="0.2"/>
    <n v="22.155999999999999"/>
  </r>
  <r>
    <n v="9588"/>
    <x v="827"/>
    <x v="3"/>
    <x v="3"/>
    <d v="2014-04-23T00:00:00"/>
    <n v="5"/>
    <x v="1"/>
    <s v="Brendan Murry"/>
    <x v="1"/>
    <m/>
    <s v="Chicago"/>
    <s v="Illinois"/>
    <s v="Central"/>
    <x v="1"/>
    <x v="4"/>
    <s v="Carina Media Storage Towers in Natural &amp; Black"/>
    <x v="2417"/>
    <n v="4"/>
    <n v="0.2"/>
    <n v="-43.9056"/>
  </r>
  <r>
    <n v="9589"/>
    <x v="283"/>
    <x v="3"/>
    <x v="7"/>
    <d v="2014-07-29T00:00:00"/>
    <n v="5"/>
    <x v="1"/>
    <s v="Annie Zypern"/>
    <x v="0"/>
    <m/>
    <s v="Wheeling"/>
    <s v="Illinois"/>
    <s v="Central"/>
    <x v="1"/>
    <x v="6"/>
    <s v="Hunt PowerHouse Electric Pencil Sharpener, Blue"/>
    <x v="5671"/>
    <n v="4"/>
    <n v="0.2"/>
    <n v="15.192"/>
  </r>
  <r>
    <n v="9590"/>
    <x v="218"/>
    <x v="2"/>
    <x v="5"/>
    <d v="2011-05-15T00:00:00"/>
    <n v="4"/>
    <x v="1"/>
    <s v="Harold Dahlen"/>
    <x v="2"/>
    <m/>
    <s v="Chicago"/>
    <s v="Illinois"/>
    <s v="Central"/>
    <x v="1"/>
    <x v="10"/>
    <s v="Black Print Carbonless 8 1/2&quot; x 8 1/4&quot; Rapid Memo Book"/>
    <x v="1121"/>
    <n v="3"/>
    <n v="0.2"/>
    <n v="5.6783999999999999"/>
  </r>
  <r>
    <n v="9591"/>
    <x v="218"/>
    <x v="2"/>
    <x v="5"/>
    <d v="2011-05-15T00:00:00"/>
    <n v="4"/>
    <x v="1"/>
    <s v="Harold Dahlen"/>
    <x v="2"/>
    <m/>
    <s v="Chicago"/>
    <s v="Illinois"/>
    <s v="Central"/>
    <x v="1"/>
    <x v="8"/>
    <s v="Avery Arch Ring Binders"/>
    <x v="4028"/>
    <n v="9"/>
    <n v="0.8"/>
    <n v="-172.55699999999999"/>
  </r>
  <r>
    <n v="9592"/>
    <x v="1062"/>
    <x v="0"/>
    <x v="7"/>
    <d v="2013-08-02T00:00:00"/>
    <n v="4"/>
    <x v="1"/>
    <s v="Barry Franz"/>
    <x v="2"/>
    <m/>
    <s v="Pasadena"/>
    <s v="Texas"/>
    <s v="Central"/>
    <x v="0"/>
    <x v="5"/>
    <s v="Eldon Image Series Desk Accessories, Ebony"/>
    <x v="3137"/>
    <n v="5"/>
    <n v="0.6"/>
    <n v="-9.8800000000000008"/>
  </r>
  <r>
    <n v="9593"/>
    <x v="1062"/>
    <x v="0"/>
    <x v="7"/>
    <d v="2013-08-02T00:00:00"/>
    <n v="4"/>
    <x v="1"/>
    <s v="Barry Franz"/>
    <x v="2"/>
    <m/>
    <s v="Pasadena"/>
    <s v="Texas"/>
    <s v="Central"/>
    <x v="0"/>
    <x v="5"/>
    <s v="Tenex Chairmat w/ Average Lip, 45&quot; x 53&quot;"/>
    <x v="5672"/>
    <n v="5"/>
    <n v="0.6"/>
    <n v="-378.4"/>
  </r>
  <r>
    <n v="9594"/>
    <x v="32"/>
    <x v="3"/>
    <x v="8"/>
    <d v="2014-09-20T00:00:00"/>
    <n v="5"/>
    <x v="1"/>
    <s v="Henia Zydlo"/>
    <x v="0"/>
    <m/>
    <s v="New York City"/>
    <s v="New York"/>
    <s v="East"/>
    <x v="1"/>
    <x v="10"/>
    <s v="Xerox 1980"/>
    <x v="18"/>
    <n v="2"/>
    <n v="0"/>
    <n v="3.8519999999999999"/>
  </r>
  <r>
    <n v="9595"/>
    <x v="32"/>
    <x v="3"/>
    <x v="8"/>
    <d v="2014-09-20T00:00:00"/>
    <n v="5"/>
    <x v="1"/>
    <s v="Henia Zydlo"/>
    <x v="0"/>
    <m/>
    <s v="New York City"/>
    <s v="New York"/>
    <s v="East"/>
    <x v="1"/>
    <x v="10"/>
    <s v="Xerox 1987"/>
    <x v="1049"/>
    <n v="2"/>
    <n v="0"/>
    <n v="5.6643999999999997"/>
  </r>
  <r>
    <n v="9596"/>
    <x v="714"/>
    <x v="3"/>
    <x v="9"/>
    <d v="2014-01-30T00:00:00"/>
    <n v="5"/>
    <x v="1"/>
    <s v="Keith Dawkins"/>
    <x v="1"/>
    <m/>
    <s v="San Jose"/>
    <s v="California"/>
    <s v="West"/>
    <x v="1"/>
    <x v="9"/>
    <s v="Acco Six-Outlet Power Strip, 4' Cord Length"/>
    <x v="3039"/>
    <n v="3"/>
    <n v="0"/>
    <n v="6.7236000000000002"/>
  </r>
  <r>
    <n v="9597"/>
    <x v="714"/>
    <x v="3"/>
    <x v="9"/>
    <d v="2014-01-30T00:00:00"/>
    <n v="5"/>
    <x v="1"/>
    <s v="Keith Dawkins"/>
    <x v="1"/>
    <m/>
    <s v="San Jose"/>
    <s v="California"/>
    <s v="West"/>
    <x v="1"/>
    <x v="8"/>
    <s v="Ibico EB-19 Dual Function Manual Binding System"/>
    <x v="4604"/>
    <n v="2"/>
    <n v="0.2"/>
    <n v="89.954800000000006"/>
  </r>
  <r>
    <n v="9598"/>
    <x v="714"/>
    <x v="3"/>
    <x v="9"/>
    <d v="2014-01-30T00:00:00"/>
    <n v="5"/>
    <x v="1"/>
    <s v="Keith Dawkins"/>
    <x v="1"/>
    <m/>
    <s v="San Jose"/>
    <s v="California"/>
    <s v="West"/>
    <x v="2"/>
    <x v="7"/>
    <s v="Jensen SMPS-640 - speaker phone"/>
    <x v="3342"/>
    <n v="3"/>
    <n v="0.2"/>
    <n v="8.2764000000000006"/>
  </r>
  <r>
    <n v="9599"/>
    <x v="444"/>
    <x v="1"/>
    <x v="8"/>
    <d v="2012-09-23T00:00:00"/>
    <n v="4"/>
    <x v="1"/>
    <s v="Frank Carlisle"/>
    <x v="2"/>
    <m/>
    <s v="Sacramento"/>
    <s v="California"/>
    <s v="West"/>
    <x v="0"/>
    <x v="5"/>
    <s v="Seth Thomas 8 1/2&quot; Cubicle Clock"/>
    <x v="3909"/>
    <n v="3"/>
    <n v="0"/>
    <n v="19.468800000000002"/>
  </r>
  <r>
    <n v="9600"/>
    <x v="1225"/>
    <x v="1"/>
    <x v="3"/>
    <d v="2012-04-18T00:00:00"/>
    <n v="4"/>
    <x v="1"/>
    <s v="Theone Pippenger"/>
    <x v="0"/>
    <m/>
    <s v="Springfield"/>
    <s v="Oregon"/>
    <s v="West"/>
    <x v="1"/>
    <x v="9"/>
    <s v="Acco Smartsocket Color-Coded Six-Outlet AC Adapter Model Surge Protectors"/>
    <x v="5673"/>
    <n v="1"/>
    <n v="0.2"/>
    <n v="2.6406000000000001"/>
  </r>
  <r>
    <n v="9601"/>
    <x v="540"/>
    <x v="3"/>
    <x v="5"/>
    <d v="2014-05-12T00:00:00"/>
    <n v="3"/>
    <x v="0"/>
    <s v="Ed Braxton"/>
    <x v="1"/>
    <m/>
    <s v="Mansfield"/>
    <s v="Texas"/>
    <s v="Central"/>
    <x v="1"/>
    <x v="10"/>
    <s v="Xerox 1997"/>
    <x v="753"/>
    <n v="8"/>
    <n v="0.2"/>
    <n v="14.5152"/>
  </r>
  <r>
    <n v="9602"/>
    <x v="913"/>
    <x v="0"/>
    <x v="8"/>
    <d v="2013-09-10T00:00:00"/>
    <n v="5"/>
    <x v="1"/>
    <s v="Jeremy Pistek"/>
    <x v="0"/>
    <m/>
    <s v="Jonesboro"/>
    <s v="Arkansas"/>
    <s v="South"/>
    <x v="1"/>
    <x v="10"/>
    <s v="Xerox 1886"/>
    <x v="5674"/>
    <n v="5"/>
    <n v="0"/>
    <n v="114.96"/>
  </r>
  <r>
    <n v="9603"/>
    <x v="946"/>
    <x v="2"/>
    <x v="5"/>
    <d v="2011-05-22T00:00:00"/>
    <n v="3"/>
    <x v="2"/>
    <s v="Tamara Dahlen"/>
    <x v="0"/>
    <m/>
    <s v="Virginia Beach"/>
    <s v="Virginia"/>
    <s v="South"/>
    <x v="1"/>
    <x v="14"/>
    <s v="Acme Design Stainless Steel Bent Scissors"/>
    <x v="5675"/>
    <n v="5"/>
    <n v="0"/>
    <n v="9.234"/>
  </r>
  <r>
    <n v="9604"/>
    <x v="26"/>
    <x v="0"/>
    <x v="1"/>
    <d v="2013-06-24T00:00:00"/>
    <n v="6"/>
    <x v="1"/>
    <s v="Denise Monton"/>
    <x v="1"/>
    <m/>
    <s v="Rochester"/>
    <s v="New York"/>
    <s v="East"/>
    <x v="0"/>
    <x v="3"/>
    <s v="Hon 2111 Invitation Series Corner Table"/>
    <x v="5676"/>
    <n v="3"/>
    <n v="0.4"/>
    <n v="-213.5574"/>
  </r>
  <r>
    <n v="9605"/>
    <x v="121"/>
    <x v="1"/>
    <x v="0"/>
    <d v="2012-11-05T00:00:00"/>
    <n v="3"/>
    <x v="2"/>
    <s v="Emily Grady"/>
    <x v="0"/>
    <m/>
    <s v="Chesapeake"/>
    <s v="Virginia"/>
    <s v="South"/>
    <x v="1"/>
    <x v="9"/>
    <s v="Eureka Hand Vacuum, Bagless"/>
    <x v="5677"/>
    <n v="4"/>
    <n v="0"/>
    <n v="55.361600000000003"/>
  </r>
  <r>
    <n v="9606"/>
    <x v="259"/>
    <x v="3"/>
    <x v="0"/>
    <d v="2014-11-10T00:00:00"/>
    <n v="5"/>
    <x v="1"/>
    <s v="Henry Goldwyn"/>
    <x v="1"/>
    <m/>
    <s v="Lancaster"/>
    <s v="Ohio"/>
    <s v="East"/>
    <x v="2"/>
    <x v="11"/>
    <s v="SanDisk Ultra 32 GB MicroSDHC Class 10 Memory Card"/>
    <x v="5678"/>
    <n v="4"/>
    <n v="0.2"/>
    <n v="-6.1879999999999997"/>
  </r>
  <r>
    <n v="9607"/>
    <x v="259"/>
    <x v="3"/>
    <x v="0"/>
    <d v="2014-11-10T00:00:00"/>
    <n v="5"/>
    <x v="1"/>
    <s v="Henry Goldwyn"/>
    <x v="1"/>
    <m/>
    <s v="Lancaster"/>
    <s v="Ohio"/>
    <s v="East"/>
    <x v="1"/>
    <x v="4"/>
    <s v="Carina 42&quot;Hx23 3/4&quot;W Media Storage Unit"/>
    <x v="4732"/>
    <n v="3"/>
    <n v="0.2"/>
    <n v="-43.729199999999999"/>
  </r>
  <r>
    <n v="9608"/>
    <x v="256"/>
    <x v="3"/>
    <x v="4"/>
    <d v="2014-12-09T00:00:00"/>
    <n v="3"/>
    <x v="0"/>
    <s v="Bart Folk"/>
    <x v="0"/>
    <m/>
    <s v="New York City"/>
    <s v="New York"/>
    <s v="East"/>
    <x v="1"/>
    <x v="10"/>
    <s v="Telephone Message Books with Fax/Mobile Section, 4 1/4&quot; x 6&quot;"/>
    <x v="5679"/>
    <n v="6"/>
    <n v="0"/>
    <n v="9.9359999999999999"/>
  </r>
  <r>
    <n v="9609"/>
    <x v="256"/>
    <x v="3"/>
    <x v="4"/>
    <d v="2014-12-09T00:00:00"/>
    <n v="3"/>
    <x v="0"/>
    <s v="Bart Folk"/>
    <x v="0"/>
    <m/>
    <s v="New York City"/>
    <s v="New York"/>
    <s v="East"/>
    <x v="1"/>
    <x v="2"/>
    <s v="Avery 52"/>
    <x v="466"/>
    <n v="3"/>
    <n v="0"/>
    <n v="5.2028999999999996"/>
  </r>
  <r>
    <n v="9610"/>
    <x v="458"/>
    <x v="0"/>
    <x v="5"/>
    <d v="2013-05-20T00:00:00"/>
    <n v="3"/>
    <x v="0"/>
    <s v="Sanjit Chand"/>
    <x v="0"/>
    <m/>
    <s v="Los Angeles"/>
    <s v="California"/>
    <s v="West"/>
    <x v="0"/>
    <x v="5"/>
    <s v="Tenex Carpeted, Granite-Look or Clear Contemporary Contour Shape Chair Mats"/>
    <x v="5680"/>
    <n v="4"/>
    <n v="0"/>
    <n v="19.7988"/>
  </r>
  <r>
    <n v="9611"/>
    <x v="458"/>
    <x v="0"/>
    <x v="5"/>
    <d v="2013-05-20T00:00:00"/>
    <n v="3"/>
    <x v="0"/>
    <s v="Sanjit Chand"/>
    <x v="0"/>
    <m/>
    <s v="Los Angeles"/>
    <s v="California"/>
    <s v="West"/>
    <x v="1"/>
    <x v="2"/>
    <s v="Avery 481"/>
    <x v="1777"/>
    <n v="9"/>
    <n v="0"/>
    <n v="13.3056"/>
  </r>
  <r>
    <n v="9612"/>
    <x v="1200"/>
    <x v="3"/>
    <x v="2"/>
    <d v="2014-10-31T00:00:00"/>
    <n v="6"/>
    <x v="1"/>
    <s v="Carlos Soltero"/>
    <x v="0"/>
    <m/>
    <s v="Jackson"/>
    <s v="Mississippi"/>
    <s v="South"/>
    <x v="1"/>
    <x v="13"/>
    <s v="Staples"/>
    <x v="2582"/>
    <n v="4"/>
    <n v="0"/>
    <n v="5.2560000000000002"/>
  </r>
  <r>
    <n v="9613"/>
    <x v="31"/>
    <x v="0"/>
    <x v="8"/>
    <d v="2013-09-23T00:00:00"/>
    <n v="4"/>
    <x v="1"/>
    <s v="Bill Donatelli"/>
    <x v="0"/>
    <m/>
    <s v="Woodland"/>
    <s v="California"/>
    <s v="West"/>
    <x v="2"/>
    <x v="7"/>
    <s v="Polycom CX300 Desktop Phone USB VoIP phone"/>
    <x v="2507"/>
    <n v="2"/>
    <n v="0.2"/>
    <n v="23.9984"/>
  </r>
  <r>
    <n v="9614"/>
    <x v="7"/>
    <x v="2"/>
    <x v="0"/>
    <d v="2011-11-13T00:00:00"/>
    <n v="2"/>
    <x v="2"/>
    <s v="Mary Zewe"/>
    <x v="1"/>
    <m/>
    <s v="Seattle"/>
    <s v="Washington"/>
    <s v="West"/>
    <x v="1"/>
    <x v="9"/>
    <s v="Belkin F5C206VTEL 6 Outlet Surge"/>
    <x v="5681"/>
    <n v="1"/>
    <n v="0"/>
    <n v="6.8940000000000001"/>
  </r>
  <r>
    <n v="9615"/>
    <x v="7"/>
    <x v="2"/>
    <x v="0"/>
    <d v="2011-11-13T00:00:00"/>
    <n v="2"/>
    <x v="2"/>
    <s v="Mary Zewe"/>
    <x v="1"/>
    <m/>
    <s v="Seattle"/>
    <s v="Washington"/>
    <s v="West"/>
    <x v="2"/>
    <x v="11"/>
    <s v="Belkin Standard 104 key USB Keyboard"/>
    <x v="5682"/>
    <n v="7"/>
    <n v="0"/>
    <n v="15.3195"/>
  </r>
  <r>
    <n v="9616"/>
    <x v="7"/>
    <x v="2"/>
    <x v="0"/>
    <d v="2011-11-13T00:00:00"/>
    <n v="2"/>
    <x v="2"/>
    <s v="Mary Zewe"/>
    <x v="1"/>
    <m/>
    <s v="Seattle"/>
    <s v="Washington"/>
    <s v="West"/>
    <x v="1"/>
    <x v="8"/>
    <s v="Fellowes PB500 Electric Punch Plastic Comb Binding Machine with Manual Bind"/>
    <x v="5683"/>
    <n v="2"/>
    <n v="0.2"/>
    <n v="762.59400000000005"/>
  </r>
  <r>
    <n v="9617"/>
    <x v="250"/>
    <x v="0"/>
    <x v="6"/>
    <d v="2013-08-30T00:00:00"/>
    <n v="7"/>
    <x v="1"/>
    <s v="Pauline Webber"/>
    <x v="1"/>
    <m/>
    <s v="Los Angeles"/>
    <s v="California"/>
    <s v="West"/>
    <x v="1"/>
    <x v="6"/>
    <s v="Newell 346"/>
    <x v="1755"/>
    <n v="2"/>
    <n v="0"/>
    <n v="1.6704000000000001"/>
  </r>
  <r>
    <n v="9618"/>
    <x v="673"/>
    <x v="3"/>
    <x v="0"/>
    <d v="2014-11-22T00:00:00"/>
    <n v="5"/>
    <x v="1"/>
    <s v="Bill Stewart"/>
    <x v="1"/>
    <m/>
    <s v="Bowling Green"/>
    <s v="Ohio"/>
    <s v="East"/>
    <x v="2"/>
    <x v="16"/>
    <s v="Hewlett Packard 610 Color Digital Copier / Printer"/>
    <x v="5684"/>
    <n v="3"/>
    <n v="0.4"/>
    <n v="74.998500000000007"/>
  </r>
  <r>
    <n v="9619"/>
    <x v="673"/>
    <x v="3"/>
    <x v="0"/>
    <d v="2014-11-22T00:00:00"/>
    <n v="5"/>
    <x v="1"/>
    <s v="Bill Stewart"/>
    <x v="1"/>
    <m/>
    <s v="Bowling Green"/>
    <s v="Ohio"/>
    <s v="East"/>
    <x v="1"/>
    <x v="6"/>
    <s v="Panasonic KP-380BK Classic Electric Pencil Sharpener"/>
    <x v="1134"/>
    <n v="3"/>
    <n v="0.2"/>
    <n v="5.3970000000000002"/>
  </r>
  <r>
    <n v="9620"/>
    <x v="673"/>
    <x v="3"/>
    <x v="0"/>
    <d v="2014-11-22T00:00:00"/>
    <n v="5"/>
    <x v="1"/>
    <s v="Bill Stewart"/>
    <x v="1"/>
    <m/>
    <s v="Bowling Green"/>
    <s v="Ohio"/>
    <s v="East"/>
    <x v="2"/>
    <x v="11"/>
    <s v="Logitech Media Keyboard K200"/>
    <x v="3943"/>
    <n v="5"/>
    <n v="0.2"/>
    <n v="-1.7495000000000001"/>
  </r>
  <r>
    <n v="9621"/>
    <x v="467"/>
    <x v="2"/>
    <x v="8"/>
    <d v="2011-09-30T00:00:00"/>
    <n v="4"/>
    <x v="1"/>
    <s v="Dianna Arnett"/>
    <x v="2"/>
    <m/>
    <s v="Lancaster"/>
    <s v="Ohio"/>
    <s v="East"/>
    <x v="1"/>
    <x v="9"/>
    <s v="Hoover Commercial Lightweight Upright Vacuum"/>
    <x v="5685"/>
    <n v="6"/>
    <n v="0.2"/>
    <n v="1.2527999999999999"/>
  </r>
  <r>
    <n v="9622"/>
    <x v="467"/>
    <x v="2"/>
    <x v="8"/>
    <d v="2011-09-30T00:00:00"/>
    <n v="4"/>
    <x v="1"/>
    <s v="Dianna Arnett"/>
    <x v="2"/>
    <m/>
    <s v="Lancaster"/>
    <s v="Ohio"/>
    <s v="East"/>
    <x v="2"/>
    <x v="11"/>
    <s v="Maxell CD-R Discs"/>
    <x v="5686"/>
    <n v="2"/>
    <n v="0.2"/>
    <n v="0.4728"/>
  </r>
  <r>
    <n v="9623"/>
    <x v="467"/>
    <x v="2"/>
    <x v="8"/>
    <d v="2011-09-30T00:00:00"/>
    <n v="4"/>
    <x v="1"/>
    <s v="Dianna Arnett"/>
    <x v="2"/>
    <m/>
    <s v="Lancaster"/>
    <s v="Ohio"/>
    <s v="East"/>
    <x v="1"/>
    <x v="10"/>
    <s v="Message Book, Wirebound, Four 5 1/2&quot; X 4&quot; Forms/Pg., 200 Dupl. Sets/Book"/>
    <x v="2668"/>
    <n v="4"/>
    <n v="0.2"/>
    <n v="11.102399999999999"/>
  </r>
  <r>
    <n v="9624"/>
    <x v="222"/>
    <x v="3"/>
    <x v="1"/>
    <d v="2014-07-01T00:00:00"/>
    <n v="1"/>
    <x v="2"/>
    <s v="Max Engle"/>
    <x v="0"/>
    <m/>
    <s v="Dallas"/>
    <s v="Texas"/>
    <s v="Central"/>
    <x v="1"/>
    <x v="9"/>
    <s v="Belkin F9G930V10-GRY 9 Outlet Surge"/>
    <x v="5687"/>
    <n v="2"/>
    <n v="0.8"/>
    <n v="-54.549599999999998"/>
  </r>
  <r>
    <n v="9625"/>
    <x v="222"/>
    <x v="3"/>
    <x v="1"/>
    <d v="2014-07-01T00:00:00"/>
    <n v="1"/>
    <x v="2"/>
    <s v="Max Engle"/>
    <x v="0"/>
    <m/>
    <s v="Dallas"/>
    <s v="Texas"/>
    <s v="Central"/>
    <x v="0"/>
    <x v="3"/>
    <s v="Bevis Round Conference Table Top &amp; Single Column Base"/>
    <x v="5688"/>
    <n v="3"/>
    <n v="0.3"/>
    <n v="-39.511800000000001"/>
  </r>
  <r>
    <n v="9626"/>
    <x v="222"/>
    <x v="3"/>
    <x v="1"/>
    <d v="2014-07-01T00:00:00"/>
    <n v="1"/>
    <x v="2"/>
    <s v="Max Engle"/>
    <x v="0"/>
    <m/>
    <s v="Dallas"/>
    <s v="Texas"/>
    <s v="Central"/>
    <x v="0"/>
    <x v="0"/>
    <s v="O'Sullivan Plantations 2-Door Library in Landvery Oak"/>
    <x v="5689"/>
    <n v="3"/>
    <n v="0.32"/>
    <n v="-96.470399999999998"/>
  </r>
  <r>
    <n v="9627"/>
    <x v="397"/>
    <x v="3"/>
    <x v="8"/>
    <d v="2014-09-26T00:00:00"/>
    <n v="2"/>
    <x v="2"/>
    <s v="Maya Herman"/>
    <x v="1"/>
    <m/>
    <s v="Lubbock"/>
    <s v="Texas"/>
    <s v="Central"/>
    <x v="1"/>
    <x v="10"/>
    <s v="Xerox 1899"/>
    <x v="4579"/>
    <n v="2"/>
    <n v="0.2"/>
    <n v="3.3523999999999998"/>
  </r>
  <r>
    <n v="9628"/>
    <x v="533"/>
    <x v="2"/>
    <x v="0"/>
    <d v="2011-11-27T00:00:00"/>
    <n v="4"/>
    <x v="1"/>
    <s v="Bobby Trafton"/>
    <x v="0"/>
    <m/>
    <s v="Detroit"/>
    <s v="Michigan"/>
    <s v="Central"/>
    <x v="1"/>
    <x v="8"/>
    <s v="UniKeep View Case Binders"/>
    <x v="1835"/>
    <n v="3"/>
    <n v="0"/>
    <n v="6.7481999999999998"/>
  </r>
  <r>
    <n v="9629"/>
    <x v="286"/>
    <x v="2"/>
    <x v="9"/>
    <d v="2011-01-19T00:00:00"/>
    <n v="5"/>
    <x v="1"/>
    <s v="Michael Moore"/>
    <x v="0"/>
    <m/>
    <s v="Newark"/>
    <s v="Ohio"/>
    <s v="East"/>
    <x v="1"/>
    <x v="10"/>
    <s v="Xerox 1923"/>
    <x v="5317"/>
    <n v="7"/>
    <n v="0.2"/>
    <n v="13.0928"/>
  </r>
  <r>
    <n v="9630"/>
    <x v="286"/>
    <x v="2"/>
    <x v="9"/>
    <d v="2011-01-19T00:00:00"/>
    <n v="5"/>
    <x v="1"/>
    <s v="Michael Moore"/>
    <x v="0"/>
    <m/>
    <s v="Newark"/>
    <s v="Ohio"/>
    <s v="East"/>
    <x v="1"/>
    <x v="8"/>
    <s v="Avery Metallic Poly Binders"/>
    <x v="5690"/>
    <n v="2"/>
    <n v="0.7"/>
    <n v="-2.5211999999999999"/>
  </r>
  <r>
    <n v="9631"/>
    <x v="1207"/>
    <x v="0"/>
    <x v="1"/>
    <d v="2013-06-07T00:00:00"/>
    <n v="6"/>
    <x v="1"/>
    <s v="Neoma Murray"/>
    <x v="0"/>
    <m/>
    <s v="New York City"/>
    <s v="New York"/>
    <s v="East"/>
    <x v="1"/>
    <x v="8"/>
    <s v="Avery Hidden Tab Dividers for Binding Systems"/>
    <x v="485"/>
    <n v="3"/>
    <n v="0.2"/>
    <n v="2.3243999999999998"/>
  </r>
  <r>
    <n v="9632"/>
    <x v="1207"/>
    <x v="0"/>
    <x v="1"/>
    <d v="2013-06-07T00:00:00"/>
    <n v="6"/>
    <x v="1"/>
    <s v="Neoma Murray"/>
    <x v="0"/>
    <m/>
    <s v="New York City"/>
    <s v="New York"/>
    <s v="East"/>
    <x v="2"/>
    <x v="7"/>
    <s v="Jackery Bar Premium Fast-charging Portable Charger"/>
    <x v="5691"/>
    <n v="6"/>
    <n v="0"/>
    <n v="88.052999999999997"/>
  </r>
  <r>
    <n v="9633"/>
    <x v="778"/>
    <x v="3"/>
    <x v="11"/>
    <d v="2014-02-18T00:00:00"/>
    <n v="4"/>
    <x v="1"/>
    <s v="Mark Hamilton"/>
    <x v="0"/>
    <m/>
    <s v="Minneapolis"/>
    <s v="Minnesota"/>
    <s v="Central"/>
    <x v="1"/>
    <x v="9"/>
    <s v="Holmes Replacement Filter for HEPA Air Cleaner, Medium Room"/>
    <x v="5692"/>
    <n v="8"/>
    <n v="0"/>
    <n v="38.975200000000001"/>
  </r>
  <r>
    <n v="9634"/>
    <x v="1005"/>
    <x v="2"/>
    <x v="2"/>
    <d v="2011-10-17T00:00:00"/>
    <n v="3"/>
    <x v="2"/>
    <s v="Toby Carlisle"/>
    <x v="0"/>
    <m/>
    <s v="Everett"/>
    <s v="Massachusetts"/>
    <s v="East"/>
    <x v="2"/>
    <x v="11"/>
    <s v="WD My Passport Ultra 500GB Portable External Hard Drive"/>
    <x v="1307"/>
    <n v="3"/>
    <n v="0"/>
    <n v="30.09"/>
  </r>
  <r>
    <n v="9635"/>
    <x v="1005"/>
    <x v="2"/>
    <x v="2"/>
    <d v="2011-10-17T00:00:00"/>
    <n v="3"/>
    <x v="2"/>
    <s v="Toby Carlisle"/>
    <x v="0"/>
    <m/>
    <s v="Everett"/>
    <s v="Massachusetts"/>
    <s v="East"/>
    <x v="1"/>
    <x v="4"/>
    <s v="SimpliFile Personal File, Black Granite, 15w x 6-15/16d x 11-1/4h"/>
    <x v="5693"/>
    <n v="7"/>
    <n v="0"/>
    <n v="22.245999999999999"/>
  </r>
  <r>
    <n v="9636"/>
    <x v="1005"/>
    <x v="2"/>
    <x v="2"/>
    <d v="2011-10-17T00:00:00"/>
    <n v="3"/>
    <x v="2"/>
    <s v="Toby Carlisle"/>
    <x v="0"/>
    <m/>
    <s v="Everett"/>
    <s v="Massachusetts"/>
    <s v="East"/>
    <x v="0"/>
    <x v="1"/>
    <s v="Office Star - Ergonomic Mid Back Chair with 2-Way Adjustable Arms"/>
    <x v="2312"/>
    <n v="9"/>
    <n v="0"/>
    <n v="260.6112"/>
  </r>
  <r>
    <n v="9637"/>
    <x v="728"/>
    <x v="2"/>
    <x v="0"/>
    <d v="2011-11-25T00:00:00"/>
    <n v="7"/>
    <x v="1"/>
    <s v="Maya Herman"/>
    <x v="1"/>
    <m/>
    <s v="Seattle"/>
    <s v="Washington"/>
    <s v="West"/>
    <x v="0"/>
    <x v="5"/>
    <s v="Howard Miller 13-1/2&quot; Diameter Rosebrook Wall Clock"/>
    <x v="5694"/>
    <n v="2"/>
    <n v="0"/>
    <n v="55.015999999999998"/>
  </r>
  <r>
    <n v="9638"/>
    <x v="728"/>
    <x v="2"/>
    <x v="0"/>
    <d v="2011-11-25T00:00:00"/>
    <n v="7"/>
    <x v="1"/>
    <s v="Maya Herman"/>
    <x v="1"/>
    <m/>
    <s v="Seattle"/>
    <s v="Washington"/>
    <s v="West"/>
    <x v="0"/>
    <x v="3"/>
    <s v="Lesro Round Back Collection Coffee Table, End Table"/>
    <x v="5695"/>
    <n v="4"/>
    <n v="0"/>
    <n v="94.926000000000002"/>
  </r>
  <r>
    <n v="9639"/>
    <x v="105"/>
    <x v="3"/>
    <x v="0"/>
    <d v="2014-11-16T00:00:00"/>
    <n v="3"/>
    <x v="0"/>
    <s v="Emily Phan"/>
    <x v="0"/>
    <m/>
    <s v="Los Angeles"/>
    <s v="California"/>
    <s v="West"/>
    <x v="1"/>
    <x v="10"/>
    <s v="Xerox 1899"/>
    <x v="1049"/>
    <n v="2"/>
    <n v="0"/>
    <n v="5.6643999999999997"/>
  </r>
  <r>
    <n v="9640"/>
    <x v="1226"/>
    <x v="1"/>
    <x v="9"/>
    <d v="2012-01-31T00:00:00"/>
    <n v="3"/>
    <x v="0"/>
    <s v="Joseph Holt"/>
    <x v="0"/>
    <m/>
    <s v="Concord"/>
    <s v="North Carolina"/>
    <s v="South"/>
    <x v="0"/>
    <x v="3"/>
    <s v="Chromcraft Bull-Nose Wood Oval Conference Tables &amp; Bases"/>
    <x v="5696"/>
    <n v="13"/>
    <n v="0.4"/>
    <n v="-1862.3124"/>
  </r>
  <r>
    <n v="9641"/>
    <x v="1009"/>
    <x v="2"/>
    <x v="10"/>
    <d v="2011-03-12T00:00:00"/>
    <n v="5"/>
    <x v="1"/>
    <s v="Craig Molinari"/>
    <x v="1"/>
    <m/>
    <s v="Seattle"/>
    <s v="Washington"/>
    <s v="West"/>
    <x v="1"/>
    <x v="6"/>
    <s v="Newell Chalk Holder"/>
    <x v="2740"/>
    <n v="5"/>
    <n v="0"/>
    <n v="9.4990000000000006"/>
  </r>
  <r>
    <n v="9642"/>
    <x v="1009"/>
    <x v="2"/>
    <x v="10"/>
    <d v="2011-03-12T00:00:00"/>
    <n v="5"/>
    <x v="1"/>
    <s v="Craig Molinari"/>
    <x v="1"/>
    <m/>
    <s v="Seattle"/>
    <s v="Washington"/>
    <s v="West"/>
    <x v="1"/>
    <x v="4"/>
    <s v="Contico 72&quot;H Heavy-Duty Storage System"/>
    <x v="5697"/>
    <n v="5"/>
    <n v="0"/>
    <n v="0"/>
  </r>
  <r>
    <n v="9643"/>
    <x v="1009"/>
    <x v="2"/>
    <x v="10"/>
    <d v="2011-03-12T00:00:00"/>
    <n v="5"/>
    <x v="1"/>
    <s v="Craig Molinari"/>
    <x v="1"/>
    <m/>
    <s v="Seattle"/>
    <s v="Washington"/>
    <s v="West"/>
    <x v="0"/>
    <x v="1"/>
    <s v="Office Star - Task Chair with Contemporary Loop Arms"/>
    <x v="5163"/>
    <n v="6"/>
    <n v="0.2"/>
    <n v="21.8352"/>
  </r>
  <r>
    <n v="9644"/>
    <x v="1009"/>
    <x v="2"/>
    <x v="10"/>
    <d v="2011-03-12T00:00:00"/>
    <n v="5"/>
    <x v="1"/>
    <s v="Craig Molinari"/>
    <x v="1"/>
    <m/>
    <s v="Seattle"/>
    <s v="Washington"/>
    <s v="West"/>
    <x v="0"/>
    <x v="1"/>
    <s v="Global Leather and Oak Executive Chair, Black"/>
    <x v="5698"/>
    <n v="2"/>
    <n v="0.2"/>
    <n v="54.176400000000001"/>
  </r>
  <r>
    <n v="9645"/>
    <x v="110"/>
    <x v="3"/>
    <x v="1"/>
    <d v="2014-06-14T00:00:00"/>
    <n v="5"/>
    <x v="1"/>
    <s v="Frank Olsen"/>
    <x v="0"/>
    <m/>
    <s v="Glendale"/>
    <s v="Arizona"/>
    <s v="West"/>
    <x v="2"/>
    <x v="11"/>
    <s v="Memorex Micro Travel Drive 16 GB"/>
    <x v="5699"/>
    <n v="7"/>
    <n v="0.2"/>
    <n v="12.3123"/>
  </r>
  <r>
    <n v="9646"/>
    <x v="110"/>
    <x v="3"/>
    <x v="1"/>
    <d v="2014-06-14T00:00:00"/>
    <n v="5"/>
    <x v="1"/>
    <s v="Frank Olsen"/>
    <x v="0"/>
    <m/>
    <s v="Glendale"/>
    <s v="Arizona"/>
    <s v="West"/>
    <x v="1"/>
    <x v="4"/>
    <s v="Rogers Deluxe File Chest"/>
    <x v="200"/>
    <n v="2"/>
    <n v="0.2"/>
    <n v="-8.3523999999999994"/>
  </r>
  <r>
    <n v="9647"/>
    <x v="110"/>
    <x v="3"/>
    <x v="1"/>
    <d v="2014-06-14T00:00:00"/>
    <n v="5"/>
    <x v="1"/>
    <s v="Frank Olsen"/>
    <x v="0"/>
    <m/>
    <s v="Glendale"/>
    <s v="Arizona"/>
    <s v="West"/>
    <x v="1"/>
    <x v="8"/>
    <s v="GBC VeloBinder Electric Binding Machine"/>
    <x v="1255"/>
    <n v="2"/>
    <n v="0.7"/>
    <n v="-48.392000000000003"/>
  </r>
  <r>
    <n v="9648"/>
    <x v="84"/>
    <x v="2"/>
    <x v="0"/>
    <d v="2011-11-24T00:00:00"/>
    <n v="5"/>
    <x v="1"/>
    <s v="Mitch Webber"/>
    <x v="0"/>
    <m/>
    <s v="Coon Rapids"/>
    <s v="Minnesota"/>
    <s v="Central"/>
    <x v="1"/>
    <x v="4"/>
    <s v="Recycled Steel Personal File for Standard File Folders"/>
    <x v="3449"/>
    <n v="4"/>
    <n v="0"/>
    <n v="57.501600000000003"/>
  </r>
  <r>
    <n v="9649"/>
    <x v="84"/>
    <x v="2"/>
    <x v="0"/>
    <d v="2011-11-24T00:00:00"/>
    <n v="5"/>
    <x v="1"/>
    <s v="Mitch Webber"/>
    <x v="0"/>
    <m/>
    <s v="Coon Rapids"/>
    <s v="Minnesota"/>
    <s v="Central"/>
    <x v="2"/>
    <x v="7"/>
    <s v="Jabra SPEAK 410"/>
    <x v="1666"/>
    <n v="3"/>
    <n v="0"/>
    <n v="78.951599999999999"/>
  </r>
  <r>
    <n v="9650"/>
    <x v="491"/>
    <x v="0"/>
    <x v="0"/>
    <d v="2013-12-01T00:00:00"/>
    <n v="4"/>
    <x v="1"/>
    <s v="Maribeth Schnelling"/>
    <x v="0"/>
    <m/>
    <s v="Los Angeles"/>
    <s v="California"/>
    <s v="West"/>
    <x v="0"/>
    <x v="0"/>
    <s v="DMI Eclipse Executive Suite Bookcases"/>
    <x v="5700"/>
    <n v="8"/>
    <n v="0.15"/>
    <n v="160.31360000000001"/>
  </r>
  <r>
    <n v="9651"/>
    <x v="491"/>
    <x v="0"/>
    <x v="0"/>
    <d v="2013-12-01T00:00:00"/>
    <n v="4"/>
    <x v="1"/>
    <s v="Maribeth Schnelling"/>
    <x v="0"/>
    <m/>
    <s v="Los Angeles"/>
    <s v="California"/>
    <s v="West"/>
    <x v="1"/>
    <x v="6"/>
    <s v="Newell 31"/>
    <x v="5148"/>
    <n v="9"/>
    <n v="0"/>
    <n v="10.4076"/>
  </r>
  <r>
    <n v="9652"/>
    <x v="491"/>
    <x v="0"/>
    <x v="0"/>
    <d v="2013-12-01T00:00:00"/>
    <n v="4"/>
    <x v="1"/>
    <s v="Maribeth Schnelling"/>
    <x v="0"/>
    <m/>
    <s v="Los Angeles"/>
    <s v="California"/>
    <s v="West"/>
    <x v="1"/>
    <x v="9"/>
    <s v="Belkin F9S820V06 8 Outlet Surge"/>
    <x v="643"/>
    <n v="2"/>
    <n v="0"/>
    <n v="19.488"/>
  </r>
  <r>
    <n v="9653"/>
    <x v="491"/>
    <x v="0"/>
    <x v="0"/>
    <d v="2013-12-01T00:00:00"/>
    <n v="4"/>
    <x v="1"/>
    <s v="Maribeth Schnelling"/>
    <x v="0"/>
    <m/>
    <s v="Los Angeles"/>
    <s v="California"/>
    <s v="West"/>
    <x v="0"/>
    <x v="5"/>
    <s v="GE 48&quot; Fluorescent Tube, Cool White Energy Saver, 34 Watts, 30/Box"/>
    <x v="1899"/>
    <n v="6"/>
    <n v="0"/>
    <n v="297.69"/>
  </r>
  <r>
    <n v="9654"/>
    <x v="205"/>
    <x v="3"/>
    <x v="9"/>
    <d v="2014-01-28T00:00:00"/>
    <n v="4"/>
    <x v="1"/>
    <s v="Harold Pawlan"/>
    <x v="2"/>
    <m/>
    <s v="Tucson"/>
    <s v="Arizona"/>
    <s v="West"/>
    <x v="2"/>
    <x v="11"/>
    <s v="Logitech Wireless Anywhere Mouse MX for PC and Mac"/>
    <x v="909"/>
    <n v="2"/>
    <n v="0.2"/>
    <n v="11.997999999999999"/>
  </r>
  <r>
    <n v="9655"/>
    <x v="205"/>
    <x v="3"/>
    <x v="9"/>
    <d v="2014-01-28T00:00:00"/>
    <n v="4"/>
    <x v="1"/>
    <s v="Harold Pawlan"/>
    <x v="2"/>
    <m/>
    <s v="Tucson"/>
    <s v="Arizona"/>
    <s v="West"/>
    <x v="1"/>
    <x v="8"/>
    <s v="Wilson Jones data.warehouse D-Ring Binders with DublLock"/>
    <x v="5701"/>
    <n v="2"/>
    <n v="0.7"/>
    <n v="-3.6212"/>
  </r>
  <r>
    <n v="9656"/>
    <x v="358"/>
    <x v="2"/>
    <x v="8"/>
    <d v="2011-09-29T00:00:00"/>
    <n v="7"/>
    <x v="1"/>
    <s v="Adam Shillingsburg"/>
    <x v="0"/>
    <m/>
    <s v="New York City"/>
    <s v="New York"/>
    <s v="East"/>
    <x v="0"/>
    <x v="5"/>
    <s v="Computer Room Manger, 14&quot;"/>
    <x v="5702"/>
    <n v="3"/>
    <n v="0"/>
    <n v="35.078400000000002"/>
  </r>
  <r>
    <n v="9657"/>
    <x v="358"/>
    <x v="2"/>
    <x v="8"/>
    <d v="2011-09-29T00:00:00"/>
    <n v="7"/>
    <x v="1"/>
    <s v="Adam Shillingsburg"/>
    <x v="0"/>
    <m/>
    <s v="New York City"/>
    <s v="New York"/>
    <s v="East"/>
    <x v="1"/>
    <x v="8"/>
    <s v="Cardinal Holdit Business Card Pockets"/>
    <x v="2176"/>
    <n v="1"/>
    <n v="0.2"/>
    <n v="1.3944000000000001"/>
  </r>
  <r>
    <n v="9658"/>
    <x v="358"/>
    <x v="2"/>
    <x v="8"/>
    <d v="2011-09-29T00:00:00"/>
    <n v="7"/>
    <x v="1"/>
    <s v="Adam Shillingsburg"/>
    <x v="0"/>
    <m/>
    <s v="New York City"/>
    <s v="New York"/>
    <s v="East"/>
    <x v="1"/>
    <x v="6"/>
    <s v="Avery Hi-Liter GlideStik Fluorescent Highlighter, Yellow Ink"/>
    <x v="3754"/>
    <n v="4"/>
    <n v="0"/>
    <n v="5.7375999999999996"/>
  </r>
  <r>
    <n v="9659"/>
    <x v="358"/>
    <x v="2"/>
    <x v="8"/>
    <d v="2011-09-29T00:00:00"/>
    <n v="7"/>
    <x v="1"/>
    <s v="Adam Shillingsburg"/>
    <x v="0"/>
    <m/>
    <s v="New York City"/>
    <s v="New York"/>
    <s v="East"/>
    <x v="0"/>
    <x v="1"/>
    <s v="Office Star - Mid Back Dual function Ergonomic High Back Chair with 2-Way Adjustable Arms"/>
    <x v="5703"/>
    <n v="4"/>
    <n v="0.1"/>
    <n v="83.709599999999995"/>
  </r>
  <r>
    <n v="9660"/>
    <x v="959"/>
    <x v="2"/>
    <x v="10"/>
    <d v="2011-03-30T00:00:00"/>
    <n v="4"/>
    <x v="0"/>
    <s v="Cindy Stewart"/>
    <x v="0"/>
    <m/>
    <s v="Pomona"/>
    <s v="California"/>
    <s v="West"/>
    <x v="1"/>
    <x v="2"/>
    <s v="Smead Alpha-Z Color-Coded Name Labels First Letter Starter Set"/>
    <x v="2022"/>
    <n v="5"/>
    <n v="0"/>
    <n v="9"/>
  </r>
  <r>
    <n v="9661"/>
    <x v="112"/>
    <x v="0"/>
    <x v="1"/>
    <d v="2013-06-12T00:00:00"/>
    <n v="5"/>
    <x v="1"/>
    <s v="Maria Etezadi"/>
    <x v="2"/>
    <m/>
    <s v="Santa Barbara"/>
    <s v="California"/>
    <s v="West"/>
    <x v="2"/>
    <x v="7"/>
    <s v="Samsung Galaxy Mega 6.3"/>
    <x v="5704"/>
    <n v="9"/>
    <n v="0.2"/>
    <n v="226.7946"/>
  </r>
  <r>
    <n v="9662"/>
    <x v="112"/>
    <x v="0"/>
    <x v="1"/>
    <d v="2013-06-12T00:00:00"/>
    <n v="5"/>
    <x v="1"/>
    <s v="Maria Etezadi"/>
    <x v="2"/>
    <m/>
    <s v="Santa Barbara"/>
    <s v="California"/>
    <s v="West"/>
    <x v="2"/>
    <x v="11"/>
    <s v="Rosewill 107 Normal Keys USB Wired Standard Keyboard"/>
    <x v="1153"/>
    <n v="2"/>
    <n v="0"/>
    <n v="3.7744"/>
  </r>
  <r>
    <n v="9663"/>
    <x v="112"/>
    <x v="0"/>
    <x v="1"/>
    <d v="2013-06-12T00:00:00"/>
    <n v="5"/>
    <x v="1"/>
    <s v="Maria Etezadi"/>
    <x v="2"/>
    <m/>
    <s v="Santa Barbara"/>
    <s v="California"/>
    <s v="West"/>
    <x v="2"/>
    <x v="7"/>
    <s v="Bose SoundLink Bluetooth Speaker"/>
    <x v="5705"/>
    <n v="3"/>
    <n v="0.2"/>
    <n v="161.19"/>
  </r>
  <r>
    <n v="9664"/>
    <x v="515"/>
    <x v="3"/>
    <x v="8"/>
    <d v="2014-09-06T00:00:00"/>
    <n v="5"/>
    <x v="1"/>
    <s v="Maxwell Schwartz"/>
    <x v="0"/>
    <m/>
    <s v="San Francisco"/>
    <s v="California"/>
    <s v="West"/>
    <x v="1"/>
    <x v="4"/>
    <s v="Space Solutions Commercial Steel Shelving"/>
    <x v="2652"/>
    <n v="3"/>
    <n v="0"/>
    <n v="9.6974999999999998"/>
  </r>
  <r>
    <n v="9665"/>
    <x v="214"/>
    <x v="1"/>
    <x v="4"/>
    <d v="2012-12-07T00:00:00"/>
    <n v="0"/>
    <x v="3"/>
    <s v="Kristen Hastings"/>
    <x v="1"/>
    <m/>
    <s v="Riverside"/>
    <s v="California"/>
    <s v="West"/>
    <x v="1"/>
    <x v="10"/>
    <s v="Xerox 218"/>
    <x v="91"/>
    <n v="2"/>
    <n v="0"/>
    <n v="6.2207999999999997"/>
  </r>
  <r>
    <n v="9666"/>
    <x v="673"/>
    <x v="3"/>
    <x v="0"/>
    <d v="2014-11-21T00:00:00"/>
    <n v="4"/>
    <x v="1"/>
    <s v="Lena Creighton"/>
    <x v="0"/>
    <m/>
    <s v="Los Angeles"/>
    <s v="California"/>
    <s v="West"/>
    <x v="0"/>
    <x v="5"/>
    <s v="Eldon Radial Chair Mat for Low to Medium Pile Carpets"/>
    <x v="580"/>
    <n v="3"/>
    <n v="0"/>
    <n v="23.988"/>
  </r>
  <r>
    <n v="9667"/>
    <x v="673"/>
    <x v="3"/>
    <x v="0"/>
    <d v="2014-11-21T00:00:00"/>
    <n v="4"/>
    <x v="1"/>
    <s v="Lena Creighton"/>
    <x v="0"/>
    <m/>
    <s v="Los Angeles"/>
    <s v="California"/>
    <s v="West"/>
    <x v="0"/>
    <x v="5"/>
    <s v="Eldon Image Series Black Desk Accessories"/>
    <x v="2122"/>
    <n v="3"/>
    <n v="0"/>
    <n v="4.4711999999999996"/>
  </r>
  <r>
    <n v="9668"/>
    <x v="131"/>
    <x v="0"/>
    <x v="3"/>
    <d v="2013-04-28T00:00:00"/>
    <n v="4"/>
    <x v="1"/>
    <s v="Art Ferguson"/>
    <x v="0"/>
    <m/>
    <s v="San Clemente"/>
    <s v="California"/>
    <s v="West"/>
    <x v="1"/>
    <x v="8"/>
    <s v="Recycled Pressboard Report Cover with Reinforced Top Hinge"/>
    <x v="2270"/>
    <n v="7"/>
    <n v="0.2"/>
    <n v="6.5568999999999997"/>
  </r>
  <r>
    <n v="9669"/>
    <x v="131"/>
    <x v="0"/>
    <x v="3"/>
    <d v="2013-04-28T00:00:00"/>
    <n v="4"/>
    <x v="1"/>
    <s v="Art Ferguson"/>
    <x v="0"/>
    <m/>
    <s v="San Clemente"/>
    <s v="California"/>
    <s v="West"/>
    <x v="1"/>
    <x v="12"/>
    <s v="Recycled Interoffice Envelopes with String and Button Closure, 10 x 13"/>
    <x v="2866"/>
    <n v="3"/>
    <n v="0"/>
    <n v="35.984999999999999"/>
  </r>
  <r>
    <n v="9670"/>
    <x v="459"/>
    <x v="3"/>
    <x v="3"/>
    <d v="2014-04-07T00:00:00"/>
    <n v="4"/>
    <x v="1"/>
    <s v="Amy Hunt"/>
    <x v="0"/>
    <m/>
    <s v="Decatur"/>
    <s v="Alabama"/>
    <s v="South"/>
    <x v="1"/>
    <x v="2"/>
    <s v="Avery 499"/>
    <x v="1801"/>
    <n v="3"/>
    <n v="0"/>
    <n v="6.8723999999999998"/>
  </r>
  <r>
    <n v="9671"/>
    <x v="863"/>
    <x v="1"/>
    <x v="6"/>
    <d v="2012-08-15T00:00:00"/>
    <n v="2"/>
    <x v="2"/>
    <s v="Grace Kelly"/>
    <x v="1"/>
    <m/>
    <s v="Greensboro"/>
    <s v="North Carolina"/>
    <s v="South"/>
    <x v="1"/>
    <x v="6"/>
    <s v="Newell 309"/>
    <x v="5706"/>
    <n v="7"/>
    <n v="0.2"/>
    <n v="8.0850000000000009"/>
  </r>
  <r>
    <n v="9672"/>
    <x v="38"/>
    <x v="3"/>
    <x v="0"/>
    <d v="2014-11-20T00:00:00"/>
    <n v="6"/>
    <x v="1"/>
    <s v="Ken Lonsdale"/>
    <x v="0"/>
    <m/>
    <s v="Dublin"/>
    <s v="California"/>
    <s v="West"/>
    <x v="2"/>
    <x v="7"/>
    <s v="Samsung Replacement EH64AVFWE Premium Headset"/>
    <x v="1103"/>
    <n v="5"/>
    <n v="0.2"/>
    <n v="1.375"/>
  </r>
  <r>
    <n v="9673"/>
    <x v="443"/>
    <x v="0"/>
    <x v="4"/>
    <d v="2013-12-29T00:00:00"/>
    <n v="5"/>
    <x v="1"/>
    <s v="Frank Merwin"/>
    <x v="2"/>
    <m/>
    <s v="Philadelphia"/>
    <s v="Pennsylvania"/>
    <s v="East"/>
    <x v="1"/>
    <x v="10"/>
    <s v="Xerox 1952"/>
    <x v="885"/>
    <n v="2"/>
    <n v="0.2"/>
    <n v="2.6892"/>
  </r>
  <r>
    <n v="9674"/>
    <x v="443"/>
    <x v="0"/>
    <x v="4"/>
    <d v="2013-12-29T00:00:00"/>
    <n v="5"/>
    <x v="1"/>
    <s v="Frank Merwin"/>
    <x v="2"/>
    <m/>
    <s v="Philadelphia"/>
    <s v="Pennsylvania"/>
    <s v="East"/>
    <x v="2"/>
    <x v="7"/>
    <s v="LG G2"/>
    <x v="5707"/>
    <n v="5"/>
    <n v="0.4"/>
    <n v="-374.99250000000001"/>
  </r>
  <r>
    <n v="9675"/>
    <x v="192"/>
    <x v="2"/>
    <x v="7"/>
    <d v="2011-07-24T00:00:00"/>
    <n v="2"/>
    <x v="0"/>
    <s v="John Lucas"/>
    <x v="0"/>
    <m/>
    <s v="Houston"/>
    <s v="Texas"/>
    <s v="Central"/>
    <x v="1"/>
    <x v="4"/>
    <s v="Fellowes Bases and Tops For Staxonsteel/High-Stak Systems"/>
    <x v="5708"/>
    <n v="1"/>
    <n v="0.2"/>
    <n v="1.3315999999999999"/>
  </r>
  <r>
    <n v="9676"/>
    <x v="715"/>
    <x v="0"/>
    <x v="5"/>
    <d v="2013-05-11T00:00:00"/>
    <n v="4"/>
    <x v="1"/>
    <s v="Gene McClure"/>
    <x v="0"/>
    <m/>
    <s v="Bakersfield"/>
    <s v="California"/>
    <s v="West"/>
    <x v="0"/>
    <x v="5"/>
    <s v="Executive Impressions 8-1/2&quot; Career Panel/Partition Cubicle Clock"/>
    <x v="2368"/>
    <n v="4"/>
    <n v="0"/>
    <n v="14.144"/>
  </r>
  <r>
    <n v="9677"/>
    <x v="683"/>
    <x v="2"/>
    <x v="0"/>
    <d v="2011-12-03T00:00:00"/>
    <n v="5"/>
    <x v="1"/>
    <s v="Matthew Clasen"/>
    <x v="1"/>
    <m/>
    <s v="Richmond"/>
    <s v="Indiana"/>
    <s v="Central"/>
    <x v="1"/>
    <x v="12"/>
    <s v="Laser &amp; Ink Jet Business Envelopes"/>
    <x v="5709"/>
    <n v="6"/>
    <n v="0"/>
    <n v="29.449200000000001"/>
  </r>
  <r>
    <n v="9678"/>
    <x v="724"/>
    <x v="0"/>
    <x v="3"/>
    <d v="2013-04-24T00:00:00"/>
    <n v="5"/>
    <x v="1"/>
    <s v="Cindy Schnelling"/>
    <x v="1"/>
    <m/>
    <s v="New York City"/>
    <s v="New York"/>
    <s v="East"/>
    <x v="1"/>
    <x v="6"/>
    <s v="American Pencil"/>
    <x v="4391"/>
    <n v="3"/>
    <n v="0"/>
    <n v="2.0270999999999999"/>
  </r>
  <r>
    <n v="9679"/>
    <x v="724"/>
    <x v="0"/>
    <x v="3"/>
    <d v="2013-04-24T00:00:00"/>
    <n v="5"/>
    <x v="1"/>
    <s v="Cindy Schnelling"/>
    <x v="1"/>
    <m/>
    <s v="New York City"/>
    <s v="New York"/>
    <s v="East"/>
    <x v="1"/>
    <x v="14"/>
    <s v="Acme Design Line 8&quot; Stainless Steel Bent Scissors w/Champagne Handles, 3-1/8&quot; Cut"/>
    <x v="5710"/>
    <n v="1"/>
    <n v="0"/>
    <n v="1.8468"/>
  </r>
  <r>
    <n v="9680"/>
    <x v="17"/>
    <x v="1"/>
    <x v="4"/>
    <d v="2012-12-31T00:00:00"/>
    <n v="4"/>
    <x v="1"/>
    <s v="Aaron Hawkins"/>
    <x v="1"/>
    <m/>
    <s v="San Francisco"/>
    <s v="California"/>
    <s v="West"/>
    <x v="1"/>
    <x v="4"/>
    <s v="Fellowes Super Stor/Drawer Files"/>
    <x v="2105"/>
    <n v="2"/>
    <n v="0"/>
    <n v="61.389000000000003"/>
  </r>
  <r>
    <n v="9681"/>
    <x v="17"/>
    <x v="1"/>
    <x v="4"/>
    <d v="2012-12-31T00:00:00"/>
    <n v="4"/>
    <x v="1"/>
    <s v="Aaron Hawkins"/>
    <x v="1"/>
    <m/>
    <s v="San Francisco"/>
    <s v="California"/>
    <s v="West"/>
    <x v="2"/>
    <x v="7"/>
    <s v="Geemarc AmpliPOWER60"/>
    <x v="5711"/>
    <n v="9"/>
    <n v="0.2"/>
    <n v="75.168000000000006"/>
  </r>
  <r>
    <n v="9682"/>
    <x v="1096"/>
    <x v="3"/>
    <x v="4"/>
    <d v="2014-12-19T00:00:00"/>
    <n v="5"/>
    <x v="1"/>
    <s v="Emily Phan"/>
    <x v="0"/>
    <m/>
    <s v="San Francisco"/>
    <s v="California"/>
    <s v="West"/>
    <x v="1"/>
    <x v="2"/>
    <s v="Avery 49"/>
    <x v="874"/>
    <n v="3"/>
    <n v="0"/>
    <n v="4.2336"/>
  </r>
  <r>
    <n v="9683"/>
    <x v="1096"/>
    <x v="3"/>
    <x v="4"/>
    <d v="2014-12-19T00:00:00"/>
    <n v="5"/>
    <x v="1"/>
    <s v="Emily Phan"/>
    <x v="0"/>
    <m/>
    <s v="San Francisco"/>
    <s v="California"/>
    <s v="West"/>
    <x v="1"/>
    <x v="10"/>
    <s v="Xerox 1996"/>
    <x v="783"/>
    <n v="6"/>
    <n v="0"/>
    <n v="18.662400000000002"/>
  </r>
  <r>
    <n v="9684"/>
    <x v="1096"/>
    <x v="3"/>
    <x v="4"/>
    <d v="2014-12-19T00:00:00"/>
    <n v="5"/>
    <x v="1"/>
    <s v="Emily Phan"/>
    <x v="0"/>
    <m/>
    <s v="San Francisco"/>
    <s v="California"/>
    <s v="West"/>
    <x v="0"/>
    <x v="5"/>
    <s v="Eldon Executive Woodline II Desk Accessories, Mahogany"/>
    <x v="5712"/>
    <n v="8"/>
    <n v="0"/>
    <n v="54.280799999999999"/>
  </r>
  <r>
    <n v="9685"/>
    <x v="1096"/>
    <x v="3"/>
    <x v="4"/>
    <d v="2014-12-19T00:00:00"/>
    <n v="5"/>
    <x v="1"/>
    <s v="Emily Phan"/>
    <x v="0"/>
    <m/>
    <s v="San Francisco"/>
    <s v="California"/>
    <s v="West"/>
    <x v="1"/>
    <x v="10"/>
    <s v="Xerox 1975"/>
    <x v="91"/>
    <n v="2"/>
    <n v="0"/>
    <n v="6.3503999999999996"/>
  </r>
  <r>
    <n v="9686"/>
    <x v="460"/>
    <x v="3"/>
    <x v="9"/>
    <d v="2014-01-05T00:00:00"/>
    <n v="2"/>
    <x v="0"/>
    <s v="Fred Wasserman"/>
    <x v="1"/>
    <m/>
    <s v="Los Angeles"/>
    <s v="California"/>
    <s v="West"/>
    <x v="2"/>
    <x v="11"/>
    <s v="Kensington K72356US Mouse-in-a-Box USB Desktop Mouse"/>
    <x v="5713"/>
    <n v="1"/>
    <n v="0"/>
    <n v="5.8064999999999998"/>
  </r>
  <r>
    <n v="9687"/>
    <x v="1109"/>
    <x v="3"/>
    <x v="5"/>
    <d v="2014-06-04T00:00:00"/>
    <n v="4"/>
    <x v="1"/>
    <s v="Kelly Andreada"/>
    <x v="0"/>
    <m/>
    <s v="San Diego"/>
    <s v="California"/>
    <s v="West"/>
    <x v="1"/>
    <x v="6"/>
    <s v="Dixon My First Ticonderoga Pencil, #2"/>
    <x v="1833"/>
    <n v="6"/>
    <n v="0"/>
    <n v="10.179"/>
  </r>
  <r>
    <n v="9688"/>
    <x v="1033"/>
    <x v="3"/>
    <x v="2"/>
    <d v="2014-10-07T00:00:00"/>
    <n v="6"/>
    <x v="1"/>
    <s v="Sample Company A"/>
    <x v="2"/>
    <m/>
    <s v="Arlington"/>
    <s v="Texas"/>
    <s v="Central"/>
    <x v="1"/>
    <x v="8"/>
    <s v="GBC Instant Report Kit"/>
    <x v="5714"/>
    <n v="9"/>
    <n v="0.8"/>
    <n v="-17.469000000000001"/>
  </r>
  <r>
    <n v="9689"/>
    <x v="308"/>
    <x v="3"/>
    <x v="1"/>
    <d v="2014-06-28T00:00:00"/>
    <n v="7"/>
    <x v="1"/>
    <s v="Paul Gonzalez"/>
    <x v="0"/>
    <m/>
    <s v="Richmond"/>
    <s v="Virginia"/>
    <s v="South"/>
    <x v="1"/>
    <x v="10"/>
    <s v="Xerox 230"/>
    <x v="56"/>
    <n v="5"/>
    <n v="0"/>
    <n v="15.552"/>
  </r>
  <r>
    <n v="9690"/>
    <x v="308"/>
    <x v="3"/>
    <x v="1"/>
    <d v="2014-06-28T00:00:00"/>
    <n v="7"/>
    <x v="1"/>
    <s v="Paul Gonzalez"/>
    <x v="0"/>
    <m/>
    <s v="Richmond"/>
    <s v="Virginia"/>
    <s v="South"/>
    <x v="2"/>
    <x v="7"/>
    <s v="BlackBerry Q10"/>
    <x v="178"/>
    <n v="4"/>
    <n v="0"/>
    <n v="125.99"/>
  </r>
  <r>
    <n v="9691"/>
    <x v="1095"/>
    <x v="3"/>
    <x v="3"/>
    <d v="2014-04-06T00:00:00"/>
    <n v="1"/>
    <x v="2"/>
    <s v="Tom Ashbrook"/>
    <x v="2"/>
    <m/>
    <s v="New York City"/>
    <s v="New York"/>
    <s v="East"/>
    <x v="1"/>
    <x v="6"/>
    <s v="Newell 326"/>
    <x v="983"/>
    <n v="4"/>
    <n v="0"/>
    <n v="2.0415999999999999"/>
  </r>
  <r>
    <n v="9692"/>
    <x v="50"/>
    <x v="1"/>
    <x v="0"/>
    <d v="2012-11-17T00:00:00"/>
    <n v="4"/>
    <x v="1"/>
    <s v="Patrick O'Brill"/>
    <x v="0"/>
    <m/>
    <s v="Houston"/>
    <s v="Texas"/>
    <s v="Central"/>
    <x v="0"/>
    <x v="0"/>
    <s v="Atlantic Metals Mobile 5-Shelf Bookcases, Custom Colors"/>
    <x v="5715"/>
    <n v="3"/>
    <n v="0.32"/>
    <n v="-18.058800000000002"/>
  </r>
  <r>
    <n v="9693"/>
    <x v="834"/>
    <x v="1"/>
    <x v="6"/>
    <d v="2012-09-02T00:00:00"/>
    <n v="5"/>
    <x v="1"/>
    <s v="Suzanne McNair"/>
    <x v="1"/>
    <m/>
    <s v="Fairfield"/>
    <s v="Connecticut"/>
    <s v="East"/>
    <x v="1"/>
    <x v="4"/>
    <s v="SAFCO Mobile Desk Side File, Wire Frame"/>
    <x v="5716"/>
    <n v="11"/>
    <n v="0"/>
    <n v="122.2936"/>
  </r>
  <r>
    <n v="9694"/>
    <x v="241"/>
    <x v="3"/>
    <x v="8"/>
    <d v="2014-09-29T00:00:00"/>
    <n v="4"/>
    <x v="0"/>
    <s v="Neil Knudson"/>
    <x v="2"/>
    <m/>
    <s v="San Francisco"/>
    <s v="California"/>
    <s v="West"/>
    <x v="1"/>
    <x v="10"/>
    <s v="Array Memo Cubes"/>
    <x v="4560"/>
    <n v="6"/>
    <n v="0"/>
    <n v="15.229200000000001"/>
  </r>
  <r>
    <n v="9695"/>
    <x v="241"/>
    <x v="3"/>
    <x v="8"/>
    <d v="2014-09-29T00:00:00"/>
    <n v="4"/>
    <x v="0"/>
    <s v="Neil Knudson"/>
    <x v="2"/>
    <m/>
    <s v="San Francisco"/>
    <s v="California"/>
    <s v="West"/>
    <x v="1"/>
    <x v="14"/>
    <s v="Acme Value Line Scissors"/>
    <x v="545"/>
    <n v="2"/>
    <n v="0"/>
    <n v="2.19"/>
  </r>
  <r>
    <n v="9696"/>
    <x v="25"/>
    <x v="0"/>
    <x v="4"/>
    <d v="2013-12-15T00:00:00"/>
    <n v="3"/>
    <x v="2"/>
    <s v="Steve Chapman"/>
    <x v="1"/>
    <m/>
    <s v="Springfield"/>
    <s v="Ohio"/>
    <s v="East"/>
    <x v="1"/>
    <x v="9"/>
    <s v="Belkin F5C206VTEL 6 Outlet Surge"/>
    <x v="5717"/>
    <n v="4"/>
    <n v="0.2"/>
    <n v="9.1920000000000002"/>
  </r>
  <r>
    <n v="9697"/>
    <x v="1227"/>
    <x v="2"/>
    <x v="1"/>
    <d v="2011-06-15T00:00:00"/>
    <n v="5"/>
    <x v="0"/>
    <s v="Heather Kirkland"/>
    <x v="1"/>
    <m/>
    <s v="Detroit"/>
    <s v="Michigan"/>
    <s v="Central"/>
    <x v="1"/>
    <x v="2"/>
    <s v="Dot Matrix Printer Tape Reel Labels, White, 5000/Box"/>
    <x v="4526"/>
    <n v="5"/>
    <n v="0"/>
    <n v="240.8595"/>
  </r>
  <r>
    <n v="9698"/>
    <x v="21"/>
    <x v="0"/>
    <x v="10"/>
    <d v="2013-03-12T00:00:00"/>
    <n v="0"/>
    <x v="3"/>
    <s v="Brad Thomas"/>
    <x v="2"/>
    <m/>
    <s v="Philadelphia"/>
    <s v="Pennsylvania"/>
    <s v="East"/>
    <x v="0"/>
    <x v="5"/>
    <s v="DAX Charcoal/Nickel-Tone Document Frame, 5 x 7"/>
    <x v="5238"/>
    <n v="4"/>
    <n v="0.2"/>
    <n v="9.48"/>
  </r>
  <r>
    <n v="9699"/>
    <x v="934"/>
    <x v="3"/>
    <x v="4"/>
    <d v="2014-12-20T00:00:00"/>
    <n v="4"/>
    <x v="1"/>
    <s v="Khloe Miller"/>
    <x v="0"/>
    <m/>
    <s v="Inglewood"/>
    <s v="California"/>
    <s v="West"/>
    <x v="1"/>
    <x v="10"/>
    <s v="Wirebound Message Books, Two 4 1/4&quot; x 5&quot; Forms per Page"/>
    <x v="4663"/>
    <n v="3"/>
    <n v="0"/>
    <n v="10.7301"/>
  </r>
  <r>
    <n v="9700"/>
    <x v="934"/>
    <x v="3"/>
    <x v="4"/>
    <d v="2014-12-20T00:00:00"/>
    <n v="4"/>
    <x v="1"/>
    <s v="Khloe Miller"/>
    <x v="0"/>
    <m/>
    <s v="Inglewood"/>
    <s v="California"/>
    <s v="West"/>
    <x v="1"/>
    <x v="9"/>
    <s v="Hoover Commercial SteamVac"/>
    <x v="3196"/>
    <n v="4"/>
    <n v="0"/>
    <n v="16.295999999999999"/>
  </r>
  <r>
    <n v="9701"/>
    <x v="934"/>
    <x v="3"/>
    <x v="4"/>
    <d v="2014-12-20T00:00:00"/>
    <n v="4"/>
    <x v="1"/>
    <s v="Khloe Miller"/>
    <x v="0"/>
    <m/>
    <s v="Inglewood"/>
    <s v="California"/>
    <s v="West"/>
    <x v="2"/>
    <x v="7"/>
    <s v="Panasonic KX TS3282B Corded phone"/>
    <x v="2066"/>
    <n v="3"/>
    <n v="0.2"/>
    <n v="14.7582"/>
  </r>
  <r>
    <n v="9702"/>
    <x v="859"/>
    <x v="0"/>
    <x v="2"/>
    <d v="2013-11-05T00:00:00"/>
    <n v="5"/>
    <x v="1"/>
    <s v="Susan Pistek"/>
    <x v="0"/>
    <m/>
    <s v="San Luis Obispo"/>
    <s v="California"/>
    <s v="West"/>
    <x v="1"/>
    <x v="13"/>
    <s v="Assorted Color Push Pins"/>
    <x v="3543"/>
    <n v="2"/>
    <n v="0"/>
    <n v="1.1946000000000001"/>
  </r>
  <r>
    <n v="9703"/>
    <x v="689"/>
    <x v="3"/>
    <x v="6"/>
    <d v="2014-08-05T00:00:00"/>
    <n v="4"/>
    <x v="1"/>
    <s v="Laurel Beltran"/>
    <x v="2"/>
    <m/>
    <s v="Wilmington"/>
    <s v="Delaware"/>
    <s v="East"/>
    <x v="1"/>
    <x v="10"/>
    <s v="Avery Personal Creations Heavyweight Cards"/>
    <x v="1034"/>
    <n v="1"/>
    <n v="0"/>
    <n v="5.5392000000000001"/>
  </r>
  <r>
    <n v="9704"/>
    <x v="689"/>
    <x v="3"/>
    <x v="6"/>
    <d v="2014-08-05T00:00:00"/>
    <n v="4"/>
    <x v="1"/>
    <s v="Laurel Beltran"/>
    <x v="2"/>
    <m/>
    <s v="Wilmington"/>
    <s v="Delaware"/>
    <s v="East"/>
    <x v="1"/>
    <x v="8"/>
    <s v="Fellowes PB200 Plastic Comb Binding Machine"/>
    <x v="5718"/>
    <n v="5"/>
    <n v="0"/>
    <n v="390.97699999999998"/>
  </r>
  <r>
    <n v="9705"/>
    <x v="689"/>
    <x v="3"/>
    <x v="6"/>
    <d v="2014-08-05T00:00:00"/>
    <n v="4"/>
    <x v="1"/>
    <s v="Laurel Beltran"/>
    <x v="2"/>
    <m/>
    <s v="Wilmington"/>
    <s v="Delaware"/>
    <s v="East"/>
    <x v="1"/>
    <x v="8"/>
    <s v="Black Avery Memo-Size 3-Ring Binder, 5 1/2&quot; x 8 1/2&quot;"/>
    <x v="5719"/>
    <n v="3"/>
    <n v="0"/>
    <n v="5.3948999999999998"/>
  </r>
  <r>
    <n v="9706"/>
    <x v="15"/>
    <x v="3"/>
    <x v="2"/>
    <d v="2014-10-24T00:00:00"/>
    <n v="4"/>
    <x v="1"/>
    <s v="Joy Smith"/>
    <x v="0"/>
    <m/>
    <s v="San Francisco"/>
    <s v="California"/>
    <s v="West"/>
    <x v="1"/>
    <x v="8"/>
    <s v="JM Magazine Binder"/>
    <x v="5272"/>
    <n v="3"/>
    <n v="0.2"/>
    <n v="13.868399999999999"/>
  </r>
  <r>
    <n v="9707"/>
    <x v="147"/>
    <x v="0"/>
    <x v="2"/>
    <d v="2013-10-28T00:00:00"/>
    <n v="6"/>
    <x v="1"/>
    <s v="Carlos Soltero"/>
    <x v="0"/>
    <m/>
    <s v="Los Angeles"/>
    <s v="California"/>
    <s v="West"/>
    <x v="0"/>
    <x v="1"/>
    <s v="Office Star Flex Back Scooter Chair with Aluminum Finish Frame"/>
    <x v="5720"/>
    <n v="3"/>
    <n v="0.2"/>
    <n v="12.1068"/>
  </r>
  <r>
    <n v="9708"/>
    <x v="147"/>
    <x v="0"/>
    <x v="2"/>
    <d v="2013-10-28T00:00:00"/>
    <n v="6"/>
    <x v="1"/>
    <s v="Carlos Soltero"/>
    <x v="0"/>
    <m/>
    <s v="Los Angeles"/>
    <s v="California"/>
    <s v="West"/>
    <x v="1"/>
    <x v="6"/>
    <s v="Newell Chalk Holder"/>
    <x v="708"/>
    <n v="3"/>
    <n v="0"/>
    <n v="5.6993999999999998"/>
  </r>
  <r>
    <n v="9709"/>
    <x v="147"/>
    <x v="0"/>
    <x v="2"/>
    <d v="2013-10-28T00:00:00"/>
    <n v="6"/>
    <x v="1"/>
    <s v="Carlos Soltero"/>
    <x v="0"/>
    <m/>
    <s v="Los Angeles"/>
    <s v="California"/>
    <s v="West"/>
    <x v="0"/>
    <x v="5"/>
    <s v="Eldon Expressions Wood and Plastic Desk Accessories, Oak"/>
    <x v="2923"/>
    <n v="2"/>
    <n v="0"/>
    <n v="5.5888"/>
  </r>
  <r>
    <n v="9710"/>
    <x v="147"/>
    <x v="0"/>
    <x v="2"/>
    <d v="2013-10-28T00:00:00"/>
    <n v="6"/>
    <x v="1"/>
    <s v="Carlos Soltero"/>
    <x v="0"/>
    <m/>
    <s v="Los Angeles"/>
    <s v="California"/>
    <s v="West"/>
    <x v="1"/>
    <x v="4"/>
    <s v="SAFCO Boltless Steel Shelving"/>
    <x v="445"/>
    <n v="3"/>
    <n v="0"/>
    <n v="3.4091999999999998"/>
  </r>
  <r>
    <n v="9711"/>
    <x v="1127"/>
    <x v="2"/>
    <x v="0"/>
    <d v="2011-11-10T00:00:00"/>
    <n v="5"/>
    <x v="1"/>
    <s v="Maribeth Dona"/>
    <x v="0"/>
    <m/>
    <s v="Philadelphia"/>
    <s v="Pennsylvania"/>
    <s v="East"/>
    <x v="0"/>
    <x v="5"/>
    <s v="Tenex Antistatic Computer Chair Mats"/>
    <x v="5721"/>
    <n v="2"/>
    <n v="0.2"/>
    <n v="-34.195999999999998"/>
  </r>
  <r>
    <n v="9712"/>
    <x v="1127"/>
    <x v="2"/>
    <x v="0"/>
    <d v="2011-11-10T00:00:00"/>
    <n v="5"/>
    <x v="1"/>
    <s v="Maribeth Dona"/>
    <x v="0"/>
    <m/>
    <s v="Philadelphia"/>
    <s v="Pennsylvania"/>
    <s v="East"/>
    <x v="1"/>
    <x v="8"/>
    <s v="Wilson Jones Legal Size Ring Binders"/>
    <x v="5722"/>
    <n v="2"/>
    <n v="0.7"/>
    <n v="-8.7959999999999994"/>
  </r>
  <r>
    <n v="9713"/>
    <x v="1127"/>
    <x v="2"/>
    <x v="0"/>
    <d v="2011-11-10T00:00:00"/>
    <n v="5"/>
    <x v="1"/>
    <s v="Maribeth Dona"/>
    <x v="0"/>
    <m/>
    <s v="Philadelphia"/>
    <s v="Pennsylvania"/>
    <s v="East"/>
    <x v="1"/>
    <x v="4"/>
    <s v="Tennsco Double-Tier Lockers"/>
    <x v="5723"/>
    <n v="6"/>
    <n v="0.2"/>
    <n v="-94.508399999999995"/>
  </r>
  <r>
    <n v="9714"/>
    <x v="1127"/>
    <x v="2"/>
    <x v="0"/>
    <d v="2011-11-10T00:00:00"/>
    <n v="5"/>
    <x v="1"/>
    <s v="Maribeth Dona"/>
    <x v="0"/>
    <m/>
    <s v="Philadelphia"/>
    <s v="Pennsylvania"/>
    <s v="East"/>
    <x v="2"/>
    <x v="11"/>
    <s v="Sony 16GB Class 10 Micro SDHC R40 Memory Card"/>
    <x v="5622"/>
    <n v="5"/>
    <n v="0.2"/>
    <n v="-6.4450000000000003"/>
  </r>
  <r>
    <n v="9715"/>
    <x v="1127"/>
    <x v="2"/>
    <x v="0"/>
    <d v="2011-11-10T00:00:00"/>
    <n v="5"/>
    <x v="1"/>
    <s v="Maribeth Dona"/>
    <x v="0"/>
    <m/>
    <s v="Philadelphia"/>
    <s v="Pennsylvania"/>
    <s v="East"/>
    <x v="2"/>
    <x v="11"/>
    <s v="Memorex Micro Travel Drive 32 GB"/>
    <x v="2788"/>
    <n v="2"/>
    <n v="0.2"/>
    <n v="16.794599999999999"/>
  </r>
  <r>
    <n v="9716"/>
    <x v="77"/>
    <x v="0"/>
    <x v="0"/>
    <d v="2013-11-13T00:00:00"/>
    <n v="5"/>
    <x v="1"/>
    <s v="Lisa DeCherney"/>
    <x v="0"/>
    <m/>
    <s v="San Francisco"/>
    <s v="California"/>
    <s v="West"/>
    <x v="1"/>
    <x v="8"/>
    <s v="GBC VeloBinder Manual Binding System"/>
    <x v="379"/>
    <n v="2"/>
    <n v="0.2"/>
    <n v="20.154399999999999"/>
  </r>
  <r>
    <n v="9717"/>
    <x v="399"/>
    <x v="0"/>
    <x v="6"/>
    <d v="2013-08-15T00:00:00"/>
    <n v="2"/>
    <x v="0"/>
    <s v="Deborah Brumfield"/>
    <x v="2"/>
    <m/>
    <s v="Philadelphia"/>
    <s v="Pennsylvania"/>
    <s v="East"/>
    <x v="1"/>
    <x v="6"/>
    <s v="Boston 16765 Mini Stand Up Battery Pencil Sharpener"/>
    <x v="5724"/>
    <n v="4"/>
    <n v="0.2"/>
    <n v="2.7984"/>
  </r>
  <r>
    <n v="9718"/>
    <x v="198"/>
    <x v="0"/>
    <x v="5"/>
    <d v="2013-06-01T00:00:00"/>
    <n v="1"/>
    <x v="3"/>
    <s v="Annie Thurman"/>
    <x v="0"/>
    <m/>
    <s v="Houston"/>
    <s v="Texas"/>
    <s v="Central"/>
    <x v="2"/>
    <x v="7"/>
    <s v="Anker 36W 4-Port USB Wall Charger Travel Power Adapter for iPhone 5s 5c 5"/>
    <x v="1095"/>
    <n v="5"/>
    <n v="0.2"/>
    <n v="7.9960000000000004"/>
  </r>
  <r>
    <n v="9719"/>
    <x v="198"/>
    <x v="0"/>
    <x v="5"/>
    <d v="2013-06-01T00:00:00"/>
    <n v="1"/>
    <x v="3"/>
    <s v="Annie Thurman"/>
    <x v="0"/>
    <m/>
    <s v="Houston"/>
    <s v="Texas"/>
    <s v="Central"/>
    <x v="2"/>
    <x v="11"/>
    <s v="Sony Micro Vault Click 16 GB USB 2.0 Flash Drive"/>
    <x v="1891"/>
    <n v="5"/>
    <n v="0.2"/>
    <n v="11.198"/>
  </r>
  <r>
    <n v="9720"/>
    <x v="105"/>
    <x v="3"/>
    <x v="0"/>
    <d v="2014-11-15T00:00:00"/>
    <n v="2"/>
    <x v="0"/>
    <s v="Dennis Kane"/>
    <x v="0"/>
    <m/>
    <s v="Lancaster"/>
    <s v="Pennsylvania"/>
    <s v="East"/>
    <x v="1"/>
    <x v="4"/>
    <s v="SAFCO Commercial Wire Shelving, Black"/>
    <x v="3084"/>
    <n v="2"/>
    <n v="0.2"/>
    <n v="-55.256"/>
  </r>
  <r>
    <n v="9721"/>
    <x v="897"/>
    <x v="0"/>
    <x v="8"/>
    <d v="2013-09-27T00:00:00"/>
    <n v="4"/>
    <x v="1"/>
    <s v="Chris Selesnick"/>
    <x v="1"/>
    <m/>
    <s v="Green Bay"/>
    <s v="Wisconsin"/>
    <s v="Central"/>
    <x v="0"/>
    <x v="5"/>
    <s v="DAX Two-Tone Rosewood/Black Document Frame, Desktop, 5 x 7"/>
    <x v="1623"/>
    <n v="2"/>
    <n v="0"/>
    <n v="7.5839999999999996"/>
  </r>
  <r>
    <n v="9722"/>
    <x v="595"/>
    <x v="0"/>
    <x v="11"/>
    <d v="2013-02-20T00:00:00"/>
    <n v="4"/>
    <x v="1"/>
    <s v="Jill Fjeld"/>
    <x v="0"/>
    <m/>
    <s v="New York City"/>
    <s v="New York"/>
    <s v="East"/>
    <x v="0"/>
    <x v="1"/>
    <s v="Hon Every-Day Chair Series Swivel Task Chairs"/>
    <x v="5725"/>
    <n v="3"/>
    <n v="0.1"/>
    <n v="39.923400000000001"/>
  </r>
  <r>
    <n v="9723"/>
    <x v="595"/>
    <x v="0"/>
    <x v="11"/>
    <d v="2013-02-20T00:00:00"/>
    <n v="4"/>
    <x v="1"/>
    <s v="Jill Fjeld"/>
    <x v="0"/>
    <m/>
    <s v="New York City"/>
    <s v="New York"/>
    <s v="East"/>
    <x v="2"/>
    <x v="11"/>
    <s v="Logitech 910-002974 M325 Wireless Mouse for Web Scrolling"/>
    <x v="1309"/>
    <n v="3"/>
    <n v="0"/>
    <n v="39.586799999999997"/>
  </r>
  <r>
    <n v="9724"/>
    <x v="1091"/>
    <x v="2"/>
    <x v="4"/>
    <d v="2011-12-26T00:00:00"/>
    <n v="4"/>
    <x v="1"/>
    <s v="Tamara Willingham"/>
    <x v="2"/>
    <m/>
    <s v="New York City"/>
    <s v="New York"/>
    <s v="East"/>
    <x v="1"/>
    <x v="8"/>
    <s v="Lock-Up Easel 'Spel-Binder'"/>
    <x v="5726"/>
    <n v="13"/>
    <n v="0.2"/>
    <n v="100.1403"/>
  </r>
  <r>
    <n v="9725"/>
    <x v="901"/>
    <x v="1"/>
    <x v="4"/>
    <d v="2012-12-11T00:00:00"/>
    <n v="6"/>
    <x v="1"/>
    <s v="Tim Brockman"/>
    <x v="0"/>
    <m/>
    <s v="Bloomington"/>
    <s v="Illinois"/>
    <s v="Central"/>
    <x v="1"/>
    <x v="12"/>
    <s v="Security-Tint Envelopes"/>
    <x v="2059"/>
    <n v="2"/>
    <n v="0.2"/>
    <n v="4.4311999999999996"/>
  </r>
  <r>
    <n v="9726"/>
    <x v="697"/>
    <x v="3"/>
    <x v="8"/>
    <d v="2014-09-21T00:00:00"/>
    <n v="3"/>
    <x v="2"/>
    <s v="Shahid Collister"/>
    <x v="0"/>
    <m/>
    <s v="Boise"/>
    <s v="Idaho"/>
    <s v="West"/>
    <x v="2"/>
    <x v="11"/>
    <s v="Logitech Trackman Marble Mouse"/>
    <x v="1309"/>
    <n v="3"/>
    <n v="0"/>
    <n v="37.787399999999998"/>
  </r>
  <r>
    <n v="9727"/>
    <x v="574"/>
    <x v="3"/>
    <x v="4"/>
    <d v="2014-12-05T00:00:00"/>
    <n v="2"/>
    <x v="2"/>
    <s v="Kunst Miller"/>
    <x v="0"/>
    <m/>
    <s v="Lowell"/>
    <s v="Massachusetts"/>
    <s v="East"/>
    <x v="1"/>
    <x v="9"/>
    <s v="Belkin 8 Outlet Surge Protector"/>
    <x v="5727"/>
    <n v="7"/>
    <n v="0"/>
    <n v="80.320800000000006"/>
  </r>
  <r>
    <n v="9728"/>
    <x v="574"/>
    <x v="3"/>
    <x v="4"/>
    <d v="2014-12-05T00:00:00"/>
    <n v="2"/>
    <x v="2"/>
    <s v="Kunst Miller"/>
    <x v="0"/>
    <m/>
    <s v="Lowell"/>
    <s v="Massachusetts"/>
    <s v="East"/>
    <x v="2"/>
    <x v="7"/>
    <s v="GE 30524EE4"/>
    <x v="504"/>
    <n v="5"/>
    <n v="0"/>
    <n v="284.18549999999999"/>
  </r>
  <r>
    <n v="9729"/>
    <x v="574"/>
    <x v="3"/>
    <x v="4"/>
    <d v="2014-12-05T00:00:00"/>
    <n v="2"/>
    <x v="2"/>
    <s v="Kunst Miller"/>
    <x v="0"/>
    <m/>
    <s v="Lowell"/>
    <s v="Massachusetts"/>
    <s v="East"/>
    <x v="1"/>
    <x v="14"/>
    <s v="Staples"/>
    <x v="1001"/>
    <n v="2"/>
    <n v="0"/>
    <n v="0.1744"/>
  </r>
  <r>
    <n v="9730"/>
    <x v="411"/>
    <x v="2"/>
    <x v="8"/>
    <d v="2011-10-04T00:00:00"/>
    <n v="5"/>
    <x v="1"/>
    <s v="Evan Bailliet"/>
    <x v="0"/>
    <m/>
    <s v="Seattle"/>
    <s v="Washington"/>
    <s v="West"/>
    <x v="1"/>
    <x v="8"/>
    <s v="GBC Standard Plastic Binding Systems' Combs"/>
    <x v="3651"/>
    <n v="2"/>
    <n v="0.2"/>
    <n v="3.14"/>
  </r>
  <r>
    <n v="9731"/>
    <x v="411"/>
    <x v="2"/>
    <x v="8"/>
    <d v="2011-10-04T00:00:00"/>
    <n v="5"/>
    <x v="1"/>
    <s v="Evan Bailliet"/>
    <x v="0"/>
    <m/>
    <s v="Seattle"/>
    <s v="Washington"/>
    <s v="West"/>
    <x v="1"/>
    <x v="4"/>
    <s v="Fellowes Super Stor/Drawer Files"/>
    <x v="5728"/>
    <n v="5"/>
    <n v="0"/>
    <n v="153.4725"/>
  </r>
  <r>
    <n v="9732"/>
    <x v="237"/>
    <x v="3"/>
    <x v="0"/>
    <d v="2014-11-20T00:00:00"/>
    <n v="5"/>
    <x v="1"/>
    <s v="Joe Elijah"/>
    <x v="0"/>
    <m/>
    <s v="Los Angeles"/>
    <s v="California"/>
    <s v="West"/>
    <x v="1"/>
    <x v="6"/>
    <s v="Newell 347"/>
    <x v="1353"/>
    <n v="8"/>
    <n v="0"/>
    <n v="9.9296000000000006"/>
  </r>
  <r>
    <n v="9733"/>
    <x v="1071"/>
    <x v="2"/>
    <x v="6"/>
    <d v="2011-08-25T00:00:00"/>
    <n v="5"/>
    <x v="1"/>
    <s v="Nick Crebassa"/>
    <x v="1"/>
    <m/>
    <s v="Hampton"/>
    <s v="Virginia"/>
    <s v="South"/>
    <x v="0"/>
    <x v="1"/>
    <s v="Safco Chair Connectors, 6/Carton"/>
    <x v="5729"/>
    <n v="13"/>
    <n v="0"/>
    <n v="145.06960000000001"/>
  </r>
  <r>
    <n v="9734"/>
    <x v="1071"/>
    <x v="2"/>
    <x v="6"/>
    <d v="2011-08-25T00:00:00"/>
    <n v="5"/>
    <x v="1"/>
    <s v="Nick Crebassa"/>
    <x v="1"/>
    <m/>
    <s v="Hampton"/>
    <s v="Virginia"/>
    <s v="South"/>
    <x v="1"/>
    <x v="10"/>
    <s v="Riverleaf Stik-Withit Designer Note Cubes"/>
    <x v="5730"/>
    <n v="2"/>
    <n v="0"/>
    <n v="9.2552000000000003"/>
  </r>
  <r>
    <n v="9735"/>
    <x v="1071"/>
    <x v="2"/>
    <x v="6"/>
    <d v="2011-08-25T00:00:00"/>
    <n v="5"/>
    <x v="1"/>
    <s v="Nick Crebassa"/>
    <x v="1"/>
    <m/>
    <s v="Hampton"/>
    <s v="Virginia"/>
    <s v="South"/>
    <x v="1"/>
    <x v="8"/>
    <s v="GBC DocuBind TL300 Electric Binding System"/>
    <x v="2605"/>
    <n v="1"/>
    <n v="0"/>
    <n v="421.58530000000002"/>
  </r>
  <r>
    <n v="9736"/>
    <x v="84"/>
    <x v="2"/>
    <x v="0"/>
    <d v="2011-11-22T00:00:00"/>
    <n v="3"/>
    <x v="0"/>
    <s v="Alan Dominguez"/>
    <x v="2"/>
    <m/>
    <s v="Philadelphia"/>
    <s v="Pennsylvania"/>
    <s v="East"/>
    <x v="1"/>
    <x v="10"/>
    <s v="1/4 Fold Party Design Invitations &amp; White Envelopes, 24 8-1/2&quot; X 11&quot; Cards, 25 Env./Pack"/>
    <x v="486"/>
    <n v="1"/>
    <n v="0.2"/>
    <n v="1.9844999999999999"/>
  </r>
  <r>
    <n v="9737"/>
    <x v="685"/>
    <x v="1"/>
    <x v="1"/>
    <d v="2012-07-03T00:00:00"/>
    <n v="4"/>
    <x v="1"/>
    <s v="Neil Französisch"/>
    <x v="2"/>
    <m/>
    <s v="Omaha"/>
    <s v="Nebraska"/>
    <s v="Central"/>
    <x v="2"/>
    <x v="7"/>
    <s v="Cisco 8x8 Inc. 6753i IP Business Phone System"/>
    <x v="3323"/>
    <n v="2"/>
    <n v="0"/>
    <n v="72.894599999999997"/>
  </r>
  <r>
    <n v="9738"/>
    <x v="633"/>
    <x v="3"/>
    <x v="10"/>
    <d v="2014-03-22T00:00:00"/>
    <n v="5"/>
    <x v="1"/>
    <s v="Ken Dana"/>
    <x v="1"/>
    <m/>
    <s v="Los Angeles"/>
    <s v="California"/>
    <s v="West"/>
    <x v="1"/>
    <x v="4"/>
    <s v="Dual Level, Single-Width Filing Carts"/>
    <x v="2340"/>
    <n v="2"/>
    <n v="0"/>
    <n v="80.631200000000007"/>
  </r>
  <r>
    <n v="9739"/>
    <x v="633"/>
    <x v="3"/>
    <x v="10"/>
    <d v="2014-03-22T00:00:00"/>
    <n v="5"/>
    <x v="1"/>
    <s v="Ken Dana"/>
    <x v="1"/>
    <m/>
    <s v="Los Angeles"/>
    <s v="California"/>
    <s v="West"/>
    <x v="1"/>
    <x v="8"/>
    <s v="XtraLife ClearVue Slant-D Ring Binder, White, 3&quot;"/>
    <x v="5731"/>
    <n v="6"/>
    <n v="0.2"/>
    <n v="22.9008"/>
  </r>
  <r>
    <n v="9740"/>
    <x v="633"/>
    <x v="3"/>
    <x v="10"/>
    <d v="2014-03-22T00:00:00"/>
    <n v="5"/>
    <x v="1"/>
    <s v="Ken Dana"/>
    <x v="1"/>
    <m/>
    <s v="Los Angeles"/>
    <s v="California"/>
    <s v="West"/>
    <x v="1"/>
    <x v="8"/>
    <s v="Pressboard Hanging Data Binders for Unburst Sheets"/>
    <x v="1195"/>
    <n v="5"/>
    <n v="0.2"/>
    <n v="6.8879999999999999"/>
  </r>
  <r>
    <n v="9741"/>
    <x v="633"/>
    <x v="3"/>
    <x v="10"/>
    <d v="2014-03-22T00:00:00"/>
    <n v="5"/>
    <x v="1"/>
    <s v="Ken Dana"/>
    <x v="1"/>
    <m/>
    <s v="Los Angeles"/>
    <s v="California"/>
    <s v="West"/>
    <x v="1"/>
    <x v="9"/>
    <s v="Bionaire Personal Warm Mist Humidifier/Vaporizer"/>
    <x v="5732"/>
    <n v="3"/>
    <n v="0"/>
    <n v="54.8613"/>
  </r>
  <r>
    <n v="9742"/>
    <x v="627"/>
    <x v="1"/>
    <x v="0"/>
    <d v="2012-11-12T00:00:00"/>
    <n v="4"/>
    <x v="1"/>
    <s v="Quincy Jones"/>
    <x v="1"/>
    <m/>
    <s v="Burlington"/>
    <s v="Vermont"/>
    <s v="East"/>
    <x v="0"/>
    <x v="0"/>
    <s v="Riverside Palais Royal Lawyers Bookcase, Royale Cherry Finish"/>
    <x v="5733"/>
    <n v="5"/>
    <n v="0"/>
    <n v="1013.127"/>
  </r>
  <r>
    <n v="9743"/>
    <x v="354"/>
    <x v="3"/>
    <x v="0"/>
    <d v="2014-12-03T00:00:00"/>
    <n v="4"/>
    <x v="1"/>
    <s v="Emily Phan"/>
    <x v="0"/>
    <m/>
    <s v="San Diego"/>
    <s v="California"/>
    <s v="West"/>
    <x v="1"/>
    <x v="2"/>
    <s v="Round Specialty Laser Printer Labels"/>
    <x v="449"/>
    <n v="5"/>
    <n v="0"/>
    <n v="29.445499999999999"/>
  </r>
  <r>
    <n v="9744"/>
    <x v="950"/>
    <x v="0"/>
    <x v="1"/>
    <d v="2013-06-23T00:00:00"/>
    <n v="6"/>
    <x v="1"/>
    <s v="Jennifer Jackson"/>
    <x v="0"/>
    <m/>
    <s v="Newark"/>
    <s v="Delaware"/>
    <s v="East"/>
    <x v="1"/>
    <x v="2"/>
    <s v="Avery 518"/>
    <x v="1227"/>
    <n v="3"/>
    <n v="0"/>
    <n v="4.5359999999999996"/>
  </r>
  <r>
    <n v="9745"/>
    <x v="276"/>
    <x v="3"/>
    <x v="9"/>
    <d v="2014-01-26T00:00:00"/>
    <n v="4"/>
    <x v="1"/>
    <s v="Bobby Elias"/>
    <x v="0"/>
    <m/>
    <s v="Aurora"/>
    <s v="Illinois"/>
    <s v="Central"/>
    <x v="1"/>
    <x v="12"/>
    <s v="Airmail Envelopes"/>
    <x v="5734"/>
    <n v="4"/>
    <n v="0.2"/>
    <n v="90.644400000000005"/>
  </r>
  <r>
    <n v="9746"/>
    <x v="221"/>
    <x v="3"/>
    <x v="0"/>
    <d v="2014-11-25T00:00:00"/>
    <n v="0"/>
    <x v="3"/>
    <s v="Beth Paige"/>
    <x v="0"/>
    <m/>
    <s v="Los Angeles"/>
    <s v="California"/>
    <s v="West"/>
    <x v="0"/>
    <x v="3"/>
    <s v="Hon Practical Foundations 30 x 60 Training Table, Light Gray/Charcoal"/>
    <x v="5735"/>
    <n v="2"/>
    <n v="0.2"/>
    <n v="9.1020000000000003"/>
  </r>
  <r>
    <n v="9747"/>
    <x v="221"/>
    <x v="3"/>
    <x v="0"/>
    <d v="2014-11-25T00:00:00"/>
    <n v="0"/>
    <x v="3"/>
    <s v="Beth Paige"/>
    <x v="0"/>
    <m/>
    <s v="Los Angeles"/>
    <s v="California"/>
    <s v="West"/>
    <x v="0"/>
    <x v="3"/>
    <s v="Hon 61000 Series Interactive Training Tables"/>
    <x v="3939"/>
    <n v="2"/>
    <n v="0.2"/>
    <n v="-1.7771999999999999"/>
  </r>
  <r>
    <n v="9748"/>
    <x v="7"/>
    <x v="2"/>
    <x v="0"/>
    <d v="2011-11-15T00:00:00"/>
    <n v="4"/>
    <x v="1"/>
    <s v="Brosina Hoffman"/>
    <x v="0"/>
    <m/>
    <s v="Chicago"/>
    <s v="Illinois"/>
    <s v="Central"/>
    <x v="0"/>
    <x v="5"/>
    <s v="DAX Wood Document Frame."/>
    <x v="5736"/>
    <n v="2"/>
    <n v="0.6"/>
    <n v="-7.9634"/>
  </r>
  <r>
    <n v="9749"/>
    <x v="7"/>
    <x v="2"/>
    <x v="0"/>
    <d v="2011-11-15T00:00:00"/>
    <n v="4"/>
    <x v="1"/>
    <s v="Brosina Hoffman"/>
    <x v="0"/>
    <m/>
    <s v="Chicago"/>
    <s v="Illinois"/>
    <s v="Central"/>
    <x v="0"/>
    <x v="1"/>
    <s v="Global Commerce Series High-Back Swivel/Tilt Chairs"/>
    <x v="834"/>
    <n v="4"/>
    <n v="0.3"/>
    <n v="-56.996000000000002"/>
  </r>
  <r>
    <n v="9750"/>
    <x v="758"/>
    <x v="0"/>
    <x v="10"/>
    <d v="2013-03-09T00:00:00"/>
    <n v="4"/>
    <x v="1"/>
    <s v="Eleni McCrary"/>
    <x v="1"/>
    <m/>
    <s v="Dover"/>
    <s v="New Hampshire"/>
    <s v="East"/>
    <x v="2"/>
    <x v="11"/>
    <s v="Logitech G602 Wireless Gaming Mouse"/>
    <x v="457"/>
    <n v="2"/>
    <n v="0"/>
    <n v="57.592799999999997"/>
  </r>
  <r>
    <n v="9751"/>
    <x v="1228"/>
    <x v="0"/>
    <x v="2"/>
    <d v="2013-10-16T00:00:00"/>
    <n v="4"/>
    <x v="1"/>
    <s v="Emily Phan"/>
    <x v="0"/>
    <m/>
    <s v="Chicago"/>
    <s v="Illinois"/>
    <s v="Central"/>
    <x v="1"/>
    <x v="6"/>
    <s v="Avery Fluorescent Highlighter Four-Color Set"/>
    <x v="752"/>
    <n v="2"/>
    <n v="0.2"/>
    <n v="0.66800000000000004"/>
  </r>
  <r>
    <n v="9752"/>
    <x v="1228"/>
    <x v="0"/>
    <x v="2"/>
    <d v="2013-10-16T00:00:00"/>
    <n v="4"/>
    <x v="1"/>
    <s v="Emily Phan"/>
    <x v="0"/>
    <m/>
    <s v="Chicago"/>
    <s v="Illinois"/>
    <s v="Central"/>
    <x v="1"/>
    <x v="6"/>
    <s v="Newell 309"/>
    <x v="1777"/>
    <n v="3"/>
    <n v="0.2"/>
    <n v="3.4649999999999999"/>
  </r>
  <r>
    <n v="9753"/>
    <x v="949"/>
    <x v="0"/>
    <x v="7"/>
    <d v="2013-07-03T00:00:00"/>
    <n v="1"/>
    <x v="2"/>
    <s v="Nick Zandusky"/>
    <x v="2"/>
    <m/>
    <s v="Seattle"/>
    <s v="Washington"/>
    <s v="West"/>
    <x v="1"/>
    <x v="8"/>
    <s v="Zipper Ring Binder Pockets"/>
    <x v="5737"/>
    <n v="1"/>
    <n v="0.2"/>
    <n v="0.90480000000000005"/>
  </r>
  <r>
    <n v="9754"/>
    <x v="996"/>
    <x v="3"/>
    <x v="10"/>
    <d v="2014-03-30T00:00:00"/>
    <n v="2"/>
    <x v="0"/>
    <s v="Lena Cacioppo"/>
    <x v="0"/>
    <m/>
    <s v="Richmond"/>
    <s v="Virginia"/>
    <s v="South"/>
    <x v="1"/>
    <x v="2"/>
    <s v="Avery 05222 Permanent Self-Adhesive File Folder Labels for Typewriters, on Rolls, White, 250/Roll"/>
    <x v="338"/>
    <n v="2"/>
    <n v="0"/>
    <n v="3.7995999999999999"/>
  </r>
  <r>
    <n v="9755"/>
    <x v="996"/>
    <x v="3"/>
    <x v="10"/>
    <d v="2014-03-30T00:00:00"/>
    <n v="2"/>
    <x v="0"/>
    <s v="Lena Cacioppo"/>
    <x v="0"/>
    <m/>
    <s v="Richmond"/>
    <s v="Virginia"/>
    <s v="South"/>
    <x v="1"/>
    <x v="8"/>
    <s v="GBC Instant Index System for Binding Systems"/>
    <x v="2720"/>
    <n v="2"/>
    <n v="0"/>
    <n v="8.8800000000000008"/>
  </r>
  <r>
    <n v="9756"/>
    <x v="996"/>
    <x v="3"/>
    <x v="10"/>
    <d v="2014-03-30T00:00:00"/>
    <n v="2"/>
    <x v="0"/>
    <s v="Lena Cacioppo"/>
    <x v="0"/>
    <m/>
    <s v="Richmond"/>
    <s v="Virginia"/>
    <s v="South"/>
    <x v="1"/>
    <x v="4"/>
    <s v="Carina Mini System Audio Rack, Model AR050B"/>
    <x v="737"/>
    <n v="3"/>
    <n v="0"/>
    <n v="9.9882000000000009"/>
  </r>
  <r>
    <n v="9757"/>
    <x v="996"/>
    <x v="3"/>
    <x v="10"/>
    <d v="2014-03-30T00:00:00"/>
    <n v="2"/>
    <x v="0"/>
    <s v="Lena Cacioppo"/>
    <x v="0"/>
    <m/>
    <s v="Richmond"/>
    <s v="Virginia"/>
    <s v="South"/>
    <x v="0"/>
    <x v="3"/>
    <s v="BPI Conference Tables"/>
    <x v="4696"/>
    <n v="2"/>
    <n v="0"/>
    <n v="58.42"/>
  </r>
  <r>
    <n v="9758"/>
    <x v="996"/>
    <x v="3"/>
    <x v="10"/>
    <d v="2014-03-30T00:00:00"/>
    <n v="2"/>
    <x v="0"/>
    <s v="Lena Cacioppo"/>
    <x v="0"/>
    <m/>
    <s v="Richmond"/>
    <s v="Virginia"/>
    <s v="South"/>
    <x v="2"/>
    <x v="7"/>
    <s v="Panasonic KX - TS880B Telephone"/>
    <x v="5738"/>
    <n v="5"/>
    <n v="0"/>
    <n v="55.646999999999998"/>
  </r>
  <r>
    <n v="9759"/>
    <x v="996"/>
    <x v="3"/>
    <x v="10"/>
    <d v="2014-03-30T00:00:00"/>
    <n v="2"/>
    <x v="0"/>
    <s v="Lena Cacioppo"/>
    <x v="0"/>
    <m/>
    <s v="Richmond"/>
    <s v="Virginia"/>
    <s v="South"/>
    <x v="1"/>
    <x v="10"/>
    <s v="Ampad Gold Fibre Wirebound Steno Books, 6&quot; x 9&quot;, Gregg Ruled"/>
    <x v="4459"/>
    <n v="4"/>
    <n v="0"/>
    <n v="8.1143999999999998"/>
  </r>
  <r>
    <n v="9760"/>
    <x v="731"/>
    <x v="0"/>
    <x v="0"/>
    <d v="2013-11-06T00:00:00"/>
    <n v="5"/>
    <x v="1"/>
    <s v="Sylvia Foulston"/>
    <x v="1"/>
    <m/>
    <s v="San Francisco"/>
    <s v="California"/>
    <s v="West"/>
    <x v="0"/>
    <x v="1"/>
    <s v="Office Star - Professional Matrix Back Chair with 2-to-1 Synchro Tilt and Mesh Fabric Seat"/>
    <x v="4523"/>
    <n v="5"/>
    <n v="0.2"/>
    <n v="70.195999999999998"/>
  </r>
  <r>
    <n v="9761"/>
    <x v="259"/>
    <x v="3"/>
    <x v="0"/>
    <d v="2014-11-09T00:00:00"/>
    <n v="4"/>
    <x v="1"/>
    <s v="Katherine Murray"/>
    <x v="2"/>
    <m/>
    <s v="Springdale"/>
    <s v="Arkansas"/>
    <s v="South"/>
    <x v="1"/>
    <x v="6"/>
    <s v="Binney &amp; Smith inkTank Desk Highlighter, Chisel Tip, Yellow, 12/Box"/>
    <x v="5739"/>
    <n v="2"/>
    <n v="0"/>
    <n v="1.419"/>
  </r>
  <r>
    <n v="9762"/>
    <x v="1047"/>
    <x v="2"/>
    <x v="11"/>
    <d v="2011-02-19T00:00:00"/>
    <n v="4"/>
    <x v="1"/>
    <s v="Marina Lichtenstein"/>
    <x v="1"/>
    <m/>
    <s v="Seattle"/>
    <s v="Washington"/>
    <s v="West"/>
    <x v="2"/>
    <x v="11"/>
    <s v="Logitech G600 MMO Gaming Mouse"/>
    <x v="758"/>
    <n v="3"/>
    <n v="0"/>
    <n v="86.389200000000002"/>
  </r>
  <r>
    <n v="9763"/>
    <x v="1047"/>
    <x v="2"/>
    <x v="11"/>
    <d v="2011-02-19T00:00:00"/>
    <n v="4"/>
    <x v="1"/>
    <s v="Marina Lichtenstein"/>
    <x v="1"/>
    <m/>
    <s v="Seattle"/>
    <s v="Washington"/>
    <s v="West"/>
    <x v="1"/>
    <x v="9"/>
    <s v="Belkin 8 Outlet Surge Protector"/>
    <x v="3314"/>
    <n v="2"/>
    <n v="0"/>
    <n v="22.948799999999999"/>
  </r>
  <r>
    <n v="9764"/>
    <x v="1047"/>
    <x v="2"/>
    <x v="11"/>
    <d v="2011-02-19T00:00:00"/>
    <n v="4"/>
    <x v="1"/>
    <s v="Marina Lichtenstein"/>
    <x v="1"/>
    <m/>
    <s v="Seattle"/>
    <s v="Washington"/>
    <s v="West"/>
    <x v="1"/>
    <x v="14"/>
    <s v="Compact Automatic Electric Letter Opener"/>
    <x v="3999"/>
    <n v="2"/>
    <n v="0"/>
    <n v="4.7724000000000002"/>
  </r>
  <r>
    <n v="9765"/>
    <x v="1229"/>
    <x v="2"/>
    <x v="1"/>
    <d v="2011-06-23T00:00:00"/>
    <n v="5"/>
    <x v="1"/>
    <s v="Mick Crebagga"/>
    <x v="0"/>
    <m/>
    <s v="Los Angeles"/>
    <s v="California"/>
    <s v="West"/>
    <x v="2"/>
    <x v="7"/>
    <s v="Plantronics Cordless Phone Headset with In-line Volume - M214C"/>
    <x v="5740"/>
    <n v="5"/>
    <n v="0.2"/>
    <n v="12.2325"/>
  </r>
  <r>
    <n v="9766"/>
    <x v="1230"/>
    <x v="3"/>
    <x v="10"/>
    <d v="2014-03-07T00:00:00"/>
    <n v="6"/>
    <x v="1"/>
    <s v="Duane Benoit"/>
    <x v="0"/>
    <m/>
    <s v="Middletown"/>
    <s v="Connecticut"/>
    <s v="East"/>
    <x v="1"/>
    <x v="8"/>
    <s v="Pressboard Hanging Data Binders for Unburst Sheets"/>
    <x v="294"/>
    <n v="2"/>
    <n v="0"/>
    <n v="4.7232000000000003"/>
  </r>
  <r>
    <n v="9767"/>
    <x v="1230"/>
    <x v="3"/>
    <x v="10"/>
    <d v="2014-03-07T00:00:00"/>
    <n v="6"/>
    <x v="1"/>
    <s v="Duane Benoit"/>
    <x v="0"/>
    <m/>
    <s v="Middletown"/>
    <s v="Connecticut"/>
    <s v="East"/>
    <x v="1"/>
    <x v="10"/>
    <s v="Southworth 100% Résumé Paper, 24lb."/>
    <x v="3890"/>
    <n v="1"/>
    <n v="0"/>
    <n v="3.5009999999999999"/>
  </r>
  <r>
    <n v="9768"/>
    <x v="34"/>
    <x v="3"/>
    <x v="4"/>
    <d v="2014-12-16T00:00:00"/>
    <n v="6"/>
    <x v="1"/>
    <s v="Luke Weiss"/>
    <x v="0"/>
    <m/>
    <s v="Grand Rapids"/>
    <s v="Michigan"/>
    <s v="Central"/>
    <x v="1"/>
    <x v="8"/>
    <s v="GBC Imprintable Covers"/>
    <x v="2735"/>
    <n v="5"/>
    <n v="0"/>
    <n v="26.901"/>
  </r>
  <r>
    <n v="9769"/>
    <x v="226"/>
    <x v="3"/>
    <x v="4"/>
    <d v="2014-12-15T00:00:00"/>
    <n v="7"/>
    <x v="1"/>
    <s v="Tracy Collins"/>
    <x v="2"/>
    <m/>
    <s v="San Francisco"/>
    <s v="California"/>
    <s v="West"/>
    <x v="1"/>
    <x v="10"/>
    <s v="REDIFORM Incoming/Outgoing Call Register, 11&quot; X 8 1/2&quot;, 100 Messages"/>
    <x v="5741"/>
    <n v="6"/>
    <n v="0"/>
    <n v="25.02"/>
  </r>
  <r>
    <n v="9770"/>
    <x v="390"/>
    <x v="0"/>
    <x v="0"/>
    <d v="2013-12-01T00:00:00"/>
    <n v="6"/>
    <x v="1"/>
    <s v="Sample Company A"/>
    <x v="2"/>
    <m/>
    <s v="Hialeah"/>
    <s v="Florida"/>
    <s v="South"/>
    <x v="0"/>
    <x v="0"/>
    <s v="O'Sullivan Cherrywood Estates Traditional Bookcase"/>
    <x v="5742"/>
    <n v="5"/>
    <n v="0.2"/>
    <n v="8.4979999999999993"/>
  </r>
  <r>
    <n v="9771"/>
    <x v="390"/>
    <x v="0"/>
    <x v="0"/>
    <d v="2013-12-01T00:00:00"/>
    <n v="6"/>
    <x v="1"/>
    <s v="Sample Company A"/>
    <x v="2"/>
    <m/>
    <s v="Hialeah"/>
    <s v="Florida"/>
    <s v="South"/>
    <x v="1"/>
    <x v="10"/>
    <s v="Tops Wirebound Message Log Books"/>
    <x v="3235"/>
    <n v="4"/>
    <n v="0.2"/>
    <n v="3.4216000000000002"/>
  </r>
  <r>
    <n v="9772"/>
    <x v="390"/>
    <x v="0"/>
    <x v="0"/>
    <d v="2013-12-01T00:00:00"/>
    <n v="6"/>
    <x v="1"/>
    <s v="Sample Company A"/>
    <x v="2"/>
    <m/>
    <s v="Hialeah"/>
    <s v="Florida"/>
    <s v="South"/>
    <x v="1"/>
    <x v="9"/>
    <s v="Fellowes Advanced Computer Series Surge Protectors"/>
    <x v="5743"/>
    <n v="2"/>
    <n v="0.2"/>
    <n v="4.2384000000000004"/>
  </r>
  <r>
    <n v="9773"/>
    <x v="894"/>
    <x v="0"/>
    <x v="7"/>
    <d v="2013-07-04T00:00:00"/>
    <n v="0"/>
    <x v="3"/>
    <s v="Filia McAdams"/>
    <x v="1"/>
    <m/>
    <s v="Philadelphia"/>
    <s v="Pennsylvania"/>
    <s v="East"/>
    <x v="1"/>
    <x v="10"/>
    <s v="Xerox 1925"/>
    <x v="1832"/>
    <n v="5"/>
    <n v="0.2"/>
    <n v="38.725000000000001"/>
  </r>
  <r>
    <n v="9774"/>
    <x v="190"/>
    <x v="0"/>
    <x v="1"/>
    <d v="2013-07-04T00:00:00"/>
    <n v="7"/>
    <x v="1"/>
    <s v="Phillip Flathmann"/>
    <x v="0"/>
    <m/>
    <s v="Atlanta"/>
    <s v="Georgia"/>
    <s v="South"/>
    <x v="2"/>
    <x v="7"/>
    <s v="Cisco IP Phone 7961G VoIP phone - Dark gray"/>
    <x v="5744"/>
    <n v="1"/>
    <n v="0"/>
    <n v="39.4255"/>
  </r>
  <r>
    <n v="9775"/>
    <x v="711"/>
    <x v="2"/>
    <x v="7"/>
    <d v="2011-07-30T00:00:00"/>
    <n v="4"/>
    <x v="1"/>
    <s v="Luke Foster"/>
    <x v="0"/>
    <m/>
    <s v="San Antonio"/>
    <s v="Texas"/>
    <s v="Central"/>
    <x v="1"/>
    <x v="8"/>
    <s v="GBC DocuBind P400 Electric Binding System"/>
    <x v="5745"/>
    <n v="8"/>
    <n v="0.8"/>
    <n v="-3701.8928000000001"/>
  </r>
  <r>
    <n v="9776"/>
    <x v="711"/>
    <x v="2"/>
    <x v="7"/>
    <d v="2011-07-30T00:00:00"/>
    <n v="4"/>
    <x v="1"/>
    <s v="Luke Foster"/>
    <x v="0"/>
    <m/>
    <s v="San Antonio"/>
    <s v="Texas"/>
    <s v="Central"/>
    <x v="0"/>
    <x v="5"/>
    <s v="DAX Clear Channel Poster Frame"/>
    <x v="3652"/>
    <n v="3"/>
    <n v="0.6"/>
    <n v="-10.0602"/>
  </r>
  <r>
    <n v="9777"/>
    <x v="711"/>
    <x v="2"/>
    <x v="7"/>
    <d v="2011-07-30T00:00:00"/>
    <n v="4"/>
    <x v="1"/>
    <s v="Luke Foster"/>
    <x v="0"/>
    <m/>
    <s v="San Antonio"/>
    <s v="Texas"/>
    <s v="Central"/>
    <x v="1"/>
    <x v="8"/>
    <s v="GBC Premium Transparent Covers with Diagonal Lined Pattern"/>
    <x v="1316"/>
    <n v="4"/>
    <n v="0.8"/>
    <n v="-26.854399999999998"/>
  </r>
  <r>
    <n v="9778"/>
    <x v="711"/>
    <x v="2"/>
    <x v="7"/>
    <d v="2011-07-30T00:00:00"/>
    <n v="4"/>
    <x v="1"/>
    <s v="Luke Foster"/>
    <x v="0"/>
    <m/>
    <s v="San Antonio"/>
    <s v="Texas"/>
    <s v="Central"/>
    <x v="2"/>
    <x v="11"/>
    <s v="Microsoft Natural Keyboard Elite"/>
    <x v="5746"/>
    <n v="9"/>
    <n v="0.2"/>
    <n v="-26.946000000000002"/>
  </r>
  <r>
    <n v="9779"/>
    <x v="711"/>
    <x v="2"/>
    <x v="7"/>
    <d v="2011-07-30T00:00:00"/>
    <n v="4"/>
    <x v="1"/>
    <s v="Luke Foster"/>
    <x v="0"/>
    <m/>
    <s v="San Antonio"/>
    <s v="Texas"/>
    <s v="Central"/>
    <x v="1"/>
    <x v="8"/>
    <s v="GBC Instant Index System for Binding Systems"/>
    <x v="5747"/>
    <n v="5"/>
    <n v="0.8"/>
    <n v="-13.32"/>
  </r>
  <r>
    <n v="9780"/>
    <x v="711"/>
    <x v="2"/>
    <x v="7"/>
    <d v="2011-07-30T00:00:00"/>
    <n v="4"/>
    <x v="1"/>
    <s v="Luke Foster"/>
    <x v="0"/>
    <m/>
    <s v="San Antonio"/>
    <s v="Texas"/>
    <s v="Central"/>
    <x v="1"/>
    <x v="9"/>
    <s v="Acco 6 Outlet Guardian Standard Surge Suppressor"/>
    <x v="5748"/>
    <n v="2"/>
    <n v="0.8"/>
    <n v="-12.09"/>
  </r>
  <r>
    <n v="9781"/>
    <x v="749"/>
    <x v="0"/>
    <x v="8"/>
    <d v="2013-09-19T00:00:00"/>
    <n v="4"/>
    <x v="1"/>
    <s v="Clay Ludtke"/>
    <x v="0"/>
    <m/>
    <s v="Long Beach"/>
    <s v="New York"/>
    <s v="East"/>
    <x v="2"/>
    <x v="7"/>
    <s v="Wi-Ex zBoost YX540 Cellular Phone Signal Booster"/>
    <x v="1876"/>
    <n v="3"/>
    <n v="0"/>
    <n v="131.35499999999999"/>
  </r>
  <r>
    <n v="9782"/>
    <x v="749"/>
    <x v="0"/>
    <x v="8"/>
    <d v="2013-09-19T00:00:00"/>
    <n v="4"/>
    <x v="1"/>
    <s v="Clay Ludtke"/>
    <x v="0"/>
    <m/>
    <s v="Long Beach"/>
    <s v="New York"/>
    <s v="East"/>
    <x v="1"/>
    <x v="8"/>
    <s v="GBC DocuBind 200 Manual Binding Machine"/>
    <x v="1860"/>
    <n v="2"/>
    <n v="0.2"/>
    <n v="252.58799999999999"/>
  </r>
  <r>
    <n v="9783"/>
    <x v="70"/>
    <x v="1"/>
    <x v="5"/>
    <d v="2012-06-02T00:00:00"/>
    <n v="2"/>
    <x v="0"/>
    <s v="Elizabeth Moffitt"/>
    <x v="1"/>
    <m/>
    <s v="Paterson"/>
    <s v="New Jersey"/>
    <s v="East"/>
    <x v="1"/>
    <x v="10"/>
    <s v="Xerox 1889"/>
    <x v="4155"/>
    <n v="5"/>
    <n v="0"/>
    <n v="134.65199999999999"/>
  </r>
  <r>
    <n v="9784"/>
    <x v="70"/>
    <x v="1"/>
    <x v="5"/>
    <d v="2012-06-02T00:00:00"/>
    <n v="2"/>
    <x v="0"/>
    <s v="Elizabeth Moffitt"/>
    <x v="1"/>
    <m/>
    <s v="Paterson"/>
    <s v="New Jersey"/>
    <s v="East"/>
    <x v="1"/>
    <x v="4"/>
    <s v="Fellowes Mobile File Cart, Black"/>
    <x v="1020"/>
    <n v="1"/>
    <n v="0"/>
    <n v="16.788599999999999"/>
  </r>
  <r>
    <n v="9785"/>
    <x v="70"/>
    <x v="1"/>
    <x v="5"/>
    <d v="2012-06-02T00:00:00"/>
    <n v="2"/>
    <x v="0"/>
    <s v="Elizabeth Moffitt"/>
    <x v="1"/>
    <m/>
    <s v="Paterson"/>
    <s v="New Jersey"/>
    <s v="East"/>
    <x v="0"/>
    <x v="5"/>
    <s v="Eldon Image Series Black Desk Accessories"/>
    <x v="5482"/>
    <n v="2"/>
    <n v="0"/>
    <n v="2.9807999999999999"/>
  </r>
  <r>
    <n v="9786"/>
    <x v="1231"/>
    <x v="1"/>
    <x v="5"/>
    <d v="2012-05-13T00:00:00"/>
    <n v="4"/>
    <x v="1"/>
    <s v="Max Engle"/>
    <x v="0"/>
    <m/>
    <s v="Louisville"/>
    <s v="Kentucky"/>
    <s v="South"/>
    <x v="1"/>
    <x v="8"/>
    <s v="Acco Flexible ACCOHIDE Square Ring Data Binder, Dark Blue, 11 1/2&quot; X 14&quot; 7/8&quot;"/>
    <x v="5749"/>
    <n v="3"/>
    <n v="0"/>
    <n v="23.916899999999998"/>
  </r>
  <r>
    <n v="9787"/>
    <x v="1127"/>
    <x v="2"/>
    <x v="0"/>
    <d v="2011-11-05T00:00:00"/>
    <n v="0"/>
    <x v="3"/>
    <s v="Barry Gonzalez"/>
    <x v="0"/>
    <m/>
    <s v="Hampton"/>
    <s v="Virginia"/>
    <s v="South"/>
    <x v="0"/>
    <x v="1"/>
    <s v="Global Stack Chair with Arms, Black"/>
    <x v="5750"/>
    <n v="5"/>
    <n v="0"/>
    <n v="40.472999999999999"/>
  </r>
  <r>
    <n v="9788"/>
    <x v="996"/>
    <x v="3"/>
    <x v="10"/>
    <d v="2014-04-02T00:00:00"/>
    <n v="5"/>
    <x v="1"/>
    <s v="Caroline Jumper"/>
    <x v="0"/>
    <m/>
    <s v="Houston"/>
    <s v="Texas"/>
    <s v="Central"/>
    <x v="0"/>
    <x v="0"/>
    <s v="Atlantic Metals Mobile 5-Shelf Bookcases, Custom Colors"/>
    <x v="5751"/>
    <n v="5"/>
    <n v="0.32"/>
    <n v="-30.097999999999999"/>
  </r>
  <r>
    <n v="9789"/>
    <x v="996"/>
    <x v="3"/>
    <x v="10"/>
    <d v="2014-04-02T00:00:00"/>
    <n v="5"/>
    <x v="1"/>
    <s v="Caroline Jumper"/>
    <x v="0"/>
    <m/>
    <s v="Houston"/>
    <s v="Texas"/>
    <s v="Central"/>
    <x v="0"/>
    <x v="1"/>
    <s v="Global Deluxe High-Back Manager's Chair"/>
    <x v="121"/>
    <n v="3"/>
    <n v="0.3"/>
    <n v="-8.5793999999999997"/>
  </r>
  <r>
    <n v="9790"/>
    <x v="996"/>
    <x v="3"/>
    <x v="10"/>
    <d v="2014-04-02T00:00:00"/>
    <n v="5"/>
    <x v="1"/>
    <s v="Caroline Jumper"/>
    <x v="0"/>
    <m/>
    <s v="Houston"/>
    <s v="Texas"/>
    <s v="Central"/>
    <x v="2"/>
    <x v="11"/>
    <s v="Kensington SlimBlade Notebook Wireless Mouse with Nano Receiver "/>
    <x v="3067"/>
    <n v="1"/>
    <n v="0.2"/>
    <n v="6.9985999999999997"/>
  </r>
  <r>
    <n v="9791"/>
    <x v="996"/>
    <x v="3"/>
    <x v="10"/>
    <d v="2014-04-02T00:00:00"/>
    <n v="5"/>
    <x v="1"/>
    <s v="Caroline Jumper"/>
    <x v="0"/>
    <m/>
    <s v="Houston"/>
    <s v="Texas"/>
    <s v="Central"/>
    <x v="0"/>
    <x v="1"/>
    <s v="Global Leather &amp; Oak Executive Chair, Burgundy"/>
    <x v="5752"/>
    <n v="2"/>
    <n v="0.3"/>
    <n v="-66.391599999999997"/>
  </r>
  <r>
    <n v="9792"/>
    <x v="371"/>
    <x v="2"/>
    <x v="5"/>
    <d v="2011-05-23T00:00:00"/>
    <n v="2"/>
    <x v="0"/>
    <s v="Katherine Hughes"/>
    <x v="0"/>
    <m/>
    <s v="Houston"/>
    <s v="Texas"/>
    <s v="Central"/>
    <x v="1"/>
    <x v="12"/>
    <s v="Staples"/>
    <x v="3835"/>
    <n v="6"/>
    <n v="0.2"/>
    <n v="21.024000000000001"/>
  </r>
  <r>
    <n v="9793"/>
    <x v="371"/>
    <x v="2"/>
    <x v="5"/>
    <d v="2011-05-23T00:00:00"/>
    <n v="2"/>
    <x v="0"/>
    <s v="Katherine Hughes"/>
    <x v="0"/>
    <m/>
    <s v="Houston"/>
    <s v="Texas"/>
    <s v="Central"/>
    <x v="0"/>
    <x v="1"/>
    <s v="Global Deluxe Steno Chair"/>
    <x v="953"/>
    <n v="2"/>
    <n v="0.3"/>
    <n v="-29.252400000000002"/>
  </r>
  <r>
    <n v="9794"/>
    <x v="371"/>
    <x v="2"/>
    <x v="5"/>
    <d v="2011-05-23T00:00:00"/>
    <n v="2"/>
    <x v="0"/>
    <s v="Katherine Hughes"/>
    <x v="0"/>
    <m/>
    <s v="Houston"/>
    <s v="Texas"/>
    <s v="Central"/>
    <x v="1"/>
    <x v="10"/>
    <s v="Adams Telephone Message Books, 5 1/4” x 11”"/>
    <x v="5753"/>
    <n v="1"/>
    <n v="0.2"/>
    <n v="1.6308"/>
  </r>
  <r>
    <n v="9795"/>
    <x v="371"/>
    <x v="2"/>
    <x v="5"/>
    <d v="2011-05-23T00:00:00"/>
    <n v="2"/>
    <x v="0"/>
    <s v="Katherine Hughes"/>
    <x v="0"/>
    <m/>
    <s v="Houston"/>
    <s v="Texas"/>
    <s v="Central"/>
    <x v="1"/>
    <x v="8"/>
    <s v="Ibico Plastic Spiral Binding Combs"/>
    <x v="2556"/>
    <n v="3"/>
    <n v="0.8"/>
    <n v="-31.007999999999999"/>
  </r>
  <r>
    <n v="9796"/>
    <x v="206"/>
    <x v="0"/>
    <x v="5"/>
    <d v="2013-05-29T00:00:00"/>
    <n v="7"/>
    <x v="1"/>
    <s v="Sally Hughsby"/>
    <x v="1"/>
    <m/>
    <s v="Chicago"/>
    <s v="Illinois"/>
    <s v="Central"/>
    <x v="1"/>
    <x v="8"/>
    <s v="Cardinal HOLDit! Binder Insert Strips,Extra Strips"/>
    <x v="3497"/>
    <n v="3"/>
    <n v="0.8"/>
    <n v="-5.8868999999999998"/>
  </r>
  <r>
    <n v="9797"/>
    <x v="1026"/>
    <x v="1"/>
    <x v="9"/>
    <d v="2012-01-17T00:00:00"/>
    <n v="5"/>
    <x v="1"/>
    <s v="Cindy Schnelling"/>
    <x v="1"/>
    <m/>
    <s v="Toledo"/>
    <s v="Ohio"/>
    <s v="East"/>
    <x v="1"/>
    <x v="6"/>
    <s v="BIC Brite Liner Highlighters, Chisel Tip"/>
    <x v="559"/>
    <n v="2"/>
    <n v="0.2"/>
    <n v="1.5551999999999999"/>
  </r>
  <r>
    <n v="9798"/>
    <x v="1026"/>
    <x v="1"/>
    <x v="9"/>
    <d v="2012-01-17T00:00:00"/>
    <n v="5"/>
    <x v="1"/>
    <s v="Cindy Schnelling"/>
    <x v="1"/>
    <m/>
    <s v="Toledo"/>
    <s v="Ohio"/>
    <s v="East"/>
    <x v="2"/>
    <x v="7"/>
    <s v="GE 30524EE4"/>
    <x v="5754"/>
    <n v="2"/>
    <n v="0.4"/>
    <n v="-43.117800000000003"/>
  </r>
  <r>
    <n v="9799"/>
    <x v="1026"/>
    <x v="1"/>
    <x v="9"/>
    <d v="2012-01-17T00:00:00"/>
    <n v="5"/>
    <x v="1"/>
    <s v="Cindy Schnelling"/>
    <x v="1"/>
    <m/>
    <s v="Toledo"/>
    <s v="Ohio"/>
    <s v="East"/>
    <x v="2"/>
    <x v="7"/>
    <s v="Anker 24W Portable Micro USB Car Charger"/>
    <x v="5755"/>
    <n v="4"/>
    <n v="0.4"/>
    <n v="2.6375999999999999"/>
  </r>
  <r>
    <n v="9800"/>
    <x v="1026"/>
    <x v="1"/>
    <x v="9"/>
    <d v="2012-01-17T00:00:00"/>
    <n v="5"/>
    <x v="1"/>
    <s v="Cindy Schnelling"/>
    <x v="1"/>
    <m/>
    <s v="Toledo"/>
    <s v="Ohio"/>
    <s v="East"/>
    <x v="2"/>
    <x v="11"/>
    <s v="SanDisk Cruzer 4 GB USB Flash Drive"/>
    <x v="5756"/>
    <n v="2"/>
    <n v="0.2"/>
    <n v="2.2065999999999999"/>
  </r>
  <r>
    <n v="9801"/>
    <x v="1026"/>
    <x v="1"/>
    <x v="9"/>
    <d v="2012-01-17T00:00:00"/>
    <n v="5"/>
    <x v="1"/>
    <s v="Cindy Schnelling"/>
    <x v="1"/>
    <m/>
    <s v="Toledo"/>
    <s v="Ohio"/>
    <s v="East"/>
    <x v="2"/>
    <x v="7"/>
    <s v="LG Electronics Tone+ HBS-730 Bluetooth Headset"/>
    <x v="5757"/>
    <n v="3"/>
    <n v="0.4"/>
    <n v="-21.4236"/>
  </r>
  <r>
    <n v="9802"/>
    <x v="365"/>
    <x v="3"/>
    <x v="8"/>
    <d v="2014-10-07T00:00:00"/>
    <n v="7"/>
    <x v="1"/>
    <s v="Joe Kamberova"/>
    <x v="0"/>
    <m/>
    <s v="Lodi"/>
    <s v="California"/>
    <s v="West"/>
    <x v="1"/>
    <x v="14"/>
    <s v="Acme Hot Forged Carbon Steel Scissors with Nickel-Plated Handles, 3 7/8&quot; Cut, 8&quot;L"/>
    <x v="5758"/>
    <n v="7"/>
    <n v="0"/>
    <n v="28.216999999999999"/>
  </r>
  <r>
    <n v="9803"/>
    <x v="1074"/>
    <x v="1"/>
    <x v="7"/>
    <d v="2012-07-20T00:00:00"/>
    <n v="2"/>
    <x v="0"/>
    <s v="Pauline Johnson"/>
    <x v="0"/>
    <m/>
    <s v="New York City"/>
    <s v="New York"/>
    <s v="East"/>
    <x v="1"/>
    <x v="8"/>
    <s v="Economy Binders"/>
    <x v="5116"/>
    <n v="2"/>
    <n v="0.2"/>
    <n v="1.2063999999999999"/>
  </r>
  <r>
    <n v="9804"/>
    <x v="1074"/>
    <x v="1"/>
    <x v="7"/>
    <d v="2012-07-20T00:00:00"/>
    <n v="2"/>
    <x v="0"/>
    <s v="Pauline Johnson"/>
    <x v="0"/>
    <m/>
    <s v="New York City"/>
    <s v="New York"/>
    <s v="East"/>
    <x v="2"/>
    <x v="7"/>
    <s v="Plantronics CS 50-USB - headset - Convertible, Monaural"/>
    <x v="4309"/>
    <n v="1"/>
    <n v="0"/>
    <n v="36.717300000000002"/>
  </r>
  <r>
    <n v="9805"/>
    <x v="1074"/>
    <x v="1"/>
    <x v="7"/>
    <d v="2012-07-20T00:00:00"/>
    <n v="2"/>
    <x v="0"/>
    <s v="Pauline Johnson"/>
    <x v="0"/>
    <m/>
    <s v="New York City"/>
    <s v="New York"/>
    <s v="East"/>
    <x v="0"/>
    <x v="5"/>
    <s v="Eldon Expressions Wood Desk Accessories, Oak"/>
    <x v="1552"/>
    <n v="1"/>
    <n v="0"/>
    <n v="2.1402000000000001"/>
  </r>
  <r>
    <n v="9806"/>
    <x v="147"/>
    <x v="0"/>
    <x v="2"/>
    <d v="2013-10-27T00:00:00"/>
    <n v="5"/>
    <x v="1"/>
    <s v="Anne Pryor"/>
    <x v="2"/>
    <m/>
    <s v="Fort Lauderdale"/>
    <s v="Florida"/>
    <s v="South"/>
    <x v="0"/>
    <x v="5"/>
    <s v="Seth Thomas 14&quot; Day/Date Wall Clock"/>
    <x v="5759"/>
    <n v="2"/>
    <n v="0.2"/>
    <n v="9.6831999999999994"/>
  </r>
  <r>
    <n v="9807"/>
    <x v="147"/>
    <x v="0"/>
    <x v="2"/>
    <d v="2013-10-27T00:00:00"/>
    <n v="5"/>
    <x v="1"/>
    <s v="Anne Pryor"/>
    <x v="2"/>
    <m/>
    <s v="Fort Lauderdale"/>
    <s v="Florida"/>
    <s v="South"/>
    <x v="1"/>
    <x v="8"/>
    <s v="GBC Personal VeloBind Strips"/>
    <x v="1505"/>
    <n v="8"/>
    <n v="0.7"/>
    <n v="-21.084800000000001"/>
  </r>
  <r>
    <n v="9808"/>
    <x v="944"/>
    <x v="3"/>
    <x v="7"/>
    <d v="2014-08-02T00:00:00"/>
    <n v="5"/>
    <x v="0"/>
    <s v="Joni Wasserman"/>
    <x v="0"/>
    <m/>
    <s v="Raleigh"/>
    <s v="North Carolina"/>
    <s v="South"/>
    <x v="0"/>
    <x v="1"/>
    <s v="Global Value Mid-Back Manager's Chair, Gray"/>
    <x v="960"/>
    <n v="4"/>
    <n v="0.2"/>
    <n v="12.178000000000001"/>
  </r>
  <r>
    <n v="9809"/>
    <x v="246"/>
    <x v="3"/>
    <x v="7"/>
    <d v="2014-07-27T00:00:00"/>
    <n v="5"/>
    <x v="1"/>
    <s v="Pete Takahito"/>
    <x v="0"/>
    <m/>
    <s v="Chicago"/>
    <s v="Illinois"/>
    <s v="Central"/>
    <x v="1"/>
    <x v="8"/>
    <s v="Wilson Jones 1&quot; Hanging DublLock Ring Binders"/>
    <x v="5760"/>
    <n v="2"/>
    <n v="0.8"/>
    <n v="-3.3792"/>
  </r>
  <r>
    <n v="9810"/>
    <x v="845"/>
    <x v="2"/>
    <x v="0"/>
    <d v="2011-11-11T00:00:00"/>
    <n v="4"/>
    <x v="0"/>
    <s v="Troy Blackwell"/>
    <x v="0"/>
    <m/>
    <s v="Portland"/>
    <s v="Oregon"/>
    <s v="West"/>
    <x v="1"/>
    <x v="10"/>
    <s v="Xerox 1995"/>
    <x v="233"/>
    <n v="5"/>
    <n v="0.2"/>
    <n v="9.0719999999999992"/>
  </r>
  <r>
    <n v="9811"/>
    <x v="845"/>
    <x v="2"/>
    <x v="0"/>
    <d v="2011-11-11T00:00:00"/>
    <n v="4"/>
    <x v="0"/>
    <s v="Troy Blackwell"/>
    <x v="0"/>
    <m/>
    <s v="Portland"/>
    <s v="Oregon"/>
    <s v="West"/>
    <x v="1"/>
    <x v="6"/>
    <s v="Panasonic KP-150 Electric Pencil Sharpener"/>
    <x v="5761"/>
    <n v="4"/>
    <n v="0.2"/>
    <n v="9.0576000000000008"/>
  </r>
  <r>
    <n v="9812"/>
    <x v="581"/>
    <x v="0"/>
    <x v="0"/>
    <d v="2013-12-01T00:00:00"/>
    <n v="3"/>
    <x v="2"/>
    <s v="Cassandra Brandow"/>
    <x v="0"/>
    <m/>
    <s v="East Orange"/>
    <s v="New Jersey"/>
    <s v="East"/>
    <x v="1"/>
    <x v="10"/>
    <s v="Xerox 215"/>
    <x v="233"/>
    <n v="4"/>
    <n v="0"/>
    <n v="12.441599999999999"/>
  </r>
  <r>
    <n v="9813"/>
    <x v="581"/>
    <x v="0"/>
    <x v="0"/>
    <d v="2013-12-01T00:00:00"/>
    <n v="3"/>
    <x v="2"/>
    <s v="Cassandra Brandow"/>
    <x v="0"/>
    <m/>
    <s v="East Orange"/>
    <s v="New Jersey"/>
    <s v="East"/>
    <x v="1"/>
    <x v="6"/>
    <s v="Newell 324"/>
    <x v="1610"/>
    <n v="3"/>
    <n v="0"/>
    <n v="9.702"/>
  </r>
  <r>
    <n v="9814"/>
    <x v="581"/>
    <x v="0"/>
    <x v="0"/>
    <d v="2013-12-01T00:00:00"/>
    <n v="3"/>
    <x v="2"/>
    <s v="Cassandra Brandow"/>
    <x v="0"/>
    <m/>
    <s v="East Orange"/>
    <s v="New Jersey"/>
    <s v="East"/>
    <x v="1"/>
    <x v="10"/>
    <s v="Xerox 1945"/>
    <x v="2854"/>
    <n v="5"/>
    <n v="0"/>
    <n v="100.4255"/>
  </r>
  <r>
    <n v="9815"/>
    <x v="581"/>
    <x v="0"/>
    <x v="0"/>
    <d v="2013-12-01T00:00:00"/>
    <n v="3"/>
    <x v="2"/>
    <s v="Cassandra Brandow"/>
    <x v="0"/>
    <m/>
    <s v="East Orange"/>
    <s v="New Jersey"/>
    <s v="East"/>
    <x v="1"/>
    <x v="8"/>
    <s v="GBC Pre-Punched Binding Paper, Plastic, White, 8-1/2&quot; x 11&quot;"/>
    <x v="5762"/>
    <n v="5"/>
    <n v="0"/>
    <n v="38.375999999999998"/>
  </r>
  <r>
    <n v="9816"/>
    <x v="1214"/>
    <x v="1"/>
    <x v="1"/>
    <d v="2012-06-12T00:00:00"/>
    <n v="4"/>
    <x v="1"/>
    <s v="Andrew Gjertsen"/>
    <x v="1"/>
    <m/>
    <s v="Saint Petersburg"/>
    <s v="Florida"/>
    <s v="South"/>
    <x v="1"/>
    <x v="10"/>
    <s v="Xerox 1951"/>
    <x v="4107"/>
    <n v="7"/>
    <n v="0.2"/>
    <n v="54.215000000000003"/>
  </r>
  <r>
    <n v="9817"/>
    <x v="1214"/>
    <x v="1"/>
    <x v="1"/>
    <d v="2012-06-12T00:00:00"/>
    <n v="4"/>
    <x v="1"/>
    <s v="Andrew Gjertsen"/>
    <x v="1"/>
    <m/>
    <s v="Saint Petersburg"/>
    <s v="Florida"/>
    <s v="South"/>
    <x v="1"/>
    <x v="4"/>
    <s v="Fellowes Super Stor/Drawer Files"/>
    <x v="5763"/>
    <n v="4"/>
    <n v="0.2"/>
    <n v="-6.4619999999999997"/>
  </r>
  <r>
    <n v="9818"/>
    <x v="1214"/>
    <x v="1"/>
    <x v="1"/>
    <d v="2012-06-12T00:00:00"/>
    <n v="4"/>
    <x v="1"/>
    <s v="Andrew Gjertsen"/>
    <x v="1"/>
    <m/>
    <s v="Saint Petersburg"/>
    <s v="Florida"/>
    <s v="South"/>
    <x v="0"/>
    <x v="5"/>
    <s v="Advantus Employee of the Month Certificate Frame, 11 x 13-1/2"/>
    <x v="5764"/>
    <n v="7"/>
    <n v="0.2"/>
    <n v="45.467100000000002"/>
  </r>
  <r>
    <n v="9819"/>
    <x v="1214"/>
    <x v="1"/>
    <x v="1"/>
    <d v="2012-06-12T00:00:00"/>
    <n v="4"/>
    <x v="1"/>
    <s v="Andrew Gjertsen"/>
    <x v="1"/>
    <m/>
    <s v="Saint Petersburg"/>
    <s v="Florida"/>
    <s v="South"/>
    <x v="1"/>
    <x v="6"/>
    <s v="Newell 344"/>
    <x v="2999"/>
    <n v="2"/>
    <n v="0.2"/>
    <n v="0.33360000000000001"/>
  </r>
  <r>
    <n v="9820"/>
    <x v="1214"/>
    <x v="1"/>
    <x v="1"/>
    <d v="2012-06-12T00:00:00"/>
    <n v="4"/>
    <x v="1"/>
    <s v="Andrew Gjertsen"/>
    <x v="1"/>
    <m/>
    <s v="Saint Petersburg"/>
    <s v="Florida"/>
    <s v="South"/>
    <x v="1"/>
    <x v="2"/>
    <s v="Smead Alpha-Z Color-Coded Name Labels First Letter Starter Set"/>
    <x v="5765"/>
    <n v="3"/>
    <n v="0.2"/>
    <n v="3.15"/>
  </r>
  <r>
    <n v="9821"/>
    <x v="1214"/>
    <x v="1"/>
    <x v="1"/>
    <d v="2012-06-12T00:00:00"/>
    <n v="4"/>
    <x v="1"/>
    <s v="Andrew Gjertsen"/>
    <x v="1"/>
    <m/>
    <s v="Saint Petersburg"/>
    <s v="Florida"/>
    <s v="South"/>
    <x v="1"/>
    <x v="10"/>
    <s v="Xerox 1963"/>
    <x v="3005"/>
    <n v="10"/>
    <n v="0.2"/>
    <n v="13.2"/>
  </r>
  <r>
    <n v="9822"/>
    <x v="1214"/>
    <x v="1"/>
    <x v="1"/>
    <d v="2012-06-12T00:00:00"/>
    <n v="4"/>
    <x v="1"/>
    <s v="Andrew Gjertsen"/>
    <x v="1"/>
    <m/>
    <s v="Saint Petersburg"/>
    <s v="Florida"/>
    <s v="South"/>
    <x v="1"/>
    <x v="8"/>
    <s v="Premier Elliptical Ring Binder, Black"/>
    <x v="3487"/>
    <n v="2"/>
    <n v="0.7"/>
    <n v="-13.393599999999999"/>
  </r>
  <r>
    <n v="9823"/>
    <x v="860"/>
    <x v="2"/>
    <x v="6"/>
    <d v="2011-08-19T00:00:00"/>
    <n v="4"/>
    <x v="1"/>
    <s v="Brian Dahlen"/>
    <x v="0"/>
    <m/>
    <s v="San Francisco"/>
    <s v="California"/>
    <s v="West"/>
    <x v="1"/>
    <x v="9"/>
    <s v="Tripp Lite TLP810NET Broadband Surge for Modem/Fax"/>
    <x v="5766"/>
    <n v="3"/>
    <n v="0"/>
    <n v="42.814799999999998"/>
  </r>
  <r>
    <n v="9824"/>
    <x v="860"/>
    <x v="2"/>
    <x v="6"/>
    <d v="2011-08-19T00:00:00"/>
    <n v="4"/>
    <x v="1"/>
    <s v="Brian Dahlen"/>
    <x v="0"/>
    <m/>
    <s v="San Francisco"/>
    <s v="California"/>
    <s v="West"/>
    <x v="1"/>
    <x v="10"/>
    <s v="Xerox 1925"/>
    <x v="1635"/>
    <n v="3"/>
    <n v="0"/>
    <n v="41.823"/>
  </r>
  <r>
    <n v="9825"/>
    <x v="860"/>
    <x v="2"/>
    <x v="6"/>
    <d v="2011-08-19T00:00:00"/>
    <n v="4"/>
    <x v="1"/>
    <s v="Brian Dahlen"/>
    <x v="0"/>
    <m/>
    <s v="San Francisco"/>
    <s v="California"/>
    <s v="West"/>
    <x v="1"/>
    <x v="8"/>
    <s v="Avery Heavy-Duty EZD  Binder With Locking Rings"/>
    <x v="326"/>
    <n v="4"/>
    <n v="0.2"/>
    <n v="6.2496"/>
  </r>
  <r>
    <n v="9826"/>
    <x v="860"/>
    <x v="2"/>
    <x v="6"/>
    <d v="2011-08-19T00:00:00"/>
    <n v="4"/>
    <x v="1"/>
    <s v="Brian Dahlen"/>
    <x v="0"/>
    <m/>
    <s v="San Francisco"/>
    <s v="California"/>
    <s v="West"/>
    <x v="1"/>
    <x v="8"/>
    <s v="GBC Durable Plastic Covers"/>
    <x v="5767"/>
    <n v="3"/>
    <n v="0.2"/>
    <n v="15.093"/>
  </r>
  <r>
    <n v="9827"/>
    <x v="860"/>
    <x v="2"/>
    <x v="6"/>
    <d v="2011-08-19T00:00:00"/>
    <n v="4"/>
    <x v="1"/>
    <s v="Brian Dahlen"/>
    <x v="0"/>
    <m/>
    <s v="San Francisco"/>
    <s v="California"/>
    <s v="West"/>
    <x v="0"/>
    <x v="1"/>
    <s v="Novimex Fabric Task Chair"/>
    <x v="2417"/>
    <n v="4"/>
    <n v="0.2"/>
    <n v="-12.196"/>
  </r>
  <r>
    <n v="9828"/>
    <x v="249"/>
    <x v="3"/>
    <x v="1"/>
    <d v="2014-06-27T00:00:00"/>
    <n v="7"/>
    <x v="1"/>
    <s v="Jim Sink"/>
    <x v="1"/>
    <m/>
    <s v="New York City"/>
    <s v="New York"/>
    <s v="East"/>
    <x v="1"/>
    <x v="4"/>
    <s v="Space Solutions Commercial Steel Shelving"/>
    <x v="2349"/>
    <n v="2"/>
    <n v="0"/>
    <n v="6.4649999999999999"/>
  </r>
  <r>
    <n v="9829"/>
    <x v="249"/>
    <x v="3"/>
    <x v="1"/>
    <d v="2014-06-27T00:00:00"/>
    <n v="7"/>
    <x v="1"/>
    <s v="Jim Sink"/>
    <x v="1"/>
    <m/>
    <s v="New York City"/>
    <s v="New York"/>
    <s v="East"/>
    <x v="1"/>
    <x v="8"/>
    <s v="Wilson Jones Turn Tabs Binder Tool for Ring Binders"/>
    <x v="5396"/>
    <n v="3"/>
    <n v="0.2"/>
    <n v="3.7595999999999998"/>
  </r>
  <r>
    <n v="9830"/>
    <x v="11"/>
    <x v="3"/>
    <x v="7"/>
    <d v="2014-07-24T00:00:00"/>
    <n v="7"/>
    <x v="1"/>
    <s v="Natalie Fritzler"/>
    <x v="0"/>
    <m/>
    <s v="Charlotte"/>
    <s v="North Carolina"/>
    <s v="South"/>
    <x v="0"/>
    <x v="1"/>
    <s v="Global Fabric Manager's Chair, Dark Gray"/>
    <x v="2463"/>
    <n v="3"/>
    <n v="0.2"/>
    <n v="15.147"/>
  </r>
  <r>
    <n v="9831"/>
    <x v="757"/>
    <x v="2"/>
    <x v="4"/>
    <d v="2011-12-18T00:00:00"/>
    <n v="2"/>
    <x v="0"/>
    <s v="Sean Christensen"/>
    <x v="0"/>
    <m/>
    <s v="Beaumont"/>
    <s v="Texas"/>
    <s v="Central"/>
    <x v="2"/>
    <x v="11"/>
    <s v="Razer Kraken 7.1 Surround Sound Over Ear USB Gaming Headset"/>
    <x v="1864"/>
    <n v="4"/>
    <n v="0.2"/>
    <n v="95.990399999999994"/>
  </r>
  <r>
    <n v="9832"/>
    <x v="757"/>
    <x v="2"/>
    <x v="4"/>
    <d v="2011-12-18T00:00:00"/>
    <n v="2"/>
    <x v="0"/>
    <s v="Sean Christensen"/>
    <x v="0"/>
    <m/>
    <s v="Beaumont"/>
    <s v="Texas"/>
    <s v="Central"/>
    <x v="0"/>
    <x v="5"/>
    <s v="Longer-Life Soft White Bulbs"/>
    <x v="5768"/>
    <n v="7"/>
    <n v="0.6"/>
    <n v="-2.5872000000000002"/>
  </r>
  <r>
    <n v="9833"/>
    <x v="598"/>
    <x v="2"/>
    <x v="5"/>
    <d v="2011-05-22T00:00:00"/>
    <n v="4"/>
    <x v="0"/>
    <s v="George Ashbrook"/>
    <x v="0"/>
    <m/>
    <s v="Dallas"/>
    <s v="Texas"/>
    <s v="Central"/>
    <x v="1"/>
    <x v="10"/>
    <s v="Xerox 1949"/>
    <x v="2176"/>
    <n v="1"/>
    <n v="0.2"/>
    <n v="1.4441999999999999"/>
  </r>
  <r>
    <n v="9834"/>
    <x v="32"/>
    <x v="3"/>
    <x v="8"/>
    <d v="2014-09-20T00:00:00"/>
    <n v="5"/>
    <x v="1"/>
    <s v="Craig Yedwab"/>
    <x v="1"/>
    <m/>
    <s v="Springfield"/>
    <s v="Ohio"/>
    <s v="East"/>
    <x v="2"/>
    <x v="11"/>
    <s v="Logitech Wireless Gaming Headset G930"/>
    <x v="5769"/>
    <n v="7"/>
    <n v="0.2"/>
    <n v="190.38810000000001"/>
  </r>
  <r>
    <n v="9835"/>
    <x v="1155"/>
    <x v="0"/>
    <x v="2"/>
    <d v="2013-10-13T00:00:00"/>
    <n v="2"/>
    <x v="2"/>
    <s v="William Brown"/>
    <x v="0"/>
    <m/>
    <s v="La Porte"/>
    <s v="Texas"/>
    <s v="Central"/>
    <x v="0"/>
    <x v="5"/>
    <s v="Eldon 400 Class Desk Accessories, Black Carbon"/>
    <x v="5770"/>
    <n v="4"/>
    <n v="0.6"/>
    <n v="-6.3"/>
  </r>
  <r>
    <n v="9836"/>
    <x v="1155"/>
    <x v="0"/>
    <x v="2"/>
    <d v="2013-10-13T00:00:00"/>
    <n v="2"/>
    <x v="2"/>
    <s v="William Brown"/>
    <x v="0"/>
    <m/>
    <s v="La Porte"/>
    <s v="Texas"/>
    <s v="Central"/>
    <x v="1"/>
    <x v="8"/>
    <s v="Wilson Jones Ledger-Size, Piano-Hinge Binder, 2&quot;, Blue"/>
    <x v="5771"/>
    <n v="2"/>
    <n v="0.8"/>
    <n v="-26.2272"/>
  </r>
  <r>
    <n v="9837"/>
    <x v="477"/>
    <x v="0"/>
    <x v="8"/>
    <d v="2013-10-02T00:00:00"/>
    <n v="6"/>
    <x v="1"/>
    <s v="Dan Lawera"/>
    <x v="0"/>
    <m/>
    <s v="Long Beach"/>
    <s v="California"/>
    <s v="West"/>
    <x v="1"/>
    <x v="10"/>
    <s v="Ampad Evidence Wirebond Steno Books, 6&quot; x 9&quot;"/>
    <x v="2868"/>
    <n v="5"/>
    <n v="0"/>
    <n v="5.1230000000000002"/>
  </r>
  <r>
    <n v="9838"/>
    <x v="477"/>
    <x v="0"/>
    <x v="8"/>
    <d v="2013-10-02T00:00:00"/>
    <n v="6"/>
    <x v="1"/>
    <s v="Dan Lawera"/>
    <x v="0"/>
    <m/>
    <s v="Long Beach"/>
    <s v="California"/>
    <s v="West"/>
    <x v="1"/>
    <x v="2"/>
    <s v="Alphabetical Labels for Top Tab Filing"/>
    <x v="458"/>
    <n v="2"/>
    <n v="0"/>
    <n v="14.8"/>
  </r>
  <r>
    <n v="9839"/>
    <x v="477"/>
    <x v="0"/>
    <x v="8"/>
    <d v="2013-10-02T00:00:00"/>
    <n v="6"/>
    <x v="1"/>
    <s v="Dan Lawera"/>
    <x v="0"/>
    <m/>
    <s v="Long Beach"/>
    <s v="California"/>
    <s v="West"/>
    <x v="1"/>
    <x v="2"/>
    <s v="Avery 513"/>
    <x v="1377"/>
    <n v="1"/>
    <n v="0"/>
    <n v="2.2907999999999999"/>
  </r>
  <r>
    <n v="9840"/>
    <x v="477"/>
    <x v="0"/>
    <x v="8"/>
    <d v="2013-10-02T00:00:00"/>
    <n v="6"/>
    <x v="1"/>
    <s v="Dan Lawera"/>
    <x v="0"/>
    <m/>
    <s v="Long Beach"/>
    <s v="California"/>
    <s v="West"/>
    <x v="2"/>
    <x v="16"/>
    <s v="Canon PC-428 Personal Copier"/>
    <x v="5231"/>
    <n v="3"/>
    <n v="0.2"/>
    <n v="161.99189999999999"/>
  </r>
  <r>
    <n v="9841"/>
    <x v="477"/>
    <x v="0"/>
    <x v="8"/>
    <d v="2013-10-02T00:00:00"/>
    <n v="6"/>
    <x v="1"/>
    <s v="Dan Lawera"/>
    <x v="0"/>
    <m/>
    <s v="Long Beach"/>
    <s v="California"/>
    <s v="West"/>
    <x v="2"/>
    <x v="7"/>
    <s v="SmartStand Mobile Device Holder, Assorted Colors"/>
    <x v="5772"/>
    <n v="8"/>
    <n v="0.2"/>
    <n v="4.4736000000000002"/>
  </r>
  <r>
    <n v="9842"/>
    <x v="477"/>
    <x v="0"/>
    <x v="8"/>
    <d v="2013-10-02T00:00:00"/>
    <n v="6"/>
    <x v="1"/>
    <s v="Dan Lawera"/>
    <x v="0"/>
    <m/>
    <s v="Long Beach"/>
    <s v="California"/>
    <s v="West"/>
    <x v="1"/>
    <x v="6"/>
    <s v="Newell 346"/>
    <x v="1755"/>
    <n v="2"/>
    <n v="0"/>
    <n v="1.6704000000000001"/>
  </r>
  <r>
    <n v="9843"/>
    <x v="477"/>
    <x v="0"/>
    <x v="8"/>
    <d v="2013-10-02T00:00:00"/>
    <n v="6"/>
    <x v="1"/>
    <s v="Dan Lawera"/>
    <x v="0"/>
    <m/>
    <s v="Long Beach"/>
    <s v="California"/>
    <s v="West"/>
    <x v="0"/>
    <x v="1"/>
    <s v="Global Airflow Leather Mesh Back Chair, Black"/>
    <x v="4810"/>
    <n v="4"/>
    <n v="0.2"/>
    <n v="60.392000000000003"/>
  </r>
  <r>
    <n v="9844"/>
    <x v="561"/>
    <x v="2"/>
    <x v="1"/>
    <d v="2011-06-06T00:00:00"/>
    <n v="3"/>
    <x v="2"/>
    <s v="Richard Eichhorn"/>
    <x v="0"/>
    <m/>
    <s v="Decatur"/>
    <s v="Illinois"/>
    <s v="Central"/>
    <x v="1"/>
    <x v="2"/>
    <s v="Avery 513"/>
    <x v="795"/>
    <n v="4"/>
    <n v="0.2"/>
    <n v="5.1791999999999998"/>
  </r>
  <r>
    <n v="9845"/>
    <x v="561"/>
    <x v="2"/>
    <x v="1"/>
    <d v="2011-06-06T00:00:00"/>
    <n v="3"/>
    <x v="2"/>
    <s v="Richard Eichhorn"/>
    <x v="0"/>
    <m/>
    <s v="Decatur"/>
    <s v="Illinois"/>
    <s v="Central"/>
    <x v="0"/>
    <x v="5"/>
    <s v="Contract Clock, 14&quot;, Brown"/>
    <x v="5773"/>
    <n v="7"/>
    <n v="0.6"/>
    <n v="-40.003599999999999"/>
  </r>
  <r>
    <n v="9846"/>
    <x v="561"/>
    <x v="2"/>
    <x v="1"/>
    <d v="2011-06-06T00:00:00"/>
    <n v="3"/>
    <x v="2"/>
    <s v="Richard Eichhorn"/>
    <x v="0"/>
    <m/>
    <s v="Decatur"/>
    <s v="Illinois"/>
    <s v="Central"/>
    <x v="1"/>
    <x v="4"/>
    <s v="Recycled Steel Personal File for Standard File Folders"/>
    <x v="5774"/>
    <n v="3"/>
    <n v="0.2"/>
    <n v="9.9521999999999995"/>
  </r>
  <r>
    <n v="9847"/>
    <x v="264"/>
    <x v="3"/>
    <x v="8"/>
    <d v="2014-09-05T00:00:00"/>
    <n v="2"/>
    <x v="0"/>
    <s v="Marc Harrigan"/>
    <x v="2"/>
    <m/>
    <s v="Los Angeles"/>
    <s v="California"/>
    <s v="West"/>
    <x v="1"/>
    <x v="9"/>
    <s v="Acco Six-Outlet Power Strip, 4' Cord Length"/>
    <x v="2473"/>
    <n v="5"/>
    <n v="0"/>
    <n v="11.206"/>
  </r>
  <r>
    <n v="9848"/>
    <x v="264"/>
    <x v="3"/>
    <x v="8"/>
    <d v="2014-09-05T00:00:00"/>
    <n v="2"/>
    <x v="0"/>
    <s v="Marc Harrigan"/>
    <x v="2"/>
    <m/>
    <s v="Los Angeles"/>
    <s v="California"/>
    <s v="West"/>
    <x v="0"/>
    <x v="5"/>
    <s v="Luxo Professional Combination Clamp-On Lamps"/>
    <x v="5775"/>
    <n v="5"/>
    <n v="0"/>
    <n v="132.99"/>
  </r>
  <r>
    <n v="9849"/>
    <x v="264"/>
    <x v="3"/>
    <x v="8"/>
    <d v="2014-09-05T00:00:00"/>
    <n v="2"/>
    <x v="0"/>
    <s v="Marc Harrigan"/>
    <x v="2"/>
    <m/>
    <s v="Los Angeles"/>
    <s v="California"/>
    <s v="West"/>
    <x v="1"/>
    <x v="8"/>
    <s v="GBC Velobind Prepunched Cover Sets, Regency Series"/>
    <x v="5199"/>
    <n v="5"/>
    <n v="0.2"/>
    <n v="46.225000000000001"/>
  </r>
  <r>
    <n v="9850"/>
    <x v="791"/>
    <x v="2"/>
    <x v="3"/>
    <d v="2011-04-18T00:00:00"/>
    <n v="6"/>
    <x v="1"/>
    <s v="Edward Hooks"/>
    <x v="1"/>
    <m/>
    <s v="Lodi"/>
    <s v="California"/>
    <s v="West"/>
    <x v="1"/>
    <x v="6"/>
    <s v="Prismacolor Color Pencil Set"/>
    <x v="1977"/>
    <n v="2"/>
    <n v="0"/>
    <n v="16.268799999999999"/>
  </r>
  <r>
    <n v="9851"/>
    <x v="440"/>
    <x v="0"/>
    <x v="5"/>
    <d v="2013-05-07T00:00:00"/>
    <n v="4"/>
    <x v="1"/>
    <s v="Edward Hooks"/>
    <x v="1"/>
    <m/>
    <s v="New York City"/>
    <s v="New York"/>
    <s v="East"/>
    <x v="0"/>
    <x v="5"/>
    <s v="Eldon 200 Class Desk Accessories"/>
    <x v="2345"/>
    <n v="2"/>
    <n v="0"/>
    <n v="4.0191999999999997"/>
  </r>
  <r>
    <n v="9852"/>
    <x v="440"/>
    <x v="0"/>
    <x v="5"/>
    <d v="2013-05-07T00:00:00"/>
    <n v="4"/>
    <x v="1"/>
    <s v="Edward Hooks"/>
    <x v="1"/>
    <m/>
    <s v="New York City"/>
    <s v="New York"/>
    <s v="East"/>
    <x v="1"/>
    <x v="8"/>
    <s v="Vinyl Sectional Post Binders"/>
    <x v="3377"/>
    <n v="3"/>
    <n v="0.2"/>
    <n v="33.93"/>
  </r>
  <r>
    <n v="9853"/>
    <x v="440"/>
    <x v="0"/>
    <x v="5"/>
    <d v="2013-05-07T00:00:00"/>
    <n v="4"/>
    <x v="1"/>
    <s v="Edward Hooks"/>
    <x v="1"/>
    <m/>
    <s v="New York City"/>
    <s v="New York"/>
    <s v="East"/>
    <x v="1"/>
    <x v="10"/>
    <s v="Southworth Parchment Paper &amp; Envelopes"/>
    <x v="1705"/>
    <n v="2"/>
    <n v="0"/>
    <n v="6.0167999999999999"/>
  </r>
  <r>
    <n v="9854"/>
    <x v="440"/>
    <x v="0"/>
    <x v="5"/>
    <d v="2013-05-07T00:00:00"/>
    <n v="4"/>
    <x v="1"/>
    <s v="Edward Hooks"/>
    <x v="1"/>
    <m/>
    <s v="New York City"/>
    <s v="New York"/>
    <s v="East"/>
    <x v="0"/>
    <x v="5"/>
    <s v="Howard Miller 13&quot; Diameter Pewter Finish Round Wall Clock"/>
    <x v="5776"/>
    <n v="5"/>
    <n v="0"/>
    <n v="83.733000000000004"/>
  </r>
  <r>
    <n v="9855"/>
    <x v="249"/>
    <x v="3"/>
    <x v="1"/>
    <d v="2014-06-24T00:00:00"/>
    <n v="4"/>
    <x v="1"/>
    <s v="George Ashbrook"/>
    <x v="0"/>
    <m/>
    <s v="San Francisco"/>
    <s v="California"/>
    <s v="West"/>
    <x v="0"/>
    <x v="5"/>
    <s v="DAX Copper Panel Document Frame, 5 x 7 Size"/>
    <x v="5777"/>
    <n v="4"/>
    <n v="0"/>
    <n v="21.134399999999999"/>
  </r>
  <r>
    <n v="9856"/>
    <x v="249"/>
    <x v="3"/>
    <x v="1"/>
    <d v="2014-06-24T00:00:00"/>
    <n v="4"/>
    <x v="1"/>
    <s v="George Ashbrook"/>
    <x v="0"/>
    <m/>
    <s v="San Francisco"/>
    <s v="California"/>
    <s v="West"/>
    <x v="1"/>
    <x v="10"/>
    <s v="Xerox 1907"/>
    <x v="332"/>
    <n v="2"/>
    <n v="0"/>
    <n v="11.543200000000001"/>
  </r>
  <r>
    <n v="9857"/>
    <x v="1232"/>
    <x v="2"/>
    <x v="0"/>
    <d v="2011-11-11T00:00:00"/>
    <n v="5"/>
    <x v="1"/>
    <s v="George Ashbrook"/>
    <x v="0"/>
    <m/>
    <s v="Columbus"/>
    <s v="Georgia"/>
    <s v="South"/>
    <x v="1"/>
    <x v="10"/>
    <s v="Array Parchment Paper, Assorted Colors"/>
    <x v="2834"/>
    <n v="6"/>
    <n v="0"/>
    <n v="20.9664"/>
  </r>
  <r>
    <n v="9858"/>
    <x v="514"/>
    <x v="1"/>
    <x v="10"/>
    <d v="2012-03-30T00:00:00"/>
    <n v="4"/>
    <x v="1"/>
    <s v="Ellis Ballard"/>
    <x v="1"/>
    <m/>
    <s v="Seattle"/>
    <s v="Washington"/>
    <s v="West"/>
    <x v="0"/>
    <x v="3"/>
    <s v="Bush Advantage Collection Racetrack Conference Table"/>
    <x v="5778"/>
    <n v="8"/>
    <n v="0"/>
    <n v="610.86239999999998"/>
  </r>
  <r>
    <n v="9859"/>
    <x v="424"/>
    <x v="3"/>
    <x v="9"/>
    <d v="2014-01-21T00:00:00"/>
    <n v="6"/>
    <x v="1"/>
    <s v="Hallie Redmond"/>
    <x v="2"/>
    <m/>
    <s v="Richmond"/>
    <s v="Indiana"/>
    <s v="Central"/>
    <x v="1"/>
    <x v="4"/>
    <s v="Tenex Personal Project File with Scoop Front Design, Black"/>
    <x v="3863"/>
    <n v="5"/>
    <n v="0"/>
    <n v="17.524000000000001"/>
  </r>
  <r>
    <n v="9860"/>
    <x v="424"/>
    <x v="3"/>
    <x v="9"/>
    <d v="2014-01-21T00:00:00"/>
    <n v="6"/>
    <x v="1"/>
    <s v="Hallie Redmond"/>
    <x v="2"/>
    <m/>
    <s v="Richmond"/>
    <s v="Indiana"/>
    <s v="Central"/>
    <x v="1"/>
    <x v="13"/>
    <s v="Bagged Rubber Bands"/>
    <x v="2142"/>
    <n v="2"/>
    <n v="0"/>
    <n v="0.1008"/>
  </r>
  <r>
    <n v="9861"/>
    <x v="424"/>
    <x v="3"/>
    <x v="9"/>
    <d v="2014-01-21T00:00:00"/>
    <n v="6"/>
    <x v="1"/>
    <s v="Hallie Redmond"/>
    <x v="2"/>
    <m/>
    <s v="Richmond"/>
    <s v="Indiana"/>
    <s v="Central"/>
    <x v="2"/>
    <x v="7"/>
    <s v="ARKON Windshield Dashboard Air Vent Car Mount Holder"/>
    <x v="760"/>
    <n v="4"/>
    <n v="0"/>
    <n v="1.3560000000000001"/>
  </r>
  <r>
    <n v="9862"/>
    <x v="424"/>
    <x v="3"/>
    <x v="9"/>
    <d v="2014-01-21T00:00:00"/>
    <n v="6"/>
    <x v="1"/>
    <s v="Hallie Redmond"/>
    <x v="2"/>
    <m/>
    <s v="Richmond"/>
    <s v="Indiana"/>
    <s v="Central"/>
    <x v="1"/>
    <x v="4"/>
    <s v="Staples"/>
    <x v="2516"/>
    <n v="2"/>
    <n v="0"/>
    <n v="5.2527999999999997"/>
  </r>
  <r>
    <n v="9863"/>
    <x v="424"/>
    <x v="3"/>
    <x v="9"/>
    <d v="2014-01-21T00:00:00"/>
    <n v="6"/>
    <x v="1"/>
    <s v="Hallie Redmond"/>
    <x v="2"/>
    <m/>
    <s v="Richmond"/>
    <s v="Indiana"/>
    <s v="Central"/>
    <x v="2"/>
    <x v="11"/>
    <s v="Imation USB 2.0 Swivel Flash Drive USB flash drive - 4 GB - Pink"/>
    <x v="5779"/>
    <n v="4"/>
    <n v="0"/>
    <n v="2.5451999999999999"/>
  </r>
  <r>
    <n v="9864"/>
    <x v="424"/>
    <x v="3"/>
    <x v="9"/>
    <d v="2014-01-21T00:00:00"/>
    <n v="6"/>
    <x v="1"/>
    <s v="Hallie Redmond"/>
    <x v="2"/>
    <m/>
    <s v="Richmond"/>
    <s v="Indiana"/>
    <s v="Central"/>
    <x v="1"/>
    <x v="10"/>
    <s v="Xerox 188"/>
    <x v="1176"/>
    <n v="1"/>
    <n v="0"/>
    <n v="5.5566000000000004"/>
  </r>
  <r>
    <n v="9865"/>
    <x v="424"/>
    <x v="3"/>
    <x v="9"/>
    <d v="2014-01-21T00:00:00"/>
    <n v="6"/>
    <x v="1"/>
    <s v="Hallie Redmond"/>
    <x v="2"/>
    <m/>
    <s v="Richmond"/>
    <s v="Indiana"/>
    <s v="Central"/>
    <x v="2"/>
    <x v="11"/>
    <s v="Microsoft Sculpt Comfort Mouse"/>
    <x v="3737"/>
    <n v="4"/>
    <n v="0"/>
    <n v="70.311999999999998"/>
  </r>
  <r>
    <n v="9866"/>
    <x v="424"/>
    <x v="3"/>
    <x v="9"/>
    <d v="2014-01-21T00:00:00"/>
    <n v="6"/>
    <x v="1"/>
    <s v="Hallie Redmond"/>
    <x v="2"/>
    <m/>
    <s v="Richmond"/>
    <s v="Indiana"/>
    <s v="Central"/>
    <x v="0"/>
    <x v="5"/>
    <s v="DAX Charcoal/Nickel-Tone Document Frame, 5 x 7"/>
    <x v="1623"/>
    <n v="2"/>
    <n v="0"/>
    <n v="8.532"/>
  </r>
  <r>
    <n v="9867"/>
    <x v="514"/>
    <x v="1"/>
    <x v="10"/>
    <d v="2012-03-28T00:00:00"/>
    <n v="2"/>
    <x v="0"/>
    <s v="Suzanne McNair"/>
    <x v="1"/>
    <m/>
    <s v="New York City"/>
    <s v="New York"/>
    <s v="East"/>
    <x v="1"/>
    <x v="4"/>
    <s v="Dual Level, Single-Width Filing Carts"/>
    <x v="2892"/>
    <n v="7"/>
    <n v="0"/>
    <n v="282.20920000000001"/>
  </r>
  <r>
    <n v="9868"/>
    <x v="514"/>
    <x v="1"/>
    <x v="10"/>
    <d v="2012-03-28T00:00:00"/>
    <n v="2"/>
    <x v="0"/>
    <s v="Suzanne McNair"/>
    <x v="1"/>
    <m/>
    <s v="New York City"/>
    <s v="New York"/>
    <s v="East"/>
    <x v="1"/>
    <x v="9"/>
    <s v="Disposable Triple-Filter Dust Bags"/>
    <x v="2579"/>
    <n v="3"/>
    <n v="0"/>
    <n v="3.4085999999999999"/>
  </r>
  <r>
    <n v="9869"/>
    <x v="301"/>
    <x v="2"/>
    <x v="0"/>
    <d v="2011-11-03T00:00:00"/>
    <n v="2"/>
    <x v="2"/>
    <s v="Erin Ashbrook"/>
    <x v="1"/>
    <m/>
    <s v="Mason"/>
    <s v="Ohio"/>
    <s v="East"/>
    <x v="0"/>
    <x v="5"/>
    <s v="Howard Miller 13&quot; Diameter Pewter Finish Round Wall Clock"/>
    <x v="4402"/>
    <n v="2"/>
    <n v="0.2"/>
    <n v="16.3172"/>
  </r>
  <r>
    <n v="9870"/>
    <x v="301"/>
    <x v="2"/>
    <x v="0"/>
    <d v="2011-11-03T00:00:00"/>
    <n v="2"/>
    <x v="2"/>
    <s v="Erin Ashbrook"/>
    <x v="1"/>
    <m/>
    <s v="Mason"/>
    <s v="Ohio"/>
    <s v="East"/>
    <x v="1"/>
    <x v="8"/>
    <s v="Acco Economy Flexible Poly Round Ring Binder"/>
    <x v="2891"/>
    <n v="2"/>
    <n v="0.7"/>
    <n v="-2.61"/>
  </r>
  <r>
    <n v="9871"/>
    <x v="301"/>
    <x v="2"/>
    <x v="0"/>
    <d v="2011-11-03T00:00:00"/>
    <n v="2"/>
    <x v="2"/>
    <s v="Erin Ashbrook"/>
    <x v="1"/>
    <m/>
    <s v="Mason"/>
    <s v="Ohio"/>
    <s v="East"/>
    <x v="1"/>
    <x v="8"/>
    <s v="GBC Standard Therm-A-Bind Covers"/>
    <x v="2777"/>
    <n v="3"/>
    <n v="0.7"/>
    <n v="-17.942399999999999"/>
  </r>
  <r>
    <n v="9872"/>
    <x v="833"/>
    <x v="3"/>
    <x v="2"/>
    <d v="2014-10-07T00:00:00"/>
    <n v="0"/>
    <x v="3"/>
    <s v="Mark Hamilton"/>
    <x v="0"/>
    <m/>
    <s v="Chicago"/>
    <s v="Illinois"/>
    <s v="Central"/>
    <x v="1"/>
    <x v="4"/>
    <s v="Adjustable Depth Letter/Legal Cart"/>
    <x v="5780"/>
    <n v="2"/>
    <n v="0.2"/>
    <n v="32.662799999999997"/>
  </r>
  <r>
    <n v="9873"/>
    <x v="833"/>
    <x v="3"/>
    <x v="2"/>
    <d v="2014-10-07T00:00:00"/>
    <n v="0"/>
    <x v="3"/>
    <s v="Mark Hamilton"/>
    <x v="0"/>
    <m/>
    <s v="Chicago"/>
    <s v="Illinois"/>
    <s v="Central"/>
    <x v="1"/>
    <x v="6"/>
    <s v="Staples"/>
    <x v="3646"/>
    <n v="2"/>
    <n v="0.2"/>
    <n v="1.1970000000000001"/>
  </r>
  <r>
    <n v="9874"/>
    <x v="107"/>
    <x v="0"/>
    <x v="4"/>
    <d v="2013-12-15T00:00:00"/>
    <n v="4"/>
    <x v="1"/>
    <s v="Sara Luxemburg"/>
    <x v="2"/>
    <m/>
    <s v="New York City"/>
    <s v="New York"/>
    <s v="East"/>
    <x v="1"/>
    <x v="10"/>
    <s v="Xerox 221"/>
    <x v="90"/>
    <n v="1"/>
    <n v="0"/>
    <n v="3.1103999999999998"/>
  </r>
  <r>
    <n v="9875"/>
    <x v="897"/>
    <x v="0"/>
    <x v="8"/>
    <d v="2013-09-25T00:00:00"/>
    <n v="2"/>
    <x v="0"/>
    <s v="Nora Pelletier"/>
    <x v="2"/>
    <m/>
    <s v="Parma"/>
    <s v="Ohio"/>
    <s v="East"/>
    <x v="1"/>
    <x v="12"/>
    <s v="Blue String-Tie &amp; Button Interoffice Envelopes, 10 x 13"/>
    <x v="1099"/>
    <n v="2"/>
    <n v="0.2"/>
    <n v="19.989999999999998"/>
  </r>
  <r>
    <n v="9876"/>
    <x v="1233"/>
    <x v="1"/>
    <x v="4"/>
    <d v="2013-01-05T00:00:00"/>
    <n v="7"/>
    <x v="1"/>
    <s v="Roy Französisch"/>
    <x v="0"/>
    <m/>
    <s v="New York City"/>
    <s v="New York"/>
    <s v="East"/>
    <x v="1"/>
    <x v="14"/>
    <s v="Acme Serrated Blade Letter Opener"/>
    <x v="5781"/>
    <n v="2"/>
    <n v="0"/>
    <n v="6.3600000000000004E-2"/>
  </r>
  <r>
    <n v="9877"/>
    <x v="693"/>
    <x v="3"/>
    <x v="3"/>
    <d v="2014-04-22T00:00:00"/>
    <n v="1"/>
    <x v="2"/>
    <s v="Brad Eason"/>
    <x v="2"/>
    <m/>
    <s v="Cleveland"/>
    <s v="Ohio"/>
    <s v="East"/>
    <x v="1"/>
    <x v="4"/>
    <s v="Tennsco 6- and 18-Compartment Lockers"/>
    <x v="5782"/>
    <n v="4"/>
    <n v="0.2"/>
    <n v="-21.2136"/>
  </r>
  <r>
    <n v="9878"/>
    <x v="693"/>
    <x v="3"/>
    <x v="3"/>
    <d v="2014-04-22T00:00:00"/>
    <n v="1"/>
    <x v="2"/>
    <s v="Brad Eason"/>
    <x v="2"/>
    <m/>
    <s v="Cleveland"/>
    <s v="Ohio"/>
    <s v="East"/>
    <x v="1"/>
    <x v="8"/>
    <s v="Wilson Jones Clip &amp; Carry Folder Binder Tool for Ring Binders, Clear"/>
    <x v="5783"/>
    <n v="5"/>
    <n v="0.7"/>
    <n v="-6.38"/>
  </r>
  <r>
    <n v="9879"/>
    <x v="693"/>
    <x v="3"/>
    <x v="3"/>
    <d v="2014-04-22T00:00:00"/>
    <n v="1"/>
    <x v="2"/>
    <s v="Brad Eason"/>
    <x v="2"/>
    <m/>
    <s v="Cleveland"/>
    <s v="Ohio"/>
    <s v="East"/>
    <x v="2"/>
    <x v="7"/>
    <s v="Avaya 5410 Digital phone"/>
    <x v="4295"/>
    <n v="3"/>
    <n v="0.4"/>
    <n v="-24.476400000000002"/>
  </r>
  <r>
    <n v="9880"/>
    <x v="1036"/>
    <x v="0"/>
    <x v="6"/>
    <d v="2013-08-26T00:00:00"/>
    <n v="4"/>
    <x v="1"/>
    <s v="Jay Kimmel"/>
    <x v="0"/>
    <m/>
    <s v="New York City"/>
    <s v="New York"/>
    <s v="East"/>
    <x v="0"/>
    <x v="1"/>
    <s v="Leather Task Chair, Black"/>
    <x v="5784"/>
    <n v="7"/>
    <n v="0.1"/>
    <n v="63.686"/>
  </r>
  <r>
    <n v="9881"/>
    <x v="352"/>
    <x v="1"/>
    <x v="5"/>
    <d v="2012-05-31T00:00:00"/>
    <n v="2"/>
    <x v="2"/>
    <s v="Chad Cunningham"/>
    <x v="2"/>
    <m/>
    <s v="Cleveland"/>
    <s v="Ohio"/>
    <s v="East"/>
    <x v="1"/>
    <x v="10"/>
    <s v="Staples"/>
    <x v="629"/>
    <n v="3"/>
    <n v="0.2"/>
    <n v="28.706399999999999"/>
  </r>
  <r>
    <n v="9882"/>
    <x v="1132"/>
    <x v="2"/>
    <x v="6"/>
    <d v="2011-08-13T00:00:00"/>
    <n v="1"/>
    <x v="2"/>
    <s v="Lauren Leatherbury"/>
    <x v="0"/>
    <m/>
    <s v="Woodstock"/>
    <s v="Georgia"/>
    <s v="South"/>
    <x v="1"/>
    <x v="8"/>
    <s v="Acco Translucent Poly Ring Binders"/>
    <x v="1215"/>
    <n v="3"/>
    <n v="0"/>
    <n v="6.7392000000000003"/>
  </r>
  <r>
    <n v="9883"/>
    <x v="1132"/>
    <x v="2"/>
    <x v="6"/>
    <d v="2011-08-13T00:00:00"/>
    <n v="1"/>
    <x v="2"/>
    <s v="Lauren Leatherbury"/>
    <x v="0"/>
    <m/>
    <s v="Woodstock"/>
    <s v="Georgia"/>
    <s v="South"/>
    <x v="2"/>
    <x v="11"/>
    <s v="Maxell 74 Minute CD-R Spindle, 50/Pack"/>
    <x v="5785"/>
    <n v="13"/>
    <n v="0"/>
    <n v="98.139600000000002"/>
  </r>
  <r>
    <n v="9884"/>
    <x v="1234"/>
    <x v="2"/>
    <x v="3"/>
    <d v="2011-04-08T00:00:00"/>
    <n v="5"/>
    <x v="1"/>
    <s v="Katrina Edelman"/>
    <x v="1"/>
    <m/>
    <s v="Los Angeles"/>
    <s v="California"/>
    <s v="West"/>
    <x v="1"/>
    <x v="12"/>
    <s v="Staples"/>
    <x v="946"/>
    <n v="2"/>
    <n v="0"/>
    <n v="5.58"/>
  </r>
  <r>
    <n v="9885"/>
    <x v="1234"/>
    <x v="2"/>
    <x v="3"/>
    <d v="2011-04-08T00:00:00"/>
    <n v="5"/>
    <x v="1"/>
    <s v="Katrina Edelman"/>
    <x v="1"/>
    <m/>
    <s v="Los Angeles"/>
    <s v="California"/>
    <s v="West"/>
    <x v="2"/>
    <x v="11"/>
    <s v="Enermax Briskie RF Wireless Keyboard and Mouse Combo"/>
    <x v="1030"/>
    <n v="3"/>
    <n v="0"/>
    <n v="22.4316"/>
  </r>
  <r>
    <n v="9886"/>
    <x v="1234"/>
    <x v="2"/>
    <x v="3"/>
    <d v="2011-04-08T00:00:00"/>
    <n v="5"/>
    <x v="1"/>
    <s v="Katrina Edelman"/>
    <x v="1"/>
    <m/>
    <s v="Los Angeles"/>
    <s v="California"/>
    <s v="West"/>
    <x v="2"/>
    <x v="11"/>
    <s v="Logitech G600 MMO Gaming Mouse"/>
    <x v="457"/>
    <n v="2"/>
    <n v="0"/>
    <n v="57.592799999999997"/>
  </r>
  <r>
    <n v="9887"/>
    <x v="1213"/>
    <x v="2"/>
    <x v="9"/>
    <d v="2011-01-28T00:00:00"/>
    <n v="4"/>
    <x v="1"/>
    <s v="Speros Goranitis"/>
    <x v="0"/>
    <m/>
    <s v="Lafayette"/>
    <s v="Indiana"/>
    <s v="Central"/>
    <x v="1"/>
    <x v="13"/>
    <s v="Alliance Big Bands Rubber Bands, 12/Pack"/>
    <x v="3949"/>
    <n v="3"/>
    <n v="0"/>
    <n v="0"/>
  </r>
  <r>
    <n v="9888"/>
    <x v="386"/>
    <x v="3"/>
    <x v="2"/>
    <d v="2014-10-16T00:00:00"/>
    <n v="3"/>
    <x v="2"/>
    <s v="Christina Anderson"/>
    <x v="0"/>
    <m/>
    <s v="New York City"/>
    <s v="New York"/>
    <s v="East"/>
    <x v="1"/>
    <x v="10"/>
    <s v="Xerox 1952"/>
    <x v="739"/>
    <n v="2"/>
    <n v="0"/>
    <n v="4.6811999999999996"/>
  </r>
  <r>
    <n v="9889"/>
    <x v="816"/>
    <x v="1"/>
    <x v="6"/>
    <d v="2012-08-12T00:00:00"/>
    <n v="4"/>
    <x v="1"/>
    <s v="Rob Dowd"/>
    <x v="0"/>
    <m/>
    <s v="Utica"/>
    <s v="New York"/>
    <s v="East"/>
    <x v="2"/>
    <x v="11"/>
    <s v="Logitech G600 MMO Gaming Mouse"/>
    <x v="3590"/>
    <n v="1"/>
    <n v="0"/>
    <n v="28.796399999999998"/>
  </r>
  <r>
    <n v="9890"/>
    <x v="498"/>
    <x v="3"/>
    <x v="10"/>
    <d v="2014-03-21T00:00:00"/>
    <n v="1"/>
    <x v="2"/>
    <s v="Vivek Grady"/>
    <x v="1"/>
    <m/>
    <s v="Lakewood"/>
    <s v="New Jersey"/>
    <s v="East"/>
    <x v="1"/>
    <x v="6"/>
    <s v="Dixon Ticonderoga Pencils"/>
    <x v="3010"/>
    <n v="3"/>
    <n v="0"/>
    <n v="2.4138000000000002"/>
  </r>
  <r>
    <n v="9891"/>
    <x v="197"/>
    <x v="0"/>
    <x v="7"/>
    <d v="2013-07-29T00:00:00"/>
    <n v="3"/>
    <x v="0"/>
    <s v="Sally Hughsby"/>
    <x v="1"/>
    <m/>
    <s v="Milwaukee"/>
    <s v="Wisconsin"/>
    <s v="Central"/>
    <x v="1"/>
    <x v="10"/>
    <s v="Speediset Carbonless Redi-Letter 7&quot; x 8 1/2&quot;"/>
    <x v="5786"/>
    <n v="2"/>
    <n v="0"/>
    <n v="9.6913999999999998"/>
  </r>
  <r>
    <n v="9892"/>
    <x v="197"/>
    <x v="0"/>
    <x v="7"/>
    <d v="2013-07-29T00:00:00"/>
    <n v="3"/>
    <x v="0"/>
    <s v="Sally Hughsby"/>
    <x v="1"/>
    <m/>
    <s v="Milwaukee"/>
    <s v="Wisconsin"/>
    <s v="Central"/>
    <x v="2"/>
    <x v="11"/>
    <s v="Memorex Froggy Flash Drive 8 GB"/>
    <x v="5787"/>
    <n v="7"/>
    <n v="0"/>
    <n v="48.457500000000003"/>
  </r>
  <r>
    <n v="9893"/>
    <x v="197"/>
    <x v="0"/>
    <x v="7"/>
    <d v="2013-07-29T00:00:00"/>
    <n v="3"/>
    <x v="0"/>
    <s v="Sally Hughsby"/>
    <x v="1"/>
    <m/>
    <s v="Milwaukee"/>
    <s v="Wisconsin"/>
    <s v="Central"/>
    <x v="2"/>
    <x v="7"/>
    <s v="LG Electronics Tone+ HBS-730 Bluetooth Headset"/>
    <x v="5788"/>
    <n v="5"/>
    <n v="0"/>
    <n v="83.313999999999993"/>
  </r>
  <r>
    <n v="9894"/>
    <x v="197"/>
    <x v="0"/>
    <x v="7"/>
    <d v="2013-07-29T00:00:00"/>
    <n v="3"/>
    <x v="0"/>
    <s v="Sally Hughsby"/>
    <x v="1"/>
    <m/>
    <s v="Milwaukee"/>
    <s v="Wisconsin"/>
    <s v="Central"/>
    <x v="0"/>
    <x v="1"/>
    <s v="Office Star Flex Back Scooter Chair with Aluminum Finish Frame"/>
    <x v="5789"/>
    <n v="4"/>
    <n v="0"/>
    <n v="96.854399999999998"/>
  </r>
  <r>
    <n v="9895"/>
    <x v="197"/>
    <x v="0"/>
    <x v="7"/>
    <d v="2013-07-29T00:00:00"/>
    <n v="3"/>
    <x v="0"/>
    <s v="Sally Hughsby"/>
    <x v="1"/>
    <m/>
    <s v="Milwaukee"/>
    <s v="Wisconsin"/>
    <s v="Central"/>
    <x v="0"/>
    <x v="5"/>
    <s v="Eldon Expressions Desk Accessory, Wood Photo Frame, Mahogany"/>
    <x v="5790"/>
    <n v="5"/>
    <n v="0"/>
    <n v="27.608000000000001"/>
  </r>
  <r>
    <n v="9896"/>
    <x v="467"/>
    <x v="2"/>
    <x v="8"/>
    <d v="2011-10-01T00:00:00"/>
    <n v="5"/>
    <x v="1"/>
    <s v="Michael Moore"/>
    <x v="0"/>
    <m/>
    <s v="Chicago"/>
    <s v="Illinois"/>
    <s v="Central"/>
    <x v="2"/>
    <x v="11"/>
    <s v="Maxell Pro 80 Minute CD-R, 10/Pack"/>
    <x v="5791"/>
    <n v="11"/>
    <n v="0.2"/>
    <n v="38.456000000000003"/>
  </r>
  <r>
    <n v="9897"/>
    <x v="1103"/>
    <x v="2"/>
    <x v="1"/>
    <d v="2011-06-20T00:00:00"/>
    <n v="3"/>
    <x v="0"/>
    <s v="Jennifer Ferguson"/>
    <x v="0"/>
    <m/>
    <s v="Chicago"/>
    <s v="Illinois"/>
    <s v="Central"/>
    <x v="1"/>
    <x v="10"/>
    <s v="Xerox 1892"/>
    <x v="4377"/>
    <n v="2"/>
    <n v="0.2"/>
    <n v="22.480799999999999"/>
  </r>
  <r>
    <n v="9898"/>
    <x v="112"/>
    <x v="0"/>
    <x v="1"/>
    <d v="2013-06-11T00:00:00"/>
    <n v="4"/>
    <x v="1"/>
    <s v="Liz Preis"/>
    <x v="0"/>
    <m/>
    <s v="Fairfield"/>
    <s v="Ohio"/>
    <s v="East"/>
    <x v="0"/>
    <x v="5"/>
    <s v="Electrix Halogen Magnifier Lamp"/>
    <x v="5792"/>
    <n v="3"/>
    <n v="0.2"/>
    <n v="34.973999999999997"/>
  </r>
  <r>
    <n v="9899"/>
    <x v="112"/>
    <x v="0"/>
    <x v="1"/>
    <d v="2013-06-11T00:00:00"/>
    <n v="4"/>
    <x v="1"/>
    <s v="Liz Preis"/>
    <x v="0"/>
    <m/>
    <s v="Fairfield"/>
    <s v="Ohio"/>
    <s v="East"/>
    <x v="0"/>
    <x v="5"/>
    <s v="Deflect-o EconoMat Nonstudded, No Bevel Mat"/>
    <x v="5113"/>
    <n v="2"/>
    <n v="0.2"/>
    <n v="0"/>
  </r>
  <r>
    <n v="9900"/>
    <x v="1176"/>
    <x v="2"/>
    <x v="10"/>
    <d v="2011-04-03T00:00:00"/>
    <n v="6"/>
    <x v="1"/>
    <s v="Mike Pelletier"/>
    <x v="2"/>
    <m/>
    <s v="Springfield"/>
    <s v="Ohio"/>
    <s v="East"/>
    <x v="0"/>
    <x v="3"/>
    <s v="Chromcraft Bull-Nose Wood Oval Conference Tables &amp; Bases"/>
    <x v="1859"/>
    <n v="1"/>
    <n v="0.4"/>
    <n v="-143.25479999999999"/>
  </r>
  <r>
    <n v="9901"/>
    <x v="170"/>
    <x v="3"/>
    <x v="6"/>
    <d v="2014-08-26T00:00:00"/>
    <n v="4"/>
    <x v="1"/>
    <s v="Sung Chung"/>
    <x v="0"/>
    <m/>
    <s v="Louisville"/>
    <s v="Colorado"/>
    <s v="West"/>
    <x v="1"/>
    <x v="4"/>
    <s v="Recycled Data-Pak for Archival Bound Computer Printouts, 12-1/2 x 12-1/2 x 16"/>
    <x v="4770"/>
    <n v="3"/>
    <n v="0.2"/>
    <n v="20.745899999999999"/>
  </r>
  <r>
    <n v="9902"/>
    <x v="170"/>
    <x v="3"/>
    <x v="6"/>
    <d v="2014-08-26T00:00:00"/>
    <n v="4"/>
    <x v="1"/>
    <s v="Sung Chung"/>
    <x v="0"/>
    <m/>
    <s v="Louisville"/>
    <s v="Colorado"/>
    <s v="West"/>
    <x v="0"/>
    <x v="5"/>
    <s v="DAX Charcoal/Nickel-Tone Document Frame, 5 x 7"/>
    <x v="4713"/>
    <n v="3"/>
    <n v="0.2"/>
    <n v="7.11"/>
  </r>
  <r>
    <n v="9903"/>
    <x v="170"/>
    <x v="3"/>
    <x v="6"/>
    <d v="2014-08-26T00:00:00"/>
    <n v="4"/>
    <x v="1"/>
    <s v="Sung Chung"/>
    <x v="0"/>
    <m/>
    <s v="Louisville"/>
    <s v="Colorado"/>
    <s v="West"/>
    <x v="1"/>
    <x v="10"/>
    <s v="Southworth 25% Cotton Antique Laid Paper &amp; Envelopes"/>
    <x v="405"/>
    <n v="1"/>
    <n v="0.2"/>
    <n v="2.085"/>
  </r>
  <r>
    <n v="9904"/>
    <x v="607"/>
    <x v="2"/>
    <x v="0"/>
    <d v="2011-11-18T00:00:00"/>
    <n v="6"/>
    <x v="1"/>
    <s v="Darren Powers"/>
    <x v="0"/>
    <m/>
    <s v="Carrollton"/>
    <s v="Texas"/>
    <s v="Central"/>
    <x v="0"/>
    <x v="5"/>
    <s v="GE General Use Halogen Bulbs, 100 Watts, 1 Bulb per Pack"/>
    <x v="5793"/>
    <n v="3"/>
    <n v="0.6"/>
    <n v="-6.9101999999999997"/>
  </r>
  <r>
    <n v="9905"/>
    <x v="607"/>
    <x v="2"/>
    <x v="0"/>
    <d v="2011-11-18T00:00:00"/>
    <n v="6"/>
    <x v="1"/>
    <s v="Darren Powers"/>
    <x v="0"/>
    <m/>
    <s v="Carrollton"/>
    <s v="Texas"/>
    <s v="Central"/>
    <x v="2"/>
    <x v="11"/>
    <s v="Logitech G602 Wireless Gaming Mouse"/>
    <x v="2454"/>
    <n v="2"/>
    <n v="0.2"/>
    <n v="25.596800000000002"/>
  </r>
  <r>
    <n v="9906"/>
    <x v="1023"/>
    <x v="1"/>
    <x v="8"/>
    <d v="2012-09-15T00:00:00"/>
    <n v="2"/>
    <x v="2"/>
    <s v="Ken Dana"/>
    <x v="1"/>
    <m/>
    <s v="Anaheim"/>
    <s v="California"/>
    <s v="West"/>
    <x v="0"/>
    <x v="5"/>
    <s v="Flat Face Poster Frame"/>
    <x v="5253"/>
    <n v="7"/>
    <n v="0"/>
    <n v="55.389600000000002"/>
  </r>
  <r>
    <n v="9907"/>
    <x v="1023"/>
    <x v="1"/>
    <x v="8"/>
    <d v="2012-09-15T00:00:00"/>
    <n v="2"/>
    <x v="2"/>
    <s v="Ken Dana"/>
    <x v="1"/>
    <m/>
    <s v="Anaheim"/>
    <s v="California"/>
    <s v="West"/>
    <x v="1"/>
    <x v="8"/>
    <s v="Acco Data Flex Cable Posts For Top &amp; Bottom Load Binders, 6&quot; Capacity"/>
    <x v="3066"/>
    <n v="3"/>
    <n v="0.2"/>
    <n v="7.8224999999999998"/>
  </r>
  <r>
    <n v="9908"/>
    <x v="1023"/>
    <x v="1"/>
    <x v="8"/>
    <d v="2012-09-15T00:00:00"/>
    <n v="2"/>
    <x v="2"/>
    <s v="Ken Dana"/>
    <x v="1"/>
    <m/>
    <s v="Anaheim"/>
    <s v="California"/>
    <s v="West"/>
    <x v="0"/>
    <x v="1"/>
    <s v="Global Comet Stacking Armless Chair"/>
    <x v="4634"/>
    <n v="3"/>
    <n v="0.2"/>
    <n v="71.772000000000006"/>
  </r>
  <r>
    <n v="9909"/>
    <x v="1023"/>
    <x v="1"/>
    <x v="8"/>
    <d v="2012-09-15T00:00:00"/>
    <n v="2"/>
    <x v="2"/>
    <s v="Ken Dana"/>
    <x v="1"/>
    <m/>
    <s v="Anaheim"/>
    <s v="California"/>
    <s v="West"/>
    <x v="0"/>
    <x v="5"/>
    <s v="Eldon Econocleat Chair Mats for Low Pile Carpets"/>
    <x v="5794"/>
    <n v="5"/>
    <n v="0"/>
    <n v="24.882000000000001"/>
  </r>
  <r>
    <n v="9910"/>
    <x v="1023"/>
    <x v="1"/>
    <x v="8"/>
    <d v="2012-09-15T00:00:00"/>
    <n v="2"/>
    <x v="2"/>
    <s v="Ken Dana"/>
    <x v="1"/>
    <m/>
    <s v="Anaheim"/>
    <s v="California"/>
    <s v="West"/>
    <x v="0"/>
    <x v="5"/>
    <s v="Tensor Computer Mounted Lamp"/>
    <x v="3002"/>
    <n v="3"/>
    <n v="0"/>
    <n v="12.0609"/>
  </r>
  <r>
    <n v="9911"/>
    <x v="1023"/>
    <x v="1"/>
    <x v="8"/>
    <d v="2012-09-15T00:00:00"/>
    <n v="2"/>
    <x v="2"/>
    <s v="Ken Dana"/>
    <x v="1"/>
    <m/>
    <s v="Anaheim"/>
    <s v="California"/>
    <s v="West"/>
    <x v="1"/>
    <x v="10"/>
    <s v="Xerox 1915"/>
    <x v="1423"/>
    <n v="2"/>
    <n v="0"/>
    <n v="100.65600000000001"/>
  </r>
  <r>
    <n v="9912"/>
    <x v="267"/>
    <x v="2"/>
    <x v="3"/>
    <d v="2011-04-09T00:00:00"/>
    <n v="4"/>
    <x v="1"/>
    <s v="Roy Phan"/>
    <x v="1"/>
    <m/>
    <s v="Richmond"/>
    <s v="Kentucky"/>
    <s v="South"/>
    <x v="1"/>
    <x v="8"/>
    <s v="Ibico Standard Transparent Covers"/>
    <x v="781"/>
    <n v="7"/>
    <n v="0"/>
    <n v="56.526400000000002"/>
  </r>
  <r>
    <n v="9913"/>
    <x v="998"/>
    <x v="1"/>
    <x v="2"/>
    <d v="2012-10-12T00:00:00"/>
    <n v="2"/>
    <x v="2"/>
    <s v="Katherine Nockton"/>
    <x v="1"/>
    <m/>
    <s v="Santa Barbara"/>
    <s v="California"/>
    <s v="West"/>
    <x v="0"/>
    <x v="1"/>
    <s v="Global Leather &amp; Oak Executive Chair, Burgundy"/>
    <x v="5795"/>
    <n v="3"/>
    <n v="0.2"/>
    <n v="-54.320399999999999"/>
  </r>
  <r>
    <n v="9914"/>
    <x v="998"/>
    <x v="1"/>
    <x v="2"/>
    <d v="2012-10-12T00:00:00"/>
    <n v="2"/>
    <x v="2"/>
    <s v="Katherine Nockton"/>
    <x v="1"/>
    <m/>
    <s v="Santa Barbara"/>
    <s v="California"/>
    <s v="West"/>
    <x v="1"/>
    <x v="2"/>
    <s v="Avery 503"/>
    <x v="2496"/>
    <n v="3"/>
    <n v="0"/>
    <n v="14.904"/>
  </r>
  <r>
    <n v="9915"/>
    <x v="926"/>
    <x v="3"/>
    <x v="9"/>
    <d v="2014-02-01T00:00:00"/>
    <n v="2"/>
    <x v="0"/>
    <s v="Tamara Manning"/>
    <x v="0"/>
    <m/>
    <s v="Marion"/>
    <s v="Iowa"/>
    <s v="Central"/>
    <x v="1"/>
    <x v="10"/>
    <s v="Xerox 1997"/>
    <x v="91"/>
    <n v="2"/>
    <n v="0"/>
    <n v="6.2207999999999997"/>
  </r>
  <r>
    <n v="9916"/>
    <x v="926"/>
    <x v="3"/>
    <x v="9"/>
    <d v="2014-02-01T00:00:00"/>
    <n v="2"/>
    <x v="0"/>
    <s v="Tamara Manning"/>
    <x v="0"/>
    <m/>
    <s v="Marion"/>
    <s v="Iowa"/>
    <s v="Central"/>
    <x v="1"/>
    <x v="10"/>
    <s v="Xerox 1887"/>
    <x v="450"/>
    <n v="5"/>
    <n v="0"/>
    <n v="45.527999999999999"/>
  </r>
  <r>
    <n v="9917"/>
    <x v="926"/>
    <x v="3"/>
    <x v="9"/>
    <d v="2014-02-01T00:00:00"/>
    <n v="2"/>
    <x v="0"/>
    <s v="Tamara Manning"/>
    <x v="0"/>
    <m/>
    <s v="Marion"/>
    <s v="Iowa"/>
    <s v="Central"/>
    <x v="1"/>
    <x v="4"/>
    <s v="Tenex Personal Project File with Scoop Front Design, Black"/>
    <x v="808"/>
    <n v="1"/>
    <n v="0"/>
    <n v="3.5047999999999999"/>
  </r>
  <r>
    <n v="9918"/>
    <x v="926"/>
    <x v="3"/>
    <x v="9"/>
    <d v="2014-02-01T00:00:00"/>
    <n v="2"/>
    <x v="0"/>
    <s v="Tamara Manning"/>
    <x v="0"/>
    <m/>
    <s v="Marion"/>
    <s v="Iowa"/>
    <s v="Central"/>
    <x v="0"/>
    <x v="5"/>
    <s v="DAX Value U-Channel Document Frames, Easel Back"/>
    <x v="3977"/>
    <n v="3"/>
    <n v="0"/>
    <n v="4.6220999999999997"/>
  </r>
  <r>
    <n v="9919"/>
    <x v="496"/>
    <x v="1"/>
    <x v="8"/>
    <d v="2012-09-29T00:00:00"/>
    <n v="5"/>
    <x v="1"/>
    <s v="Jamie Frazer"/>
    <x v="0"/>
    <m/>
    <s v="New York City"/>
    <s v="New York"/>
    <s v="East"/>
    <x v="1"/>
    <x v="12"/>
    <s v="Blue String-Tie &amp; Button Interoffice Envelopes, 10 x 13"/>
    <x v="369"/>
    <n v="1"/>
    <n v="0"/>
    <n v="17.991"/>
  </r>
  <r>
    <n v="9920"/>
    <x v="543"/>
    <x v="0"/>
    <x v="10"/>
    <d v="2013-03-20T00:00:00"/>
    <n v="4"/>
    <x v="1"/>
    <s v="Muhammed Yedwab"/>
    <x v="1"/>
    <m/>
    <s v="Bryan"/>
    <s v="Texas"/>
    <s v="Central"/>
    <x v="0"/>
    <x v="1"/>
    <s v="Novimex Swivel Fabric Task Chair"/>
    <x v="2512"/>
    <n v="5"/>
    <n v="0.3"/>
    <n v="-143.43100000000001"/>
  </r>
  <r>
    <n v="9921"/>
    <x v="543"/>
    <x v="0"/>
    <x v="10"/>
    <d v="2013-03-20T00:00:00"/>
    <n v="4"/>
    <x v="1"/>
    <s v="Muhammed Yedwab"/>
    <x v="1"/>
    <m/>
    <s v="Bryan"/>
    <s v="Texas"/>
    <s v="Central"/>
    <x v="1"/>
    <x v="8"/>
    <s v="GBC Pre-Punched Binding Paper, Plastic, White, 8-1/2&quot; x 11&quot;"/>
    <x v="5796"/>
    <n v="7"/>
    <n v="0.8"/>
    <n v="-35.817599999999999"/>
  </r>
  <r>
    <n v="9922"/>
    <x v="156"/>
    <x v="2"/>
    <x v="0"/>
    <d v="2011-11-30T00:00:00"/>
    <n v="6"/>
    <x v="1"/>
    <s v="Alyssa Tate"/>
    <x v="2"/>
    <m/>
    <s v="Akron"/>
    <s v="Ohio"/>
    <s v="East"/>
    <x v="1"/>
    <x v="8"/>
    <s v="Acco Expandable Hanging Binders"/>
    <x v="5797"/>
    <n v="3"/>
    <n v="0.7"/>
    <n v="-4.5936000000000003"/>
  </r>
  <r>
    <n v="9923"/>
    <x v="636"/>
    <x v="3"/>
    <x v="5"/>
    <d v="2014-05-11T00:00:00"/>
    <n v="4"/>
    <x v="1"/>
    <s v="Jeremy Farry"/>
    <x v="0"/>
    <m/>
    <s v="Chicago"/>
    <s v="Illinois"/>
    <s v="Central"/>
    <x v="2"/>
    <x v="11"/>
    <s v="Kensington Orbit Wireless Mobile Trackball for PC and Mac"/>
    <x v="2950"/>
    <n v="4"/>
    <n v="0.2"/>
    <n v="28.795200000000001"/>
  </r>
  <r>
    <n v="9924"/>
    <x v="305"/>
    <x v="1"/>
    <x v="10"/>
    <d v="2012-03-23T00:00:00"/>
    <n v="3"/>
    <x v="2"/>
    <s v="Dave Hallsten"/>
    <x v="1"/>
    <m/>
    <s v="New York City"/>
    <s v="New York"/>
    <s v="East"/>
    <x v="1"/>
    <x v="8"/>
    <s v="Wilson Jones Century Plastic Molded Ring Binders"/>
    <x v="3511"/>
    <n v="3"/>
    <n v="0.2"/>
    <n v="16.823699999999999"/>
  </r>
  <r>
    <n v="9925"/>
    <x v="305"/>
    <x v="1"/>
    <x v="10"/>
    <d v="2012-03-23T00:00:00"/>
    <n v="3"/>
    <x v="2"/>
    <s v="Dave Hallsten"/>
    <x v="1"/>
    <m/>
    <s v="New York City"/>
    <s v="New York"/>
    <s v="East"/>
    <x v="1"/>
    <x v="12"/>
    <s v="Recycled Interoffice Envelopes with String and Button Closure, 10 x 13"/>
    <x v="1157"/>
    <n v="1"/>
    <n v="0"/>
    <n v="11.994999999999999"/>
  </r>
  <r>
    <n v="9926"/>
    <x v="305"/>
    <x v="1"/>
    <x v="10"/>
    <d v="2012-03-23T00:00:00"/>
    <n v="3"/>
    <x v="2"/>
    <s v="Dave Hallsten"/>
    <x v="1"/>
    <m/>
    <s v="New York City"/>
    <s v="New York"/>
    <s v="East"/>
    <x v="1"/>
    <x v="8"/>
    <s v="Fellowes PB200 Plastic Comb Binding Machine"/>
    <x v="5798"/>
    <n v="8"/>
    <n v="0.2"/>
    <n v="353.57920000000001"/>
  </r>
  <r>
    <n v="9927"/>
    <x v="305"/>
    <x v="1"/>
    <x v="10"/>
    <d v="2012-03-23T00:00:00"/>
    <n v="3"/>
    <x v="2"/>
    <s v="Dave Hallsten"/>
    <x v="1"/>
    <m/>
    <s v="New York City"/>
    <s v="New York"/>
    <s v="East"/>
    <x v="2"/>
    <x v="7"/>
    <s v="Panasonic KX T7731-B Digital phone"/>
    <x v="1636"/>
    <n v="2"/>
    <n v="0"/>
    <n v="53.994599999999998"/>
  </r>
  <r>
    <n v="9928"/>
    <x v="305"/>
    <x v="1"/>
    <x v="10"/>
    <d v="2012-03-23T00:00:00"/>
    <n v="3"/>
    <x v="2"/>
    <s v="Dave Hallsten"/>
    <x v="1"/>
    <m/>
    <s v="New York City"/>
    <s v="New York"/>
    <s v="East"/>
    <x v="1"/>
    <x v="4"/>
    <s v="Tennsco Lockers, Sand"/>
    <x v="202"/>
    <n v="4"/>
    <n v="0"/>
    <n v="20.140799999999999"/>
  </r>
  <r>
    <n v="9929"/>
    <x v="913"/>
    <x v="0"/>
    <x v="8"/>
    <d v="2013-09-05T00:00:00"/>
    <n v="0"/>
    <x v="3"/>
    <s v="Ionia McGrath"/>
    <x v="0"/>
    <m/>
    <s v="San Francisco"/>
    <s v="California"/>
    <s v="West"/>
    <x v="0"/>
    <x v="5"/>
    <s v="6&quot; Cubicle Wall Clock, Black"/>
    <x v="5799"/>
    <n v="3"/>
    <n v="0"/>
    <n v="8.7371999999999996"/>
  </r>
  <r>
    <n v="9930"/>
    <x v="913"/>
    <x v="0"/>
    <x v="8"/>
    <d v="2013-09-05T00:00:00"/>
    <n v="0"/>
    <x v="3"/>
    <s v="Ionia McGrath"/>
    <x v="0"/>
    <m/>
    <s v="San Francisco"/>
    <s v="California"/>
    <s v="West"/>
    <x v="2"/>
    <x v="16"/>
    <s v="Canon PC1060 Personal Laser Copier"/>
    <x v="2430"/>
    <n v="5"/>
    <n v="0.2"/>
    <n v="944.98649999999998"/>
  </r>
  <r>
    <n v="9931"/>
    <x v="50"/>
    <x v="1"/>
    <x v="0"/>
    <d v="2012-11-17T00:00:00"/>
    <n v="4"/>
    <x v="1"/>
    <s v="Keith Herrera"/>
    <x v="0"/>
    <m/>
    <s v="San Bernardino"/>
    <s v="California"/>
    <s v="West"/>
    <x v="1"/>
    <x v="8"/>
    <s v="Universal Recycled Hanging Pressboard Report Binders, Letter Size"/>
    <x v="5800"/>
    <n v="2"/>
    <n v="0.2"/>
    <n v="3.4552"/>
  </r>
  <r>
    <n v="9932"/>
    <x v="50"/>
    <x v="1"/>
    <x v="0"/>
    <d v="2012-11-17T00:00:00"/>
    <n v="4"/>
    <x v="1"/>
    <s v="Keith Herrera"/>
    <x v="0"/>
    <m/>
    <s v="San Bernardino"/>
    <s v="California"/>
    <s v="West"/>
    <x v="0"/>
    <x v="0"/>
    <s v="O'Sullivan Living Dimensions 3-Shelf Bookcases"/>
    <x v="5801"/>
    <n v="4"/>
    <n v="0.15"/>
    <n v="-40.195999999999998"/>
  </r>
  <r>
    <n v="9933"/>
    <x v="50"/>
    <x v="1"/>
    <x v="0"/>
    <d v="2012-11-17T00:00:00"/>
    <n v="4"/>
    <x v="1"/>
    <s v="Keith Herrera"/>
    <x v="0"/>
    <m/>
    <s v="San Bernardino"/>
    <s v="California"/>
    <s v="West"/>
    <x v="1"/>
    <x v="10"/>
    <s v="Xerox 1900"/>
    <x v="5802"/>
    <n v="7"/>
    <n v="0"/>
    <n v="13.481999999999999"/>
  </r>
  <r>
    <n v="9934"/>
    <x v="384"/>
    <x v="2"/>
    <x v="7"/>
    <d v="2011-07-14T00:00:00"/>
    <n v="3"/>
    <x v="2"/>
    <s v="Jamie Kunitz"/>
    <x v="0"/>
    <m/>
    <s v="Niagara Falls"/>
    <s v="New York"/>
    <s v="East"/>
    <x v="2"/>
    <x v="7"/>
    <s v="Cisco SPA112 2 Port Phone Adapter"/>
    <x v="5803"/>
    <n v="3"/>
    <n v="0"/>
    <n v="47.8065"/>
  </r>
  <r>
    <n v="9935"/>
    <x v="281"/>
    <x v="0"/>
    <x v="3"/>
    <d v="2013-04-13T00:00:00"/>
    <n v="5"/>
    <x v="1"/>
    <s v="Alan Shonely"/>
    <x v="0"/>
    <m/>
    <s v="Philadelphia"/>
    <s v="Pennsylvania"/>
    <s v="East"/>
    <x v="1"/>
    <x v="9"/>
    <s v="Belkin 7-Outlet SurgeMaster Home Series"/>
    <x v="5804"/>
    <n v="3"/>
    <n v="0.2"/>
    <n v="2.5146000000000002"/>
  </r>
  <r>
    <n v="9936"/>
    <x v="281"/>
    <x v="0"/>
    <x v="3"/>
    <d v="2013-04-13T00:00:00"/>
    <n v="5"/>
    <x v="1"/>
    <s v="Alan Shonely"/>
    <x v="0"/>
    <m/>
    <s v="Philadelphia"/>
    <s v="Pennsylvania"/>
    <s v="East"/>
    <x v="1"/>
    <x v="4"/>
    <s v="Eldon Jumbo ProFile Portable File Boxes Graphite/Black"/>
    <x v="5805"/>
    <n v="3"/>
    <n v="0.2"/>
    <n v="3.6743999999999999"/>
  </r>
  <r>
    <n v="9937"/>
    <x v="92"/>
    <x v="3"/>
    <x v="1"/>
    <d v="2014-06-29T00:00:00"/>
    <n v="4"/>
    <x v="1"/>
    <s v="Sonia Cooley"/>
    <x v="0"/>
    <m/>
    <s v="Cranston"/>
    <s v="Rhode Island"/>
    <s v="East"/>
    <x v="1"/>
    <x v="8"/>
    <s v="GBC Prestige Therm-A-Bind Covers"/>
    <x v="4289"/>
    <n v="3"/>
    <n v="0"/>
    <n v="48.377099999999999"/>
  </r>
  <r>
    <n v="9938"/>
    <x v="1235"/>
    <x v="0"/>
    <x v="1"/>
    <d v="2013-06-07T00:00:00"/>
    <n v="3"/>
    <x v="0"/>
    <s v="Christine Phan"/>
    <x v="1"/>
    <m/>
    <s v="Los Angeles"/>
    <s v="California"/>
    <s v="West"/>
    <x v="0"/>
    <x v="3"/>
    <s v="Hon 61000 Series Interactive Training Tables"/>
    <x v="3939"/>
    <n v="2"/>
    <n v="0.2"/>
    <n v="-1.7771999999999999"/>
  </r>
  <r>
    <n v="9939"/>
    <x v="939"/>
    <x v="0"/>
    <x v="4"/>
    <d v="2013-12-18T00:00:00"/>
    <n v="5"/>
    <x v="1"/>
    <s v="Noel Staavos"/>
    <x v="1"/>
    <m/>
    <s v="New York City"/>
    <s v="New York"/>
    <s v="East"/>
    <x v="0"/>
    <x v="5"/>
    <s v="Eldon 500 Class Desk Accessories"/>
    <x v="5806"/>
    <n v="5"/>
    <n v="0"/>
    <n v="19.915500000000002"/>
  </r>
  <r>
    <n v="9940"/>
    <x v="939"/>
    <x v="0"/>
    <x v="4"/>
    <d v="2013-12-18T00:00:00"/>
    <n v="5"/>
    <x v="1"/>
    <s v="Noel Staavos"/>
    <x v="1"/>
    <m/>
    <s v="New York City"/>
    <s v="New York"/>
    <s v="East"/>
    <x v="1"/>
    <x v="14"/>
    <s v="Fiskars Home &amp; Office Scissors"/>
    <x v="5652"/>
    <n v="4"/>
    <n v="0"/>
    <n v="9.9456000000000007"/>
  </r>
  <r>
    <n v="9941"/>
    <x v="939"/>
    <x v="0"/>
    <x v="4"/>
    <d v="2013-12-18T00:00:00"/>
    <n v="5"/>
    <x v="1"/>
    <s v="Noel Staavos"/>
    <x v="1"/>
    <m/>
    <s v="New York City"/>
    <s v="New York"/>
    <s v="East"/>
    <x v="1"/>
    <x v="6"/>
    <s v="Sanford Pocket Accent Highlighters"/>
    <x v="5807"/>
    <n v="7"/>
    <n v="0"/>
    <n v="4.8159999999999998"/>
  </r>
  <r>
    <n v="9942"/>
    <x v="221"/>
    <x v="3"/>
    <x v="0"/>
    <d v="2014-12-01T00:00:00"/>
    <n v="6"/>
    <x v="1"/>
    <s v="John Lee"/>
    <x v="0"/>
    <m/>
    <s v="San Francisco"/>
    <s v="California"/>
    <s v="West"/>
    <x v="2"/>
    <x v="11"/>
    <s v="Memorex Mini Travel Drive 16 GB USB 2.0 Flash Drive"/>
    <x v="5808"/>
    <n v="14"/>
    <n v="0"/>
    <n v="87.196200000000005"/>
  </r>
  <r>
    <n v="9943"/>
    <x v="129"/>
    <x v="2"/>
    <x v="4"/>
    <d v="2012-01-03T00:00:00"/>
    <n v="6"/>
    <x v="1"/>
    <s v="Maribeth Dona"/>
    <x v="0"/>
    <m/>
    <s v="Anaheim"/>
    <s v="California"/>
    <s v="West"/>
    <x v="1"/>
    <x v="4"/>
    <s v="Carina Mini System Audio Rack, Model AR050B"/>
    <x v="5809"/>
    <n v="9"/>
    <n v="0"/>
    <n v="29.964600000000001"/>
  </r>
  <r>
    <n v="9944"/>
    <x v="129"/>
    <x v="2"/>
    <x v="4"/>
    <d v="2012-01-03T00:00:00"/>
    <n v="6"/>
    <x v="1"/>
    <s v="Maribeth Dona"/>
    <x v="0"/>
    <m/>
    <s v="Anaheim"/>
    <s v="California"/>
    <s v="West"/>
    <x v="1"/>
    <x v="14"/>
    <s v="Acme Box Cutter Scissors"/>
    <x v="5810"/>
    <n v="5"/>
    <n v="0"/>
    <n v="13.298999999999999"/>
  </r>
  <r>
    <n v="9945"/>
    <x v="1236"/>
    <x v="1"/>
    <x v="3"/>
    <d v="2012-04-17T00:00:00"/>
    <n v="5"/>
    <x v="0"/>
    <s v="Robert Dilbeck"/>
    <x v="2"/>
    <m/>
    <s v="Seattle"/>
    <s v="Washington"/>
    <s v="West"/>
    <x v="1"/>
    <x v="4"/>
    <s v="Rogers Jumbo File, Granite"/>
    <x v="1344"/>
    <n v="3"/>
    <n v="0"/>
    <n v="0.40739999999999998"/>
  </r>
  <r>
    <n v="9946"/>
    <x v="1086"/>
    <x v="2"/>
    <x v="10"/>
    <d v="2011-03-06T00:00:00"/>
    <n v="4"/>
    <x v="1"/>
    <s v="Nicole Hansen"/>
    <x v="1"/>
    <m/>
    <s v="Philadelphia"/>
    <s v="Pennsylvania"/>
    <s v="East"/>
    <x v="1"/>
    <x v="10"/>
    <s v="Xerox 1971"/>
    <x v="1306"/>
    <n v="1"/>
    <n v="0.2"/>
    <n v="1.07"/>
  </r>
  <r>
    <n v="9947"/>
    <x v="1086"/>
    <x v="2"/>
    <x v="10"/>
    <d v="2011-03-06T00:00:00"/>
    <n v="4"/>
    <x v="1"/>
    <s v="Nicole Hansen"/>
    <x v="1"/>
    <m/>
    <s v="Philadelphia"/>
    <s v="Pennsylvania"/>
    <s v="East"/>
    <x v="2"/>
    <x v="11"/>
    <s v="Hypercom P1300 Pinpad"/>
    <x v="1252"/>
    <n v="3"/>
    <n v="0.2"/>
    <n v="32.130000000000003"/>
  </r>
  <r>
    <n v="9948"/>
    <x v="702"/>
    <x v="3"/>
    <x v="1"/>
    <d v="2014-06-04T00:00:00"/>
    <n v="2"/>
    <x v="0"/>
    <s v="Helen Wasserman"/>
    <x v="1"/>
    <m/>
    <s v="Indianapolis"/>
    <s v="Indiana"/>
    <s v="Central"/>
    <x v="0"/>
    <x v="1"/>
    <s v="Hon 4070 Series Pagoda Round Back Stacking Chairs"/>
    <x v="5811"/>
    <n v="6"/>
    <n v="0"/>
    <n v="539.24639999999999"/>
  </r>
  <r>
    <n v="9949"/>
    <x v="702"/>
    <x v="3"/>
    <x v="1"/>
    <d v="2014-06-04T00:00:00"/>
    <n v="2"/>
    <x v="0"/>
    <s v="Helen Wasserman"/>
    <x v="1"/>
    <m/>
    <s v="Indianapolis"/>
    <s v="Indiana"/>
    <s v="Central"/>
    <x v="1"/>
    <x v="9"/>
    <s v="Honeywell Enviracaire Portable HEPA Air Cleaner for 17' x 22' Room"/>
    <x v="5812"/>
    <n v="8"/>
    <n v="0"/>
    <n v="793.71600000000001"/>
  </r>
  <r>
    <n v="9950"/>
    <x v="702"/>
    <x v="3"/>
    <x v="1"/>
    <d v="2014-06-04T00:00:00"/>
    <n v="2"/>
    <x v="0"/>
    <s v="Helen Wasserman"/>
    <x v="1"/>
    <m/>
    <s v="Indianapolis"/>
    <s v="Indiana"/>
    <s v="Central"/>
    <x v="2"/>
    <x v="11"/>
    <s v="Maxell LTO Ultrium - 800 GB"/>
    <x v="2436"/>
    <n v="3"/>
    <n v="0"/>
    <n v="15.9543"/>
  </r>
  <r>
    <n v="9951"/>
    <x v="702"/>
    <x v="3"/>
    <x v="1"/>
    <d v="2014-06-04T00:00:00"/>
    <n v="2"/>
    <x v="0"/>
    <s v="Helen Wasserman"/>
    <x v="1"/>
    <m/>
    <s v="Indianapolis"/>
    <s v="Indiana"/>
    <s v="Central"/>
    <x v="2"/>
    <x v="11"/>
    <s v="Logitech MX Performance Wireless Mouse"/>
    <x v="5813"/>
    <n v="1"/>
    <n v="0"/>
    <n v="14.7593"/>
  </r>
  <r>
    <n v="9952"/>
    <x v="702"/>
    <x v="3"/>
    <x v="1"/>
    <d v="2014-06-04T00:00:00"/>
    <n v="2"/>
    <x v="0"/>
    <s v="Helen Wasserman"/>
    <x v="1"/>
    <m/>
    <s v="Indianapolis"/>
    <s v="Indiana"/>
    <s v="Central"/>
    <x v="1"/>
    <x v="8"/>
    <s v="Cardinal Slant-D Ring Binders"/>
    <x v="1018"/>
    <n v="2"/>
    <n v="0"/>
    <n v="8.69"/>
  </r>
  <r>
    <n v="9953"/>
    <x v="639"/>
    <x v="1"/>
    <x v="4"/>
    <d v="2012-12-16T00:00:00"/>
    <n v="2"/>
    <x v="0"/>
    <s v="Darren Budd"/>
    <x v="1"/>
    <m/>
    <s v="Los Angeles"/>
    <s v="California"/>
    <s v="West"/>
    <x v="1"/>
    <x v="8"/>
    <s v="Ibico Recycled Grain-Textured Covers"/>
    <x v="5814"/>
    <n v="2"/>
    <n v="0.2"/>
    <n v="20.724"/>
  </r>
  <r>
    <n v="9954"/>
    <x v="639"/>
    <x v="1"/>
    <x v="4"/>
    <d v="2012-12-16T00:00:00"/>
    <n v="2"/>
    <x v="0"/>
    <s v="Darren Budd"/>
    <x v="1"/>
    <m/>
    <s v="Los Angeles"/>
    <s v="California"/>
    <s v="West"/>
    <x v="1"/>
    <x v="10"/>
    <s v="Xerox 23"/>
    <x v="90"/>
    <n v="1"/>
    <n v="0"/>
    <n v="3.1103999999999998"/>
  </r>
  <r>
    <n v="9955"/>
    <x v="639"/>
    <x v="1"/>
    <x v="4"/>
    <d v="2012-12-16T00:00:00"/>
    <n v="2"/>
    <x v="0"/>
    <s v="Darren Budd"/>
    <x v="1"/>
    <m/>
    <s v="Los Angeles"/>
    <s v="California"/>
    <s v="West"/>
    <x v="1"/>
    <x v="8"/>
    <s v="GBC Laser Imprintable Binding System Covers, Desert Sand"/>
    <x v="4169"/>
    <n v="3"/>
    <n v="0.2"/>
    <n v="11.5587"/>
  </r>
  <r>
    <n v="9956"/>
    <x v="639"/>
    <x v="1"/>
    <x v="4"/>
    <d v="2012-12-16T00:00:00"/>
    <n v="2"/>
    <x v="0"/>
    <s v="Darren Budd"/>
    <x v="1"/>
    <m/>
    <s v="Los Angeles"/>
    <s v="California"/>
    <s v="West"/>
    <x v="0"/>
    <x v="3"/>
    <s v="Bush Andora Conference Table, Maple/Graphite Gray Finish"/>
    <x v="5721"/>
    <n v="2"/>
    <n v="0.2"/>
    <n v="10.258800000000001"/>
  </r>
  <r>
    <n v="9957"/>
    <x v="7"/>
    <x v="2"/>
    <x v="0"/>
    <d v="2011-11-17T00:00:00"/>
    <n v="6"/>
    <x v="1"/>
    <s v="Kristina Nunn"/>
    <x v="2"/>
    <m/>
    <s v="New Rochelle"/>
    <s v="New York"/>
    <s v="East"/>
    <x v="1"/>
    <x v="10"/>
    <s v="Wirebound Message Books, Four 2 3/4&quot; x 5&quot; Forms per Page, 600 Sets per Book"/>
    <x v="3126"/>
    <n v="5"/>
    <n v="0"/>
    <n v="21.784500000000001"/>
  </r>
  <r>
    <n v="9958"/>
    <x v="7"/>
    <x v="2"/>
    <x v="0"/>
    <d v="2011-11-17T00:00:00"/>
    <n v="6"/>
    <x v="1"/>
    <s v="Kristina Nunn"/>
    <x v="2"/>
    <m/>
    <s v="New Rochelle"/>
    <s v="New York"/>
    <s v="East"/>
    <x v="1"/>
    <x v="10"/>
    <s v="Xerox 1882"/>
    <x v="1061"/>
    <n v="4"/>
    <n v="0"/>
    <n v="109.7208"/>
  </r>
  <r>
    <n v="9959"/>
    <x v="7"/>
    <x v="2"/>
    <x v="0"/>
    <d v="2011-11-17T00:00:00"/>
    <n v="6"/>
    <x v="1"/>
    <s v="Kristina Nunn"/>
    <x v="2"/>
    <m/>
    <s v="New Rochelle"/>
    <s v="New York"/>
    <s v="East"/>
    <x v="1"/>
    <x v="14"/>
    <s v="Acme Value Line Scissors"/>
    <x v="545"/>
    <n v="2"/>
    <n v="0"/>
    <n v="2.19"/>
  </r>
  <r>
    <n v="9960"/>
    <x v="833"/>
    <x v="3"/>
    <x v="2"/>
    <d v="2014-10-12T00:00:00"/>
    <n v="5"/>
    <x v="1"/>
    <s v="Ashley Jarboe"/>
    <x v="0"/>
    <m/>
    <s v="Chandler"/>
    <s v="Arizona"/>
    <s v="West"/>
    <x v="1"/>
    <x v="6"/>
    <s v="Avery Hi-Liter Smear-Safe Highlighters"/>
    <x v="560"/>
    <n v="2"/>
    <n v="0.2"/>
    <n v="1.8688"/>
  </r>
  <r>
    <n v="9961"/>
    <x v="118"/>
    <x v="3"/>
    <x v="8"/>
    <d v="2014-09-19T00:00:00"/>
    <n v="2"/>
    <x v="0"/>
    <s v="Craig Leslie"/>
    <x v="2"/>
    <m/>
    <s v="Florence"/>
    <s v="Kentucky"/>
    <s v="South"/>
    <x v="2"/>
    <x v="11"/>
    <s v="KeyTronic E03601U1 - Keyboard - Beige"/>
    <x v="3215"/>
    <n v="1"/>
    <n v="0"/>
    <n v="3.24"/>
  </r>
  <r>
    <n v="9962"/>
    <x v="531"/>
    <x v="1"/>
    <x v="10"/>
    <d v="2012-03-22T00:00:00"/>
    <n v="3"/>
    <x v="2"/>
    <s v="Corinna Mitchell"/>
    <x v="2"/>
    <m/>
    <s v="Houston"/>
    <s v="Texas"/>
    <s v="Central"/>
    <x v="1"/>
    <x v="10"/>
    <s v="Xerox 1919"/>
    <x v="4771"/>
    <n v="2"/>
    <n v="0.2"/>
    <n v="23.7742"/>
  </r>
  <r>
    <n v="9963"/>
    <x v="531"/>
    <x v="1"/>
    <x v="10"/>
    <d v="2012-03-22T00:00:00"/>
    <n v="3"/>
    <x v="2"/>
    <s v="Corinna Mitchell"/>
    <x v="2"/>
    <m/>
    <s v="Houston"/>
    <s v="Texas"/>
    <s v="Central"/>
    <x v="0"/>
    <x v="0"/>
    <s v="Bush Heritage Pine Collection 5-Shelf Bookcase, Albany Pine Finish, *Special Order"/>
    <x v="5815"/>
    <n v="4"/>
    <n v="0.32"/>
    <n v="-67.670400000000001"/>
  </r>
  <r>
    <n v="9964"/>
    <x v="353"/>
    <x v="1"/>
    <x v="7"/>
    <d v="2012-07-26T00:00:00"/>
    <n v="0"/>
    <x v="3"/>
    <s v="Alan Shonely"/>
    <x v="0"/>
    <m/>
    <s v="Philadelphia"/>
    <s v="Pennsylvania"/>
    <s v="East"/>
    <x v="1"/>
    <x v="10"/>
    <s v="Eureka Recycled Copy Paper 8 1/2&quot; x 11&quot;, Ream"/>
    <x v="559"/>
    <n v="2"/>
    <n v="0.2"/>
    <n v="3.6288"/>
  </r>
  <r>
    <n v="9965"/>
    <x v="5"/>
    <x v="0"/>
    <x v="4"/>
    <d v="2013-12-11T00:00:00"/>
    <n v="5"/>
    <x v="0"/>
    <s v="Harold Engle"/>
    <x v="1"/>
    <m/>
    <s v="Newark"/>
    <s v="Delaware"/>
    <s v="East"/>
    <x v="0"/>
    <x v="5"/>
    <s v="Electrix 20W Halogen Replacement Bulb for Zoom-In Desk Lamp"/>
    <x v="5816"/>
    <n v="1"/>
    <n v="0"/>
    <n v="6.4320000000000004"/>
  </r>
  <r>
    <n v="9966"/>
    <x v="5"/>
    <x v="0"/>
    <x v="4"/>
    <d v="2013-12-11T00:00:00"/>
    <n v="5"/>
    <x v="0"/>
    <s v="Harold Engle"/>
    <x v="1"/>
    <m/>
    <s v="Newark"/>
    <s v="Delaware"/>
    <s v="East"/>
    <x v="1"/>
    <x v="10"/>
    <s v="Staples"/>
    <x v="1377"/>
    <n v="1"/>
    <n v="0"/>
    <n v="2.3405999999999998"/>
  </r>
  <r>
    <n v="9967"/>
    <x v="5"/>
    <x v="0"/>
    <x v="4"/>
    <d v="2013-12-11T00:00:00"/>
    <n v="5"/>
    <x v="0"/>
    <s v="Harold Engle"/>
    <x v="1"/>
    <m/>
    <s v="Newark"/>
    <s v="Delaware"/>
    <s v="East"/>
    <x v="1"/>
    <x v="12"/>
    <s v="#10 White Business Envelopes,4 1/8 x 9 1/2"/>
    <x v="5817"/>
    <n v="7"/>
    <n v="0"/>
    <n v="51.554299999999998"/>
  </r>
  <r>
    <n v="9968"/>
    <x v="157"/>
    <x v="3"/>
    <x v="4"/>
    <d v="2014-12-18T00:00:00"/>
    <n v="6"/>
    <x v="1"/>
    <s v="Richard Bierner"/>
    <x v="0"/>
    <m/>
    <s v="Plainfield"/>
    <s v="New Jersey"/>
    <s v="East"/>
    <x v="1"/>
    <x v="8"/>
    <s v="Fellowes Twister Kit, Gray/Clear, 3/pkg"/>
    <x v="452"/>
    <n v="5"/>
    <n v="0"/>
    <n v="18.09"/>
  </r>
  <r>
    <n v="9969"/>
    <x v="157"/>
    <x v="3"/>
    <x v="4"/>
    <d v="2014-12-18T00:00:00"/>
    <n v="6"/>
    <x v="1"/>
    <s v="Richard Bierner"/>
    <x v="0"/>
    <m/>
    <s v="Plainfield"/>
    <s v="New Jersey"/>
    <s v="East"/>
    <x v="1"/>
    <x v="8"/>
    <s v="Ibico Ibimaster 300 Manual Binding System"/>
    <x v="2501"/>
    <n v="2"/>
    <n v="0"/>
    <n v="331.19099999999997"/>
  </r>
  <r>
    <n v="9970"/>
    <x v="157"/>
    <x v="3"/>
    <x v="4"/>
    <d v="2014-12-18T00:00:00"/>
    <n v="6"/>
    <x v="1"/>
    <s v="Richard Bierner"/>
    <x v="0"/>
    <m/>
    <s v="Plainfield"/>
    <s v="New Jersey"/>
    <s v="East"/>
    <x v="1"/>
    <x v="9"/>
    <s v="Bravo II Megaboss 12-Amp Hard Body Upright, Replacement Belts, 2 Belts per Pack"/>
    <x v="505"/>
    <n v="7"/>
    <n v="0"/>
    <n v="6.5975000000000001"/>
  </r>
  <r>
    <n v="9971"/>
    <x v="1141"/>
    <x v="1"/>
    <x v="1"/>
    <d v="2012-07-02T00:00:00"/>
    <n v="4"/>
    <x v="1"/>
    <s v="Mark Packer"/>
    <x v="2"/>
    <m/>
    <s v="Smyrna"/>
    <s v="Georgia"/>
    <s v="South"/>
    <x v="1"/>
    <x v="8"/>
    <s v="GBC Recycled Regency Composition Covers"/>
    <x v="5818"/>
    <n v="2"/>
    <n v="0"/>
    <n v="54.997599999999998"/>
  </r>
  <r>
    <n v="9972"/>
    <x v="1141"/>
    <x v="1"/>
    <x v="1"/>
    <d v="2012-07-02T00:00:00"/>
    <n v="4"/>
    <x v="1"/>
    <s v="Mark Packer"/>
    <x v="2"/>
    <m/>
    <s v="Smyrna"/>
    <s v="Georgia"/>
    <s v="South"/>
    <x v="1"/>
    <x v="6"/>
    <s v="Boston Model 1800 Electric Pencil Sharpener, Gray"/>
    <x v="3383"/>
    <n v="5"/>
    <n v="0"/>
    <n v="42.225000000000001"/>
  </r>
  <r>
    <n v="9973"/>
    <x v="108"/>
    <x v="0"/>
    <x v="8"/>
    <d v="2013-09-18T00:00:00"/>
    <n v="6"/>
    <x v="1"/>
    <s v="Ryan Crowe"/>
    <x v="0"/>
    <m/>
    <s v="Houston"/>
    <s v="Texas"/>
    <s v="Central"/>
    <x v="1"/>
    <x v="12"/>
    <s v="Cameo Buff Policy Envelopes"/>
    <x v="5819"/>
    <n v="2"/>
    <n v="0.2"/>
    <n v="33.604199999999999"/>
  </r>
  <r>
    <n v="9974"/>
    <x v="409"/>
    <x v="0"/>
    <x v="4"/>
    <d v="2013-12-11T00:00:00"/>
    <n v="4"/>
    <x v="1"/>
    <s v="Anne Pryor"/>
    <x v="2"/>
    <m/>
    <s v="Los Angeles"/>
    <s v="California"/>
    <s v="West"/>
    <x v="2"/>
    <x v="7"/>
    <s v="Avaya 5410 Digital phone"/>
    <x v="1071"/>
    <n v="5"/>
    <n v="0.2"/>
    <n v="27.196000000000002"/>
  </r>
  <r>
    <n v="9975"/>
    <x v="409"/>
    <x v="0"/>
    <x v="4"/>
    <d v="2013-12-11T00:00:00"/>
    <n v="4"/>
    <x v="1"/>
    <s v="Anne Pryor"/>
    <x v="2"/>
    <m/>
    <s v="Los Angeles"/>
    <s v="California"/>
    <s v="West"/>
    <x v="1"/>
    <x v="6"/>
    <s v="Blackstonian Pencils"/>
    <x v="3450"/>
    <n v="7"/>
    <n v="0"/>
    <n v="5.2332000000000001"/>
  </r>
  <r>
    <n v="9976"/>
    <x v="409"/>
    <x v="0"/>
    <x v="4"/>
    <d v="2013-12-11T00:00:00"/>
    <n v="4"/>
    <x v="1"/>
    <s v="Anne Pryor"/>
    <x v="2"/>
    <m/>
    <s v="Los Angeles"/>
    <s v="California"/>
    <s v="West"/>
    <x v="1"/>
    <x v="10"/>
    <s v="Xerox 1977"/>
    <x v="518"/>
    <n v="2"/>
    <n v="0"/>
    <n v="6.4127999999999998"/>
  </r>
  <r>
    <n v="9977"/>
    <x v="409"/>
    <x v="0"/>
    <x v="4"/>
    <d v="2013-12-11T00:00:00"/>
    <n v="4"/>
    <x v="1"/>
    <s v="Anne Pryor"/>
    <x v="2"/>
    <m/>
    <s v="Los Angeles"/>
    <s v="California"/>
    <s v="West"/>
    <x v="2"/>
    <x v="7"/>
    <s v="Cisco SPA301"/>
    <x v="2475"/>
    <n v="2"/>
    <n v="0.2"/>
    <n v="31.198"/>
  </r>
  <r>
    <n v="9978"/>
    <x v="409"/>
    <x v="0"/>
    <x v="4"/>
    <d v="2013-12-11T00:00:00"/>
    <n v="4"/>
    <x v="1"/>
    <s v="Anne Pryor"/>
    <x v="2"/>
    <m/>
    <s v="Los Angeles"/>
    <s v="California"/>
    <s v="West"/>
    <x v="1"/>
    <x v="13"/>
    <s v="Alliance Big Bands Rubber Bands, 12/Pack"/>
    <x v="5820"/>
    <n v="7"/>
    <n v="0"/>
    <n v="0"/>
  </r>
  <r>
    <n v="9979"/>
    <x v="409"/>
    <x v="0"/>
    <x v="4"/>
    <d v="2013-12-11T00:00:00"/>
    <n v="4"/>
    <x v="1"/>
    <s v="Anne Pryor"/>
    <x v="2"/>
    <m/>
    <s v="Los Angeles"/>
    <s v="California"/>
    <s v="West"/>
    <x v="1"/>
    <x v="8"/>
    <s v="Avery Durable Slant Ring Binders With Label Holder"/>
    <x v="5821"/>
    <n v="4"/>
    <n v="0.2"/>
    <n v="4.6816000000000004"/>
  </r>
  <r>
    <n v="9980"/>
    <x v="409"/>
    <x v="0"/>
    <x v="4"/>
    <d v="2013-12-11T00:00:00"/>
    <n v="4"/>
    <x v="1"/>
    <s v="Anne Pryor"/>
    <x v="2"/>
    <m/>
    <s v="Los Angeles"/>
    <s v="California"/>
    <s v="West"/>
    <x v="1"/>
    <x v="8"/>
    <s v="Ibico Recycled Linen-Style Covers"/>
    <x v="5822"/>
    <n v="14"/>
    <n v="0.2"/>
    <n v="153.11519999999999"/>
  </r>
  <r>
    <n v="9981"/>
    <x v="684"/>
    <x v="1"/>
    <x v="8"/>
    <d v="2012-09-09T00:00:00"/>
    <n v="3"/>
    <x v="0"/>
    <s v="Shaun Weien"/>
    <x v="0"/>
    <m/>
    <s v="Lafayette"/>
    <s v="Louisiana"/>
    <s v="South"/>
    <x v="0"/>
    <x v="3"/>
    <s v="KI Adjustable-Height Table"/>
    <x v="1890"/>
    <n v="1"/>
    <n v="0"/>
    <n v="22.354800000000001"/>
  </r>
  <r>
    <n v="9982"/>
    <x v="646"/>
    <x v="3"/>
    <x v="6"/>
    <d v="2014-08-07T00:00:00"/>
    <n v="3"/>
    <x v="2"/>
    <s v="Ted Butterfield"/>
    <x v="0"/>
    <m/>
    <s v="Fairfield"/>
    <s v="Ohio"/>
    <s v="East"/>
    <x v="1"/>
    <x v="2"/>
    <s v="Avery 476"/>
    <x v="1045"/>
    <n v="5"/>
    <n v="0.2"/>
    <n v="5.3689999999999998"/>
  </r>
  <r>
    <n v="9983"/>
    <x v="897"/>
    <x v="0"/>
    <x v="8"/>
    <d v="2013-09-29T00:00:00"/>
    <n v="6"/>
    <x v="1"/>
    <s v="Ryan Crowe"/>
    <x v="0"/>
    <m/>
    <s v="Grand Rapids"/>
    <s v="Michigan"/>
    <s v="Central"/>
    <x v="1"/>
    <x v="10"/>
    <s v="RSVP Cards &amp; Envelopes, Blank White, 8-1/2&quot; X 11&quot;, 24 Cards/25 Envelopes/Set"/>
    <x v="591"/>
    <n v="7"/>
    <n v="0"/>
    <n v="16.713200000000001"/>
  </r>
  <r>
    <n v="9984"/>
    <x v="897"/>
    <x v="0"/>
    <x v="8"/>
    <d v="2013-09-29T00:00:00"/>
    <n v="6"/>
    <x v="1"/>
    <s v="Ryan Crowe"/>
    <x v="0"/>
    <m/>
    <s v="Grand Rapids"/>
    <s v="Michigan"/>
    <s v="Central"/>
    <x v="2"/>
    <x v="7"/>
    <s v="Panasonic KX TS208W Corded phone"/>
    <x v="5823"/>
    <n v="2"/>
    <n v="0"/>
    <n v="27.4344"/>
  </r>
  <r>
    <n v="9985"/>
    <x v="961"/>
    <x v="1"/>
    <x v="5"/>
    <d v="2012-05-23T00:00:00"/>
    <n v="6"/>
    <x v="1"/>
    <s v="Dianna Vittorini"/>
    <x v="0"/>
    <m/>
    <s v="Long Beach"/>
    <s v="New York"/>
    <s v="East"/>
    <x v="1"/>
    <x v="2"/>
    <s v="Self-Adhesive Removable Labels"/>
    <x v="2432"/>
    <n v="10"/>
    <n v="0"/>
    <n v="15.12"/>
  </r>
  <r>
    <n v="9986"/>
    <x v="961"/>
    <x v="1"/>
    <x v="5"/>
    <d v="2012-05-23T00:00:00"/>
    <n v="6"/>
    <x v="1"/>
    <s v="Dianna Vittorini"/>
    <x v="0"/>
    <m/>
    <s v="Long Beach"/>
    <s v="New York"/>
    <s v="East"/>
    <x v="1"/>
    <x v="14"/>
    <s v="Acme Hot Forged Carbon Steel Scissors with Nickel-Plated Handles, 3 7/8&quot; Cut, 8&quot;L"/>
    <x v="5368"/>
    <n v="4"/>
    <n v="0"/>
    <n v="16.123999999999999"/>
  </r>
  <r>
    <n v="9987"/>
    <x v="321"/>
    <x v="0"/>
    <x v="8"/>
    <d v="2013-10-04T00:00:00"/>
    <n v="4"/>
    <x v="1"/>
    <s v="Maris LaWare"/>
    <x v="0"/>
    <m/>
    <s v="Los Angeles"/>
    <s v="California"/>
    <s v="West"/>
    <x v="2"/>
    <x v="11"/>
    <s v="Memorex Mini Travel Drive 64 GB USB 2.0 Flash Drive"/>
    <x v="341"/>
    <n v="1"/>
    <n v="0"/>
    <n v="15.220800000000001"/>
  </r>
  <r>
    <n v="9988"/>
    <x v="701"/>
    <x v="3"/>
    <x v="0"/>
    <d v="2014-11-22T00:00:00"/>
    <n v="4"/>
    <x v="1"/>
    <s v="Ruben Ausman"/>
    <x v="1"/>
    <m/>
    <s v="Athens"/>
    <s v="Georgia"/>
    <s v="South"/>
    <x v="2"/>
    <x v="11"/>
    <s v="Logitech G430 Surround Sound Gaming Headset with Dolby 7.1 Technology"/>
    <x v="3590"/>
    <n v="1"/>
    <n v="0"/>
    <n v="28.796399999999998"/>
  </r>
  <r>
    <n v="9989"/>
    <x v="701"/>
    <x v="3"/>
    <x v="0"/>
    <d v="2014-11-22T00:00:00"/>
    <n v="4"/>
    <x v="1"/>
    <s v="Ruben Ausman"/>
    <x v="1"/>
    <m/>
    <s v="Athens"/>
    <s v="Georgia"/>
    <s v="South"/>
    <x v="2"/>
    <x v="7"/>
    <s v="Panasonic KX - TS880B Telephone"/>
    <x v="5738"/>
    <n v="5"/>
    <n v="0"/>
    <n v="55.646999999999998"/>
  </r>
  <r>
    <n v="9990"/>
    <x v="1237"/>
    <x v="2"/>
    <x v="9"/>
    <d v="2011-01-24T00:00:00"/>
    <n v="2"/>
    <x v="0"/>
    <s v="Tom Boeckenhauer"/>
    <x v="0"/>
    <m/>
    <s v="Miami"/>
    <s v="Florida"/>
    <s v="South"/>
    <x v="0"/>
    <x v="5"/>
    <s v="Ultra Door Pull Handle"/>
    <x v="4192"/>
    <n v="3"/>
    <n v="0.2"/>
    <n v="4.1028000000000002"/>
  </r>
  <r>
    <n v="9991"/>
    <x v="425"/>
    <x v="3"/>
    <x v="11"/>
    <d v="2014-03-04T00:00:00"/>
    <n v="5"/>
    <x v="1"/>
    <s v="Dave Brooks"/>
    <x v="0"/>
    <m/>
    <s v="Costa Mesa"/>
    <s v="California"/>
    <s v="West"/>
    <x v="0"/>
    <x v="5"/>
    <s v="Tenex B1-RE Series Chair Mats for Low Pile Carpets"/>
    <x v="1361"/>
    <n v="2"/>
    <n v="0"/>
    <n v="15.6332"/>
  </r>
  <r>
    <n v="9992"/>
    <x v="425"/>
    <x v="3"/>
    <x v="11"/>
    <d v="2014-03-04T00:00:00"/>
    <n v="5"/>
    <x v="1"/>
    <s v="Dave Brooks"/>
    <x v="0"/>
    <m/>
    <s v="Costa Mesa"/>
    <s v="California"/>
    <s v="West"/>
    <x v="2"/>
    <x v="7"/>
    <s v="Aastra 57i VoIP phone"/>
    <x v="3689"/>
    <n v="2"/>
    <n v="0.2"/>
    <n v="19.3932"/>
  </r>
  <r>
    <n v="9993"/>
    <x v="425"/>
    <x v="3"/>
    <x v="11"/>
    <d v="2014-03-04T00:00:00"/>
    <n v="5"/>
    <x v="1"/>
    <s v="Dave Brooks"/>
    <x v="0"/>
    <m/>
    <s v="Costa Mesa"/>
    <s v="California"/>
    <s v="West"/>
    <x v="1"/>
    <x v="10"/>
    <s v="It's Hot Message Books with Stickers, 2 3/4&quot; x 5&quot;"/>
    <x v="458"/>
    <n v="4"/>
    <n v="0"/>
    <n v="13.32"/>
  </r>
  <r>
    <n v="9994"/>
    <x v="464"/>
    <x v="3"/>
    <x v="5"/>
    <d v="2014-05-10T00:00:00"/>
    <n v="5"/>
    <x v="0"/>
    <s v="Chris Cortes"/>
    <x v="0"/>
    <m/>
    <s v="Westminster"/>
    <s v="California"/>
    <s v="West"/>
    <x v="1"/>
    <x v="9"/>
    <s v="Acco 7-Outlet Masterpiece Power Center, Wihtout Fax/Phone Line Protection"/>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2E1FA5-C836-44EF-B77A-738FE8A49DD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16" firstHeaderRow="1" firstDataRow="1" firstDataCol="1"/>
  <pivotFields count="20">
    <pivotField showAll="0"/>
    <pivotField numFmtId="165"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axis="axisRow" showAll="0">
      <items count="13">
        <item x="9"/>
        <item x="11"/>
        <item x="10"/>
        <item x="3"/>
        <item x="5"/>
        <item x="1"/>
        <item x="7"/>
        <item x="6"/>
        <item x="8"/>
        <item x="2"/>
        <item x="0"/>
        <item x="4"/>
        <item t="default"/>
      </items>
    </pivotField>
    <pivotField numFmtId="165"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 showAll="0"/>
    <pivotField numFmtId="2" showAll="0"/>
  </pivotFields>
  <rowFields count="1">
    <field x="3"/>
  </rowFields>
  <rowItems count="13">
    <i>
      <x/>
    </i>
    <i>
      <x v="1"/>
    </i>
    <i>
      <x v="2"/>
    </i>
    <i>
      <x v="3"/>
    </i>
    <i>
      <x v="4"/>
    </i>
    <i>
      <x v="5"/>
    </i>
    <i>
      <x v="6"/>
    </i>
    <i>
      <x v="7"/>
    </i>
    <i>
      <x v="8"/>
    </i>
    <i>
      <x v="9"/>
    </i>
    <i>
      <x v="10"/>
    </i>
    <i>
      <x v="11"/>
    </i>
    <i t="grand">
      <x/>
    </i>
  </rowItems>
  <colItems count="1">
    <i/>
  </colItems>
  <dataFields count="1">
    <dataField name="Sum of Sales" fld="16" baseField="0" baseItem="0" numFmtId="2"/>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715A48-FB1C-49F8-B0BF-B599B9E9987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D3:E8" firstHeaderRow="1" firstDataRow="1" firstDataCol="1"/>
  <pivotFields count="20">
    <pivotField showAll="0"/>
    <pivotField numFmtId="165"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13">
        <item x="9"/>
        <item x="11"/>
        <item x="10"/>
        <item x="3"/>
        <item x="5"/>
        <item x="1"/>
        <item x="7"/>
        <item x="6"/>
        <item x="8"/>
        <item x="2"/>
        <item x="0"/>
        <item x="4"/>
        <item t="default"/>
      </items>
    </pivotField>
    <pivotField numFmtId="165"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dataField="1" numFmtId="2" showAll="0"/>
    <pivotField showAll="0"/>
    <pivotField showAll="0"/>
    <pivotField numFmtId="2" showAll="0"/>
  </pivotFields>
  <rowFields count="1">
    <field x="6"/>
  </rowFields>
  <rowItems count="5">
    <i>
      <x/>
    </i>
    <i>
      <x v="1"/>
    </i>
    <i>
      <x v="2"/>
    </i>
    <i>
      <x v="3"/>
    </i>
    <i t="grand">
      <x/>
    </i>
  </rowItems>
  <colItems count="1">
    <i/>
  </colItems>
  <dataFields count="1">
    <dataField name="Sum of Sales" fld="16" baseField="0" baseItem="0" numFmtId="2"/>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DE8955-7446-4154-AD5E-3466C0ECCED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G3:H7" firstHeaderRow="1" firstDataRow="1" firstDataCol="1"/>
  <pivotFields count="20">
    <pivotField showAll="0"/>
    <pivotField numFmtId="165"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 dataField="1" numFmtId="2"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numFmtId="2" showAll="0"/>
  </pivotFields>
  <rowFields count="1">
    <field x="8"/>
  </rowFields>
  <rowItems count="4">
    <i>
      <x/>
    </i>
    <i>
      <x v="1"/>
    </i>
    <i>
      <x v="2"/>
    </i>
    <i t="grand">
      <x/>
    </i>
  </rowItems>
  <colItems count="1">
    <i/>
  </colItems>
  <dataFields count="1">
    <dataField name="Sum of Sales" fld="16" baseField="0" baseItem="0" numFmtId="2"/>
  </dataFields>
  <chartFormats count="1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8" count="1" selected="0">
            <x v="0"/>
          </reference>
        </references>
      </pivotArea>
    </chartFormat>
    <chartFormat chart="4" format="2">
      <pivotArea type="data" outline="0" fieldPosition="0">
        <references count="2">
          <reference field="4294967294" count="1" selected="0">
            <x v="0"/>
          </reference>
          <reference field="8" count="1" selected="0">
            <x v="1"/>
          </reference>
        </references>
      </pivotArea>
    </chartFormat>
    <chartFormat chart="4" format="3">
      <pivotArea type="data" outline="0" fieldPosition="0">
        <references count="2">
          <reference field="4294967294" count="1" selected="0">
            <x v="0"/>
          </reference>
          <reference field="8" count="1" selected="0">
            <x v="2"/>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8" count="1" selected="0">
            <x v="0"/>
          </reference>
        </references>
      </pivotArea>
    </chartFormat>
    <chartFormat chart="5" format="6">
      <pivotArea type="data" outline="0" fieldPosition="0">
        <references count="2">
          <reference field="4294967294" count="1" selected="0">
            <x v="0"/>
          </reference>
          <reference field="8" count="1" selected="0">
            <x v="1"/>
          </reference>
        </references>
      </pivotArea>
    </chartFormat>
    <chartFormat chart="5" format="7">
      <pivotArea type="data" outline="0" fieldPosition="0">
        <references count="2">
          <reference field="4294967294" count="1" selected="0">
            <x v="0"/>
          </reference>
          <reference field="8"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8" count="1" selected="0">
            <x v="0"/>
          </reference>
        </references>
      </pivotArea>
    </chartFormat>
    <chartFormat chart="7" format="10">
      <pivotArea type="data" outline="0" fieldPosition="0">
        <references count="2">
          <reference field="4294967294" count="1" selected="0">
            <x v="0"/>
          </reference>
          <reference field="8" count="1" selected="0">
            <x v="1"/>
          </reference>
        </references>
      </pivotArea>
    </chartFormat>
    <chartFormat chart="7"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36EA44-6056-45FB-947C-EAD0E4D87A4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J3:K21" firstHeaderRow="1" firstDataRow="1" firstDataCol="1"/>
  <pivotFields count="20">
    <pivotField showAll="0"/>
    <pivotField numFmtId="165"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6" baseField="0" baseItem="0" numFmtId="2"/>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CEF874-810D-4D72-9625-1D3C9EBC0A5F}"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V3:W7" firstHeaderRow="1" firstDataRow="1" firstDataCol="1"/>
  <pivotFields count="20">
    <pivotField showAll="0"/>
    <pivotField numFmtId="165"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2" showAll="0"/>
    <pivotField showAll="0"/>
    <pivotField showAll="0"/>
    <pivotField dataField="1" numFmtId="2" showAll="0"/>
  </pivotFields>
  <rowFields count="1">
    <field x="13"/>
  </rowFields>
  <rowItems count="4">
    <i>
      <x/>
    </i>
    <i>
      <x v="1"/>
    </i>
    <i>
      <x v="2"/>
    </i>
    <i t="grand">
      <x/>
    </i>
  </rowItems>
  <colItems count="1">
    <i/>
  </colItems>
  <dataFields count="1">
    <dataField name="Sum of Profit" fld="19" baseField="0" baseItem="0" numFmtId="2"/>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089256-9494-4043-A71F-5313FD61F6F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S3:T16" firstHeaderRow="1" firstDataRow="1" firstDataCol="1"/>
  <pivotFields count="20">
    <pivotField showAll="0"/>
    <pivotField numFmtId="165"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numFmtId="2" showAll="0"/>
    <pivotField showAll="0"/>
    <pivotField showAll="0"/>
    <pivotField dataField="1" numFmtId="2" showAll="0"/>
  </pivotFields>
  <rowFields count="1">
    <field x="3"/>
  </rowFields>
  <rowItems count="13">
    <i>
      <x/>
    </i>
    <i>
      <x v="1"/>
    </i>
    <i>
      <x v="2"/>
    </i>
    <i>
      <x v="3"/>
    </i>
    <i>
      <x v="4"/>
    </i>
    <i>
      <x v="5"/>
    </i>
    <i>
      <x v="6"/>
    </i>
    <i>
      <x v="7"/>
    </i>
    <i>
      <x v="8"/>
    </i>
    <i>
      <x v="9"/>
    </i>
    <i>
      <x v="10"/>
    </i>
    <i>
      <x v="11"/>
    </i>
    <i t="grand">
      <x/>
    </i>
  </rowItems>
  <colItems count="1">
    <i/>
  </colItems>
  <dataFields count="1">
    <dataField name="Sum of Profit" fld="1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A12AFE-43D4-43C9-85AA-A2030D993D09}"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P3:Q16" firstHeaderRow="1" firstDataRow="1" firstDataCol="1"/>
  <pivotFields count="20">
    <pivotField showAll="0"/>
    <pivotField numFmtId="165"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numFmtId="2" showAll="0"/>
    <pivotField dataField="1" showAll="0"/>
    <pivotField showAll="0"/>
    <pivotField numFmtId="2" showAll="0"/>
  </pivotFields>
  <rowFields count="1">
    <field x="3"/>
  </rowFields>
  <rowItems count="13">
    <i>
      <x/>
    </i>
    <i>
      <x v="1"/>
    </i>
    <i>
      <x v="2"/>
    </i>
    <i>
      <x v="3"/>
    </i>
    <i>
      <x v="4"/>
    </i>
    <i>
      <x v="5"/>
    </i>
    <i>
      <x v="6"/>
    </i>
    <i>
      <x v="7"/>
    </i>
    <i>
      <x v="8"/>
    </i>
    <i>
      <x v="9"/>
    </i>
    <i>
      <x v="10"/>
    </i>
    <i>
      <x v="11"/>
    </i>
    <i t="grand">
      <x/>
    </i>
  </rowItems>
  <colItems count="1">
    <i/>
  </colItems>
  <dataFields count="1">
    <dataField name="Sum of Quantity" fld="17" baseField="0" baseItem="0"/>
  </dataFields>
  <chartFormats count="4">
    <chartFormat chart="1"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2B4E3B-50E9-42E0-ADC7-919A2CDF119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M3:N8" firstHeaderRow="1" firstDataRow="1" firstDataCol="1"/>
  <pivotFields count="20">
    <pivotField showAll="0"/>
    <pivotField numFmtId="165"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2"/>
  </rowFields>
  <rowItems count="5">
    <i>
      <x/>
    </i>
    <i>
      <x v="1"/>
    </i>
    <i>
      <x v="2"/>
    </i>
    <i>
      <x v="3"/>
    </i>
    <i t="grand">
      <x/>
    </i>
  </rowItems>
  <colItems count="1">
    <i/>
  </colItems>
  <dataFields count="1">
    <dataField name="Sum of Sales" fld="16" baseField="0" baseItem="0" numFmtId="2"/>
  </dataFields>
  <chartFormats count="6">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3"/>
          </reference>
        </references>
      </pivotArea>
    </chartFormat>
    <chartFormat chart="4" format="4">
      <pivotArea type="data" outline="0" fieldPosition="0">
        <references count="2">
          <reference field="4294967294" count="1" selected="0">
            <x v="0"/>
          </reference>
          <reference field="2" count="1" selected="0">
            <x v="2"/>
          </reference>
        </references>
      </pivotArea>
    </chartFormat>
    <chartFormat chart="4" format="5">
      <pivotArea type="data" outline="0" fieldPosition="0">
        <references count="2">
          <reference field="4294967294" count="1" selected="0">
            <x v="0"/>
          </reference>
          <reference field="2" count="1" selected="0">
            <x v="1"/>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80C0A14-1084-4983-BE32-0B1B2C87BE29}" sourceName="Month">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966163539">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E884702-A3D6-4F33-A2CE-CEB883DEAEE6}" cache="Slicer_Month" caption="Month" columnCount="3" style="SlicerStyleDark1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0513651-B784-4616-B8E2-817C2089BFE8}" sourceName="Order Date">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s>
  <state minimalRefreshVersion="6" lastRefreshVersion="6" pivotCacheId="966163539" filterType="unknown">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28D6F1D-BF84-40B9-BEE1-D17E6192F7E5}" cache="NativeTimeline_Order_Date" caption="Order Date" level="2" selectionLevel="2" scrollPosition="2014-06-21T00:00:00" style="Timeline Style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CFE4FA5-650E-4747-B09D-C932C775BEEE}" cache="NativeTimeline_Order_Date" caption="Order Date" level="2" selectionLevel="2" scrollPosition="2014-04-25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486A-D263-4E87-BDA3-DE1B92E5D0CC}">
  <dimension ref="A1"/>
  <sheetViews>
    <sheetView showGridLines="0" showRowColHeaders="0" tabSelected="1" zoomScale="64" zoomScaleNormal="100" workbookViewId="0">
      <selection activeCell="A9" sqref="A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64F5-BFBD-40B4-9D2D-E16B6783C95B}">
  <dimension ref="A1:AI701"/>
  <sheetViews>
    <sheetView topLeftCell="M1" zoomScale="65" zoomScaleNormal="66" workbookViewId="0">
      <selection activeCell="W28" sqref="W28:AB28"/>
    </sheetView>
  </sheetViews>
  <sheetFormatPr defaultRowHeight="14.4" x14ac:dyDescent="0.3"/>
  <cols>
    <col min="1" max="1" width="5.5546875" style="11" customWidth="1"/>
    <col min="2" max="2" width="13.5546875" style="10" customWidth="1"/>
    <col min="3" max="3" width="10.6640625" style="14" customWidth="1"/>
    <col min="4" max="4" width="10.6640625" style="12" customWidth="1"/>
    <col min="5" max="5" width="10.77734375" style="10" bestFit="1" customWidth="1"/>
    <col min="6" max="6" width="12.44140625" style="11" bestFit="1" customWidth="1"/>
    <col min="7" max="7" width="13.88671875" style="11" bestFit="1" customWidth="1"/>
    <col min="8" max="8" width="22.6640625" style="11" customWidth="1"/>
    <col min="9" max="9" width="12.109375" style="11" customWidth="1"/>
    <col min="10" max="10" width="12.88671875" style="11" customWidth="1"/>
    <col min="11" max="11" width="18.33203125" style="11" customWidth="1"/>
    <col min="12" max="12" width="14.44140625" style="11" customWidth="1"/>
    <col min="13" max="13" width="7.44140625" style="11" customWidth="1"/>
    <col min="14" max="14" width="14.5546875" style="11" customWidth="1"/>
    <col min="15" max="15" width="12.88671875" style="11" customWidth="1"/>
    <col min="16" max="16" width="75.109375" style="11" customWidth="1"/>
    <col min="17" max="19" width="8.88671875" style="11"/>
    <col min="20" max="20" width="11.5546875" style="11" customWidth="1"/>
    <col min="21" max="22" width="8.88671875" style="1"/>
    <col min="23" max="23" width="37.44140625" style="1" customWidth="1"/>
    <col min="24" max="24" width="27.109375" style="1" customWidth="1"/>
    <col min="25" max="25" width="13.109375" style="1" bestFit="1" customWidth="1"/>
    <col min="26" max="27" width="8.88671875" style="1"/>
    <col min="28" max="28" width="12.21875" style="1" bestFit="1" customWidth="1"/>
    <col min="29" max="16384" width="8.88671875" style="1"/>
  </cols>
  <sheetData>
    <row r="1" spans="1:35" s="2" customFormat="1" x14ac:dyDescent="0.3">
      <c r="A1" s="6" t="s">
        <v>0</v>
      </c>
      <c r="B1" s="7" t="s">
        <v>1</v>
      </c>
      <c r="C1" s="8" t="s">
        <v>2</v>
      </c>
      <c r="D1" s="9" t="s">
        <v>3</v>
      </c>
      <c r="E1" s="10"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row>
    <row r="2" spans="1:35" x14ac:dyDescent="0.3">
      <c r="A2" s="11">
        <v>1</v>
      </c>
      <c r="B2" s="10">
        <v>41587</v>
      </c>
      <c r="C2" s="11">
        <v>2013</v>
      </c>
      <c r="D2" s="12" t="s">
        <v>21</v>
      </c>
      <c r="E2" s="10">
        <v>41590</v>
      </c>
      <c r="F2" s="11">
        <f t="shared" ref="F2:F65" si="0">_xlfn.DAYS(E2,B2)</f>
        <v>3</v>
      </c>
      <c r="G2" s="11" t="s">
        <v>22</v>
      </c>
      <c r="H2" s="11" t="s">
        <v>23</v>
      </c>
      <c r="I2" s="11" t="s">
        <v>24</v>
      </c>
      <c r="J2" s="11" t="s">
        <v>1097</v>
      </c>
      <c r="K2" s="11" t="s">
        <v>25</v>
      </c>
      <c r="L2" s="11" t="s">
        <v>26</v>
      </c>
      <c r="M2" s="11" t="s">
        <v>27</v>
      </c>
      <c r="N2" s="11" t="s">
        <v>28</v>
      </c>
      <c r="O2" s="11" t="s">
        <v>29</v>
      </c>
      <c r="P2" s="11" t="s">
        <v>30</v>
      </c>
      <c r="Q2" s="13">
        <v>261.95999999999998</v>
      </c>
      <c r="R2" s="11">
        <v>2</v>
      </c>
      <c r="S2" s="28">
        <v>0</v>
      </c>
      <c r="T2" s="13">
        <v>41.913600000000002</v>
      </c>
      <c r="W2" s="32" t="s">
        <v>1103</v>
      </c>
      <c r="X2" s="33"/>
      <c r="Y2"/>
    </row>
    <row r="3" spans="1:35" x14ac:dyDescent="0.3">
      <c r="A3" s="11">
        <v>2</v>
      </c>
      <c r="B3" s="10">
        <v>41587</v>
      </c>
      <c r="C3" s="11">
        <v>2013</v>
      </c>
      <c r="D3" s="12" t="s">
        <v>21</v>
      </c>
      <c r="E3" s="10">
        <v>41590</v>
      </c>
      <c r="F3" s="11">
        <f>_xlfn.DAYS(E3,B3)</f>
        <v>3</v>
      </c>
      <c r="G3" s="11" t="s">
        <v>22</v>
      </c>
      <c r="H3" s="11" t="s">
        <v>23</v>
      </c>
      <c r="I3" s="11" t="s">
        <v>24</v>
      </c>
      <c r="J3" s="11" t="s">
        <v>1097</v>
      </c>
      <c r="K3" s="11" t="s">
        <v>25</v>
      </c>
      <c r="L3" s="11" t="s">
        <v>26</v>
      </c>
      <c r="M3" s="11" t="s">
        <v>27</v>
      </c>
      <c r="N3" s="11" t="s">
        <v>28</v>
      </c>
      <c r="O3" s="11" t="s">
        <v>31</v>
      </c>
      <c r="P3" s="11" t="s">
        <v>32</v>
      </c>
      <c r="Q3" s="13">
        <v>731.94</v>
      </c>
      <c r="R3" s="11">
        <v>3</v>
      </c>
      <c r="S3" s="28">
        <v>0</v>
      </c>
      <c r="T3" s="13">
        <v>219.58199999999999</v>
      </c>
      <c r="W3" s="16" t="s">
        <v>1105</v>
      </c>
      <c r="X3" s="17">
        <f ca="1">TODAY()</f>
        <v>46076</v>
      </c>
      <c r="Y3" s="18"/>
    </row>
    <row r="4" spans="1:35" x14ac:dyDescent="0.3">
      <c r="A4" s="11">
        <v>3</v>
      </c>
      <c r="B4" s="10">
        <v>41438</v>
      </c>
      <c r="C4" s="11">
        <v>2013</v>
      </c>
      <c r="D4" s="12" t="s">
        <v>33</v>
      </c>
      <c r="E4" s="10">
        <v>41442</v>
      </c>
      <c r="F4" s="11">
        <f t="shared" si="0"/>
        <v>4</v>
      </c>
      <c r="G4" s="11" t="s">
        <v>22</v>
      </c>
      <c r="H4" s="11" t="s">
        <v>34</v>
      </c>
      <c r="I4" s="11" t="s">
        <v>35</v>
      </c>
      <c r="J4" s="11" t="s">
        <v>1097</v>
      </c>
      <c r="K4" s="11" t="s">
        <v>36</v>
      </c>
      <c r="L4" s="11" t="s">
        <v>37</v>
      </c>
      <c r="M4" s="11" t="s">
        <v>38</v>
      </c>
      <c r="N4" s="11" t="s">
        <v>39</v>
      </c>
      <c r="O4" s="11" t="s">
        <v>40</v>
      </c>
      <c r="P4" s="11" t="s">
        <v>41</v>
      </c>
      <c r="Q4" s="13">
        <v>14.62</v>
      </c>
      <c r="R4" s="11">
        <v>2</v>
      </c>
      <c r="S4" s="28">
        <v>0</v>
      </c>
      <c r="T4" s="13">
        <v>6.8714000000000004</v>
      </c>
      <c r="W4" s="16" t="s">
        <v>1106</v>
      </c>
      <c r="X4" s="19">
        <f ca="1">NOW()</f>
        <v>46076.679875578702</v>
      </c>
      <c r="Y4"/>
      <c r="AB4" s="35"/>
      <c r="AC4" s="35"/>
      <c r="AD4" s="35"/>
      <c r="AE4" s="35"/>
      <c r="AF4" s="35"/>
      <c r="AG4" s="35"/>
      <c r="AH4" s="35"/>
      <c r="AI4" s="35"/>
    </row>
    <row r="5" spans="1:35" x14ac:dyDescent="0.3">
      <c r="A5" s="11">
        <v>4</v>
      </c>
      <c r="B5" s="10">
        <v>41193</v>
      </c>
      <c r="C5" s="11">
        <v>2012</v>
      </c>
      <c r="D5" s="12" t="s">
        <v>43</v>
      </c>
      <c r="E5" s="10">
        <v>41200</v>
      </c>
      <c r="F5" s="11">
        <f t="shared" si="0"/>
        <v>7</v>
      </c>
      <c r="G5" s="11" t="s">
        <v>44</v>
      </c>
      <c r="H5" s="11" t="s">
        <v>45</v>
      </c>
      <c r="I5" s="11" t="s">
        <v>24</v>
      </c>
      <c r="J5" s="11" t="s">
        <v>1097</v>
      </c>
      <c r="K5" s="11" t="s">
        <v>46</v>
      </c>
      <c r="L5" s="11" t="s">
        <v>47</v>
      </c>
      <c r="M5" s="11" t="s">
        <v>27</v>
      </c>
      <c r="N5" s="11" t="s">
        <v>28</v>
      </c>
      <c r="O5" s="11" t="s">
        <v>48</v>
      </c>
      <c r="P5" s="11" t="s">
        <v>49</v>
      </c>
      <c r="Q5" s="13">
        <v>957.57749999999999</v>
      </c>
      <c r="R5" s="11">
        <v>5</v>
      </c>
      <c r="S5" s="28">
        <v>0.45</v>
      </c>
      <c r="T5" s="13">
        <v>-383.03100000000001</v>
      </c>
      <c r="W5" s="16" t="s">
        <v>1107</v>
      </c>
      <c r="X5" s="17">
        <f ca="1">EOMONTH(X3,0)</f>
        <v>46081</v>
      </c>
      <c r="Y5"/>
    </row>
    <row r="6" spans="1:35" x14ac:dyDescent="0.3">
      <c r="A6" s="11">
        <v>5</v>
      </c>
      <c r="B6" s="10">
        <v>41193</v>
      </c>
      <c r="C6" s="11">
        <v>2012</v>
      </c>
      <c r="D6" s="12" t="s">
        <v>43</v>
      </c>
      <c r="E6" s="10">
        <v>41200</v>
      </c>
      <c r="F6" s="11">
        <f t="shared" si="0"/>
        <v>7</v>
      </c>
      <c r="G6" s="11" t="s">
        <v>44</v>
      </c>
      <c r="H6" s="11" t="s">
        <v>45</v>
      </c>
      <c r="I6" s="11" t="s">
        <v>24</v>
      </c>
      <c r="J6" s="11" t="s">
        <v>1097</v>
      </c>
      <c r="K6" s="11" t="s">
        <v>46</v>
      </c>
      <c r="L6" s="11" t="s">
        <v>47</v>
      </c>
      <c r="M6" s="11" t="s">
        <v>27</v>
      </c>
      <c r="N6" s="11" t="s">
        <v>39</v>
      </c>
      <c r="O6" s="11" t="s">
        <v>50</v>
      </c>
      <c r="P6" s="11" t="s">
        <v>51</v>
      </c>
      <c r="Q6" s="13">
        <v>22.367999999999999</v>
      </c>
      <c r="R6" s="11">
        <v>2</v>
      </c>
      <c r="S6" s="28">
        <v>0.2</v>
      </c>
      <c r="T6" s="13">
        <v>2.5164</v>
      </c>
      <c r="W6" s="11"/>
      <c r="X6" s="11"/>
      <c r="Y6"/>
    </row>
    <row r="7" spans="1:35" x14ac:dyDescent="0.3">
      <c r="A7" s="11">
        <v>6</v>
      </c>
      <c r="B7" s="10">
        <v>40703</v>
      </c>
      <c r="C7" s="11">
        <v>2011</v>
      </c>
      <c r="D7" s="12" t="s">
        <v>33</v>
      </c>
      <c r="E7" s="10">
        <v>40708</v>
      </c>
      <c r="F7" s="11">
        <f t="shared" si="0"/>
        <v>5</v>
      </c>
      <c r="G7" s="11" t="s">
        <v>44</v>
      </c>
      <c r="H7" s="11" t="s">
        <v>53</v>
      </c>
      <c r="I7" s="11" t="s">
        <v>24</v>
      </c>
      <c r="J7" s="11" t="s">
        <v>1097</v>
      </c>
      <c r="K7" s="11" t="s">
        <v>36</v>
      </c>
      <c r="L7" s="11" t="s">
        <v>37</v>
      </c>
      <c r="M7" s="11" t="s">
        <v>38</v>
      </c>
      <c r="N7" s="11" t="s">
        <v>28</v>
      </c>
      <c r="O7" s="11" t="s">
        <v>54</v>
      </c>
      <c r="P7" s="11" t="s">
        <v>55</v>
      </c>
      <c r="Q7" s="13">
        <v>48.86</v>
      </c>
      <c r="R7" s="11">
        <v>7</v>
      </c>
      <c r="S7" s="28">
        <v>0</v>
      </c>
      <c r="T7" s="13">
        <v>14.1694</v>
      </c>
      <c r="W7" s="11"/>
      <c r="X7" s="11"/>
      <c r="Y7"/>
    </row>
    <row r="8" spans="1:35" x14ac:dyDescent="0.3">
      <c r="A8" s="11">
        <v>7</v>
      </c>
      <c r="B8" s="10">
        <v>40703</v>
      </c>
      <c r="C8" s="11">
        <v>2011</v>
      </c>
      <c r="D8" s="12" t="s">
        <v>33</v>
      </c>
      <c r="E8" s="10">
        <v>40708</v>
      </c>
      <c r="F8" s="11">
        <f t="shared" si="0"/>
        <v>5</v>
      </c>
      <c r="G8" s="11" t="s">
        <v>44</v>
      </c>
      <c r="H8" s="11" t="s">
        <v>53</v>
      </c>
      <c r="I8" s="11" t="s">
        <v>24</v>
      </c>
      <c r="J8" s="11" t="s">
        <v>1097</v>
      </c>
      <c r="K8" s="11" t="s">
        <v>36</v>
      </c>
      <c r="L8" s="11" t="s">
        <v>37</v>
      </c>
      <c r="M8" s="11" t="s">
        <v>38</v>
      </c>
      <c r="N8" s="11" t="s">
        <v>39</v>
      </c>
      <c r="O8" s="11" t="s">
        <v>56</v>
      </c>
      <c r="P8" s="11" t="s">
        <v>57</v>
      </c>
      <c r="Q8" s="13">
        <v>7.28</v>
      </c>
      <c r="R8" s="11">
        <v>4</v>
      </c>
      <c r="S8" s="28">
        <v>0</v>
      </c>
      <c r="T8" s="13">
        <v>1.9656</v>
      </c>
      <c r="W8" s="15" t="s">
        <v>1108</v>
      </c>
      <c r="X8" s="20">
        <v>0.58750000000000002</v>
      </c>
      <c r="Y8"/>
    </row>
    <row r="9" spans="1:35" x14ac:dyDescent="0.3">
      <c r="A9" s="11">
        <v>8</v>
      </c>
      <c r="B9" s="10">
        <v>40703</v>
      </c>
      <c r="C9" s="11">
        <v>2011</v>
      </c>
      <c r="D9" s="12" t="s">
        <v>33</v>
      </c>
      <c r="E9" s="10">
        <v>40708</v>
      </c>
      <c r="F9" s="11">
        <f t="shared" si="0"/>
        <v>5</v>
      </c>
      <c r="G9" s="11" t="s">
        <v>44</v>
      </c>
      <c r="H9" s="11" t="s">
        <v>53</v>
      </c>
      <c r="I9" s="11" t="s">
        <v>24</v>
      </c>
      <c r="J9" s="11" t="s">
        <v>1097</v>
      </c>
      <c r="K9" s="11" t="s">
        <v>36</v>
      </c>
      <c r="L9" s="11" t="s">
        <v>37</v>
      </c>
      <c r="M9" s="11" t="s">
        <v>38</v>
      </c>
      <c r="N9" s="11" t="s">
        <v>58</v>
      </c>
      <c r="O9" s="11" t="s">
        <v>59</v>
      </c>
      <c r="P9" s="11" t="s">
        <v>60</v>
      </c>
      <c r="Q9" s="13">
        <v>907.15200000000004</v>
      </c>
      <c r="R9" s="11">
        <v>6</v>
      </c>
      <c r="S9" s="28">
        <v>0.2</v>
      </c>
      <c r="T9" s="13">
        <v>90.715199999999996</v>
      </c>
      <c r="W9" s="21"/>
      <c r="X9" s="22"/>
      <c r="Y9"/>
    </row>
    <row r="10" spans="1:35" x14ac:dyDescent="0.3">
      <c r="A10" s="11">
        <v>9</v>
      </c>
      <c r="B10" s="10">
        <v>40703</v>
      </c>
      <c r="C10" s="11">
        <v>2011</v>
      </c>
      <c r="D10" s="12" t="s">
        <v>33</v>
      </c>
      <c r="E10" s="10">
        <v>40708</v>
      </c>
      <c r="F10" s="11">
        <f t="shared" si="0"/>
        <v>5</v>
      </c>
      <c r="G10" s="11" t="s">
        <v>44</v>
      </c>
      <c r="H10" s="11" t="s">
        <v>53</v>
      </c>
      <c r="I10" s="11" t="s">
        <v>24</v>
      </c>
      <c r="J10" s="11" t="s">
        <v>1097</v>
      </c>
      <c r="K10" s="11" t="s">
        <v>36</v>
      </c>
      <c r="L10" s="11" t="s">
        <v>37</v>
      </c>
      <c r="M10" s="11" t="s">
        <v>38</v>
      </c>
      <c r="N10" s="11" t="s">
        <v>39</v>
      </c>
      <c r="O10" s="11" t="s">
        <v>61</v>
      </c>
      <c r="P10" s="11" t="s">
        <v>62</v>
      </c>
      <c r="Q10" s="13">
        <v>18.504000000000001</v>
      </c>
      <c r="R10" s="11">
        <v>3</v>
      </c>
      <c r="S10" s="28">
        <v>0.2</v>
      </c>
      <c r="T10" s="13">
        <v>5.7824999999999998</v>
      </c>
      <c r="W10" s="11"/>
      <c r="X10" s="11"/>
      <c r="Y10"/>
    </row>
    <row r="11" spans="1:35" x14ac:dyDescent="0.3">
      <c r="A11" s="11">
        <v>10</v>
      </c>
      <c r="B11" s="10">
        <v>40703</v>
      </c>
      <c r="C11" s="11">
        <v>2011</v>
      </c>
      <c r="D11" s="12" t="s">
        <v>33</v>
      </c>
      <c r="E11" s="10">
        <v>40708</v>
      </c>
      <c r="F11" s="11">
        <f t="shared" si="0"/>
        <v>5</v>
      </c>
      <c r="G11" s="11" t="s">
        <v>44</v>
      </c>
      <c r="H11" s="11" t="s">
        <v>53</v>
      </c>
      <c r="I11" s="11" t="s">
        <v>24</v>
      </c>
      <c r="J11" s="11" t="s">
        <v>1097</v>
      </c>
      <c r="K11" s="11" t="s">
        <v>36</v>
      </c>
      <c r="L11" s="11" t="s">
        <v>37</v>
      </c>
      <c r="M11" s="11" t="s">
        <v>38</v>
      </c>
      <c r="N11" s="11" t="s">
        <v>39</v>
      </c>
      <c r="O11" s="11" t="s">
        <v>63</v>
      </c>
      <c r="P11" s="11" t="s">
        <v>64</v>
      </c>
      <c r="Q11" s="13">
        <v>114.9</v>
      </c>
      <c r="R11" s="11">
        <v>5</v>
      </c>
      <c r="S11" s="28">
        <v>0</v>
      </c>
      <c r="T11" s="13">
        <v>34.47</v>
      </c>
      <c r="W11" s="11"/>
      <c r="X11" s="11"/>
      <c r="Y11"/>
    </row>
    <row r="12" spans="1:35" x14ac:dyDescent="0.3">
      <c r="A12" s="11">
        <v>11</v>
      </c>
      <c r="B12" s="10">
        <v>40703</v>
      </c>
      <c r="C12" s="11">
        <v>2011</v>
      </c>
      <c r="D12" s="12" t="s">
        <v>33</v>
      </c>
      <c r="E12" s="10">
        <v>40708</v>
      </c>
      <c r="F12" s="11">
        <f t="shared" si="0"/>
        <v>5</v>
      </c>
      <c r="G12" s="11" t="s">
        <v>44</v>
      </c>
      <c r="H12" s="11" t="s">
        <v>53</v>
      </c>
      <c r="I12" s="11" t="s">
        <v>24</v>
      </c>
      <c r="J12" s="11" t="s">
        <v>1097</v>
      </c>
      <c r="K12" s="11" t="s">
        <v>36</v>
      </c>
      <c r="L12" s="11" t="s">
        <v>37</v>
      </c>
      <c r="M12" s="11" t="s">
        <v>38</v>
      </c>
      <c r="N12" s="11" t="s">
        <v>28</v>
      </c>
      <c r="O12" s="11" t="s">
        <v>48</v>
      </c>
      <c r="P12" s="11" t="s">
        <v>65</v>
      </c>
      <c r="Q12" s="13">
        <v>1706.184</v>
      </c>
      <c r="R12" s="11">
        <v>9</v>
      </c>
      <c r="S12" s="28">
        <v>0.2</v>
      </c>
      <c r="T12" s="13">
        <v>85.309200000000004</v>
      </c>
      <c r="W12" s="11"/>
      <c r="X12" s="11"/>
      <c r="Y12"/>
    </row>
    <row r="13" spans="1:35" x14ac:dyDescent="0.3">
      <c r="A13" s="11">
        <v>12</v>
      </c>
      <c r="B13" s="10">
        <v>40703</v>
      </c>
      <c r="C13" s="11">
        <v>2011</v>
      </c>
      <c r="D13" s="12" t="s">
        <v>33</v>
      </c>
      <c r="E13" s="10">
        <v>40708</v>
      </c>
      <c r="F13" s="11">
        <f t="shared" si="0"/>
        <v>5</v>
      </c>
      <c r="G13" s="11" t="s">
        <v>44</v>
      </c>
      <c r="H13" s="11" t="s">
        <v>53</v>
      </c>
      <c r="I13" s="11" t="s">
        <v>24</v>
      </c>
      <c r="J13" s="11" t="s">
        <v>1097</v>
      </c>
      <c r="K13" s="11" t="s">
        <v>36</v>
      </c>
      <c r="L13" s="11" t="s">
        <v>37</v>
      </c>
      <c r="M13" s="11" t="s">
        <v>38</v>
      </c>
      <c r="N13" s="11" t="s">
        <v>58</v>
      </c>
      <c r="O13" s="11" t="s">
        <v>59</v>
      </c>
      <c r="P13" s="11" t="s">
        <v>66</v>
      </c>
      <c r="Q13" s="13">
        <v>911.42399999999998</v>
      </c>
      <c r="R13" s="11">
        <v>4</v>
      </c>
      <c r="S13" s="28">
        <v>0.2</v>
      </c>
      <c r="T13" s="13">
        <v>68.356800000000007</v>
      </c>
      <c r="W13" s="32" t="s">
        <v>1109</v>
      </c>
      <c r="X13" s="33"/>
      <c r="Y13"/>
    </row>
    <row r="14" spans="1:35" x14ac:dyDescent="0.3">
      <c r="A14" s="11">
        <v>13</v>
      </c>
      <c r="B14" s="10">
        <v>41745</v>
      </c>
      <c r="C14" s="11">
        <v>2014</v>
      </c>
      <c r="D14" s="12" t="s">
        <v>68</v>
      </c>
      <c r="E14" s="10">
        <v>41750</v>
      </c>
      <c r="F14" s="11">
        <f t="shared" si="0"/>
        <v>5</v>
      </c>
      <c r="G14" s="11" t="s">
        <v>44</v>
      </c>
      <c r="H14" s="11" t="s">
        <v>69</v>
      </c>
      <c r="I14" s="11" t="s">
        <v>24</v>
      </c>
      <c r="J14" s="11" t="s">
        <v>1097</v>
      </c>
      <c r="K14" s="11" t="s">
        <v>70</v>
      </c>
      <c r="L14" s="11" t="s">
        <v>71</v>
      </c>
      <c r="M14" s="11" t="s">
        <v>27</v>
      </c>
      <c r="N14" s="11" t="s">
        <v>39</v>
      </c>
      <c r="O14" s="11" t="s">
        <v>72</v>
      </c>
      <c r="P14" s="11" t="s">
        <v>73</v>
      </c>
      <c r="Q14" s="13">
        <v>15.552</v>
      </c>
      <c r="R14" s="11">
        <v>3</v>
      </c>
      <c r="S14" s="28">
        <v>0.2</v>
      </c>
      <c r="T14" s="13">
        <v>5.4432</v>
      </c>
      <c r="W14" s="23" t="s">
        <v>1110</v>
      </c>
      <c r="X14" s="24">
        <f>R2</f>
        <v>2</v>
      </c>
      <c r="Y14"/>
    </row>
    <row r="15" spans="1:35" x14ac:dyDescent="0.3">
      <c r="A15" s="11">
        <v>14</v>
      </c>
      <c r="B15" s="10">
        <v>41614</v>
      </c>
      <c r="C15" s="11">
        <v>2013</v>
      </c>
      <c r="D15" s="12" t="s">
        <v>74</v>
      </c>
      <c r="E15" s="10">
        <v>41619</v>
      </c>
      <c r="F15" s="11">
        <f t="shared" si="0"/>
        <v>5</v>
      </c>
      <c r="G15" s="11" t="s">
        <v>44</v>
      </c>
      <c r="H15" s="11" t="s">
        <v>75</v>
      </c>
      <c r="I15" s="11" t="s">
        <v>24</v>
      </c>
      <c r="J15" s="11" t="s">
        <v>1097</v>
      </c>
      <c r="K15" s="11" t="s">
        <v>76</v>
      </c>
      <c r="L15" s="11" t="s">
        <v>77</v>
      </c>
      <c r="M15" s="11" t="s">
        <v>38</v>
      </c>
      <c r="N15" s="11" t="s">
        <v>39</v>
      </c>
      <c r="O15" s="11" t="s">
        <v>61</v>
      </c>
      <c r="P15" s="11" t="s">
        <v>78</v>
      </c>
      <c r="Q15" s="13">
        <v>407.976</v>
      </c>
      <c r="R15" s="11">
        <v>3</v>
      </c>
      <c r="S15" s="28">
        <v>0.2</v>
      </c>
      <c r="T15" s="13">
        <v>132.59219999999999</v>
      </c>
      <c r="W15" s="23" t="s">
        <v>1111</v>
      </c>
      <c r="X15" s="27">
        <f>Q2</f>
        <v>261.95999999999998</v>
      </c>
      <c r="Y15"/>
    </row>
    <row r="16" spans="1:35" x14ac:dyDescent="0.3">
      <c r="A16" s="11">
        <v>15</v>
      </c>
      <c r="B16" s="10">
        <v>41235</v>
      </c>
      <c r="C16" s="11">
        <v>2012</v>
      </c>
      <c r="D16" s="12" t="s">
        <v>21</v>
      </c>
      <c r="E16" s="10">
        <v>41239</v>
      </c>
      <c r="F16" s="11">
        <f t="shared" si="0"/>
        <v>4</v>
      </c>
      <c r="G16" s="11" t="s">
        <v>44</v>
      </c>
      <c r="H16" s="11" t="s">
        <v>79</v>
      </c>
      <c r="I16" s="11" t="s">
        <v>80</v>
      </c>
      <c r="J16" s="11" t="s">
        <v>1097</v>
      </c>
      <c r="K16" s="11" t="s">
        <v>81</v>
      </c>
      <c r="L16" s="11" t="s">
        <v>82</v>
      </c>
      <c r="M16" s="11" t="s">
        <v>83</v>
      </c>
      <c r="N16" s="11" t="s">
        <v>39</v>
      </c>
      <c r="O16" s="11" t="s">
        <v>63</v>
      </c>
      <c r="P16" s="11" t="s">
        <v>84</v>
      </c>
      <c r="Q16" s="13">
        <v>68.81</v>
      </c>
      <c r="R16" s="11">
        <v>5</v>
      </c>
      <c r="S16" s="28">
        <v>0.8</v>
      </c>
      <c r="T16" s="13">
        <v>-123.858</v>
      </c>
      <c r="W16" s="23" t="s">
        <v>18</v>
      </c>
      <c r="X16" s="29">
        <v>0.5</v>
      </c>
      <c r="Y16"/>
    </row>
    <row r="17" spans="1:28" x14ac:dyDescent="0.3">
      <c r="A17" s="11">
        <v>16</v>
      </c>
      <c r="B17" s="10">
        <v>41235</v>
      </c>
      <c r="C17" s="11">
        <v>2012</v>
      </c>
      <c r="D17" s="12" t="s">
        <v>21</v>
      </c>
      <c r="E17" s="10">
        <v>41239</v>
      </c>
      <c r="F17" s="11">
        <f t="shared" si="0"/>
        <v>4</v>
      </c>
      <c r="G17" s="11" t="s">
        <v>44</v>
      </c>
      <c r="H17" s="11" t="s">
        <v>79</v>
      </c>
      <c r="I17" s="11" t="s">
        <v>80</v>
      </c>
      <c r="J17" s="11" t="s">
        <v>1097</v>
      </c>
      <c r="K17" s="11" t="s">
        <v>81</v>
      </c>
      <c r="L17" s="11" t="s">
        <v>82</v>
      </c>
      <c r="M17" s="11" t="s">
        <v>83</v>
      </c>
      <c r="N17" s="11" t="s">
        <v>39</v>
      </c>
      <c r="O17" s="11" t="s">
        <v>61</v>
      </c>
      <c r="P17" s="11" t="s">
        <v>85</v>
      </c>
      <c r="Q17" s="13">
        <v>2.544</v>
      </c>
      <c r="R17" s="11">
        <v>3</v>
      </c>
      <c r="S17" s="28">
        <v>0.8</v>
      </c>
      <c r="T17" s="13">
        <v>-3.8159999999999998</v>
      </c>
      <c r="W17" s="26" t="s">
        <v>1104</v>
      </c>
      <c r="X17" s="24">
        <f>X15*X14*(1-X16)</f>
        <v>261.95999999999998</v>
      </c>
      <c r="Y17"/>
    </row>
    <row r="18" spans="1:28" x14ac:dyDescent="0.3">
      <c r="A18" s="11">
        <v>17</v>
      </c>
      <c r="B18" s="10">
        <v>40858</v>
      </c>
      <c r="C18" s="11">
        <v>2011</v>
      </c>
      <c r="D18" s="12" t="s">
        <v>21</v>
      </c>
      <c r="E18" s="10">
        <v>40865</v>
      </c>
      <c r="F18" s="11">
        <f t="shared" si="0"/>
        <v>7</v>
      </c>
      <c r="G18" s="11" t="s">
        <v>44</v>
      </c>
      <c r="H18" s="11" t="s">
        <v>86</v>
      </c>
      <c r="I18" s="11" t="s">
        <v>24</v>
      </c>
      <c r="J18" s="11" t="s">
        <v>1097</v>
      </c>
      <c r="K18" s="11" t="s">
        <v>87</v>
      </c>
      <c r="L18" s="11" t="s">
        <v>88</v>
      </c>
      <c r="M18" s="11" t="s">
        <v>83</v>
      </c>
      <c r="N18" s="11" t="s">
        <v>39</v>
      </c>
      <c r="O18" s="11" t="s">
        <v>50</v>
      </c>
      <c r="P18" s="11" t="s">
        <v>89</v>
      </c>
      <c r="Q18" s="13">
        <v>665.88</v>
      </c>
      <c r="R18" s="11">
        <v>6</v>
      </c>
      <c r="S18" s="28">
        <v>0</v>
      </c>
      <c r="T18" s="13">
        <v>13.317600000000001</v>
      </c>
      <c r="W18" s="11"/>
      <c r="X18" s="11"/>
      <c r="Y18"/>
    </row>
    <row r="19" spans="1:28" x14ac:dyDescent="0.3">
      <c r="A19" s="11">
        <v>18</v>
      </c>
      <c r="B19" s="10">
        <v>40676</v>
      </c>
      <c r="C19" s="11">
        <v>2011</v>
      </c>
      <c r="D19" s="12" t="s">
        <v>90</v>
      </c>
      <c r="E19" s="10">
        <v>40678</v>
      </c>
      <c r="F19" s="11">
        <f t="shared" si="0"/>
        <v>2</v>
      </c>
      <c r="G19" s="11" t="s">
        <v>22</v>
      </c>
      <c r="H19" s="11" t="s">
        <v>91</v>
      </c>
      <c r="I19" s="11" t="s">
        <v>24</v>
      </c>
      <c r="J19" s="11" t="s">
        <v>1097</v>
      </c>
      <c r="K19" s="11" t="s">
        <v>92</v>
      </c>
      <c r="L19" s="11" t="s">
        <v>93</v>
      </c>
      <c r="M19" s="11" t="s">
        <v>38</v>
      </c>
      <c r="N19" s="11" t="s">
        <v>39</v>
      </c>
      <c r="O19" s="11" t="s">
        <v>50</v>
      </c>
      <c r="P19" s="11" t="s">
        <v>94</v>
      </c>
      <c r="Q19" s="13">
        <v>55.5</v>
      </c>
      <c r="R19" s="11">
        <v>2</v>
      </c>
      <c r="S19" s="28">
        <v>0</v>
      </c>
      <c r="T19" s="13">
        <v>9.99</v>
      </c>
      <c r="W19" s="11"/>
      <c r="X19" s="11"/>
      <c r="Y19"/>
    </row>
    <row r="20" spans="1:28" x14ac:dyDescent="0.3">
      <c r="A20" s="11">
        <v>19</v>
      </c>
      <c r="B20" s="10">
        <v>40782</v>
      </c>
      <c r="C20" s="11">
        <v>2011</v>
      </c>
      <c r="D20" s="12" t="s">
        <v>95</v>
      </c>
      <c r="E20" s="10">
        <v>40787</v>
      </c>
      <c r="F20" s="11">
        <f t="shared" si="0"/>
        <v>5</v>
      </c>
      <c r="G20" s="11" t="s">
        <v>22</v>
      </c>
      <c r="H20" s="11" t="s">
        <v>96</v>
      </c>
      <c r="I20" s="11" t="s">
        <v>24</v>
      </c>
      <c r="J20" s="11" t="s">
        <v>1097</v>
      </c>
      <c r="K20" s="11" t="s">
        <v>97</v>
      </c>
      <c r="L20" s="11" t="s">
        <v>37</v>
      </c>
      <c r="M20" s="11" t="s">
        <v>38</v>
      </c>
      <c r="N20" s="11" t="s">
        <v>39</v>
      </c>
      <c r="O20" s="11" t="s">
        <v>56</v>
      </c>
      <c r="P20" s="11" t="s">
        <v>98</v>
      </c>
      <c r="Q20" s="13">
        <v>8.56</v>
      </c>
      <c r="R20" s="11">
        <v>2</v>
      </c>
      <c r="S20" s="28">
        <v>0</v>
      </c>
      <c r="T20" s="13">
        <v>2.4824000000000002</v>
      </c>
      <c r="W20" s="11"/>
      <c r="X20" s="11"/>
      <c r="Y20"/>
    </row>
    <row r="21" spans="1:28" x14ac:dyDescent="0.3">
      <c r="A21" s="11">
        <v>20</v>
      </c>
      <c r="B21" s="10">
        <v>40782</v>
      </c>
      <c r="C21" s="11">
        <v>2011</v>
      </c>
      <c r="D21" s="12" t="s">
        <v>95</v>
      </c>
      <c r="E21" s="10">
        <v>40787</v>
      </c>
      <c r="F21" s="11">
        <f t="shared" si="0"/>
        <v>5</v>
      </c>
      <c r="G21" s="11" t="s">
        <v>22</v>
      </c>
      <c r="H21" s="11" t="s">
        <v>96</v>
      </c>
      <c r="I21" s="11" t="s">
        <v>24</v>
      </c>
      <c r="J21" s="11" t="s">
        <v>1097</v>
      </c>
      <c r="K21" s="11" t="s">
        <v>97</v>
      </c>
      <c r="L21" s="11" t="s">
        <v>37</v>
      </c>
      <c r="M21" s="11" t="s">
        <v>38</v>
      </c>
      <c r="N21" s="11" t="s">
        <v>58</v>
      </c>
      <c r="O21" s="11" t="s">
        <v>59</v>
      </c>
      <c r="P21" s="11" t="s">
        <v>99</v>
      </c>
      <c r="Q21" s="13">
        <v>213.48</v>
      </c>
      <c r="R21" s="11">
        <v>3</v>
      </c>
      <c r="S21" s="28">
        <v>0.2</v>
      </c>
      <c r="T21" s="13">
        <v>16.010999999999999</v>
      </c>
      <c r="W21" s="32" t="s">
        <v>1112</v>
      </c>
      <c r="X21" s="33"/>
      <c r="Y21"/>
    </row>
    <row r="22" spans="1:28" x14ac:dyDescent="0.3">
      <c r="A22" s="11">
        <v>21</v>
      </c>
      <c r="B22" s="10">
        <v>40782</v>
      </c>
      <c r="C22" s="11">
        <v>2011</v>
      </c>
      <c r="D22" s="12" t="s">
        <v>95</v>
      </c>
      <c r="E22" s="10">
        <v>40787</v>
      </c>
      <c r="F22" s="11">
        <f t="shared" si="0"/>
        <v>5</v>
      </c>
      <c r="G22" s="11" t="s">
        <v>22</v>
      </c>
      <c r="H22" s="11" t="s">
        <v>96</v>
      </c>
      <c r="I22" s="11" t="s">
        <v>24</v>
      </c>
      <c r="J22" s="11" t="s">
        <v>1097</v>
      </c>
      <c r="K22" s="11" t="s">
        <v>97</v>
      </c>
      <c r="L22" s="11" t="s">
        <v>37</v>
      </c>
      <c r="M22" s="11" t="s">
        <v>38</v>
      </c>
      <c r="N22" s="11" t="s">
        <v>39</v>
      </c>
      <c r="O22" s="11" t="s">
        <v>61</v>
      </c>
      <c r="P22" s="11" t="s">
        <v>100</v>
      </c>
      <c r="Q22" s="13">
        <v>22.72</v>
      </c>
      <c r="R22" s="11">
        <v>4</v>
      </c>
      <c r="S22" s="28">
        <v>0.2</v>
      </c>
      <c r="T22" s="13">
        <v>7.3840000000000003</v>
      </c>
      <c r="W22" s="23" t="s">
        <v>1110</v>
      </c>
      <c r="X22" s="24">
        <v>5000</v>
      </c>
      <c r="Y22"/>
    </row>
    <row r="23" spans="1:28" x14ac:dyDescent="0.3">
      <c r="A23" s="11">
        <v>22</v>
      </c>
      <c r="B23" s="10">
        <v>41618</v>
      </c>
      <c r="C23" s="11">
        <v>2013</v>
      </c>
      <c r="D23" s="12" t="s">
        <v>74</v>
      </c>
      <c r="E23" s="10">
        <v>41622</v>
      </c>
      <c r="F23" s="11">
        <f t="shared" si="0"/>
        <v>4</v>
      </c>
      <c r="G23" s="11" t="s">
        <v>44</v>
      </c>
      <c r="H23" s="11" t="s">
        <v>101</v>
      </c>
      <c r="I23" s="11" t="s">
        <v>35</v>
      </c>
      <c r="J23" s="11" t="s">
        <v>1097</v>
      </c>
      <c r="K23" s="11" t="s">
        <v>102</v>
      </c>
      <c r="L23" s="11" t="s">
        <v>103</v>
      </c>
      <c r="M23" s="11" t="s">
        <v>83</v>
      </c>
      <c r="N23" s="11" t="s">
        <v>39</v>
      </c>
      <c r="O23" s="11" t="s">
        <v>56</v>
      </c>
      <c r="P23" s="11" t="s">
        <v>104</v>
      </c>
      <c r="Q23" s="13">
        <v>19.46</v>
      </c>
      <c r="R23" s="11">
        <v>7</v>
      </c>
      <c r="S23" s="28">
        <v>0</v>
      </c>
      <c r="T23" s="13">
        <v>5.0595999999999997</v>
      </c>
      <c r="W23" s="23" t="s">
        <v>1111</v>
      </c>
      <c r="X23" s="25">
        <f>R2</f>
        <v>2</v>
      </c>
      <c r="Y23"/>
    </row>
    <row r="24" spans="1:28" x14ac:dyDescent="0.3">
      <c r="A24" s="11">
        <v>23</v>
      </c>
      <c r="B24" s="10">
        <v>41618</v>
      </c>
      <c r="C24" s="11">
        <v>2013</v>
      </c>
      <c r="D24" s="12" t="s">
        <v>74</v>
      </c>
      <c r="E24" s="10">
        <v>41622</v>
      </c>
      <c r="F24" s="11">
        <f t="shared" si="0"/>
        <v>4</v>
      </c>
      <c r="G24" s="11" t="s">
        <v>44</v>
      </c>
      <c r="H24" s="11" t="s">
        <v>101</v>
      </c>
      <c r="I24" s="11" t="s">
        <v>35</v>
      </c>
      <c r="J24" s="11" t="s">
        <v>1097</v>
      </c>
      <c r="K24" s="11" t="s">
        <v>102</v>
      </c>
      <c r="L24" s="11" t="s">
        <v>103</v>
      </c>
      <c r="M24" s="11" t="s">
        <v>83</v>
      </c>
      <c r="N24" s="11" t="s">
        <v>39</v>
      </c>
      <c r="O24" s="11" t="s">
        <v>63</v>
      </c>
      <c r="P24" s="11" t="s">
        <v>105</v>
      </c>
      <c r="Q24" s="13">
        <v>60.34</v>
      </c>
      <c r="R24" s="11">
        <v>7</v>
      </c>
      <c r="S24" s="28">
        <v>0</v>
      </c>
      <c r="T24" s="13">
        <v>15.6884</v>
      </c>
      <c r="W24" s="26" t="s">
        <v>1104</v>
      </c>
      <c r="X24" s="24">
        <f>X23*X22</f>
        <v>10000</v>
      </c>
      <c r="Y24"/>
    </row>
    <row r="25" spans="1:28" x14ac:dyDescent="0.3">
      <c r="A25" s="11">
        <v>24</v>
      </c>
      <c r="B25" s="10">
        <v>41837</v>
      </c>
      <c r="C25" s="11">
        <v>2014</v>
      </c>
      <c r="D25" s="12" t="s">
        <v>106</v>
      </c>
      <c r="E25" s="10">
        <v>41839</v>
      </c>
      <c r="F25" s="11">
        <f t="shared" si="0"/>
        <v>2</v>
      </c>
      <c r="G25" s="11" t="s">
        <v>22</v>
      </c>
      <c r="H25" s="11" t="s">
        <v>107</v>
      </c>
      <c r="I25" s="11" t="s">
        <v>24</v>
      </c>
      <c r="J25" s="11" t="s">
        <v>1097</v>
      </c>
      <c r="K25" s="11" t="s">
        <v>108</v>
      </c>
      <c r="L25" s="11" t="s">
        <v>109</v>
      </c>
      <c r="M25" s="11" t="s">
        <v>110</v>
      </c>
      <c r="N25" s="11" t="s">
        <v>28</v>
      </c>
      <c r="O25" s="11" t="s">
        <v>31</v>
      </c>
      <c r="P25" s="11" t="s">
        <v>111</v>
      </c>
      <c r="Q25" s="13">
        <v>71.372</v>
      </c>
      <c r="R25" s="11">
        <v>2</v>
      </c>
      <c r="S25" s="28">
        <v>0.3</v>
      </c>
      <c r="T25" s="13">
        <v>-1.0196000000000001</v>
      </c>
      <c r="W25" s="11"/>
      <c r="X25" s="11"/>
      <c r="Y25"/>
    </row>
    <row r="26" spans="1:28" x14ac:dyDescent="0.3">
      <c r="A26" s="11">
        <v>25</v>
      </c>
      <c r="B26" s="10">
        <v>41177</v>
      </c>
      <c r="C26" s="11">
        <v>2012</v>
      </c>
      <c r="D26" s="12" t="s">
        <v>112</v>
      </c>
      <c r="E26" s="10">
        <v>41182</v>
      </c>
      <c r="F26" s="11">
        <f t="shared" si="0"/>
        <v>5</v>
      </c>
      <c r="G26" s="11" t="s">
        <v>44</v>
      </c>
      <c r="H26" s="11" t="s">
        <v>113</v>
      </c>
      <c r="I26" s="11" t="s">
        <v>24</v>
      </c>
      <c r="J26" s="11" t="s">
        <v>1097</v>
      </c>
      <c r="K26" s="11" t="s">
        <v>114</v>
      </c>
      <c r="L26" s="11" t="s">
        <v>93</v>
      </c>
      <c r="M26" s="11" t="s">
        <v>38</v>
      </c>
      <c r="N26" s="11" t="s">
        <v>28</v>
      </c>
      <c r="O26" s="11" t="s">
        <v>48</v>
      </c>
      <c r="P26" s="11" t="s">
        <v>49</v>
      </c>
      <c r="Q26" s="13">
        <v>1044.6300000000001</v>
      </c>
      <c r="R26" s="11">
        <v>3</v>
      </c>
      <c r="S26" s="28">
        <v>0</v>
      </c>
      <c r="T26" s="13">
        <v>240.26490000000001</v>
      </c>
      <c r="W26" s="11"/>
      <c r="X26" s="11"/>
      <c r="Y26"/>
    </row>
    <row r="27" spans="1:28" x14ac:dyDescent="0.3">
      <c r="A27" s="11">
        <v>26</v>
      </c>
      <c r="B27" s="10">
        <v>41290</v>
      </c>
      <c r="C27" s="11">
        <v>2013</v>
      </c>
      <c r="D27" s="12" t="s">
        <v>115</v>
      </c>
      <c r="E27" s="10">
        <v>41294</v>
      </c>
      <c r="F27" s="11">
        <f t="shared" si="0"/>
        <v>4</v>
      </c>
      <c r="G27" s="11" t="s">
        <v>22</v>
      </c>
      <c r="H27" s="11" t="s">
        <v>116</v>
      </c>
      <c r="I27" s="11" t="s">
        <v>24</v>
      </c>
      <c r="J27" s="11" t="s">
        <v>1097</v>
      </c>
      <c r="K27" s="11" t="s">
        <v>36</v>
      </c>
      <c r="L27" s="11" t="s">
        <v>37</v>
      </c>
      <c r="M27" s="11" t="s">
        <v>38</v>
      </c>
      <c r="N27" s="11" t="s">
        <v>39</v>
      </c>
      <c r="O27" s="11" t="s">
        <v>61</v>
      </c>
      <c r="P27" s="11" t="s">
        <v>117</v>
      </c>
      <c r="Q27" s="13">
        <v>11.648</v>
      </c>
      <c r="R27" s="11">
        <v>2</v>
      </c>
      <c r="S27" s="28">
        <v>0.2</v>
      </c>
      <c r="T27" s="13">
        <v>4.2224000000000004</v>
      </c>
      <c r="W27" s="11"/>
      <c r="X27" s="11"/>
      <c r="Y27"/>
    </row>
    <row r="28" spans="1:28" x14ac:dyDescent="0.3">
      <c r="A28" s="11">
        <v>27</v>
      </c>
      <c r="B28" s="10">
        <v>41290</v>
      </c>
      <c r="C28" s="11">
        <v>2013</v>
      </c>
      <c r="D28" s="12" t="s">
        <v>115</v>
      </c>
      <c r="E28" s="10">
        <v>41294</v>
      </c>
      <c r="F28" s="11">
        <f t="shared" si="0"/>
        <v>4</v>
      </c>
      <c r="G28" s="11" t="s">
        <v>22</v>
      </c>
      <c r="H28" s="11" t="s">
        <v>116</v>
      </c>
      <c r="I28" s="11" t="s">
        <v>24</v>
      </c>
      <c r="J28" s="11" t="s">
        <v>1097</v>
      </c>
      <c r="K28" s="11" t="s">
        <v>36</v>
      </c>
      <c r="L28" s="11" t="s">
        <v>37</v>
      </c>
      <c r="M28" s="11" t="s">
        <v>38</v>
      </c>
      <c r="N28" s="11" t="s">
        <v>58</v>
      </c>
      <c r="O28" s="11" t="s">
        <v>118</v>
      </c>
      <c r="P28" s="11" t="s">
        <v>119</v>
      </c>
      <c r="Q28" s="13">
        <v>90.57</v>
      </c>
      <c r="R28" s="11">
        <v>3</v>
      </c>
      <c r="S28" s="28">
        <v>0</v>
      </c>
      <c r="T28" s="13">
        <v>11.774100000000001</v>
      </c>
      <c r="W28" s="32" t="s">
        <v>1130</v>
      </c>
      <c r="X28" s="32"/>
      <c r="Y28" s="32"/>
      <c r="Z28" s="32"/>
      <c r="AA28" s="32"/>
      <c r="AB28" s="32"/>
    </row>
    <row r="29" spans="1:28" x14ac:dyDescent="0.3">
      <c r="A29" s="11">
        <v>28</v>
      </c>
      <c r="B29" s="10">
        <v>41169</v>
      </c>
      <c r="C29" s="11">
        <v>2012</v>
      </c>
      <c r="D29" s="12" t="s">
        <v>112</v>
      </c>
      <c r="E29" s="10">
        <v>41173</v>
      </c>
      <c r="F29" s="11">
        <f t="shared" si="0"/>
        <v>4</v>
      </c>
      <c r="G29" s="11" t="s">
        <v>44</v>
      </c>
      <c r="H29" s="11" t="s">
        <v>120</v>
      </c>
      <c r="I29" s="11" t="s">
        <v>24</v>
      </c>
      <c r="J29" s="11" t="s">
        <v>1097</v>
      </c>
      <c r="K29" s="11" t="s">
        <v>108</v>
      </c>
      <c r="L29" s="11" t="s">
        <v>109</v>
      </c>
      <c r="M29" s="11" t="s">
        <v>110</v>
      </c>
      <c r="N29" s="11" t="s">
        <v>28</v>
      </c>
      <c r="O29" s="11" t="s">
        <v>29</v>
      </c>
      <c r="P29" s="11" t="s">
        <v>121</v>
      </c>
      <c r="Q29" s="13">
        <v>3083.43</v>
      </c>
      <c r="R29" s="11">
        <v>7</v>
      </c>
      <c r="S29" s="28">
        <v>0.5</v>
      </c>
      <c r="T29" s="13">
        <v>-1665.0522000000001</v>
      </c>
      <c r="W29" s="15" t="s">
        <v>1131</v>
      </c>
      <c r="X29" s="15" t="s">
        <v>7</v>
      </c>
      <c r="Y29" s="15" t="s">
        <v>10</v>
      </c>
      <c r="Z29" s="15" t="s">
        <v>11</v>
      </c>
      <c r="AA29" s="15" t="s">
        <v>12</v>
      </c>
      <c r="AB29" s="15" t="s">
        <v>9</v>
      </c>
    </row>
    <row r="30" spans="1:28" x14ac:dyDescent="0.3">
      <c r="A30" s="11">
        <v>29</v>
      </c>
      <c r="B30" s="10">
        <v>41169</v>
      </c>
      <c r="C30" s="11">
        <v>2012</v>
      </c>
      <c r="D30" s="12" t="s">
        <v>112</v>
      </c>
      <c r="E30" s="10">
        <v>41173</v>
      </c>
      <c r="F30" s="11">
        <f t="shared" si="0"/>
        <v>4</v>
      </c>
      <c r="G30" s="11" t="s">
        <v>44</v>
      </c>
      <c r="H30" s="11" t="s">
        <v>120</v>
      </c>
      <c r="I30" s="11" t="s">
        <v>24</v>
      </c>
      <c r="J30" s="11" t="s">
        <v>1097</v>
      </c>
      <c r="K30" s="11" t="s">
        <v>108</v>
      </c>
      <c r="L30" s="11" t="s">
        <v>109</v>
      </c>
      <c r="M30" s="11" t="s">
        <v>110</v>
      </c>
      <c r="N30" s="11" t="s">
        <v>39</v>
      </c>
      <c r="O30" s="11" t="s">
        <v>61</v>
      </c>
      <c r="P30" s="11" t="s">
        <v>122</v>
      </c>
      <c r="Q30" s="13">
        <v>9.6180000000000003</v>
      </c>
      <c r="R30" s="11">
        <v>2</v>
      </c>
      <c r="S30" s="28">
        <v>0.7</v>
      </c>
      <c r="T30" s="13">
        <v>-7.0532000000000004</v>
      </c>
      <c r="W30" s="16">
        <v>15</v>
      </c>
      <c r="X30" s="16" t="str">
        <f>VLOOKUP($W$30,$A:$T,8,FALSE)</f>
        <v>Harold Pawlan</v>
      </c>
      <c r="Y30" s="16" t="str">
        <f>VLOOKUP($W$30,$A:$T,11,FALSE)</f>
        <v>Fort Worth</v>
      </c>
      <c r="Z30" s="16" t="str">
        <f>VLOOKUP($W$30,$A:$T,12,FALSE)</f>
        <v>Texas</v>
      </c>
      <c r="AA30" s="16" t="str">
        <f>VLOOKUP($W$30,$A:$T,13,FALSE)</f>
        <v>Central</v>
      </c>
      <c r="AB30" s="16" t="str">
        <f>VLOOKUP($W$30,$A:$T,10,FALSE)</f>
        <v>United States</v>
      </c>
    </row>
    <row r="31" spans="1:28" x14ac:dyDescent="0.3">
      <c r="A31" s="11">
        <v>30</v>
      </c>
      <c r="B31" s="10">
        <v>41169</v>
      </c>
      <c r="C31" s="11">
        <v>2012</v>
      </c>
      <c r="D31" s="12" t="s">
        <v>112</v>
      </c>
      <c r="E31" s="10">
        <v>41173</v>
      </c>
      <c r="F31" s="11">
        <f t="shared" si="0"/>
        <v>4</v>
      </c>
      <c r="G31" s="11" t="s">
        <v>44</v>
      </c>
      <c r="H31" s="11" t="s">
        <v>120</v>
      </c>
      <c r="I31" s="11" t="s">
        <v>24</v>
      </c>
      <c r="J31" s="11" t="s">
        <v>1097</v>
      </c>
      <c r="K31" s="11" t="s">
        <v>108</v>
      </c>
      <c r="L31" s="11" t="s">
        <v>109</v>
      </c>
      <c r="M31" s="11" t="s">
        <v>110</v>
      </c>
      <c r="N31" s="11" t="s">
        <v>28</v>
      </c>
      <c r="O31" s="11" t="s">
        <v>54</v>
      </c>
      <c r="P31" s="11" t="s">
        <v>123</v>
      </c>
      <c r="Q31" s="13">
        <v>124.2</v>
      </c>
      <c r="R31" s="11">
        <v>3</v>
      </c>
      <c r="S31" s="28">
        <v>0.2</v>
      </c>
      <c r="T31" s="13">
        <v>15.525</v>
      </c>
      <c r="W31" s="11"/>
      <c r="X31" s="11"/>
      <c r="Y31" s="11"/>
    </row>
    <row r="32" spans="1:28" x14ac:dyDescent="0.3">
      <c r="A32" s="11">
        <v>31</v>
      </c>
      <c r="B32" s="10">
        <v>41169</v>
      </c>
      <c r="C32" s="11">
        <v>2012</v>
      </c>
      <c r="D32" s="12" t="s">
        <v>112</v>
      </c>
      <c r="E32" s="10">
        <v>41173</v>
      </c>
      <c r="F32" s="11">
        <f t="shared" si="0"/>
        <v>4</v>
      </c>
      <c r="G32" s="11" t="s">
        <v>44</v>
      </c>
      <c r="H32" s="11" t="s">
        <v>120</v>
      </c>
      <c r="I32" s="11" t="s">
        <v>24</v>
      </c>
      <c r="J32" s="11" t="s">
        <v>1097</v>
      </c>
      <c r="K32" s="11" t="s">
        <v>108</v>
      </c>
      <c r="L32" s="11" t="s">
        <v>109</v>
      </c>
      <c r="M32" s="11" t="s">
        <v>110</v>
      </c>
      <c r="N32" s="11" t="s">
        <v>39</v>
      </c>
      <c r="O32" s="11" t="s">
        <v>124</v>
      </c>
      <c r="P32" s="11" t="s">
        <v>125</v>
      </c>
      <c r="Q32" s="13">
        <v>3.2639999999999998</v>
      </c>
      <c r="R32" s="11">
        <v>2</v>
      </c>
      <c r="S32" s="28">
        <v>0.2</v>
      </c>
      <c r="T32" s="13">
        <v>1.1015999999999999</v>
      </c>
      <c r="W32" s="11"/>
      <c r="X32" s="11"/>
      <c r="Y32" s="11"/>
    </row>
    <row r="33" spans="1:25" x14ac:dyDescent="0.3">
      <c r="A33" s="11">
        <v>32</v>
      </c>
      <c r="B33" s="10">
        <v>41169</v>
      </c>
      <c r="C33" s="11">
        <v>2012</v>
      </c>
      <c r="D33" s="12" t="s">
        <v>112</v>
      </c>
      <c r="E33" s="10">
        <v>41173</v>
      </c>
      <c r="F33" s="11">
        <f t="shared" si="0"/>
        <v>4</v>
      </c>
      <c r="G33" s="11" t="s">
        <v>44</v>
      </c>
      <c r="H33" s="11" t="s">
        <v>120</v>
      </c>
      <c r="I33" s="11" t="s">
        <v>24</v>
      </c>
      <c r="J33" s="11" t="s">
        <v>1097</v>
      </c>
      <c r="K33" s="11" t="s">
        <v>108</v>
      </c>
      <c r="L33" s="11" t="s">
        <v>109</v>
      </c>
      <c r="M33" s="11" t="s">
        <v>110</v>
      </c>
      <c r="N33" s="11" t="s">
        <v>39</v>
      </c>
      <c r="O33" s="11" t="s">
        <v>56</v>
      </c>
      <c r="P33" s="11" t="s">
        <v>126</v>
      </c>
      <c r="Q33" s="13">
        <v>86.304000000000002</v>
      </c>
      <c r="R33" s="11">
        <v>6</v>
      </c>
      <c r="S33" s="28">
        <v>0.2</v>
      </c>
      <c r="T33" s="13">
        <v>9.7091999999999992</v>
      </c>
      <c r="W33" s="11"/>
      <c r="X33" s="11"/>
      <c r="Y33" s="11"/>
    </row>
    <row r="34" spans="1:25" x14ac:dyDescent="0.3">
      <c r="A34" s="11">
        <v>33</v>
      </c>
      <c r="B34" s="10">
        <v>41169</v>
      </c>
      <c r="C34" s="11">
        <v>2012</v>
      </c>
      <c r="D34" s="12" t="s">
        <v>112</v>
      </c>
      <c r="E34" s="10">
        <v>41173</v>
      </c>
      <c r="F34" s="11">
        <f t="shared" si="0"/>
        <v>4</v>
      </c>
      <c r="G34" s="11" t="s">
        <v>44</v>
      </c>
      <c r="H34" s="11" t="s">
        <v>120</v>
      </c>
      <c r="I34" s="11" t="s">
        <v>24</v>
      </c>
      <c r="J34" s="11" t="s">
        <v>1097</v>
      </c>
      <c r="K34" s="11" t="s">
        <v>108</v>
      </c>
      <c r="L34" s="11" t="s">
        <v>109</v>
      </c>
      <c r="M34" s="11" t="s">
        <v>110</v>
      </c>
      <c r="N34" s="11" t="s">
        <v>39</v>
      </c>
      <c r="O34" s="11" t="s">
        <v>61</v>
      </c>
      <c r="P34" s="11" t="s">
        <v>127</v>
      </c>
      <c r="Q34" s="13">
        <v>6.8579999999999997</v>
      </c>
      <c r="R34" s="11">
        <v>6</v>
      </c>
      <c r="S34" s="28">
        <v>0.7</v>
      </c>
      <c r="T34" s="13">
        <v>-5.7149999999999999</v>
      </c>
      <c r="W34" s="32" t="s">
        <v>1132</v>
      </c>
      <c r="X34" s="33"/>
      <c r="Y34" s="11"/>
    </row>
    <row r="35" spans="1:25" x14ac:dyDescent="0.3">
      <c r="A35" s="11">
        <v>34</v>
      </c>
      <c r="B35" s="10">
        <v>41169</v>
      </c>
      <c r="C35" s="11">
        <v>2012</v>
      </c>
      <c r="D35" s="12" t="s">
        <v>112</v>
      </c>
      <c r="E35" s="10">
        <v>41173</v>
      </c>
      <c r="F35" s="11">
        <f t="shared" si="0"/>
        <v>4</v>
      </c>
      <c r="G35" s="11" t="s">
        <v>44</v>
      </c>
      <c r="H35" s="11" t="s">
        <v>120</v>
      </c>
      <c r="I35" s="11" t="s">
        <v>24</v>
      </c>
      <c r="J35" s="11" t="s">
        <v>1097</v>
      </c>
      <c r="K35" s="11" t="s">
        <v>108</v>
      </c>
      <c r="L35" s="11" t="s">
        <v>109</v>
      </c>
      <c r="M35" s="11" t="s">
        <v>110</v>
      </c>
      <c r="N35" s="11" t="s">
        <v>39</v>
      </c>
      <c r="O35" s="11" t="s">
        <v>56</v>
      </c>
      <c r="P35" s="11" t="s">
        <v>128</v>
      </c>
      <c r="Q35" s="13">
        <v>15.76</v>
      </c>
      <c r="R35" s="11">
        <v>2</v>
      </c>
      <c r="S35" s="28">
        <v>0.2</v>
      </c>
      <c r="T35" s="13">
        <v>3.5459999999999998</v>
      </c>
      <c r="W35" s="15" t="s">
        <v>1133</v>
      </c>
      <c r="X35" s="15" t="s">
        <v>11</v>
      </c>
      <c r="Y35" s="11"/>
    </row>
    <row r="36" spans="1:25" x14ac:dyDescent="0.3">
      <c r="A36" s="11">
        <v>35</v>
      </c>
      <c r="B36" s="10">
        <v>41932</v>
      </c>
      <c r="C36" s="11">
        <v>2014</v>
      </c>
      <c r="D36" s="12" t="s">
        <v>43</v>
      </c>
      <c r="E36" s="10">
        <v>41936</v>
      </c>
      <c r="F36" s="11">
        <f t="shared" si="0"/>
        <v>4</v>
      </c>
      <c r="G36" s="11" t="s">
        <v>22</v>
      </c>
      <c r="H36" s="11" t="s">
        <v>129</v>
      </c>
      <c r="I36" s="11" t="s">
        <v>80</v>
      </c>
      <c r="J36" s="11" t="s">
        <v>1097</v>
      </c>
      <c r="K36" s="11" t="s">
        <v>130</v>
      </c>
      <c r="L36" s="11" t="s">
        <v>82</v>
      </c>
      <c r="M36" s="11" t="s">
        <v>83</v>
      </c>
      <c r="N36" s="11" t="s">
        <v>39</v>
      </c>
      <c r="O36" s="11" t="s">
        <v>72</v>
      </c>
      <c r="P36" s="11" t="s">
        <v>131</v>
      </c>
      <c r="Q36" s="13">
        <v>29.472000000000001</v>
      </c>
      <c r="R36" s="11">
        <v>3</v>
      </c>
      <c r="S36" s="28">
        <v>0.2</v>
      </c>
      <c r="T36" s="13">
        <v>9.9467999999999996</v>
      </c>
      <c r="W36" s="16" t="s">
        <v>34</v>
      </c>
      <c r="X36" s="16" t="str">
        <f>INDEX(L:L,MATCH(W36,Database!H:H,0))</f>
        <v>California</v>
      </c>
      <c r="Y36" s="11"/>
    </row>
    <row r="37" spans="1:25" x14ac:dyDescent="0.3">
      <c r="A37" s="11">
        <v>36</v>
      </c>
      <c r="B37" s="10">
        <v>41617</v>
      </c>
      <c r="C37" s="11">
        <v>2013</v>
      </c>
      <c r="D37" s="12" t="s">
        <v>74</v>
      </c>
      <c r="E37" s="10">
        <v>41619</v>
      </c>
      <c r="F37" s="11">
        <f t="shared" si="0"/>
        <v>2</v>
      </c>
      <c r="G37" s="11" t="s">
        <v>132</v>
      </c>
      <c r="H37" s="11" t="s">
        <v>133</v>
      </c>
      <c r="I37" s="11" t="s">
        <v>35</v>
      </c>
      <c r="J37" s="11" t="s">
        <v>1097</v>
      </c>
      <c r="K37" s="11" t="s">
        <v>134</v>
      </c>
      <c r="L37" s="11" t="s">
        <v>82</v>
      </c>
      <c r="M37" s="11" t="s">
        <v>83</v>
      </c>
      <c r="N37" s="11" t="s">
        <v>58</v>
      </c>
      <c r="O37" s="11" t="s">
        <v>59</v>
      </c>
      <c r="P37" s="11" t="s">
        <v>135</v>
      </c>
      <c r="Q37" s="13">
        <v>1097.5440000000001</v>
      </c>
      <c r="R37" s="11">
        <v>7</v>
      </c>
      <c r="S37" s="28">
        <v>0.2</v>
      </c>
      <c r="T37" s="13">
        <v>123.47369999999999</v>
      </c>
      <c r="W37" s="11"/>
      <c r="X37" s="11"/>
      <c r="Y37" s="11"/>
    </row>
    <row r="38" spans="1:25" x14ac:dyDescent="0.3">
      <c r="A38" s="11">
        <v>37</v>
      </c>
      <c r="B38" s="10">
        <v>41617</v>
      </c>
      <c r="C38" s="11">
        <v>2013</v>
      </c>
      <c r="D38" s="12" t="s">
        <v>74</v>
      </c>
      <c r="E38" s="10">
        <v>41619</v>
      </c>
      <c r="F38" s="11">
        <f t="shared" si="0"/>
        <v>2</v>
      </c>
      <c r="G38" s="11" t="s">
        <v>132</v>
      </c>
      <c r="H38" s="11" t="s">
        <v>133</v>
      </c>
      <c r="I38" s="11" t="s">
        <v>35</v>
      </c>
      <c r="J38" s="11" t="s">
        <v>1097</v>
      </c>
      <c r="K38" s="11" t="s">
        <v>134</v>
      </c>
      <c r="L38" s="11" t="s">
        <v>82</v>
      </c>
      <c r="M38" s="11" t="s">
        <v>83</v>
      </c>
      <c r="N38" s="11" t="s">
        <v>28</v>
      </c>
      <c r="O38" s="11" t="s">
        <v>54</v>
      </c>
      <c r="P38" s="11" t="s">
        <v>136</v>
      </c>
      <c r="Q38" s="13">
        <v>190.92</v>
      </c>
      <c r="R38" s="11">
        <v>5</v>
      </c>
      <c r="S38" s="28">
        <v>0.6</v>
      </c>
      <c r="T38" s="13">
        <v>-147.96299999999999</v>
      </c>
      <c r="X38" s="11"/>
      <c r="Y38" s="11"/>
    </row>
    <row r="39" spans="1:25" x14ac:dyDescent="0.3">
      <c r="A39" s="11">
        <v>38</v>
      </c>
      <c r="B39" s="10">
        <v>41270</v>
      </c>
      <c r="C39" s="11">
        <v>2012</v>
      </c>
      <c r="D39" s="12" t="s">
        <v>74</v>
      </c>
      <c r="E39" s="10">
        <v>41274</v>
      </c>
      <c r="F39" s="11">
        <f t="shared" si="0"/>
        <v>4</v>
      </c>
      <c r="G39" s="11" t="s">
        <v>44</v>
      </c>
      <c r="H39" s="11" t="s">
        <v>137</v>
      </c>
      <c r="I39" s="11" t="s">
        <v>80</v>
      </c>
      <c r="J39" s="11" t="s">
        <v>1097</v>
      </c>
      <c r="K39" s="11" t="s">
        <v>130</v>
      </c>
      <c r="L39" s="11" t="s">
        <v>82</v>
      </c>
      <c r="M39" s="11" t="s">
        <v>83</v>
      </c>
      <c r="N39" s="11" t="s">
        <v>39</v>
      </c>
      <c r="O39" s="11" t="s">
        <v>124</v>
      </c>
      <c r="P39" s="11" t="s">
        <v>138</v>
      </c>
      <c r="Q39" s="13">
        <v>113.328</v>
      </c>
      <c r="R39" s="11">
        <v>9</v>
      </c>
      <c r="S39" s="28">
        <v>0.2</v>
      </c>
      <c r="T39" s="13">
        <v>35.414999999999999</v>
      </c>
      <c r="X39" s="11"/>
    </row>
    <row r="40" spans="1:25" x14ac:dyDescent="0.3">
      <c r="A40" s="11">
        <v>39</v>
      </c>
      <c r="B40" s="10">
        <v>41270</v>
      </c>
      <c r="C40" s="11">
        <v>2012</v>
      </c>
      <c r="D40" s="12" t="s">
        <v>74</v>
      </c>
      <c r="E40" s="10">
        <v>41274</v>
      </c>
      <c r="F40" s="11">
        <f t="shared" si="0"/>
        <v>4</v>
      </c>
      <c r="G40" s="11" t="s">
        <v>44</v>
      </c>
      <c r="H40" s="11" t="s">
        <v>137</v>
      </c>
      <c r="I40" s="11" t="s">
        <v>80</v>
      </c>
      <c r="J40" s="11" t="s">
        <v>1097</v>
      </c>
      <c r="K40" s="11" t="s">
        <v>130</v>
      </c>
      <c r="L40" s="11" t="s">
        <v>82</v>
      </c>
      <c r="M40" s="11" t="s">
        <v>83</v>
      </c>
      <c r="N40" s="11" t="s">
        <v>28</v>
      </c>
      <c r="O40" s="11" t="s">
        <v>29</v>
      </c>
      <c r="P40" s="11" t="s">
        <v>139</v>
      </c>
      <c r="Q40" s="13">
        <v>532.39919999999995</v>
      </c>
      <c r="R40" s="11">
        <v>3</v>
      </c>
      <c r="S40" s="28">
        <v>0.32</v>
      </c>
      <c r="T40" s="13">
        <v>-46.976399999999998</v>
      </c>
    </row>
    <row r="41" spans="1:25" x14ac:dyDescent="0.3">
      <c r="A41" s="11">
        <v>40</v>
      </c>
      <c r="B41" s="10">
        <v>41270</v>
      </c>
      <c r="C41" s="11">
        <v>2012</v>
      </c>
      <c r="D41" s="12" t="s">
        <v>74</v>
      </c>
      <c r="E41" s="10">
        <v>41274</v>
      </c>
      <c r="F41" s="11">
        <f t="shared" si="0"/>
        <v>4</v>
      </c>
      <c r="G41" s="11" t="s">
        <v>44</v>
      </c>
      <c r="H41" s="11" t="s">
        <v>137</v>
      </c>
      <c r="I41" s="11" t="s">
        <v>80</v>
      </c>
      <c r="J41" s="11" t="s">
        <v>1097</v>
      </c>
      <c r="K41" s="11" t="s">
        <v>130</v>
      </c>
      <c r="L41" s="11" t="s">
        <v>82</v>
      </c>
      <c r="M41" s="11" t="s">
        <v>83</v>
      </c>
      <c r="N41" s="11" t="s">
        <v>28</v>
      </c>
      <c r="O41" s="11" t="s">
        <v>31</v>
      </c>
      <c r="P41" s="11" t="s">
        <v>140</v>
      </c>
      <c r="Q41" s="13">
        <v>212.05799999999999</v>
      </c>
      <c r="R41" s="11">
        <v>3</v>
      </c>
      <c r="S41" s="28">
        <v>0.3</v>
      </c>
      <c r="T41" s="13">
        <v>-15.147</v>
      </c>
    </row>
    <row r="42" spans="1:25" x14ac:dyDescent="0.3">
      <c r="A42" s="11">
        <v>41</v>
      </c>
      <c r="B42" s="10">
        <v>41270</v>
      </c>
      <c r="C42" s="11">
        <v>2012</v>
      </c>
      <c r="D42" s="12" t="s">
        <v>74</v>
      </c>
      <c r="E42" s="10">
        <v>41274</v>
      </c>
      <c r="F42" s="11">
        <f t="shared" si="0"/>
        <v>4</v>
      </c>
      <c r="G42" s="11" t="s">
        <v>44</v>
      </c>
      <c r="H42" s="11" t="s">
        <v>137</v>
      </c>
      <c r="I42" s="11" t="s">
        <v>80</v>
      </c>
      <c r="J42" s="11" t="s">
        <v>1097</v>
      </c>
      <c r="K42" s="11" t="s">
        <v>130</v>
      </c>
      <c r="L42" s="11" t="s">
        <v>82</v>
      </c>
      <c r="M42" s="11" t="s">
        <v>83</v>
      </c>
      <c r="N42" s="11" t="s">
        <v>58</v>
      </c>
      <c r="O42" s="11" t="s">
        <v>59</v>
      </c>
      <c r="P42" s="11" t="s">
        <v>141</v>
      </c>
      <c r="Q42" s="13">
        <v>371.16800000000001</v>
      </c>
      <c r="R42" s="11">
        <v>4</v>
      </c>
      <c r="S42" s="28">
        <v>0.2</v>
      </c>
      <c r="T42" s="13">
        <v>41.756399999999999</v>
      </c>
    </row>
    <row r="43" spans="1:25" x14ac:dyDescent="0.3">
      <c r="A43" s="11">
        <v>42</v>
      </c>
      <c r="B43" s="10">
        <v>41893</v>
      </c>
      <c r="C43" s="11">
        <v>2014</v>
      </c>
      <c r="D43" s="12" t="s">
        <v>112</v>
      </c>
      <c r="E43" s="10">
        <v>41898</v>
      </c>
      <c r="F43" s="11">
        <f t="shared" si="0"/>
        <v>5</v>
      </c>
      <c r="G43" s="11" t="s">
        <v>44</v>
      </c>
      <c r="H43" s="11" t="s">
        <v>142</v>
      </c>
      <c r="I43" s="11" t="s">
        <v>35</v>
      </c>
      <c r="J43" s="11" t="s">
        <v>1097</v>
      </c>
      <c r="K43" s="11" t="s">
        <v>143</v>
      </c>
      <c r="L43" s="11" t="s">
        <v>144</v>
      </c>
      <c r="M43" s="11" t="s">
        <v>83</v>
      </c>
      <c r="N43" s="11" t="s">
        <v>58</v>
      </c>
      <c r="O43" s="11" t="s">
        <v>59</v>
      </c>
      <c r="P43" s="11" t="s">
        <v>145</v>
      </c>
      <c r="Q43" s="13">
        <v>147.16800000000001</v>
      </c>
      <c r="R43" s="11">
        <v>4</v>
      </c>
      <c r="S43" s="28">
        <v>0.2</v>
      </c>
      <c r="T43" s="13">
        <v>16.5564</v>
      </c>
    </row>
    <row r="44" spans="1:25" x14ac:dyDescent="0.3">
      <c r="A44" s="11">
        <v>43</v>
      </c>
      <c r="B44" s="10">
        <v>41473</v>
      </c>
      <c r="C44" s="11">
        <v>2013</v>
      </c>
      <c r="D44" s="12" t="s">
        <v>106</v>
      </c>
      <c r="E44" s="10">
        <v>41478</v>
      </c>
      <c r="F44" s="11">
        <f t="shared" si="0"/>
        <v>5</v>
      </c>
      <c r="G44" s="11" t="s">
        <v>44</v>
      </c>
      <c r="H44" s="11" t="s">
        <v>146</v>
      </c>
      <c r="I44" s="11" t="s">
        <v>35</v>
      </c>
      <c r="J44" s="11" t="s">
        <v>1097</v>
      </c>
      <c r="K44" s="11" t="s">
        <v>36</v>
      </c>
      <c r="L44" s="11" t="s">
        <v>37</v>
      </c>
      <c r="M44" s="11" t="s">
        <v>38</v>
      </c>
      <c r="N44" s="11" t="s">
        <v>39</v>
      </c>
      <c r="O44" s="11" t="s">
        <v>50</v>
      </c>
      <c r="P44" s="11" t="s">
        <v>147</v>
      </c>
      <c r="Q44" s="13">
        <v>77.88</v>
      </c>
      <c r="R44" s="11">
        <v>2</v>
      </c>
      <c r="S44" s="28">
        <v>0</v>
      </c>
      <c r="T44" s="13">
        <v>3.8940000000000001</v>
      </c>
    </row>
    <row r="45" spans="1:25" x14ac:dyDescent="0.3">
      <c r="A45" s="11">
        <v>44</v>
      </c>
      <c r="B45" s="10">
        <v>41902</v>
      </c>
      <c r="C45" s="11">
        <v>2014</v>
      </c>
      <c r="D45" s="12" t="s">
        <v>112</v>
      </c>
      <c r="E45" s="10">
        <v>41906</v>
      </c>
      <c r="F45" s="11">
        <f t="shared" si="0"/>
        <v>4</v>
      </c>
      <c r="G45" s="11" t="s">
        <v>44</v>
      </c>
      <c r="H45" s="11" t="s">
        <v>148</v>
      </c>
      <c r="I45" s="11" t="s">
        <v>35</v>
      </c>
      <c r="J45" s="11" t="s">
        <v>1097</v>
      </c>
      <c r="K45" s="11" t="s">
        <v>149</v>
      </c>
      <c r="L45" s="11" t="s">
        <v>47</v>
      </c>
      <c r="M45" s="11" t="s">
        <v>27</v>
      </c>
      <c r="N45" s="11" t="s">
        <v>39</v>
      </c>
      <c r="O45" s="11" t="s">
        <v>50</v>
      </c>
      <c r="P45" s="11" t="s">
        <v>150</v>
      </c>
      <c r="Q45" s="13">
        <v>95.616</v>
      </c>
      <c r="R45" s="11">
        <v>2</v>
      </c>
      <c r="S45" s="28">
        <v>0.2</v>
      </c>
      <c r="T45" s="13">
        <v>9.5616000000000003</v>
      </c>
    </row>
    <row r="46" spans="1:25" x14ac:dyDescent="0.3">
      <c r="A46" s="11">
        <v>45</v>
      </c>
      <c r="B46" s="10">
        <v>41345</v>
      </c>
      <c r="C46" s="11">
        <v>2013</v>
      </c>
      <c r="D46" s="12" t="s">
        <v>151</v>
      </c>
      <c r="E46" s="10">
        <v>41347</v>
      </c>
      <c r="F46" s="11">
        <f t="shared" si="0"/>
        <v>2</v>
      </c>
      <c r="G46" s="11" t="s">
        <v>132</v>
      </c>
      <c r="H46" s="11" t="s">
        <v>152</v>
      </c>
      <c r="I46" s="11" t="s">
        <v>35</v>
      </c>
      <c r="J46" s="11" t="s">
        <v>1097</v>
      </c>
      <c r="K46" s="11" t="s">
        <v>153</v>
      </c>
      <c r="L46" s="11" t="s">
        <v>154</v>
      </c>
      <c r="M46" s="11" t="s">
        <v>83</v>
      </c>
      <c r="N46" s="11" t="s">
        <v>58</v>
      </c>
      <c r="O46" s="11" t="s">
        <v>118</v>
      </c>
      <c r="P46" s="11" t="s">
        <v>155</v>
      </c>
      <c r="Q46" s="13">
        <v>45.98</v>
      </c>
      <c r="R46" s="11">
        <v>2</v>
      </c>
      <c r="S46" s="28">
        <v>0</v>
      </c>
      <c r="T46" s="13">
        <v>19.7714</v>
      </c>
    </row>
    <row r="47" spans="1:25" x14ac:dyDescent="0.3">
      <c r="A47" s="11">
        <v>46</v>
      </c>
      <c r="B47" s="10">
        <v>41345</v>
      </c>
      <c r="C47" s="11">
        <v>2013</v>
      </c>
      <c r="D47" s="12" t="s">
        <v>151</v>
      </c>
      <c r="E47" s="10">
        <v>41347</v>
      </c>
      <c r="F47" s="11">
        <f t="shared" si="0"/>
        <v>2</v>
      </c>
      <c r="G47" s="11" t="s">
        <v>132</v>
      </c>
      <c r="H47" s="11" t="s">
        <v>152</v>
      </c>
      <c r="I47" s="11" t="s">
        <v>35</v>
      </c>
      <c r="J47" s="11" t="s">
        <v>1097</v>
      </c>
      <c r="K47" s="11" t="s">
        <v>153</v>
      </c>
      <c r="L47" s="11" t="s">
        <v>154</v>
      </c>
      <c r="M47" s="11" t="s">
        <v>83</v>
      </c>
      <c r="N47" s="11" t="s">
        <v>39</v>
      </c>
      <c r="O47" s="11" t="s">
        <v>61</v>
      </c>
      <c r="P47" s="11" t="s">
        <v>156</v>
      </c>
      <c r="Q47" s="13">
        <v>17.46</v>
      </c>
      <c r="R47" s="11">
        <v>2</v>
      </c>
      <c r="S47" s="28">
        <v>0</v>
      </c>
      <c r="T47" s="13">
        <v>8.2062000000000008</v>
      </c>
    </row>
    <row r="48" spans="1:25" x14ac:dyDescent="0.3">
      <c r="A48" s="11">
        <v>47</v>
      </c>
      <c r="B48" s="10">
        <v>40836</v>
      </c>
      <c r="C48" s="11">
        <v>2011</v>
      </c>
      <c r="D48" s="12" t="s">
        <v>43</v>
      </c>
      <c r="E48" s="10">
        <v>40841</v>
      </c>
      <c r="F48" s="11">
        <f t="shared" si="0"/>
        <v>5</v>
      </c>
      <c r="G48" s="11" t="s">
        <v>22</v>
      </c>
      <c r="H48" s="11" t="s">
        <v>157</v>
      </c>
      <c r="I48" s="11" t="s">
        <v>24</v>
      </c>
      <c r="J48" s="11" t="s">
        <v>1097</v>
      </c>
      <c r="K48" s="11" t="s">
        <v>158</v>
      </c>
      <c r="L48" s="11" t="s">
        <v>159</v>
      </c>
      <c r="M48" s="11" t="s">
        <v>83</v>
      </c>
      <c r="N48" s="11" t="s">
        <v>39</v>
      </c>
      <c r="O48" s="11" t="s">
        <v>50</v>
      </c>
      <c r="P48" s="11" t="s">
        <v>160</v>
      </c>
      <c r="Q48" s="13">
        <v>211.96</v>
      </c>
      <c r="R48" s="11">
        <v>4</v>
      </c>
      <c r="S48" s="28">
        <v>0</v>
      </c>
      <c r="T48" s="13">
        <v>8.4784000000000006</v>
      </c>
    </row>
    <row r="49" spans="1:20" x14ac:dyDescent="0.3">
      <c r="A49" s="11">
        <v>48</v>
      </c>
      <c r="B49" s="10">
        <v>41446</v>
      </c>
      <c r="C49" s="11">
        <v>2013</v>
      </c>
      <c r="D49" s="12" t="s">
        <v>33</v>
      </c>
      <c r="E49" s="10">
        <v>41451</v>
      </c>
      <c r="F49" s="11">
        <f t="shared" si="0"/>
        <v>5</v>
      </c>
      <c r="G49" s="11" t="s">
        <v>44</v>
      </c>
      <c r="H49" s="11" t="s">
        <v>161</v>
      </c>
      <c r="I49" s="11" t="s">
        <v>24</v>
      </c>
      <c r="J49" s="11" t="s">
        <v>1097</v>
      </c>
      <c r="K49" s="11" t="s">
        <v>162</v>
      </c>
      <c r="L49" s="11" t="s">
        <v>163</v>
      </c>
      <c r="M49" s="11" t="s">
        <v>110</v>
      </c>
      <c r="N49" s="11" t="s">
        <v>58</v>
      </c>
      <c r="O49" s="11" t="s">
        <v>118</v>
      </c>
      <c r="P49" s="11" t="s">
        <v>164</v>
      </c>
      <c r="Q49" s="13">
        <v>45</v>
      </c>
      <c r="R49" s="11">
        <v>3</v>
      </c>
      <c r="S49" s="28">
        <v>0</v>
      </c>
      <c r="T49" s="13">
        <v>4.95</v>
      </c>
    </row>
    <row r="50" spans="1:20" x14ac:dyDescent="0.3">
      <c r="A50" s="11">
        <v>49</v>
      </c>
      <c r="B50" s="10">
        <v>41446</v>
      </c>
      <c r="C50" s="11">
        <v>2013</v>
      </c>
      <c r="D50" s="12" t="s">
        <v>33</v>
      </c>
      <c r="E50" s="10">
        <v>41451</v>
      </c>
      <c r="F50" s="11">
        <f t="shared" si="0"/>
        <v>5</v>
      </c>
      <c r="G50" s="11" t="s">
        <v>44</v>
      </c>
      <c r="H50" s="11" t="s">
        <v>161</v>
      </c>
      <c r="I50" s="11" t="s">
        <v>24</v>
      </c>
      <c r="J50" s="11" t="s">
        <v>1097</v>
      </c>
      <c r="K50" s="11" t="s">
        <v>162</v>
      </c>
      <c r="L50" s="11" t="s">
        <v>163</v>
      </c>
      <c r="M50" s="11" t="s">
        <v>110</v>
      </c>
      <c r="N50" s="11" t="s">
        <v>58</v>
      </c>
      <c r="O50" s="11" t="s">
        <v>59</v>
      </c>
      <c r="P50" s="11" t="s">
        <v>165</v>
      </c>
      <c r="Q50" s="13">
        <v>21.8</v>
      </c>
      <c r="R50" s="11">
        <v>2</v>
      </c>
      <c r="S50" s="28">
        <v>0</v>
      </c>
      <c r="T50" s="13">
        <v>6.1040000000000001</v>
      </c>
    </row>
    <row r="51" spans="1:20" x14ac:dyDescent="0.3">
      <c r="A51" s="11">
        <v>50</v>
      </c>
      <c r="B51" s="10">
        <v>41017</v>
      </c>
      <c r="C51" s="11">
        <v>2012</v>
      </c>
      <c r="D51" s="12" t="s">
        <v>68</v>
      </c>
      <c r="E51" s="10">
        <v>41021</v>
      </c>
      <c r="F51" s="11">
        <f t="shared" si="0"/>
        <v>4</v>
      </c>
      <c r="G51" s="11" t="s">
        <v>44</v>
      </c>
      <c r="H51" s="11" t="s">
        <v>166</v>
      </c>
      <c r="I51" s="11" t="s">
        <v>24</v>
      </c>
      <c r="J51" s="11" t="s">
        <v>1097</v>
      </c>
      <c r="K51" s="11" t="s">
        <v>167</v>
      </c>
      <c r="L51" s="11" t="s">
        <v>168</v>
      </c>
      <c r="M51" s="11" t="s">
        <v>83</v>
      </c>
      <c r="N51" s="11" t="s">
        <v>39</v>
      </c>
      <c r="O51" s="11" t="s">
        <v>61</v>
      </c>
      <c r="P51" s="11" t="s">
        <v>169</v>
      </c>
      <c r="Q51" s="13">
        <v>38.22</v>
      </c>
      <c r="R51" s="11">
        <v>6</v>
      </c>
      <c r="S51" s="28">
        <v>0</v>
      </c>
      <c r="T51" s="13">
        <v>17.9634</v>
      </c>
    </row>
    <row r="52" spans="1:20" x14ac:dyDescent="0.3">
      <c r="A52" s="11">
        <v>51</v>
      </c>
      <c r="B52" s="10">
        <v>41017</v>
      </c>
      <c r="C52" s="11">
        <v>2012</v>
      </c>
      <c r="D52" s="12" t="s">
        <v>68</v>
      </c>
      <c r="E52" s="10">
        <v>41021</v>
      </c>
      <c r="F52" s="11">
        <f t="shared" si="0"/>
        <v>4</v>
      </c>
      <c r="G52" s="11" t="s">
        <v>44</v>
      </c>
      <c r="H52" s="11" t="s">
        <v>166</v>
      </c>
      <c r="I52" s="11" t="s">
        <v>24</v>
      </c>
      <c r="J52" s="11" t="s">
        <v>1097</v>
      </c>
      <c r="K52" s="11" t="s">
        <v>167</v>
      </c>
      <c r="L52" s="11" t="s">
        <v>168</v>
      </c>
      <c r="M52" s="11" t="s">
        <v>83</v>
      </c>
      <c r="N52" s="11" t="s">
        <v>39</v>
      </c>
      <c r="O52" s="11" t="s">
        <v>40</v>
      </c>
      <c r="P52" s="11" t="s">
        <v>170</v>
      </c>
      <c r="Q52" s="13">
        <v>75.180000000000007</v>
      </c>
      <c r="R52" s="11">
        <v>6</v>
      </c>
      <c r="S52" s="28">
        <v>0</v>
      </c>
      <c r="T52" s="13">
        <v>35.334600000000002</v>
      </c>
    </row>
    <row r="53" spans="1:20" x14ac:dyDescent="0.3">
      <c r="A53" s="11">
        <v>52</v>
      </c>
      <c r="B53" s="10">
        <v>41017</v>
      </c>
      <c r="C53" s="11">
        <v>2012</v>
      </c>
      <c r="D53" s="12" t="s">
        <v>68</v>
      </c>
      <c r="E53" s="10">
        <v>41021</v>
      </c>
      <c r="F53" s="11">
        <f t="shared" si="0"/>
        <v>4</v>
      </c>
      <c r="G53" s="11" t="s">
        <v>44</v>
      </c>
      <c r="H53" s="11" t="s">
        <v>166</v>
      </c>
      <c r="I53" s="11" t="s">
        <v>24</v>
      </c>
      <c r="J53" s="11" t="s">
        <v>1097</v>
      </c>
      <c r="K53" s="11" t="s">
        <v>167</v>
      </c>
      <c r="L53" s="11" t="s">
        <v>168</v>
      </c>
      <c r="M53" s="11" t="s">
        <v>83</v>
      </c>
      <c r="N53" s="11" t="s">
        <v>28</v>
      </c>
      <c r="O53" s="11" t="s">
        <v>54</v>
      </c>
      <c r="P53" s="11" t="s">
        <v>171</v>
      </c>
      <c r="Q53" s="13">
        <v>6.16</v>
      </c>
      <c r="R53" s="11">
        <v>2</v>
      </c>
      <c r="S53" s="28">
        <v>0</v>
      </c>
      <c r="T53" s="13">
        <v>2.9567999999999999</v>
      </c>
    </row>
    <row r="54" spans="1:20" x14ac:dyDescent="0.3">
      <c r="A54" s="11">
        <v>53</v>
      </c>
      <c r="B54" s="10">
        <v>41017</v>
      </c>
      <c r="C54" s="11">
        <v>2012</v>
      </c>
      <c r="D54" s="12" t="s">
        <v>68</v>
      </c>
      <c r="E54" s="10">
        <v>41021</v>
      </c>
      <c r="F54" s="11">
        <f t="shared" si="0"/>
        <v>4</v>
      </c>
      <c r="G54" s="11" t="s">
        <v>44</v>
      </c>
      <c r="H54" s="11" t="s">
        <v>166</v>
      </c>
      <c r="I54" s="11" t="s">
        <v>24</v>
      </c>
      <c r="J54" s="11" t="s">
        <v>1097</v>
      </c>
      <c r="K54" s="11" t="s">
        <v>167</v>
      </c>
      <c r="L54" s="11" t="s">
        <v>168</v>
      </c>
      <c r="M54" s="11" t="s">
        <v>83</v>
      </c>
      <c r="N54" s="11" t="s">
        <v>28</v>
      </c>
      <c r="O54" s="11" t="s">
        <v>31</v>
      </c>
      <c r="P54" s="11" t="s">
        <v>172</v>
      </c>
      <c r="Q54" s="13">
        <v>89.99</v>
      </c>
      <c r="R54" s="11">
        <v>1</v>
      </c>
      <c r="S54" s="28">
        <v>0</v>
      </c>
      <c r="T54" s="13">
        <v>17.098099999999999</v>
      </c>
    </row>
    <row r="55" spans="1:20" x14ac:dyDescent="0.3">
      <c r="A55" s="11">
        <v>54</v>
      </c>
      <c r="B55" s="10">
        <v>41620</v>
      </c>
      <c r="C55" s="11">
        <v>2013</v>
      </c>
      <c r="D55" s="12" t="s">
        <v>74</v>
      </c>
      <c r="E55" s="10">
        <v>41626</v>
      </c>
      <c r="F55" s="11">
        <f t="shared" si="0"/>
        <v>6</v>
      </c>
      <c r="G55" s="11" t="s">
        <v>44</v>
      </c>
      <c r="H55" s="11" t="s">
        <v>173</v>
      </c>
      <c r="I55" s="11" t="s">
        <v>35</v>
      </c>
      <c r="J55" s="11" t="s">
        <v>1097</v>
      </c>
      <c r="K55" s="11" t="s">
        <v>174</v>
      </c>
      <c r="L55" s="11" t="s">
        <v>175</v>
      </c>
      <c r="M55" s="11" t="s">
        <v>110</v>
      </c>
      <c r="N55" s="11" t="s">
        <v>39</v>
      </c>
      <c r="O55" s="11" t="s">
        <v>176</v>
      </c>
      <c r="P55" s="11" t="s">
        <v>177</v>
      </c>
      <c r="Q55" s="13">
        <v>15.26</v>
      </c>
      <c r="R55" s="11">
        <v>7</v>
      </c>
      <c r="S55" s="28">
        <v>0</v>
      </c>
      <c r="T55" s="13">
        <v>6.2565999999999997</v>
      </c>
    </row>
    <row r="56" spans="1:20" x14ac:dyDescent="0.3">
      <c r="A56" s="11">
        <v>55</v>
      </c>
      <c r="B56" s="10">
        <v>41620</v>
      </c>
      <c r="C56" s="11">
        <v>2013</v>
      </c>
      <c r="D56" s="12" t="s">
        <v>74</v>
      </c>
      <c r="E56" s="10">
        <v>41626</v>
      </c>
      <c r="F56" s="11">
        <f t="shared" si="0"/>
        <v>6</v>
      </c>
      <c r="G56" s="11" t="s">
        <v>44</v>
      </c>
      <c r="H56" s="11" t="s">
        <v>173</v>
      </c>
      <c r="I56" s="11" t="s">
        <v>35</v>
      </c>
      <c r="J56" s="11" t="s">
        <v>1097</v>
      </c>
      <c r="K56" s="11" t="s">
        <v>174</v>
      </c>
      <c r="L56" s="11" t="s">
        <v>175</v>
      </c>
      <c r="M56" s="11" t="s">
        <v>110</v>
      </c>
      <c r="N56" s="11" t="s">
        <v>58</v>
      </c>
      <c r="O56" s="11" t="s">
        <v>59</v>
      </c>
      <c r="P56" s="11" t="s">
        <v>178</v>
      </c>
      <c r="Q56" s="13">
        <v>1029.95</v>
      </c>
      <c r="R56" s="11">
        <v>5</v>
      </c>
      <c r="S56" s="28">
        <v>0</v>
      </c>
      <c r="T56" s="13">
        <v>298.68549999999999</v>
      </c>
    </row>
    <row r="57" spans="1:20" x14ac:dyDescent="0.3">
      <c r="A57" s="11">
        <v>56</v>
      </c>
      <c r="B57" s="10">
        <v>41443</v>
      </c>
      <c r="C57" s="11">
        <v>2013</v>
      </c>
      <c r="D57" s="12" t="s">
        <v>33</v>
      </c>
      <c r="E57" s="10">
        <v>41444</v>
      </c>
      <c r="F57" s="11">
        <f t="shared" si="0"/>
        <v>1</v>
      </c>
      <c r="G57" s="11" t="s">
        <v>132</v>
      </c>
      <c r="H57" s="11" t="s">
        <v>179</v>
      </c>
      <c r="I57" s="11" t="s">
        <v>24</v>
      </c>
      <c r="J57" s="11" t="s">
        <v>1097</v>
      </c>
      <c r="K57" s="11" t="s">
        <v>180</v>
      </c>
      <c r="L57" s="11" t="s">
        <v>175</v>
      </c>
      <c r="M57" s="11" t="s">
        <v>110</v>
      </c>
      <c r="N57" s="11" t="s">
        <v>39</v>
      </c>
      <c r="O57" s="11" t="s">
        <v>50</v>
      </c>
      <c r="P57" s="11" t="s">
        <v>181</v>
      </c>
      <c r="Q57" s="13">
        <v>208.56</v>
      </c>
      <c r="R57" s="11">
        <v>6</v>
      </c>
      <c r="S57" s="28">
        <v>0</v>
      </c>
      <c r="T57" s="13">
        <v>52.14</v>
      </c>
    </row>
    <row r="58" spans="1:20" x14ac:dyDescent="0.3">
      <c r="A58" s="11">
        <v>57</v>
      </c>
      <c r="B58" s="10">
        <v>41443</v>
      </c>
      <c r="C58" s="11">
        <v>2013</v>
      </c>
      <c r="D58" s="12" t="s">
        <v>33</v>
      </c>
      <c r="E58" s="10">
        <v>41444</v>
      </c>
      <c r="F58" s="11">
        <f t="shared" si="0"/>
        <v>1</v>
      </c>
      <c r="G58" s="11" t="s">
        <v>132</v>
      </c>
      <c r="H58" s="11" t="s">
        <v>179</v>
      </c>
      <c r="I58" s="11" t="s">
        <v>24</v>
      </c>
      <c r="J58" s="11" t="s">
        <v>1097</v>
      </c>
      <c r="K58" s="11" t="s">
        <v>180</v>
      </c>
      <c r="L58" s="11" t="s">
        <v>175</v>
      </c>
      <c r="M58" s="11" t="s">
        <v>110</v>
      </c>
      <c r="N58" s="11" t="s">
        <v>39</v>
      </c>
      <c r="O58" s="11" t="s">
        <v>72</v>
      </c>
      <c r="P58" s="11" t="s">
        <v>182</v>
      </c>
      <c r="Q58" s="13">
        <v>32.4</v>
      </c>
      <c r="R58" s="11">
        <v>5</v>
      </c>
      <c r="S58" s="28">
        <v>0</v>
      </c>
      <c r="T58" s="13">
        <v>15.552</v>
      </c>
    </row>
    <row r="59" spans="1:20" x14ac:dyDescent="0.3">
      <c r="A59" s="11">
        <v>58</v>
      </c>
      <c r="B59" s="10">
        <v>41443</v>
      </c>
      <c r="C59" s="11">
        <v>2013</v>
      </c>
      <c r="D59" s="12" t="s">
        <v>33</v>
      </c>
      <c r="E59" s="10">
        <v>41444</v>
      </c>
      <c r="F59" s="11">
        <f t="shared" si="0"/>
        <v>1</v>
      </c>
      <c r="G59" s="11" t="s">
        <v>132</v>
      </c>
      <c r="H59" s="11" t="s">
        <v>179</v>
      </c>
      <c r="I59" s="11" t="s">
        <v>24</v>
      </c>
      <c r="J59" s="11" t="s">
        <v>1097</v>
      </c>
      <c r="K59" s="11" t="s">
        <v>180</v>
      </c>
      <c r="L59" s="11" t="s">
        <v>175</v>
      </c>
      <c r="M59" s="11" t="s">
        <v>110</v>
      </c>
      <c r="N59" s="11" t="s">
        <v>28</v>
      </c>
      <c r="O59" s="11" t="s">
        <v>31</v>
      </c>
      <c r="P59" s="11" t="s">
        <v>183</v>
      </c>
      <c r="Q59" s="13">
        <v>319.41000000000003</v>
      </c>
      <c r="R59" s="11">
        <v>5</v>
      </c>
      <c r="S59" s="28">
        <v>0.1</v>
      </c>
      <c r="T59" s="13">
        <v>7.0979999999999999</v>
      </c>
    </row>
    <row r="60" spans="1:20" x14ac:dyDescent="0.3">
      <c r="A60" s="11">
        <v>59</v>
      </c>
      <c r="B60" s="10">
        <v>41443</v>
      </c>
      <c r="C60" s="11">
        <v>2013</v>
      </c>
      <c r="D60" s="12" t="s">
        <v>33</v>
      </c>
      <c r="E60" s="10">
        <v>41444</v>
      </c>
      <c r="F60" s="11">
        <f t="shared" si="0"/>
        <v>1</v>
      </c>
      <c r="G60" s="11" t="s">
        <v>132</v>
      </c>
      <c r="H60" s="11" t="s">
        <v>179</v>
      </c>
      <c r="I60" s="11" t="s">
        <v>24</v>
      </c>
      <c r="J60" s="11" t="s">
        <v>1097</v>
      </c>
      <c r="K60" s="11" t="s">
        <v>180</v>
      </c>
      <c r="L60" s="11" t="s">
        <v>175</v>
      </c>
      <c r="M60" s="11" t="s">
        <v>110</v>
      </c>
      <c r="N60" s="11" t="s">
        <v>39</v>
      </c>
      <c r="O60" s="11" t="s">
        <v>72</v>
      </c>
      <c r="P60" s="11" t="s">
        <v>184</v>
      </c>
      <c r="Q60" s="13">
        <v>14.56</v>
      </c>
      <c r="R60" s="11">
        <v>2</v>
      </c>
      <c r="S60" s="28">
        <v>0</v>
      </c>
      <c r="T60" s="13">
        <v>6.9888000000000003</v>
      </c>
    </row>
    <row r="61" spans="1:20" x14ac:dyDescent="0.3">
      <c r="A61" s="11">
        <v>60</v>
      </c>
      <c r="B61" s="10">
        <v>41443</v>
      </c>
      <c r="C61" s="11">
        <v>2013</v>
      </c>
      <c r="D61" s="12" t="s">
        <v>33</v>
      </c>
      <c r="E61" s="10">
        <v>41444</v>
      </c>
      <c r="F61" s="11">
        <f t="shared" si="0"/>
        <v>1</v>
      </c>
      <c r="G61" s="11" t="s">
        <v>132</v>
      </c>
      <c r="H61" s="11" t="s">
        <v>179</v>
      </c>
      <c r="I61" s="11" t="s">
        <v>24</v>
      </c>
      <c r="J61" s="11" t="s">
        <v>1097</v>
      </c>
      <c r="K61" s="11" t="s">
        <v>180</v>
      </c>
      <c r="L61" s="11" t="s">
        <v>175</v>
      </c>
      <c r="M61" s="11" t="s">
        <v>110</v>
      </c>
      <c r="N61" s="11" t="s">
        <v>58</v>
      </c>
      <c r="O61" s="11" t="s">
        <v>118</v>
      </c>
      <c r="P61" s="11" t="s">
        <v>164</v>
      </c>
      <c r="Q61" s="13">
        <v>30</v>
      </c>
      <c r="R61" s="11">
        <v>2</v>
      </c>
      <c r="S61" s="28">
        <v>0</v>
      </c>
      <c r="T61" s="13">
        <v>3.3</v>
      </c>
    </row>
    <row r="62" spans="1:20" x14ac:dyDescent="0.3">
      <c r="A62" s="11">
        <v>61</v>
      </c>
      <c r="B62" s="10">
        <v>41443</v>
      </c>
      <c r="C62" s="11">
        <v>2013</v>
      </c>
      <c r="D62" s="12" t="s">
        <v>33</v>
      </c>
      <c r="E62" s="10">
        <v>41444</v>
      </c>
      <c r="F62" s="11">
        <f t="shared" si="0"/>
        <v>1</v>
      </c>
      <c r="G62" s="11" t="s">
        <v>132</v>
      </c>
      <c r="H62" s="11" t="s">
        <v>179</v>
      </c>
      <c r="I62" s="11" t="s">
        <v>24</v>
      </c>
      <c r="J62" s="11" t="s">
        <v>1097</v>
      </c>
      <c r="K62" s="11" t="s">
        <v>180</v>
      </c>
      <c r="L62" s="11" t="s">
        <v>175</v>
      </c>
      <c r="M62" s="11" t="s">
        <v>110</v>
      </c>
      <c r="N62" s="11" t="s">
        <v>39</v>
      </c>
      <c r="O62" s="11" t="s">
        <v>61</v>
      </c>
      <c r="P62" s="11" t="s">
        <v>185</v>
      </c>
      <c r="Q62" s="13">
        <v>48.48</v>
      </c>
      <c r="R62" s="11">
        <v>4</v>
      </c>
      <c r="S62" s="28">
        <v>0.2</v>
      </c>
      <c r="T62" s="13">
        <v>16.361999999999998</v>
      </c>
    </row>
    <row r="63" spans="1:20" x14ac:dyDescent="0.3">
      <c r="A63" s="11">
        <v>62</v>
      </c>
      <c r="B63" s="10">
        <v>41443</v>
      </c>
      <c r="C63" s="11">
        <v>2013</v>
      </c>
      <c r="D63" s="12" t="s">
        <v>33</v>
      </c>
      <c r="E63" s="10">
        <v>41444</v>
      </c>
      <c r="F63" s="11">
        <f t="shared" si="0"/>
        <v>1</v>
      </c>
      <c r="G63" s="11" t="s">
        <v>132</v>
      </c>
      <c r="H63" s="11" t="s">
        <v>179</v>
      </c>
      <c r="I63" s="11" t="s">
        <v>24</v>
      </c>
      <c r="J63" s="11" t="s">
        <v>1097</v>
      </c>
      <c r="K63" s="11" t="s">
        <v>180</v>
      </c>
      <c r="L63" s="11" t="s">
        <v>175</v>
      </c>
      <c r="M63" s="11" t="s">
        <v>110</v>
      </c>
      <c r="N63" s="11" t="s">
        <v>39</v>
      </c>
      <c r="O63" s="11" t="s">
        <v>56</v>
      </c>
      <c r="P63" s="11" t="s">
        <v>186</v>
      </c>
      <c r="Q63" s="13">
        <v>1.68</v>
      </c>
      <c r="R63" s="11">
        <v>1</v>
      </c>
      <c r="S63" s="28">
        <v>0</v>
      </c>
      <c r="T63" s="13">
        <v>0.84</v>
      </c>
    </row>
    <row r="64" spans="1:20" x14ac:dyDescent="0.3">
      <c r="A64" s="11">
        <v>63</v>
      </c>
      <c r="B64" s="10">
        <v>41237</v>
      </c>
      <c r="C64" s="11">
        <v>2012</v>
      </c>
      <c r="D64" s="12" t="s">
        <v>21</v>
      </c>
      <c r="E64" s="10">
        <v>41243</v>
      </c>
      <c r="F64" s="11">
        <f t="shared" si="0"/>
        <v>6</v>
      </c>
      <c r="G64" s="11" t="s">
        <v>44</v>
      </c>
      <c r="H64" s="11" t="s">
        <v>187</v>
      </c>
      <c r="I64" s="11" t="s">
        <v>24</v>
      </c>
      <c r="J64" s="11" t="s">
        <v>1097</v>
      </c>
      <c r="K64" s="11" t="s">
        <v>36</v>
      </c>
      <c r="L64" s="11" t="s">
        <v>37</v>
      </c>
      <c r="M64" s="11" t="s">
        <v>38</v>
      </c>
      <c r="N64" s="11" t="s">
        <v>58</v>
      </c>
      <c r="O64" s="11" t="s">
        <v>118</v>
      </c>
      <c r="P64" s="11" t="s">
        <v>188</v>
      </c>
      <c r="Q64" s="13">
        <v>13.98</v>
      </c>
      <c r="R64" s="11">
        <v>2</v>
      </c>
      <c r="S64" s="28">
        <v>0</v>
      </c>
      <c r="T64" s="13">
        <v>6.1512000000000002</v>
      </c>
    </row>
    <row r="65" spans="1:20" x14ac:dyDescent="0.3">
      <c r="A65" s="11">
        <v>64</v>
      </c>
      <c r="B65" s="10">
        <v>41237</v>
      </c>
      <c r="C65" s="11">
        <v>2012</v>
      </c>
      <c r="D65" s="12" t="s">
        <v>21</v>
      </c>
      <c r="E65" s="10">
        <v>41243</v>
      </c>
      <c r="F65" s="11">
        <f t="shared" si="0"/>
        <v>6</v>
      </c>
      <c r="G65" s="11" t="s">
        <v>44</v>
      </c>
      <c r="H65" s="11" t="s">
        <v>187</v>
      </c>
      <c r="I65" s="11" t="s">
        <v>24</v>
      </c>
      <c r="J65" s="11" t="s">
        <v>1097</v>
      </c>
      <c r="K65" s="11" t="s">
        <v>36</v>
      </c>
      <c r="L65" s="11" t="s">
        <v>37</v>
      </c>
      <c r="M65" s="11" t="s">
        <v>38</v>
      </c>
      <c r="N65" s="11" t="s">
        <v>39</v>
      </c>
      <c r="O65" s="11" t="s">
        <v>61</v>
      </c>
      <c r="P65" s="11" t="s">
        <v>189</v>
      </c>
      <c r="Q65" s="13">
        <v>25.824000000000002</v>
      </c>
      <c r="R65" s="11">
        <v>6</v>
      </c>
      <c r="S65" s="28">
        <v>0.2</v>
      </c>
      <c r="T65" s="13">
        <v>9.3612000000000002</v>
      </c>
    </row>
    <row r="66" spans="1:20" x14ac:dyDescent="0.3">
      <c r="A66" s="11">
        <v>65</v>
      </c>
      <c r="B66" s="10">
        <v>41237</v>
      </c>
      <c r="C66" s="11">
        <v>2012</v>
      </c>
      <c r="D66" s="12" t="s">
        <v>21</v>
      </c>
      <c r="E66" s="10">
        <v>41243</v>
      </c>
      <c r="F66" s="11">
        <f t="shared" ref="F66:F129" si="1">_xlfn.DAYS(E66,B66)</f>
        <v>6</v>
      </c>
      <c r="G66" s="11" t="s">
        <v>44</v>
      </c>
      <c r="H66" s="11" t="s">
        <v>187</v>
      </c>
      <c r="I66" s="11" t="s">
        <v>24</v>
      </c>
      <c r="J66" s="11" t="s">
        <v>1097</v>
      </c>
      <c r="K66" s="11" t="s">
        <v>36</v>
      </c>
      <c r="L66" s="11" t="s">
        <v>37</v>
      </c>
      <c r="M66" s="11" t="s">
        <v>38</v>
      </c>
      <c r="N66" s="11" t="s">
        <v>39</v>
      </c>
      <c r="O66" s="11" t="s">
        <v>72</v>
      </c>
      <c r="P66" s="11" t="s">
        <v>190</v>
      </c>
      <c r="Q66" s="13">
        <v>146.72999999999999</v>
      </c>
      <c r="R66" s="11">
        <v>3</v>
      </c>
      <c r="S66" s="28">
        <v>0</v>
      </c>
      <c r="T66" s="13">
        <v>68.963099999999997</v>
      </c>
    </row>
    <row r="67" spans="1:20" x14ac:dyDescent="0.3">
      <c r="A67" s="11">
        <v>66</v>
      </c>
      <c r="B67" s="10">
        <v>41237</v>
      </c>
      <c r="C67" s="11">
        <v>2012</v>
      </c>
      <c r="D67" s="12" t="s">
        <v>21</v>
      </c>
      <c r="E67" s="10">
        <v>41243</v>
      </c>
      <c r="F67" s="11">
        <f t="shared" si="1"/>
        <v>6</v>
      </c>
      <c r="G67" s="11" t="s">
        <v>44</v>
      </c>
      <c r="H67" s="11" t="s">
        <v>187</v>
      </c>
      <c r="I67" s="11" t="s">
        <v>24</v>
      </c>
      <c r="J67" s="11" t="s">
        <v>1097</v>
      </c>
      <c r="K67" s="11" t="s">
        <v>36</v>
      </c>
      <c r="L67" s="11" t="s">
        <v>37</v>
      </c>
      <c r="M67" s="11" t="s">
        <v>38</v>
      </c>
      <c r="N67" s="11" t="s">
        <v>28</v>
      </c>
      <c r="O67" s="11" t="s">
        <v>54</v>
      </c>
      <c r="P67" s="11" t="s">
        <v>191</v>
      </c>
      <c r="Q67" s="13">
        <v>79.760000000000005</v>
      </c>
      <c r="R67" s="11">
        <v>4</v>
      </c>
      <c r="S67" s="28">
        <v>0</v>
      </c>
      <c r="T67" s="13">
        <v>22.332799999999999</v>
      </c>
    </row>
    <row r="68" spans="1:20" x14ac:dyDescent="0.3">
      <c r="A68" s="11">
        <v>67</v>
      </c>
      <c r="B68" s="10">
        <v>41029</v>
      </c>
      <c r="C68" s="11">
        <v>2012</v>
      </c>
      <c r="D68" s="12" t="s">
        <v>68</v>
      </c>
      <c r="E68" s="10">
        <v>41034</v>
      </c>
      <c r="F68" s="11">
        <f t="shared" si="1"/>
        <v>5</v>
      </c>
      <c r="G68" s="11" t="s">
        <v>44</v>
      </c>
      <c r="H68" s="11" t="s">
        <v>192</v>
      </c>
      <c r="I68" s="11" t="s">
        <v>80</v>
      </c>
      <c r="J68" s="11" t="s">
        <v>1097</v>
      </c>
      <c r="K68" s="11" t="s">
        <v>193</v>
      </c>
      <c r="L68" s="11" t="s">
        <v>144</v>
      </c>
      <c r="M68" s="11" t="s">
        <v>83</v>
      </c>
      <c r="N68" s="11" t="s">
        <v>28</v>
      </c>
      <c r="O68" s="11" t="s">
        <v>31</v>
      </c>
      <c r="P68" s="11" t="s">
        <v>194</v>
      </c>
      <c r="Q68" s="13">
        <v>213.11500000000001</v>
      </c>
      <c r="R68" s="11">
        <v>5</v>
      </c>
      <c r="S68" s="28">
        <v>0.3</v>
      </c>
      <c r="T68" s="13">
        <v>-15.2225</v>
      </c>
    </row>
    <row r="69" spans="1:20" x14ac:dyDescent="0.3">
      <c r="A69" s="11">
        <v>68</v>
      </c>
      <c r="B69" s="10">
        <v>40882</v>
      </c>
      <c r="C69" s="11">
        <v>2011</v>
      </c>
      <c r="D69" s="12" t="s">
        <v>74</v>
      </c>
      <c r="E69" s="10">
        <v>40887</v>
      </c>
      <c r="F69" s="11">
        <f t="shared" si="1"/>
        <v>5</v>
      </c>
      <c r="G69" s="11" t="s">
        <v>44</v>
      </c>
      <c r="H69" s="11" t="s">
        <v>195</v>
      </c>
      <c r="I69" s="11" t="s">
        <v>35</v>
      </c>
      <c r="J69" s="11" t="s">
        <v>1097</v>
      </c>
      <c r="K69" s="11" t="s">
        <v>196</v>
      </c>
      <c r="L69" s="11" t="s">
        <v>197</v>
      </c>
      <c r="M69" s="11" t="s">
        <v>38</v>
      </c>
      <c r="N69" s="11" t="s">
        <v>39</v>
      </c>
      <c r="O69" s="11" t="s">
        <v>56</v>
      </c>
      <c r="P69" s="11" t="s">
        <v>198</v>
      </c>
      <c r="Q69" s="13">
        <v>1113.0239999999999</v>
      </c>
      <c r="R69" s="11">
        <v>8</v>
      </c>
      <c r="S69" s="28">
        <v>0.2</v>
      </c>
      <c r="T69" s="13">
        <v>111.30240000000001</v>
      </c>
    </row>
    <row r="70" spans="1:20" x14ac:dyDescent="0.3">
      <c r="A70" s="11">
        <v>69</v>
      </c>
      <c r="B70" s="10">
        <v>40882</v>
      </c>
      <c r="C70" s="11">
        <v>2011</v>
      </c>
      <c r="D70" s="12" t="s">
        <v>74</v>
      </c>
      <c r="E70" s="10">
        <v>40887</v>
      </c>
      <c r="F70" s="11">
        <f t="shared" si="1"/>
        <v>5</v>
      </c>
      <c r="G70" s="11" t="s">
        <v>44</v>
      </c>
      <c r="H70" s="11" t="s">
        <v>195</v>
      </c>
      <c r="I70" s="11" t="s">
        <v>35</v>
      </c>
      <c r="J70" s="11" t="s">
        <v>1097</v>
      </c>
      <c r="K70" s="11" t="s">
        <v>196</v>
      </c>
      <c r="L70" s="11" t="s">
        <v>197</v>
      </c>
      <c r="M70" s="11" t="s">
        <v>38</v>
      </c>
      <c r="N70" s="11" t="s">
        <v>58</v>
      </c>
      <c r="O70" s="11" t="s">
        <v>59</v>
      </c>
      <c r="P70" s="11" t="s">
        <v>199</v>
      </c>
      <c r="Q70" s="13">
        <v>167.96799999999999</v>
      </c>
      <c r="R70" s="11">
        <v>4</v>
      </c>
      <c r="S70" s="28">
        <v>0.2</v>
      </c>
      <c r="T70" s="13">
        <v>62.988</v>
      </c>
    </row>
    <row r="71" spans="1:20" x14ac:dyDescent="0.3">
      <c r="A71" s="11">
        <v>70</v>
      </c>
      <c r="B71" s="10">
        <v>41430</v>
      </c>
      <c r="C71" s="11">
        <v>2013</v>
      </c>
      <c r="D71" s="12" t="s">
        <v>33</v>
      </c>
      <c r="E71" s="10">
        <v>41432</v>
      </c>
      <c r="F71" s="11">
        <f t="shared" si="1"/>
        <v>2</v>
      </c>
      <c r="G71" s="11" t="s">
        <v>132</v>
      </c>
      <c r="H71" s="11" t="s">
        <v>200</v>
      </c>
      <c r="I71" s="11" t="s">
        <v>24</v>
      </c>
      <c r="J71" s="11" t="s">
        <v>1097</v>
      </c>
      <c r="K71" s="11" t="s">
        <v>201</v>
      </c>
      <c r="L71" s="11" t="s">
        <v>202</v>
      </c>
      <c r="M71" s="11" t="s">
        <v>27</v>
      </c>
      <c r="N71" s="11" t="s">
        <v>39</v>
      </c>
      <c r="O71" s="11" t="s">
        <v>72</v>
      </c>
      <c r="P71" s="11" t="s">
        <v>203</v>
      </c>
      <c r="Q71" s="13">
        <v>75.88</v>
      </c>
      <c r="R71" s="11">
        <v>2</v>
      </c>
      <c r="S71" s="28">
        <v>0</v>
      </c>
      <c r="T71" s="13">
        <v>35.663600000000002</v>
      </c>
    </row>
    <row r="72" spans="1:20" x14ac:dyDescent="0.3">
      <c r="A72" s="11">
        <v>71</v>
      </c>
      <c r="B72" s="10">
        <v>41536</v>
      </c>
      <c r="C72" s="11">
        <v>2013</v>
      </c>
      <c r="D72" s="12" t="s">
        <v>112</v>
      </c>
      <c r="E72" s="10">
        <v>41541</v>
      </c>
      <c r="F72" s="11">
        <f t="shared" si="1"/>
        <v>5</v>
      </c>
      <c r="G72" s="11" t="s">
        <v>44</v>
      </c>
      <c r="H72" s="11" t="s">
        <v>204</v>
      </c>
      <c r="I72" s="11" t="s">
        <v>24</v>
      </c>
      <c r="J72" s="11" t="s">
        <v>1097</v>
      </c>
      <c r="K72" s="11" t="s">
        <v>174</v>
      </c>
      <c r="L72" s="11" t="s">
        <v>175</v>
      </c>
      <c r="M72" s="11" t="s">
        <v>110</v>
      </c>
      <c r="N72" s="11" t="s">
        <v>39</v>
      </c>
      <c r="O72" s="11" t="s">
        <v>61</v>
      </c>
      <c r="P72" s="11" t="s">
        <v>205</v>
      </c>
      <c r="Q72" s="13">
        <v>4.6159999999999997</v>
      </c>
      <c r="R72" s="11">
        <v>1</v>
      </c>
      <c r="S72" s="28">
        <v>0.2</v>
      </c>
      <c r="T72" s="13">
        <v>1.7310000000000001</v>
      </c>
    </row>
    <row r="73" spans="1:20" x14ac:dyDescent="0.3">
      <c r="A73" s="11">
        <v>72</v>
      </c>
      <c r="B73" s="10">
        <v>41897</v>
      </c>
      <c r="C73" s="11">
        <v>2014</v>
      </c>
      <c r="D73" s="12" t="s">
        <v>112</v>
      </c>
      <c r="E73" s="10">
        <v>41900</v>
      </c>
      <c r="F73" s="11">
        <f t="shared" si="1"/>
        <v>3</v>
      </c>
      <c r="G73" s="11" t="s">
        <v>22</v>
      </c>
      <c r="H73" s="11" t="s">
        <v>120</v>
      </c>
      <c r="I73" s="11" t="s">
        <v>24</v>
      </c>
      <c r="J73" s="11" t="s">
        <v>1097</v>
      </c>
      <c r="K73" s="11" t="s">
        <v>206</v>
      </c>
      <c r="L73" s="11" t="s">
        <v>159</v>
      </c>
      <c r="M73" s="11" t="s">
        <v>83</v>
      </c>
      <c r="N73" s="11" t="s">
        <v>39</v>
      </c>
      <c r="O73" s="11" t="s">
        <v>72</v>
      </c>
      <c r="P73" s="11" t="s">
        <v>207</v>
      </c>
      <c r="Q73" s="13">
        <v>19.05</v>
      </c>
      <c r="R73" s="11">
        <v>3</v>
      </c>
      <c r="S73" s="28">
        <v>0</v>
      </c>
      <c r="T73" s="13">
        <v>8.7629999999999999</v>
      </c>
    </row>
    <row r="74" spans="1:20" x14ac:dyDescent="0.3">
      <c r="A74" s="11">
        <v>73</v>
      </c>
      <c r="B74" s="10">
        <v>41025</v>
      </c>
      <c r="C74" s="11">
        <v>2012</v>
      </c>
      <c r="D74" s="12" t="s">
        <v>68</v>
      </c>
      <c r="E74" s="10">
        <v>41031</v>
      </c>
      <c r="F74" s="11">
        <f t="shared" si="1"/>
        <v>6</v>
      </c>
      <c r="G74" s="11" t="s">
        <v>44</v>
      </c>
      <c r="H74" s="11" t="s">
        <v>208</v>
      </c>
      <c r="I74" s="11" t="s">
        <v>24</v>
      </c>
      <c r="J74" s="11" t="s">
        <v>1097</v>
      </c>
      <c r="K74" s="11" t="s">
        <v>209</v>
      </c>
      <c r="L74" s="11" t="s">
        <v>210</v>
      </c>
      <c r="M74" s="11" t="s">
        <v>27</v>
      </c>
      <c r="N74" s="11" t="s">
        <v>28</v>
      </c>
      <c r="O74" s="11" t="s">
        <v>31</v>
      </c>
      <c r="P74" s="11" t="s">
        <v>211</v>
      </c>
      <c r="Q74" s="13">
        <v>831.93600000000004</v>
      </c>
      <c r="R74" s="11">
        <v>8</v>
      </c>
      <c r="S74" s="28">
        <v>0.2</v>
      </c>
      <c r="T74" s="13">
        <v>-114.3912</v>
      </c>
    </row>
    <row r="75" spans="1:20" x14ac:dyDescent="0.3">
      <c r="A75" s="11">
        <v>74</v>
      </c>
      <c r="B75" s="10">
        <v>41025</v>
      </c>
      <c r="C75" s="11">
        <v>2012</v>
      </c>
      <c r="D75" s="12" t="s">
        <v>68</v>
      </c>
      <c r="E75" s="10">
        <v>41031</v>
      </c>
      <c r="F75" s="11">
        <f t="shared" si="1"/>
        <v>6</v>
      </c>
      <c r="G75" s="11" t="s">
        <v>44</v>
      </c>
      <c r="H75" s="11" t="s">
        <v>208</v>
      </c>
      <c r="I75" s="11" t="s">
        <v>24</v>
      </c>
      <c r="J75" s="11" t="s">
        <v>1097</v>
      </c>
      <c r="K75" s="11" t="s">
        <v>209</v>
      </c>
      <c r="L75" s="11" t="s">
        <v>210</v>
      </c>
      <c r="M75" s="11" t="s">
        <v>27</v>
      </c>
      <c r="N75" s="11" t="s">
        <v>28</v>
      </c>
      <c r="O75" s="11" t="s">
        <v>54</v>
      </c>
      <c r="P75" s="11" t="s">
        <v>212</v>
      </c>
      <c r="Q75" s="13">
        <v>97.04</v>
      </c>
      <c r="R75" s="11">
        <v>2</v>
      </c>
      <c r="S75" s="28">
        <v>0.2</v>
      </c>
      <c r="T75" s="13">
        <v>1.2130000000000001</v>
      </c>
    </row>
    <row r="76" spans="1:20" x14ac:dyDescent="0.3">
      <c r="A76" s="11">
        <v>75</v>
      </c>
      <c r="B76" s="10">
        <v>41025</v>
      </c>
      <c r="C76" s="11">
        <v>2012</v>
      </c>
      <c r="D76" s="12" t="s">
        <v>68</v>
      </c>
      <c r="E76" s="10">
        <v>41031</v>
      </c>
      <c r="F76" s="11">
        <f t="shared" si="1"/>
        <v>6</v>
      </c>
      <c r="G76" s="11" t="s">
        <v>44</v>
      </c>
      <c r="H76" s="11" t="s">
        <v>208</v>
      </c>
      <c r="I76" s="11" t="s">
        <v>24</v>
      </c>
      <c r="J76" s="11" t="s">
        <v>1097</v>
      </c>
      <c r="K76" s="11" t="s">
        <v>209</v>
      </c>
      <c r="L76" s="11" t="s">
        <v>210</v>
      </c>
      <c r="M76" s="11" t="s">
        <v>27</v>
      </c>
      <c r="N76" s="11" t="s">
        <v>39</v>
      </c>
      <c r="O76" s="11" t="s">
        <v>50</v>
      </c>
      <c r="P76" s="11" t="s">
        <v>213</v>
      </c>
      <c r="Q76" s="13">
        <v>72.784000000000006</v>
      </c>
      <c r="R76" s="11">
        <v>1</v>
      </c>
      <c r="S76" s="28">
        <v>0.2</v>
      </c>
      <c r="T76" s="13">
        <v>-18.196000000000002</v>
      </c>
    </row>
    <row r="77" spans="1:20" x14ac:dyDescent="0.3">
      <c r="A77" s="11">
        <v>76</v>
      </c>
      <c r="B77" s="10">
        <v>41983</v>
      </c>
      <c r="C77" s="11">
        <v>2014</v>
      </c>
      <c r="D77" s="12" t="s">
        <v>74</v>
      </c>
      <c r="E77" s="10">
        <v>41985</v>
      </c>
      <c r="F77" s="11">
        <f t="shared" si="1"/>
        <v>2</v>
      </c>
      <c r="G77" s="11" t="s">
        <v>132</v>
      </c>
      <c r="H77" s="11" t="s">
        <v>214</v>
      </c>
      <c r="I77" s="11" t="s">
        <v>35</v>
      </c>
      <c r="J77" s="11" t="s">
        <v>1097</v>
      </c>
      <c r="K77" s="11" t="s">
        <v>130</v>
      </c>
      <c r="L77" s="11" t="s">
        <v>82</v>
      </c>
      <c r="M77" s="11" t="s">
        <v>83</v>
      </c>
      <c r="N77" s="11" t="s">
        <v>39</v>
      </c>
      <c r="O77" s="11" t="s">
        <v>61</v>
      </c>
      <c r="P77" s="11" t="s">
        <v>215</v>
      </c>
      <c r="Q77" s="13">
        <v>1.248</v>
      </c>
      <c r="R77" s="11">
        <v>3</v>
      </c>
      <c r="S77" s="28">
        <v>0.8</v>
      </c>
      <c r="T77" s="13">
        <v>-1.9343999999999999</v>
      </c>
    </row>
    <row r="78" spans="1:20" x14ac:dyDescent="0.3">
      <c r="A78" s="11">
        <v>77</v>
      </c>
      <c r="B78" s="10">
        <v>41983</v>
      </c>
      <c r="C78" s="11">
        <v>2014</v>
      </c>
      <c r="D78" s="12" t="s">
        <v>74</v>
      </c>
      <c r="E78" s="10">
        <v>41985</v>
      </c>
      <c r="F78" s="11">
        <f t="shared" si="1"/>
        <v>2</v>
      </c>
      <c r="G78" s="11" t="s">
        <v>132</v>
      </c>
      <c r="H78" s="11" t="s">
        <v>214</v>
      </c>
      <c r="I78" s="11" t="s">
        <v>35</v>
      </c>
      <c r="J78" s="11" t="s">
        <v>1097</v>
      </c>
      <c r="K78" s="11" t="s">
        <v>130</v>
      </c>
      <c r="L78" s="11" t="s">
        <v>82</v>
      </c>
      <c r="M78" s="11" t="s">
        <v>83</v>
      </c>
      <c r="N78" s="11" t="s">
        <v>28</v>
      </c>
      <c r="O78" s="11" t="s">
        <v>54</v>
      </c>
      <c r="P78" s="11" t="s">
        <v>216</v>
      </c>
      <c r="Q78" s="13">
        <v>9.7080000000000002</v>
      </c>
      <c r="R78" s="11">
        <v>3</v>
      </c>
      <c r="S78" s="28">
        <v>0.6</v>
      </c>
      <c r="T78" s="13">
        <v>-5.8247999999999998</v>
      </c>
    </row>
    <row r="79" spans="1:20" x14ac:dyDescent="0.3">
      <c r="A79" s="11">
        <v>78</v>
      </c>
      <c r="B79" s="10">
        <v>41983</v>
      </c>
      <c r="C79" s="11">
        <v>2014</v>
      </c>
      <c r="D79" s="12" t="s">
        <v>74</v>
      </c>
      <c r="E79" s="10">
        <v>41985</v>
      </c>
      <c r="F79" s="11">
        <f t="shared" si="1"/>
        <v>2</v>
      </c>
      <c r="G79" s="11" t="s">
        <v>132</v>
      </c>
      <c r="H79" s="11" t="s">
        <v>214</v>
      </c>
      <c r="I79" s="11" t="s">
        <v>35</v>
      </c>
      <c r="J79" s="11" t="s">
        <v>1097</v>
      </c>
      <c r="K79" s="11" t="s">
        <v>130</v>
      </c>
      <c r="L79" s="11" t="s">
        <v>82</v>
      </c>
      <c r="M79" s="11" t="s">
        <v>83</v>
      </c>
      <c r="N79" s="11" t="s">
        <v>39</v>
      </c>
      <c r="O79" s="11" t="s">
        <v>50</v>
      </c>
      <c r="P79" s="11" t="s">
        <v>217</v>
      </c>
      <c r="Q79" s="13">
        <v>27.24</v>
      </c>
      <c r="R79" s="11">
        <v>3</v>
      </c>
      <c r="S79" s="28">
        <v>0.2</v>
      </c>
      <c r="T79" s="13">
        <v>2.7240000000000002</v>
      </c>
    </row>
    <row r="80" spans="1:20" x14ac:dyDescent="0.3">
      <c r="A80" s="11">
        <v>79</v>
      </c>
      <c r="B80" s="10">
        <v>40873</v>
      </c>
      <c r="C80" s="11">
        <v>2011</v>
      </c>
      <c r="D80" s="12" t="s">
        <v>21</v>
      </c>
      <c r="E80" s="10">
        <v>40878</v>
      </c>
      <c r="F80" s="11">
        <f t="shared" si="1"/>
        <v>5</v>
      </c>
      <c r="G80" s="11" t="s">
        <v>22</v>
      </c>
      <c r="H80" s="11" t="s">
        <v>208</v>
      </c>
      <c r="I80" s="11" t="s">
        <v>24</v>
      </c>
      <c r="J80" s="11" t="s">
        <v>1097</v>
      </c>
      <c r="K80" s="11" t="s">
        <v>130</v>
      </c>
      <c r="L80" s="11" t="s">
        <v>82</v>
      </c>
      <c r="M80" s="11" t="s">
        <v>83</v>
      </c>
      <c r="N80" s="11" t="s">
        <v>28</v>
      </c>
      <c r="O80" s="11" t="s">
        <v>54</v>
      </c>
      <c r="P80" s="11" t="s">
        <v>218</v>
      </c>
      <c r="Q80" s="13">
        <v>19.3</v>
      </c>
      <c r="R80" s="11">
        <v>5</v>
      </c>
      <c r="S80" s="28">
        <v>0.6</v>
      </c>
      <c r="T80" s="13">
        <v>-14.475</v>
      </c>
    </row>
    <row r="81" spans="1:20" x14ac:dyDescent="0.3">
      <c r="A81" s="11">
        <v>80</v>
      </c>
      <c r="B81" s="10">
        <v>41438</v>
      </c>
      <c r="C81" s="11">
        <v>2013</v>
      </c>
      <c r="D81" s="12" t="s">
        <v>33</v>
      </c>
      <c r="E81" s="10">
        <v>41441</v>
      </c>
      <c r="F81" s="11">
        <f t="shared" si="1"/>
        <v>3</v>
      </c>
      <c r="G81" s="11" t="s">
        <v>132</v>
      </c>
      <c r="H81" s="11" t="s">
        <v>219</v>
      </c>
      <c r="I81" s="11" t="s">
        <v>35</v>
      </c>
      <c r="J81" s="11" t="s">
        <v>1097</v>
      </c>
      <c r="K81" s="11" t="s">
        <v>220</v>
      </c>
      <c r="L81" s="11" t="s">
        <v>221</v>
      </c>
      <c r="M81" s="11" t="s">
        <v>27</v>
      </c>
      <c r="N81" s="11" t="s">
        <v>39</v>
      </c>
      <c r="O81" s="11" t="s">
        <v>63</v>
      </c>
      <c r="P81" s="11" t="s">
        <v>222</v>
      </c>
      <c r="Q81" s="13">
        <v>208.16</v>
      </c>
      <c r="R81" s="11">
        <v>1</v>
      </c>
      <c r="S81" s="28">
        <v>0</v>
      </c>
      <c r="T81" s="13">
        <v>56.203200000000002</v>
      </c>
    </row>
    <row r="82" spans="1:20" x14ac:dyDescent="0.3">
      <c r="A82" s="11">
        <v>81</v>
      </c>
      <c r="B82" s="10">
        <v>41438</v>
      </c>
      <c r="C82" s="11">
        <v>2013</v>
      </c>
      <c r="D82" s="12" t="s">
        <v>33</v>
      </c>
      <c r="E82" s="10">
        <v>41441</v>
      </c>
      <c r="F82" s="11">
        <f t="shared" si="1"/>
        <v>3</v>
      </c>
      <c r="G82" s="11" t="s">
        <v>132</v>
      </c>
      <c r="H82" s="11" t="s">
        <v>219</v>
      </c>
      <c r="I82" s="11" t="s">
        <v>35</v>
      </c>
      <c r="J82" s="11" t="s">
        <v>1097</v>
      </c>
      <c r="K82" s="11" t="s">
        <v>220</v>
      </c>
      <c r="L82" s="11" t="s">
        <v>221</v>
      </c>
      <c r="M82" s="11" t="s">
        <v>27</v>
      </c>
      <c r="N82" s="11" t="s">
        <v>39</v>
      </c>
      <c r="O82" s="11" t="s">
        <v>61</v>
      </c>
      <c r="P82" s="11" t="s">
        <v>223</v>
      </c>
      <c r="Q82" s="13">
        <v>16.739999999999998</v>
      </c>
      <c r="R82" s="11">
        <v>3</v>
      </c>
      <c r="S82" s="28">
        <v>0</v>
      </c>
      <c r="T82" s="13">
        <v>8.0351999999999997</v>
      </c>
    </row>
    <row r="83" spans="1:20" x14ac:dyDescent="0.3">
      <c r="A83" s="11">
        <v>82</v>
      </c>
      <c r="B83" s="10">
        <v>40828</v>
      </c>
      <c r="C83" s="11">
        <v>2011</v>
      </c>
      <c r="D83" s="12" t="s">
        <v>43</v>
      </c>
      <c r="E83" s="10">
        <v>40832</v>
      </c>
      <c r="F83" s="11">
        <f t="shared" si="1"/>
        <v>4</v>
      </c>
      <c r="G83" s="11" t="s">
        <v>44</v>
      </c>
      <c r="H83" s="11" t="s">
        <v>224</v>
      </c>
      <c r="I83" s="11" t="s">
        <v>24</v>
      </c>
      <c r="J83" s="11" t="s">
        <v>1097</v>
      </c>
      <c r="K83" s="11" t="s">
        <v>97</v>
      </c>
      <c r="L83" s="11" t="s">
        <v>37</v>
      </c>
      <c r="M83" s="11" t="s">
        <v>38</v>
      </c>
      <c r="N83" s="11" t="s">
        <v>39</v>
      </c>
      <c r="O83" s="11" t="s">
        <v>56</v>
      </c>
      <c r="P83" s="11" t="s">
        <v>225</v>
      </c>
      <c r="Q83" s="13">
        <v>14.9</v>
      </c>
      <c r="R83" s="11">
        <v>5</v>
      </c>
      <c r="S83" s="28">
        <v>0</v>
      </c>
      <c r="T83" s="13">
        <v>4.1719999999999997</v>
      </c>
    </row>
    <row r="84" spans="1:20" x14ac:dyDescent="0.3">
      <c r="A84" s="11">
        <v>83</v>
      </c>
      <c r="B84" s="10">
        <v>40828</v>
      </c>
      <c r="C84" s="11">
        <v>2011</v>
      </c>
      <c r="D84" s="12" t="s">
        <v>43</v>
      </c>
      <c r="E84" s="10">
        <v>40832</v>
      </c>
      <c r="F84" s="11">
        <f t="shared" si="1"/>
        <v>4</v>
      </c>
      <c r="G84" s="11" t="s">
        <v>44</v>
      </c>
      <c r="H84" s="11" t="s">
        <v>224</v>
      </c>
      <c r="I84" s="11" t="s">
        <v>24</v>
      </c>
      <c r="J84" s="11" t="s">
        <v>1097</v>
      </c>
      <c r="K84" s="11" t="s">
        <v>97</v>
      </c>
      <c r="L84" s="11" t="s">
        <v>37</v>
      </c>
      <c r="M84" s="11" t="s">
        <v>38</v>
      </c>
      <c r="N84" s="11" t="s">
        <v>39</v>
      </c>
      <c r="O84" s="11" t="s">
        <v>50</v>
      </c>
      <c r="P84" s="11" t="s">
        <v>226</v>
      </c>
      <c r="Q84" s="13">
        <v>21.39</v>
      </c>
      <c r="R84" s="11">
        <v>1</v>
      </c>
      <c r="S84" s="28">
        <v>0</v>
      </c>
      <c r="T84" s="13">
        <v>6.2031000000000001</v>
      </c>
    </row>
    <row r="85" spans="1:20" x14ac:dyDescent="0.3">
      <c r="A85" s="11">
        <v>84</v>
      </c>
      <c r="B85" s="10">
        <v>41155</v>
      </c>
      <c r="C85" s="11">
        <v>2012</v>
      </c>
      <c r="D85" s="12" t="s">
        <v>112</v>
      </c>
      <c r="E85" s="10">
        <v>41160</v>
      </c>
      <c r="F85" s="11">
        <f t="shared" si="1"/>
        <v>5</v>
      </c>
      <c r="G85" s="11" t="s">
        <v>44</v>
      </c>
      <c r="H85" s="11" t="s">
        <v>227</v>
      </c>
      <c r="I85" s="11" t="s">
        <v>35</v>
      </c>
      <c r="J85" s="11" t="s">
        <v>1097</v>
      </c>
      <c r="K85" s="11" t="s">
        <v>228</v>
      </c>
      <c r="L85" s="11" t="s">
        <v>71</v>
      </c>
      <c r="M85" s="11" t="s">
        <v>27</v>
      </c>
      <c r="N85" s="11" t="s">
        <v>39</v>
      </c>
      <c r="O85" s="11" t="s">
        <v>124</v>
      </c>
      <c r="P85" s="11" t="s">
        <v>229</v>
      </c>
      <c r="Q85" s="13">
        <v>200.98400000000001</v>
      </c>
      <c r="R85" s="11">
        <v>7</v>
      </c>
      <c r="S85" s="28">
        <v>0.2</v>
      </c>
      <c r="T85" s="13">
        <v>62.807499999999997</v>
      </c>
    </row>
    <row r="86" spans="1:20" x14ac:dyDescent="0.3">
      <c r="A86" s="11">
        <v>85</v>
      </c>
      <c r="B86" s="10">
        <v>41957</v>
      </c>
      <c r="C86" s="11">
        <v>2014</v>
      </c>
      <c r="D86" s="12" t="s">
        <v>21</v>
      </c>
      <c r="E86" s="10">
        <v>41960</v>
      </c>
      <c r="F86" s="11">
        <f t="shared" si="1"/>
        <v>3</v>
      </c>
      <c r="G86" s="11" t="s">
        <v>132</v>
      </c>
      <c r="H86" s="11" t="s">
        <v>230</v>
      </c>
      <c r="I86" s="11" t="s">
        <v>80</v>
      </c>
      <c r="J86" s="11" t="s">
        <v>1097</v>
      </c>
      <c r="K86" s="11" t="s">
        <v>193</v>
      </c>
      <c r="L86" s="11" t="s">
        <v>144</v>
      </c>
      <c r="M86" s="11" t="s">
        <v>83</v>
      </c>
      <c r="N86" s="11" t="s">
        <v>39</v>
      </c>
      <c r="O86" s="11" t="s">
        <v>50</v>
      </c>
      <c r="P86" s="11" t="s">
        <v>231</v>
      </c>
      <c r="Q86" s="13">
        <v>230.376</v>
      </c>
      <c r="R86" s="11">
        <v>3</v>
      </c>
      <c r="S86" s="28">
        <v>0.2</v>
      </c>
      <c r="T86" s="13">
        <v>-48.954900000000002</v>
      </c>
    </row>
    <row r="87" spans="1:20" x14ac:dyDescent="0.3">
      <c r="A87" s="11">
        <v>86</v>
      </c>
      <c r="B87" s="10">
        <v>41788</v>
      </c>
      <c r="C87" s="11">
        <v>2014</v>
      </c>
      <c r="D87" s="12" t="s">
        <v>90</v>
      </c>
      <c r="E87" s="10">
        <v>41790</v>
      </c>
      <c r="F87" s="11">
        <f t="shared" si="1"/>
        <v>2</v>
      </c>
      <c r="G87" s="11" t="s">
        <v>22</v>
      </c>
      <c r="H87" s="11" t="s">
        <v>157</v>
      </c>
      <c r="I87" s="11" t="s">
        <v>24</v>
      </c>
      <c r="J87" s="11" t="s">
        <v>1097</v>
      </c>
      <c r="K87" s="11" t="s">
        <v>232</v>
      </c>
      <c r="L87" s="11" t="s">
        <v>233</v>
      </c>
      <c r="M87" s="11" t="s">
        <v>27</v>
      </c>
      <c r="N87" s="11" t="s">
        <v>28</v>
      </c>
      <c r="O87" s="11" t="s">
        <v>31</v>
      </c>
      <c r="P87" s="11" t="s">
        <v>234</v>
      </c>
      <c r="Q87" s="13">
        <v>301.95999999999998</v>
      </c>
      <c r="R87" s="11">
        <v>2</v>
      </c>
      <c r="S87" s="28">
        <v>0</v>
      </c>
      <c r="T87" s="13">
        <v>33.215600000000002</v>
      </c>
    </row>
    <row r="88" spans="1:20" x14ac:dyDescent="0.3">
      <c r="A88" s="11">
        <v>87</v>
      </c>
      <c r="B88" s="10">
        <v>41939</v>
      </c>
      <c r="C88" s="11">
        <v>2014</v>
      </c>
      <c r="D88" s="12" t="s">
        <v>43</v>
      </c>
      <c r="E88" s="10">
        <v>41946</v>
      </c>
      <c r="F88" s="11">
        <f t="shared" si="1"/>
        <v>7</v>
      </c>
      <c r="G88" s="11" t="s">
        <v>44</v>
      </c>
      <c r="H88" s="11" t="s">
        <v>235</v>
      </c>
      <c r="I88" s="11" t="s">
        <v>24</v>
      </c>
      <c r="J88" s="11" t="s">
        <v>1097</v>
      </c>
      <c r="K88" s="11" t="s">
        <v>236</v>
      </c>
      <c r="L88" s="11" t="s">
        <v>154</v>
      </c>
      <c r="M88" s="11" t="s">
        <v>83</v>
      </c>
      <c r="N88" s="11" t="s">
        <v>58</v>
      </c>
      <c r="O88" s="11" t="s">
        <v>118</v>
      </c>
      <c r="P88" s="11" t="s">
        <v>237</v>
      </c>
      <c r="Q88" s="13">
        <v>19.989999999999998</v>
      </c>
      <c r="R88" s="11">
        <v>1</v>
      </c>
      <c r="S88" s="28">
        <v>0</v>
      </c>
      <c r="T88" s="13">
        <v>6.7965999999999998</v>
      </c>
    </row>
    <row r="89" spans="1:20" x14ac:dyDescent="0.3">
      <c r="A89" s="11">
        <v>88</v>
      </c>
      <c r="B89" s="10">
        <v>41939</v>
      </c>
      <c r="C89" s="11">
        <v>2014</v>
      </c>
      <c r="D89" s="12" t="s">
        <v>43</v>
      </c>
      <c r="E89" s="10">
        <v>41946</v>
      </c>
      <c r="F89" s="11">
        <f t="shared" si="1"/>
        <v>7</v>
      </c>
      <c r="G89" s="11" t="s">
        <v>44</v>
      </c>
      <c r="H89" s="11" t="s">
        <v>235</v>
      </c>
      <c r="I89" s="11" t="s">
        <v>24</v>
      </c>
      <c r="J89" s="11" t="s">
        <v>1097</v>
      </c>
      <c r="K89" s="11" t="s">
        <v>236</v>
      </c>
      <c r="L89" s="11" t="s">
        <v>154</v>
      </c>
      <c r="M89" s="11" t="s">
        <v>83</v>
      </c>
      <c r="N89" s="11" t="s">
        <v>39</v>
      </c>
      <c r="O89" s="11" t="s">
        <v>40</v>
      </c>
      <c r="P89" s="11" t="s">
        <v>238</v>
      </c>
      <c r="Q89" s="13">
        <v>6.16</v>
      </c>
      <c r="R89" s="11">
        <v>2</v>
      </c>
      <c r="S89" s="28">
        <v>0</v>
      </c>
      <c r="T89" s="13">
        <v>2.9567999999999999</v>
      </c>
    </row>
    <row r="90" spans="1:20" x14ac:dyDescent="0.3">
      <c r="A90" s="11">
        <v>89</v>
      </c>
      <c r="B90" s="10">
        <v>41370</v>
      </c>
      <c r="C90" s="11">
        <v>2013</v>
      </c>
      <c r="D90" s="12" t="s">
        <v>68</v>
      </c>
      <c r="E90" s="10">
        <v>41375</v>
      </c>
      <c r="F90" s="11">
        <f t="shared" si="1"/>
        <v>5</v>
      </c>
      <c r="G90" s="11" t="s">
        <v>22</v>
      </c>
      <c r="H90" s="11" t="s">
        <v>239</v>
      </c>
      <c r="I90" s="11" t="s">
        <v>80</v>
      </c>
      <c r="J90" s="11" t="s">
        <v>1097</v>
      </c>
      <c r="K90" s="11" t="s">
        <v>130</v>
      </c>
      <c r="L90" s="11" t="s">
        <v>82</v>
      </c>
      <c r="M90" s="11" t="s">
        <v>83</v>
      </c>
      <c r="N90" s="11" t="s">
        <v>39</v>
      </c>
      <c r="O90" s="11" t="s">
        <v>50</v>
      </c>
      <c r="P90" s="11" t="s">
        <v>240</v>
      </c>
      <c r="Q90" s="13">
        <v>158.36799999999999</v>
      </c>
      <c r="R90" s="11">
        <v>7</v>
      </c>
      <c r="S90" s="28">
        <v>0.2</v>
      </c>
      <c r="T90" s="13">
        <v>13.857200000000001</v>
      </c>
    </row>
    <row r="91" spans="1:20" x14ac:dyDescent="0.3">
      <c r="A91" s="11">
        <v>90</v>
      </c>
      <c r="B91" s="10">
        <v>41535</v>
      </c>
      <c r="C91" s="11">
        <v>2013</v>
      </c>
      <c r="D91" s="12" t="s">
        <v>112</v>
      </c>
      <c r="E91" s="10">
        <v>41540</v>
      </c>
      <c r="F91" s="11">
        <f t="shared" si="1"/>
        <v>5</v>
      </c>
      <c r="G91" s="11" t="s">
        <v>44</v>
      </c>
      <c r="H91" s="11" t="s">
        <v>241</v>
      </c>
      <c r="I91" s="11" t="s">
        <v>35</v>
      </c>
      <c r="J91" s="11" t="s">
        <v>1097</v>
      </c>
      <c r="K91" s="11" t="s">
        <v>36</v>
      </c>
      <c r="L91" s="11" t="s">
        <v>37</v>
      </c>
      <c r="M91" s="11" t="s">
        <v>38</v>
      </c>
      <c r="N91" s="11" t="s">
        <v>39</v>
      </c>
      <c r="O91" s="11" t="s">
        <v>56</v>
      </c>
      <c r="P91" s="11" t="s">
        <v>242</v>
      </c>
      <c r="Q91" s="13">
        <v>20.100000000000001</v>
      </c>
      <c r="R91" s="11">
        <v>3</v>
      </c>
      <c r="S91" s="28">
        <v>0</v>
      </c>
      <c r="T91" s="13">
        <v>6.633</v>
      </c>
    </row>
    <row r="92" spans="1:20" x14ac:dyDescent="0.3">
      <c r="A92" s="11">
        <v>91</v>
      </c>
      <c r="B92" s="10">
        <v>41535</v>
      </c>
      <c r="C92" s="11">
        <v>2013</v>
      </c>
      <c r="D92" s="12" t="s">
        <v>112</v>
      </c>
      <c r="E92" s="10">
        <v>41540</v>
      </c>
      <c r="F92" s="11">
        <f t="shared" si="1"/>
        <v>5</v>
      </c>
      <c r="G92" s="11" t="s">
        <v>44</v>
      </c>
      <c r="H92" s="11" t="s">
        <v>241</v>
      </c>
      <c r="I92" s="11" t="s">
        <v>35</v>
      </c>
      <c r="J92" s="11" t="s">
        <v>1097</v>
      </c>
      <c r="K92" s="11" t="s">
        <v>36</v>
      </c>
      <c r="L92" s="11" t="s">
        <v>37</v>
      </c>
      <c r="M92" s="11" t="s">
        <v>38</v>
      </c>
      <c r="N92" s="11" t="s">
        <v>58</v>
      </c>
      <c r="O92" s="11" t="s">
        <v>59</v>
      </c>
      <c r="P92" s="11" t="s">
        <v>145</v>
      </c>
      <c r="Q92" s="13">
        <v>73.584000000000003</v>
      </c>
      <c r="R92" s="11">
        <v>2</v>
      </c>
      <c r="S92" s="28">
        <v>0.2</v>
      </c>
      <c r="T92" s="13">
        <v>8.2782</v>
      </c>
    </row>
    <row r="93" spans="1:20" x14ac:dyDescent="0.3">
      <c r="A93" s="11">
        <v>92</v>
      </c>
      <c r="B93" s="10">
        <v>41535</v>
      </c>
      <c r="C93" s="11">
        <v>2013</v>
      </c>
      <c r="D93" s="12" t="s">
        <v>112</v>
      </c>
      <c r="E93" s="10">
        <v>41540</v>
      </c>
      <c r="F93" s="11">
        <f t="shared" si="1"/>
        <v>5</v>
      </c>
      <c r="G93" s="11" t="s">
        <v>44</v>
      </c>
      <c r="H93" s="11" t="s">
        <v>241</v>
      </c>
      <c r="I93" s="11" t="s">
        <v>35</v>
      </c>
      <c r="J93" s="11" t="s">
        <v>1097</v>
      </c>
      <c r="K93" s="11" t="s">
        <v>36</v>
      </c>
      <c r="L93" s="11" t="s">
        <v>37</v>
      </c>
      <c r="M93" s="11" t="s">
        <v>38</v>
      </c>
      <c r="N93" s="11" t="s">
        <v>39</v>
      </c>
      <c r="O93" s="11" t="s">
        <v>72</v>
      </c>
      <c r="P93" s="11" t="s">
        <v>243</v>
      </c>
      <c r="Q93" s="13">
        <v>6.48</v>
      </c>
      <c r="R93" s="11">
        <v>1</v>
      </c>
      <c r="S93" s="28">
        <v>0</v>
      </c>
      <c r="T93" s="13">
        <v>3.1103999999999998</v>
      </c>
    </row>
    <row r="94" spans="1:20" x14ac:dyDescent="0.3">
      <c r="A94" s="11">
        <v>93</v>
      </c>
      <c r="B94" s="10">
        <v>40939</v>
      </c>
      <c r="C94" s="11">
        <v>2012</v>
      </c>
      <c r="D94" s="12" t="s">
        <v>115</v>
      </c>
      <c r="E94" s="10">
        <v>40944</v>
      </c>
      <c r="F94" s="11">
        <f t="shared" si="1"/>
        <v>5</v>
      </c>
      <c r="G94" s="11" t="s">
        <v>22</v>
      </c>
      <c r="H94" s="11" t="s">
        <v>244</v>
      </c>
      <c r="I94" s="11" t="s">
        <v>24</v>
      </c>
      <c r="J94" s="11" t="s">
        <v>1097</v>
      </c>
      <c r="K94" s="11" t="s">
        <v>245</v>
      </c>
      <c r="L94" s="11" t="s">
        <v>154</v>
      </c>
      <c r="M94" s="11" t="s">
        <v>83</v>
      </c>
      <c r="N94" s="11" t="s">
        <v>39</v>
      </c>
      <c r="O94" s="11" t="s">
        <v>72</v>
      </c>
      <c r="P94" s="11" t="s">
        <v>246</v>
      </c>
      <c r="Q94" s="13">
        <v>12.96</v>
      </c>
      <c r="R94" s="11">
        <v>2</v>
      </c>
      <c r="S94" s="28">
        <v>0</v>
      </c>
      <c r="T94" s="13">
        <v>6.2207999999999997</v>
      </c>
    </row>
    <row r="95" spans="1:20" x14ac:dyDescent="0.3">
      <c r="A95" s="11">
        <v>94</v>
      </c>
      <c r="B95" s="10">
        <v>40939</v>
      </c>
      <c r="C95" s="11">
        <v>2012</v>
      </c>
      <c r="D95" s="12" t="s">
        <v>115</v>
      </c>
      <c r="E95" s="10">
        <v>40944</v>
      </c>
      <c r="F95" s="11">
        <f t="shared" si="1"/>
        <v>5</v>
      </c>
      <c r="G95" s="11" t="s">
        <v>22</v>
      </c>
      <c r="H95" s="11" t="s">
        <v>244</v>
      </c>
      <c r="I95" s="11" t="s">
        <v>24</v>
      </c>
      <c r="J95" s="11" t="s">
        <v>1097</v>
      </c>
      <c r="K95" s="11" t="s">
        <v>245</v>
      </c>
      <c r="L95" s="11" t="s">
        <v>154</v>
      </c>
      <c r="M95" s="11" t="s">
        <v>83</v>
      </c>
      <c r="N95" s="11" t="s">
        <v>28</v>
      </c>
      <c r="O95" s="11" t="s">
        <v>54</v>
      </c>
      <c r="P95" s="11" t="s">
        <v>247</v>
      </c>
      <c r="Q95" s="13">
        <v>53.34</v>
      </c>
      <c r="R95" s="11">
        <v>3</v>
      </c>
      <c r="S95" s="28">
        <v>0</v>
      </c>
      <c r="T95" s="13">
        <v>16.535399999999999</v>
      </c>
    </row>
    <row r="96" spans="1:20" x14ac:dyDescent="0.3">
      <c r="A96" s="11">
        <v>95</v>
      </c>
      <c r="B96" s="10">
        <v>40939</v>
      </c>
      <c r="C96" s="11">
        <v>2012</v>
      </c>
      <c r="D96" s="12" t="s">
        <v>115</v>
      </c>
      <c r="E96" s="10">
        <v>40944</v>
      </c>
      <c r="F96" s="11">
        <f t="shared" si="1"/>
        <v>5</v>
      </c>
      <c r="G96" s="11" t="s">
        <v>22</v>
      </c>
      <c r="H96" s="11" t="s">
        <v>244</v>
      </c>
      <c r="I96" s="11" t="s">
        <v>24</v>
      </c>
      <c r="J96" s="11" t="s">
        <v>1097</v>
      </c>
      <c r="K96" s="11" t="s">
        <v>245</v>
      </c>
      <c r="L96" s="11" t="s">
        <v>154</v>
      </c>
      <c r="M96" s="11" t="s">
        <v>83</v>
      </c>
      <c r="N96" s="11" t="s">
        <v>39</v>
      </c>
      <c r="O96" s="11" t="s">
        <v>61</v>
      </c>
      <c r="P96" s="11" t="s">
        <v>248</v>
      </c>
      <c r="Q96" s="13">
        <v>32.96</v>
      </c>
      <c r="R96" s="11">
        <v>2</v>
      </c>
      <c r="S96" s="28">
        <v>0</v>
      </c>
      <c r="T96" s="13">
        <v>16.150400000000001</v>
      </c>
    </row>
    <row r="97" spans="1:20" x14ac:dyDescent="0.3">
      <c r="A97" s="11">
        <v>96</v>
      </c>
      <c r="B97" s="10">
        <v>41950</v>
      </c>
      <c r="C97" s="11">
        <v>2014</v>
      </c>
      <c r="D97" s="12" t="s">
        <v>21</v>
      </c>
      <c r="E97" s="10">
        <v>41956</v>
      </c>
      <c r="F97" s="11">
        <f t="shared" si="1"/>
        <v>6</v>
      </c>
      <c r="G97" s="11" t="s">
        <v>44</v>
      </c>
      <c r="H97" s="11" t="s">
        <v>249</v>
      </c>
      <c r="I97" s="11" t="s">
        <v>80</v>
      </c>
      <c r="J97" s="11" t="s">
        <v>1097</v>
      </c>
      <c r="K97" s="11" t="s">
        <v>250</v>
      </c>
      <c r="L97" s="11" t="s">
        <v>251</v>
      </c>
      <c r="M97" s="11" t="s">
        <v>38</v>
      </c>
      <c r="N97" s="11" t="s">
        <v>39</v>
      </c>
      <c r="O97" s="11" t="s">
        <v>61</v>
      </c>
      <c r="P97" s="11" t="s">
        <v>252</v>
      </c>
      <c r="Q97" s="13">
        <v>5.6820000000000004</v>
      </c>
      <c r="R97" s="11">
        <v>1</v>
      </c>
      <c r="S97" s="28">
        <v>0.7</v>
      </c>
      <c r="T97" s="13">
        <v>-3.7879999999999998</v>
      </c>
    </row>
    <row r="98" spans="1:20" x14ac:dyDescent="0.3">
      <c r="A98" s="11">
        <v>97</v>
      </c>
      <c r="B98" s="10">
        <v>41953</v>
      </c>
      <c r="C98" s="11">
        <v>2014</v>
      </c>
      <c r="D98" s="12" t="s">
        <v>21</v>
      </c>
      <c r="E98" s="10">
        <v>41955</v>
      </c>
      <c r="F98" s="11">
        <f t="shared" si="1"/>
        <v>2</v>
      </c>
      <c r="G98" s="11" t="s">
        <v>22</v>
      </c>
      <c r="H98" s="11" t="s">
        <v>253</v>
      </c>
      <c r="I98" s="11" t="s">
        <v>80</v>
      </c>
      <c r="J98" s="11" t="s">
        <v>1097</v>
      </c>
      <c r="K98" s="11" t="s">
        <v>174</v>
      </c>
      <c r="L98" s="11" t="s">
        <v>175</v>
      </c>
      <c r="M98" s="11" t="s">
        <v>110</v>
      </c>
      <c r="N98" s="11" t="s">
        <v>28</v>
      </c>
      <c r="O98" s="11" t="s">
        <v>54</v>
      </c>
      <c r="P98" s="11" t="s">
        <v>254</v>
      </c>
      <c r="Q98" s="13">
        <v>96.53</v>
      </c>
      <c r="R98" s="11">
        <v>7</v>
      </c>
      <c r="S98" s="28">
        <v>0</v>
      </c>
      <c r="T98" s="13">
        <v>40.5426</v>
      </c>
    </row>
    <row r="99" spans="1:20" x14ac:dyDescent="0.3">
      <c r="A99" s="11">
        <v>98</v>
      </c>
      <c r="B99" s="10">
        <v>41808</v>
      </c>
      <c r="C99" s="11">
        <v>2014</v>
      </c>
      <c r="D99" s="12" t="s">
        <v>33</v>
      </c>
      <c r="E99" s="10">
        <v>41811</v>
      </c>
      <c r="F99" s="11">
        <f t="shared" si="1"/>
        <v>3</v>
      </c>
      <c r="G99" s="11" t="s">
        <v>132</v>
      </c>
      <c r="H99" s="11" t="s">
        <v>255</v>
      </c>
      <c r="I99" s="11" t="s">
        <v>24</v>
      </c>
      <c r="J99" s="11" t="s">
        <v>1097</v>
      </c>
      <c r="K99" s="11" t="s">
        <v>97</v>
      </c>
      <c r="L99" s="11" t="s">
        <v>37</v>
      </c>
      <c r="M99" s="11" t="s">
        <v>38</v>
      </c>
      <c r="N99" s="11" t="s">
        <v>39</v>
      </c>
      <c r="O99" s="11" t="s">
        <v>61</v>
      </c>
      <c r="P99" s="11" t="s">
        <v>256</v>
      </c>
      <c r="Q99" s="13">
        <v>51.311999999999998</v>
      </c>
      <c r="R99" s="11">
        <v>3</v>
      </c>
      <c r="S99" s="28">
        <v>0.2</v>
      </c>
      <c r="T99" s="13">
        <v>17.959199999999999</v>
      </c>
    </row>
    <row r="100" spans="1:20" x14ac:dyDescent="0.3">
      <c r="A100" s="11">
        <v>99</v>
      </c>
      <c r="B100" s="10">
        <v>41524</v>
      </c>
      <c r="C100" s="11">
        <v>2013</v>
      </c>
      <c r="D100" s="12" t="s">
        <v>112</v>
      </c>
      <c r="E100" s="10">
        <v>41529</v>
      </c>
      <c r="F100" s="11">
        <f t="shared" si="1"/>
        <v>5</v>
      </c>
      <c r="G100" s="11" t="s">
        <v>44</v>
      </c>
      <c r="H100" s="11" t="s">
        <v>257</v>
      </c>
      <c r="I100" s="11" t="s">
        <v>35</v>
      </c>
      <c r="J100" s="11" t="s">
        <v>1097</v>
      </c>
      <c r="K100" s="11" t="s">
        <v>258</v>
      </c>
      <c r="L100" s="11" t="s">
        <v>154</v>
      </c>
      <c r="M100" s="11" t="s">
        <v>83</v>
      </c>
      <c r="N100" s="11" t="s">
        <v>39</v>
      </c>
      <c r="O100" s="11" t="s">
        <v>63</v>
      </c>
      <c r="P100" s="11" t="s">
        <v>259</v>
      </c>
      <c r="Q100" s="13">
        <v>77.88</v>
      </c>
      <c r="R100" s="11">
        <v>6</v>
      </c>
      <c r="S100" s="28">
        <v>0</v>
      </c>
      <c r="T100" s="13">
        <v>22.5852</v>
      </c>
    </row>
    <row r="101" spans="1:20" x14ac:dyDescent="0.3">
      <c r="A101" s="11">
        <v>100</v>
      </c>
      <c r="B101" s="10">
        <v>41516</v>
      </c>
      <c r="C101" s="11">
        <v>2013</v>
      </c>
      <c r="D101" s="12" t="s">
        <v>95</v>
      </c>
      <c r="E101" s="10">
        <v>41520</v>
      </c>
      <c r="F101" s="11">
        <f t="shared" si="1"/>
        <v>4</v>
      </c>
      <c r="G101" s="11" t="s">
        <v>44</v>
      </c>
      <c r="H101" s="11" t="s">
        <v>260</v>
      </c>
      <c r="I101" s="11" t="s">
        <v>80</v>
      </c>
      <c r="J101" s="11" t="s">
        <v>1097</v>
      </c>
      <c r="K101" s="11" t="s">
        <v>193</v>
      </c>
      <c r="L101" s="11" t="s">
        <v>144</v>
      </c>
      <c r="M101" s="11" t="s">
        <v>83</v>
      </c>
      <c r="N101" s="11" t="s">
        <v>39</v>
      </c>
      <c r="O101" s="11" t="s">
        <v>72</v>
      </c>
      <c r="P101" s="11" t="s">
        <v>261</v>
      </c>
      <c r="Q101" s="13">
        <v>64.623999999999995</v>
      </c>
      <c r="R101" s="11">
        <v>7</v>
      </c>
      <c r="S101" s="28">
        <v>0.2</v>
      </c>
      <c r="T101" s="13">
        <v>22.618400000000001</v>
      </c>
    </row>
    <row r="102" spans="1:20" x14ac:dyDescent="0.3">
      <c r="A102" s="11">
        <v>101</v>
      </c>
      <c r="B102" s="10">
        <v>41516</v>
      </c>
      <c r="C102" s="11">
        <v>2013</v>
      </c>
      <c r="D102" s="12" t="s">
        <v>95</v>
      </c>
      <c r="E102" s="10">
        <v>41520</v>
      </c>
      <c r="F102" s="11">
        <f t="shared" si="1"/>
        <v>4</v>
      </c>
      <c r="G102" s="11" t="s">
        <v>44</v>
      </c>
      <c r="H102" s="11" t="s">
        <v>260</v>
      </c>
      <c r="I102" s="11" t="s">
        <v>80</v>
      </c>
      <c r="J102" s="11" t="s">
        <v>1097</v>
      </c>
      <c r="K102" s="11" t="s">
        <v>193</v>
      </c>
      <c r="L102" s="11" t="s">
        <v>144</v>
      </c>
      <c r="M102" s="11" t="s">
        <v>83</v>
      </c>
      <c r="N102" s="11" t="s">
        <v>58</v>
      </c>
      <c r="O102" s="11" t="s">
        <v>118</v>
      </c>
      <c r="P102" s="11" t="s">
        <v>262</v>
      </c>
      <c r="Q102" s="13">
        <v>95.975999999999999</v>
      </c>
      <c r="R102" s="11">
        <v>3</v>
      </c>
      <c r="S102" s="28">
        <v>0.2</v>
      </c>
      <c r="T102" s="13">
        <v>-10.7973</v>
      </c>
    </row>
    <row r="103" spans="1:20" x14ac:dyDescent="0.3">
      <c r="A103" s="11">
        <v>102</v>
      </c>
      <c r="B103" s="10">
        <v>41516</v>
      </c>
      <c r="C103" s="11">
        <v>2013</v>
      </c>
      <c r="D103" s="12" t="s">
        <v>95</v>
      </c>
      <c r="E103" s="10">
        <v>41520</v>
      </c>
      <c r="F103" s="11">
        <f t="shared" si="1"/>
        <v>4</v>
      </c>
      <c r="G103" s="11" t="s">
        <v>44</v>
      </c>
      <c r="H103" s="11" t="s">
        <v>260</v>
      </c>
      <c r="I103" s="11" t="s">
        <v>80</v>
      </c>
      <c r="J103" s="11" t="s">
        <v>1097</v>
      </c>
      <c r="K103" s="11" t="s">
        <v>193</v>
      </c>
      <c r="L103" s="11" t="s">
        <v>144</v>
      </c>
      <c r="M103" s="11" t="s">
        <v>83</v>
      </c>
      <c r="N103" s="11" t="s">
        <v>39</v>
      </c>
      <c r="O103" s="11" t="s">
        <v>61</v>
      </c>
      <c r="P103" s="11" t="s">
        <v>263</v>
      </c>
      <c r="Q103" s="13">
        <v>1.788</v>
      </c>
      <c r="R103" s="11">
        <v>3</v>
      </c>
      <c r="S103" s="28">
        <v>0.8</v>
      </c>
      <c r="T103" s="13">
        <v>-3.0396000000000001</v>
      </c>
    </row>
    <row r="104" spans="1:20" x14ac:dyDescent="0.3">
      <c r="A104" s="11">
        <v>103</v>
      </c>
      <c r="B104" s="10">
        <v>41610</v>
      </c>
      <c r="C104" s="11">
        <v>2013</v>
      </c>
      <c r="D104" s="12" t="s">
        <v>74</v>
      </c>
      <c r="E104" s="10">
        <v>41613</v>
      </c>
      <c r="F104" s="11">
        <f t="shared" si="1"/>
        <v>3</v>
      </c>
      <c r="G104" s="11" t="s">
        <v>22</v>
      </c>
      <c r="H104" s="11" t="s">
        <v>264</v>
      </c>
      <c r="I104" s="11" t="s">
        <v>24</v>
      </c>
      <c r="J104" s="11" t="s">
        <v>1097</v>
      </c>
      <c r="K104" s="11" t="s">
        <v>236</v>
      </c>
      <c r="L104" s="11" t="s">
        <v>154</v>
      </c>
      <c r="M104" s="11" t="s">
        <v>83</v>
      </c>
      <c r="N104" s="11" t="s">
        <v>39</v>
      </c>
      <c r="O104" s="11" t="s">
        <v>72</v>
      </c>
      <c r="P104" s="11" t="s">
        <v>265</v>
      </c>
      <c r="Q104" s="13">
        <v>23.92</v>
      </c>
      <c r="R104" s="11">
        <v>4</v>
      </c>
      <c r="S104" s="28">
        <v>0</v>
      </c>
      <c r="T104" s="13">
        <v>11.720800000000001</v>
      </c>
    </row>
    <row r="105" spans="1:20" x14ac:dyDescent="0.3">
      <c r="A105" s="11">
        <v>104</v>
      </c>
      <c r="B105" s="10">
        <v>41226</v>
      </c>
      <c r="C105" s="11">
        <v>2012</v>
      </c>
      <c r="D105" s="12" t="s">
        <v>21</v>
      </c>
      <c r="E105" s="10">
        <v>41230</v>
      </c>
      <c r="F105" s="11">
        <f t="shared" si="1"/>
        <v>4</v>
      </c>
      <c r="G105" s="11" t="s">
        <v>44</v>
      </c>
      <c r="H105" s="11" t="s">
        <v>266</v>
      </c>
      <c r="I105" s="11" t="s">
        <v>24</v>
      </c>
      <c r="J105" s="11" t="s">
        <v>1097</v>
      </c>
      <c r="K105" s="11" t="s">
        <v>267</v>
      </c>
      <c r="L105" s="11" t="s">
        <v>268</v>
      </c>
      <c r="M105" s="11" t="s">
        <v>38</v>
      </c>
      <c r="N105" s="11" t="s">
        <v>58</v>
      </c>
      <c r="O105" s="11" t="s">
        <v>118</v>
      </c>
      <c r="P105" s="11" t="s">
        <v>269</v>
      </c>
      <c r="Q105" s="13">
        <v>238.89599999999999</v>
      </c>
      <c r="R105" s="11">
        <v>6</v>
      </c>
      <c r="S105" s="28">
        <v>0.2</v>
      </c>
      <c r="T105" s="13">
        <v>-26.875800000000002</v>
      </c>
    </row>
    <row r="106" spans="1:20" x14ac:dyDescent="0.3">
      <c r="A106" s="11">
        <v>105</v>
      </c>
      <c r="B106" s="10">
        <v>41226</v>
      </c>
      <c r="C106" s="11">
        <v>2012</v>
      </c>
      <c r="D106" s="12" t="s">
        <v>21</v>
      </c>
      <c r="E106" s="10">
        <v>41230</v>
      </c>
      <c r="F106" s="11">
        <f t="shared" si="1"/>
        <v>4</v>
      </c>
      <c r="G106" s="11" t="s">
        <v>44</v>
      </c>
      <c r="H106" s="11" t="s">
        <v>266</v>
      </c>
      <c r="I106" s="11" t="s">
        <v>24</v>
      </c>
      <c r="J106" s="11" t="s">
        <v>1097</v>
      </c>
      <c r="K106" s="11" t="s">
        <v>267</v>
      </c>
      <c r="L106" s="11" t="s">
        <v>268</v>
      </c>
      <c r="M106" s="11" t="s">
        <v>38</v>
      </c>
      <c r="N106" s="11" t="s">
        <v>28</v>
      </c>
      <c r="O106" s="11" t="s">
        <v>54</v>
      </c>
      <c r="P106" s="11" t="s">
        <v>270</v>
      </c>
      <c r="Q106" s="13">
        <v>102.36</v>
      </c>
      <c r="R106" s="11">
        <v>3</v>
      </c>
      <c r="S106" s="28">
        <v>0.2</v>
      </c>
      <c r="T106" s="13">
        <v>-3.8384999999999998</v>
      </c>
    </row>
    <row r="107" spans="1:20" x14ac:dyDescent="0.3">
      <c r="A107" s="11">
        <v>106</v>
      </c>
      <c r="B107" s="10">
        <v>41226</v>
      </c>
      <c r="C107" s="11">
        <v>2012</v>
      </c>
      <c r="D107" s="12" t="s">
        <v>21</v>
      </c>
      <c r="E107" s="10">
        <v>41230</v>
      </c>
      <c r="F107" s="11">
        <f t="shared" si="1"/>
        <v>4</v>
      </c>
      <c r="G107" s="11" t="s">
        <v>44</v>
      </c>
      <c r="H107" s="11" t="s">
        <v>266</v>
      </c>
      <c r="I107" s="11" t="s">
        <v>24</v>
      </c>
      <c r="J107" s="11" t="s">
        <v>1097</v>
      </c>
      <c r="K107" s="11" t="s">
        <v>267</v>
      </c>
      <c r="L107" s="11" t="s">
        <v>268</v>
      </c>
      <c r="M107" s="11" t="s">
        <v>38</v>
      </c>
      <c r="N107" s="11" t="s">
        <v>39</v>
      </c>
      <c r="O107" s="11" t="s">
        <v>61</v>
      </c>
      <c r="P107" s="11" t="s">
        <v>271</v>
      </c>
      <c r="Q107" s="13">
        <v>36.881999999999998</v>
      </c>
      <c r="R107" s="11">
        <v>3</v>
      </c>
      <c r="S107" s="28">
        <v>0.7</v>
      </c>
      <c r="T107" s="13">
        <v>-25.817399999999999</v>
      </c>
    </row>
    <row r="108" spans="1:20" x14ac:dyDescent="0.3">
      <c r="A108" s="11">
        <v>107</v>
      </c>
      <c r="B108" s="10">
        <v>41967</v>
      </c>
      <c r="C108" s="11">
        <v>2014</v>
      </c>
      <c r="D108" s="12" t="s">
        <v>21</v>
      </c>
      <c r="E108" s="10">
        <v>41972</v>
      </c>
      <c r="F108" s="11">
        <f t="shared" si="1"/>
        <v>5</v>
      </c>
      <c r="G108" s="11" t="s">
        <v>44</v>
      </c>
      <c r="H108" s="11" t="s">
        <v>272</v>
      </c>
      <c r="I108" s="11" t="s">
        <v>24</v>
      </c>
      <c r="J108" s="11" t="s">
        <v>1097</v>
      </c>
      <c r="K108" s="11" t="s">
        <v>273</v>
      </c>
      <c r="L108" s="11" t="s">
        <v>71</v>
      </c>
      <c r="M108" s="11" t="s">
        <v>27</v>
      </c>
      <c r="N108" s="11" t="s">
        <v>58</v>
      </c>
      <c r="O108" s="11" t="s">
        <v>118</v>
      </c>
      <c r="P108" s="11" t="s">
        <v>274</v>
      </c>
      <c r="Q108" s="13">
        <v>74.111999999999995</v>
      </c>
      <c r="R108" s="11">
        <v>8</v>
      </c>
      <c r="S108" s="28">
        <v>0.2</v>
      </c>
      <c r="T108" s="13">
        <v>17.601600000000001</v>
      </c>
    </row>
    <row r="109" spans="1:20" x14ac:dyDescent="0.3">
      <c r="A109" s="11">
        <v>108</v>
      </c>
      <c r="B109" s="10">
        <v>41967</v>
      </c>
      <c r="C109" s="11">
        <v>2014</v>
      </c>
      <c r="D109" s="12" t="s">
        <v>21</v>
      </c>
      <c r="E109" s="10">
        <v>41972</v>
      </c>
      <c r="F109" s="11">
        <f t="shared" si="1"/>
        <v>5</v>
      </c>
      <c r="G109" s="11" t="s">
        <v>44</v>
      </c>
      <c r="H109" s="11" t="s">
        <v>272</v>
      </c>
      <c r="I109" s="11" t="s">
        <v>24</v>
      </c>
      <c r="J109" s="11" t="s">
        <v>1097</v>
      </c>
      <c r="K109" s="11" t="s">
        <v>273</v>
      </c>
      <c r="L109" s="11" t="s">
        <v>71</v>
      </c>
      <c r="M109" s="11" t="s">
        <v>27</v>
      </c>
      <c r="N109" s="11" t="s">
        <v>58</v>
      </c>
      <c r="O109" s="11" t="s">
        <v>59</v>
      </c>
      <c r="P109" s="11" t="s">
        <v>275</v>
      </c>
      <c r="Q109" s="13">
        <v>27.992000000000001</v>
      </c>
      <c r="R109" s="11">
        <v>1</v>
      </c>
      <c r="S109" s="28">
        <v>0.2</v>
      </c>
      <c r="T109" s="13">
        <v>2.0994000000000002</v>
      </c>
    </row>
    <row r="110" spans="1:20" x14ac:dyDescent="0.3">
      <c r="A110" s="11">
        <v>109</v>
      </c>
      <c r="B110" s="10">
        <v>41967</v>
      </c>
      <c r="C110" s="11">
        <v>2014</v>
      </c>
      <c r="D110" s="12" t="s">
        <v>21</v>
      </c>
      <c r="E110" s="10">
        <v>41972</v>
      </c>
      <c r="F110" s="11">
        <f t="shared" si="1"/>
        <v>5</v>
      </c>
      <c r="G110" s="11" t="s">
        <v>44</v>
      </c>
      <c r="H110" s="11" t="s">
        <v>272</v>
      </c>
      <c r="I110" s="11" t="s">
        <v>24</v>
      </c>
      <c r="J110" s="11" t="s">
        <v>1097</v>
      </c>
      <c r="K110" s="11" t="s">
        <v>273</v>
      </c>
      <c r="L110" s="11" t="s">
        <v>71</v>
      </c>
      <c r="M110" s="11" t="s">
        <v>27</v>
      </c>
      <c r="N110" s="11" t="s">
        <v>39</v>
      </c>
      <c r="O110" s="11" t="s">
        <v>56</v>
      </c>
      <c r="P110" s="11" t="s">
        <v>276</v>
      </c>
      <c r="Q110" s="13">
        <v>3.3039999999999998</v>
      </c>
      <c r="R110" s="11">
        <v>1</v>
      </c>
      <c r="S110" s="28">
        <v>0.2</v>
      </c>
      <c r="T110" s="13">
        <v>1.0738000000000001</v>
      </c>
    </row>
    <row r="111" spans="1:20" x14ac:dyDescent="0.3">
      <c r="A111" s="11">
        <v>110</v>
      </c>
      <c r="B111" s="10">
        <v>41197</v>
      </c>
      <c r="C111" s="11">
        <v>2012</v>
      </c>
      <c r="D111" s="12" t="s">
        <v>43</v>
      </c>
      <c r="E111" s="10">
        <v>41202</v>
      </c>
      <c r="F111" s="11">
        <f t="shared" si="1"/>
        <v>5</v>
      </c>
      <c r="G111" s="11" t="s">
        <v>44</v>
      </c>
      <c r="H111" s="11" t="s">
        <v>277</v>
      </c>
      <c r="I111" s="11" t="s">
        <v>80</v>
      </c>
      <c r="J111" s="11" t="s">
        <v>1097</v>
      </c>
      <c r="K111" s="11" t="s">
        <v>278</v>
      </c>
      <c r="L111" s="11" t="s">
        <v>144</v>
      </c>
      <c r="M111" s="11" t="s">
        <v>83</v>
      </c>
      <c r="N111" s="11" t="s">
        <v>58</v>
      </c>
      <c r="O111" s="11" t="s">
        <v>118</v>
      </c>
      <c r="P111" s="11" t="s">
        <v>279</v>
      </c>
      <c r="Q111" s="13">
        <v>339.96</v>
      </c>
      <c r="R111" s="11">
        <v>5</v>
      </c>
      <c r="S111" s="28">
        <v>0.2</v>
      </c>
      <c r="T111" s="13">
        <v>67.992000000000004</v>
      </c>
    </row>
    <row r="112" spans="1:20" x14ac:dyDescent="0.3">
      <c r="A112" s="11">
        <v>111</v>
      </c>
      <c r="B112" s="10">
        <v>41999</v>
      </c>
      <c r="C112" s="11">
        <v>2014</v>
      </c>
      <c r="D112" s="12" t="s">
        <v>74</v>
      </c>
      <c r="E112" s="10">
        <v>42004</v>
      </c>
      <c r="F112" s="11">
        <f t="shared" si="1"/>
        <v>5</v>
      </c>
      <c r="G112" s="11" t="s">
        <v>44</v>
      </c>
      <c r="H112" s="11" t="s">
        <v>280</v>
      </c>
      <c r="I112" s="11" t="s">
        <v>35</v>
      </c>
      <c r="J112" s="11" t="s">
        <v>1097</v>
      </c>
      <c r="K112" s="11" t="s">
        <v>174</v>
      </c>
      <c r="L112" s="11" t="s">
        <v>175</v>
      </c>
      <c r="M112" s="11" t="s">
        <v>110</v>
      </c>
      <c r="N112" s="11" t="s">
        <v>28</v>
      </c>
      <c r="O112" s="11" t="s">
        <v>54</v>
      </c>
      <c r="P112" s="11" t="s">
        <v>281</v>
      </c>
      <c r="Q112" s="13">
        <v>41.96</v>
      </c>
      <c r="R112" s="11">
        <v>2</v>
      </c>
      <c r="S112" s="28">
        <v>0</v>
      </c>
      <c r="T112" s="13">
        <v>10.909599999999999</v>
      </c>
    </row>
    <row r="113" spans="1:20" x14ac:dyDescent="0.3">
      <c r="A113" s="11">
        <v>112</v>
      </c>
      <c r="B113" s="10">
        <v>41582</v>
      </c>
      <c r="C113" s="11">
        <v>2013</v>
      </c>
      <c r="D113" s="12" t="s">
        <v>21</v>
      </c>
      <c r="E113" s="10">
        <v>41589</v>
      </c>
      <c r="F113" s="11">
        <f t="shared" si="1"/>
        <v>7</v>
      </c>
      <c r="G113" s="11" t="s">
        <v>44</v>
      </c>
      <c r="H113" s="11" t="s">
        <v>282</v>
      </c>
      <c r="I113" s="11" t="s">
        <v>24</v>
      </c>
      <c r="J113" s="11" t="s">
        <v>1097</v>
      </c>
      <c r="K113" s="11" t="s">
        <v>283</v>
      </c>
      <c r="L113" s="11" t="s">
        <v>284</v>
      </c>
      <c r="M113" s="11" t="s">
        <v>83</v>
      </c>
      <c r="N113" s="11" t="s">
        <v>39</v>
      </c>
      <c r="O113" s="11" t="s">
        <v>56</v>
      </c>
      <c r="P113" s="11" t="s">
        <v>285</v>
      </c>
      <c r="Q113" s="13">
        <v>75.959999999999994</v>
      </c>
      <c r="R113" s="11">
        <v>2</v>
      </c>
      <c r="S113" s="28">
        <v>0</v>
      </c>
      <c r="T113" s="13">
        <v>22.788</v>
      </c>
    </row>
    <row r="114" spans="1:20" x14ac:dyDescent="0.3">
      <c r="A114" s="11">
        <v>113</v>
      </c>
      <c r="B114" s="10">
        <v>41582</v>
      </c>
      <c r="C114" s="11">
        <v>2013</v>
      </c>
      <c r="D114" s="12" t="s">
        <v>21</v>
      </c>
      <c r="E114" s="10">
        <v>41589</v>
      </c>
      <c r="F114" s="11">
        <f t="shared" si="1"/>
        <v>7</v>
      </c>
      <c r="G114" s="11" t="s">
        <v>44</v>
      </c>
      <c r="H114" s="11" t="s">
        <v>282</v>
      </c>
      <c r="I114" s="11" t="s">
        <v>24</v>
      </c>
      <c r="J114" s="11" t="s">
        <v>1097</v>
      </c>
      <c r="K114" s="11" t="s">
        <v>283</v>
      </c>
      <c r="L114" s="11" t="s">
        <v>284</v>
      </c>
      <c r="M114" s="11" t="s">
        <v>83</v>
      </c>
      <c r="N114" s="11" t="s">
        <v>39</v>
      </c>
      <c r="O114" s="11" t="s">
        <v>61</v>
      </c>
      <c r="P114" s="11" t="s">
        <v>286</v>
      </c>
      <c r="Q114" s="13">
        <v>27.24</v>
      </c>
      <c r="R114" s="11">
        <v>6</v>
      </c>
      <c r="S114" s="28">
        <v>0</v>
      </c>
      <c r="T114" s="13">
        <v>13.3476</v>
      </c>
    </row>
    <row r="115" spans="1:20" x14ac:dyDescent="0.3">
      <c r="A115" s="11">
        <v>114</v>
      </c>
      <c r="B115" s="10">
        <v>40780</v>
      </c>
      <c r="C115" s="11">
        <v>2011</v>
      </c>
      <c r="D115" s="12" t="s">
        <v>95</v>
      </c>
      <c r="E115" s="10">
        <v>40782</v>
      </c>
      <c r="F115" s="11">
        <f t="shared" si="1"/>
        <v>2</v>
      </c>
      <c r="G115" s="11" t="s">
        <v>22</v>
      </c>
      <c r="H115" s="11" t="s">
        <v>287</v>
      </c>
      <c r="I115" s="11" t="s">
        <v>24</v>
      </c>
      <c r="J115" s="11" t="s">
        <v>1097</v>
      </c>
      <c r="K115" s="11" t="s">
        <v>288</v>
      </c>
      <c r="L115" s="11" t="s">
        <v>289</v>
      </c>
      <c r="M115" s="11" t="s">
        <v>110</v>
      </c>
      <c r="N115" s="11" t="s">
        <v>39</v>
      </c>
      <c r="O115" s="11" t="s">
        <v>176</v>
      </c>
      <c r="P115" s="11" t="s">
        <v>290</v>
      </c>
      <c r="Q115" s="13">
        <v>40.095999999999997</v>
      </c>
      <c r="R115" s="11">
        <v>14</v>
      </c>
      <c r="S115" s="28">
        <v>0.2</v>
      </c>
      <c r="T115" s="13">
        <v>14.534800000000001</v>
      </c>
    </row>
    <row r="116" spans="1:20" x14ac:dyDescent="0.3">
      <c r="A116" s="11">
        <v>115</v>
      </c>
      <c r="B116" s="10">
        <v>40780</v>
      </c>
      <c r="C116" s="11">
        <v>2011</v>
      </c>
      <c r="D116" s="12" t="s">
        <v>95</v>
      </c>
      <c r="E116" s="10">
        <v>40782</v>
      </c>
      <c r="F116" s="11">
        <f t="shared" si="1"/>
        <v>2</v>
      </c>
      <c r="G116" s="11" t="s">
        <v>22</v>
      </c>
      <c r="H116" s="11" t="s">
        <v>287</v>
      </c>
      <c r="I116" s="11" t="s">
        <v>24</v>
      </c>
      <c r="J116" s="11" t="s">
        <v>1097</v>
      </c>
      <c r="K116" s="11" t="s">
        <v>288</v>
      </c>
      <c r="L116" s="11" t="s">
        <v>289</v>
      </c>
      <c r="M116" s="11" t="s">
        <v>110</v>
      </c>
      <c r="N116" s="11" t="s">
        <v>39</v>
      </c>
      <c r="O116" s="11" t="s">
        <v>124</v>
      </c>
      <c r="P116" s="11" t="s">
        <v>291</v>
      </c>
      <c r="Q116" s="13">
        <v>4.72</v>
      </c>
      <c r="R116" s="11">
        <v>2</v>
      </c>
      <c r="S116" s="28">
        <v>0.2</v>
      </c>
      <c r="T116" s="13">
        <v>1.6519999999999999</v>
      </c>
    </row>
    <row r="117" spans="1:20" x14ac:dyDescent="0.3">
      <c r="A117" s="11">
        <v>116</v>
      </c>
      <c r="B117" s="10">
        <v>40780</v>
      </c>
      <c r="C117" s="11">
        <v>2011</v>
      </c>
      <c r="D117" s="12" t="s">
        <v>95</v>
      </c>
      <c r="E117" s="10">
        <v>40782</v>
      </c>
      <c r="F117" s="11">
        <f t="shared" si="1"/>
        <v>2</v>
      </c>
      <c r="G117" s="11" t="s">
        <v>22</v>
      </c>
      <c r="H117" s="11" t="s">
        <v>287</v>
      </c>
      <c r="I117" s="11" t="s">
        <v>24</v>
      </c>
      <c r="J117" s="11" t="s">
        <v>1097</v>
      </c>
      <c r="K117" s="11" t="s">
        <v>288</v>
      </c>
      <c r="L117" s="11" t="s">
        <v>289</v>
      </c>
      <c r="M117" s="11" t="s">
        <v>110</v>
      </c>
      <c r="N117" s="11" t="s">
        <v>39</v>
      </c>
      <c r="O117" s="11" t="s">
        <v>72</v>
      </c>
      <c r="P117" s="11" t="s">
        <v>292</v>
      </c>
      <c r="Q117" s="13">
        <v>23.975999999999999</v>
      </c>
      <c r="R117" s="11">
        <v>3</v>
      </c>
      <c r="S117" s="28">
        <v>0.2</v>
      </c>
      <c r="T117" s="13">
        <v>7.4924999999999997</v>
      </c>
    </row>
    <row r="118" spans="1:20" x14ac:dyDescent="0.3">
      <c r="A118" s="11">
        <v>117</v>
      </c>
      <c r="B118" s="10">
        <v>40780</v>
      </c>
      <c r="C118" s="11">
        <v>2011</v>
      </c>
      <c r="D118" s="12" t="s">
        <v>95</v>
      </c>
      <c r="E118" s="10">
        <v>40782</v>
      </c>
      <c r="F118" s="11">
        <f t="shared" si="1"/>
        <v>2</v>
      </c>
      <c r="G118" s="11" t="s">
        <v>22</v>
      </c>
      <c r="H118" s="11" t="s">
        <v>287</v>
      </c>
      <c r="I118" s="11" t="s">
        <v>24</v>
      </c>
      <c r="J118" s="11" t="s">
        <v>1097</v>
      </c>
      <c r="K118" s="11" t="s">
        <v>288</v>
      </c>
      <c r="L118" s="11" t="s">
        <v>289</v>
      </c>
      <c r="M118" s="11" t="s">
        <v>110</v>
      </c>
      <c r="N118" s="11" t="s">
        <v>39</v>
      </c>
      <c r="O118" s="11" t="s">
        <v>124</v>
      </c>
      <c r="P118" s="11" t="s">
        <v>293</v>
      </c>
      <c r="Q118" s="13">
        <v>130.464</v>
      </c>
      <c r="R118" s="11">
        <v>6</v>
      </c>
      <c r="S118" s="28">
        <v>0.2</v>
      </c>
      <c r="T118" s="13">
        <v>44.031599999999997</v>
      </c>
    </row>
    <row r="119" spans="1:20" x14ac:dyDescent="0.3">
      <c r="A119" s="11">
        <v>118</v>
      </c>
      <c r="B119" s="10">
        <v>40970</v>
      </c>
      <c r="C119" s="11">
        <v>2012</v>
      </c>
      <c r="D119" s="12" t="s">
        <v>151</v>
      </c>
      <c r="E119" s="10">
        <v>40974</v>
      </c>
      <c r="F119" s="11">
        <f t="shared" si="1"/>
        <v>4</v>
      </c>
      <c r="G119" s="11" t="s">
        <v>44</v>
      </c>
      <c r="H119" s="11" t="s">
        <v>294</v>
      </c>
      <c r="I119" s="11" t="s">
        <v>24</v>
      </c>
      <c r="J119" s="11" t="s">
        <v>1097</v>
      </c>
      <c r="K119" s="11" t="s">
        <v>76</v>
      </c>
      <c r="L119" s="11" t="s">
        <v>77</v>
      </c>
      <c r="M119" s="11" t="s">
        <v>38</v>
      </c>
      <c r="N119" s="11" t="s">
        <v>28</v>
      </c>
      <c r="O119" s="11" t="s">
        <v>48</v>
      </c>
      <c r="P119" s="11" t="s">
        <v>295</v>
      </c>
      <c r="Q119" s="13">
        <v>787.53</v>
      </c>
      <c r="R119" s="11">
        <v>3</v>
      </c>
      <c r="S119" s="28">
        <v>0</v>
      </c>
      <c r="T119" s="13">
        <v>165.38130000000001</v>
      </c>
    </row>
    <row r="120" spans="1:20" x14ac:dyDescent="0.3">
      <c r="A120" s="11">
        <v>119</v>
      </c>
      <c r="B120" s="10">
        <v>41004</v>
      </c>
      <c r="C120" s="11">
        <v>2012</v>
      </c>
      <c r="D120" s="12" t="s">
        <v>68</v>
      </c>
      <c r="E120" s="10">
        <v>41009</v>
      </c>
      <c r="F120" s="11">
        <f t="shared" si="1"/>
        <v>5</v>
      </c>
      <c r="G120" s="11" t="s">
        <v>44</v>
      </c>
      <c r="H120" s="11" t="s">
        <v>296</v>
      </c>
      <c r="I120" s="11" t="s">
        <v>35</v>
      </c>
      <c r="J120" s="11" t="s">
        <v>1097</v>
      </c>
      <c r="K120" s="11" t="s">
        <v>297</v>
      </c>
      <c r="L120" s="11" t="s">
        <v>210</v>
      </c>
      <c r="M120" s="11" t="s">
        <v>27</v>
      </c>
      <c r="N120" s="11" t="s">
        <v>39</v>
      </c>
      <c r="O120" s="11" t="s">
        <v>61</v>
      </c>
      <c r="P120" s="11" t="s">
        <v>298</v>
      </c>
      <c r="Q120" s="13">
        <v>157.79400000000001</v>
      </c>
      <c r="R120" s="11">
        <v>1</v>
      </c>
      <c r="S120" s="28">
        <v>0.7</v>
      </c>
      <c r="T120" s="13">
        <v>-115.71559999999999</v>
      </c>
    </row>
    <row r="121" spans="1:20" x14ac:dyDescent="0.3">
      <c r="A121" s="11">
        <v>120</v>
      </c>
      <c r="B121" s="10">
        <v>41438</v>
      </c>
      <c r="C121" s="11">
        <v>2013</v>
      </c>
      <c r="D121" s="12" t="s">
        <v>33</v>
      </c>
      <c r="E121" s="10">
        <v>41441</v>
      </c>
      <c r="F121" s="11">
        <f t="shared" si="1"/>
        <v>3</v>
      </c>
      <c r="G121" s="11" t="s">
        <v>132</v>
      </c>
      <c r="H121" s="11" t="s">
        <v>299</v>
      </c>
      <c r="I121" s="11" t="s">
        <v>24</v>
      </c>
      <c r="J121" s="11" t="s">
        <v>1097</v>
      </c>
      <c r="K121" s="11" t="s">
        <v>300</v>
      </c>
      <c r="L121" s="11" t="s">
        <v>163</v>
      </c>
      <c r="M121" s="11" t="s">
        <v>110</v>
      </c>
      <c r="N121" s="11" t="s">
        <v>28</v>
      </c>
      <c r="O121" s="11" t="s">
        <v>54</v>
      </c>
      <c r="P121" s="11" t="s">
        <v>301</v>
      </c>
      <c r="Q121" s="13">
        <v>47.04</v>
      </c>
      <c r="R121" s="11">
        <v>3</v>
      </c>
      <c r="S121" s="28">
        <v>0</v>
      </c>
      <c r="T121" s="13">
        <v>18.345600000000001</v>
      </c>
    </row>
    <row r="122" spans="1:20" x14ac:dyDescent="0.3">
      <c r="A122" s="11">
        <v>121</v>
      </c>
      <c r="B122" s="10">
        <v>41438</v>
      </c>
      <c r="C122" s="11">
        <v>2013</v>
      </c>
      <c r="D122" s="12" t="s">
        <v>33</v>
      </c>
      <c r="E122" s="10">
        <v>41441</v>
      </c>
      <c r="F122" s="11">
        <f t="shared" si="1"/>
        <v>3</v>
      </c>
      <c r="G122" s="11" t="s">
        <v>132</v>
      </c>
      <c r="H122" s="11" t="s">
        <v>299</v>
      </c>
      <c r="I122" s="11" t="s">
        <v>24</v>
      </c>
      <c r="J122" s="11" t="s">
        <v>1097</v>
      </c>
      <c r="K122" s="11" t="s">
        <v>300</v>
      </c>
      <c r="L122" s="11" t="s">
        <v>163</v>
      </c>
      <c r="M122" s="11" t="s">
        <v>110</v>
      </c>
      <c r="N122" s="11" t="s">
        <v>39</v>
      </c>
      <c r="O122" s="11" t="s">
        <v>61</v>
      </c>
      <c r="P122" s="11" t="s">
        <v>62</v>
      </c>
      <c r="Q122" s="13">
        <v>30.84</v>
      </c>
      <c r="R122" s="11">
        <v>4</v>
      </c>
      <c r="S122" s="28">
        <v>0</v>
      </c>
      <c r="T122" s="13">
        <v>13.878</v>
      </c>
    </row>
    <row r="123" spans="1:20" x14ac:dyDescent="0.3">
      <c r="A123" s="11">
        <v>122</v>
      </c>
      <c r="B123" s="10">
        <v>41438</v>
      </c>
      <c r="C123" s="11">
        <v>2013</v>
      </c>
      <c r="D123" s="12" t="s">
        <v>33</v>
      </c>
      <c r="E123" s="10">
        <v>41441</v>
      </c>
      <c r="F123" s="11">
        <f t="shared" si="1"/>
        <v>3</v>
      </c>
      <c r="G123" s="11" t="s">
        <v>132</v>
      </c>
      <c r="H123" s="11" t="s">
        <v>299</v>
      </c>
      <c r="I123" s="11" t="s">
        <v>24</v>
      </c>
      <c r="J123" s="11" t="s">
        <v>1097</v>
      </c>
      <c r="K123" s="11" t="s">
        <v>300</v>
      </c>
      <c r="L123" s="11" t="s">
        <v>163</v>
      </c>
      <c r="M123" s="11" t="s">
        <v>110</v>
      </c>
      <c r="N123" s="11" t="s">
        <v>39</v>
      </c>
      <c r="O123" s="11" t="s">
        <v>50</v>
      </c>
      <c r="P123" s="11" t="s">
        <v>302</v>
      </c>
      <c r="Q123" s="13">
        <v>226.56</v>
      </c>
      <c r="R123" s="11">
        <v>6</v>
      </c>
      <c r="S123" s="28">
        <v>0</v>
      </c>
      <c r="T123" s="13">
        <v>63.436799999999998</v>
      </c>
    </row>
    <row r="124" spans="1:20" x14ac:dyDescent="0.3">
      <c r="A124" s="11">
        <v>123</v>
      </c>
      <c r="B124" s="10">
        <v>41438</v>
      </c>
      <c r="C124" s="11">
        <v>2013</v>
      </c>
      <c r="D124" s="12" t="s">
        <v>33</v>
      </c>
      <c r="E124" s="10">
        <v>41441</v>
      </c>
      <c r="F124" s="11">
        <f t="shared" si="1"/>
        <v>3</v>
      </c>
      <c r="G124" s="11" t="s">
        <v>132</v>
      </c>
      <c r="H124" s="11" t="s">
        <v>299</v>
      </c>
      <c r="I124" s="11" t="s">
        <v>24</v>
      </c>
      <c r="J124" s="11" t="s">
        <v>1097</v>
      </c>
      <c r="K124" s="11" t="s">
        <v>300</v>
      </c>
      <c r="L124" s="11" t="s">
        <v>163</v>
      </c>
      <c r="M124" s="11" t="s">
        <v>110</v>
      </c>
      <c r="N124" s="11" t="s">
        <v>39</v>
      </c>
      <c r="O124" s="11" t="s">
        <v>124</v>
      </c>
      <c r="P124" s="11" t="s">
        <v>303</v>
      </c>
      <c r="Q124" s="13">
        <v>115.02</v>
      </c>
      <c r="R124" s="11">
        <v>9</v>
      </c>
      <c r="S124" s="28">
        <v>0</v>
      </c>
      <c r="T124" s="13">
        <v>51.759</v>
      </c>
    </row>
    <row r="125" spans="1:20" x14ac:dyDescent="0.3">
      <c r="A125" s="11">
        <v>124</v>
      </c>
      <c r="B125" s="10">
        <v>41438</v>
      </c>
      <c r="C125" s="11">
        <v>2013</v>
      </c>
      <c r="D125" s="12" t="s">
        <v>33</v>
      </c>
      <c r="E125" s="10">
        <v>41441</v>
      </c>
      <c r="F125" s="11">
        <f t="shared" si="1"/>
        <v>3</v>
      </c>
      <c r="G125" s="11" t="s">
        <v>132</v>
      </c>
      <c r="H125" s="11" t="s">
        <v>299</v>
      </c>
      <c r="I125" s="11" t="s">
        <v>24</v>
      </c>
      <c r="J125" s="11" t="s">
        <v>1097</v>
      </c>
      <c r="K125" s="11" t="s">
        <v>300</v>
      </c>
      <c r="L125" s="11" t="s">
        <v>163</v>
      </c>
      <c r="M125" s="11" t="s">
        <v>110</v>
      </c>
      <c r="N125" s="11" t="s">
        <v>58</v>
      </c>
      <c r="O125" s="11" t="s">
        <v>59</v>
      </c>
      <c r="P125" s="11" t="s">
        <v>304</v>
      </c>
      <c r="Q125" s="13">
        <v>68.040000000000006</v>
      </c>
      <c r="R125" s="11">
        <v>7</v>
      </c>
      <c r="S125" s="28">
        <v>0</v>
      </c>
      <c r="T125" s="13">
        <v>19.7316</v>
      </c>
    </row>
    <row r="126" spans="1:20" x14ac:dyDescent="0.3">
      <c r="A126" s="11">
        <v>125</v>
      </c>
      <c r="B126" s="10">
        <v>40903</v>
      </c>
      <c r="C126" s="11">
        <v>2011</v>
      </c>
      <c r="D126" s="12" t="s">
        <v>74</v>
      </c>
      <c r="E126" s="10">
        <v>40905</v>
      </c>
      <c r="F126" s="11">
        <f t="shared" si="1"/>
        <v>2</v>
      </c>
      <c r="G126" s="11" t="s">
        <v>22</v>
      </c>
      <c r="H126" s="11" t="s">
        <v>305</v>
      </c>
      <c r="I126" s="11" t="s">
        <v>80</v>
      </c>
      <c r="J126" s="11" t="s">
        <v>1097</v>
      </c>
      <c r="K126" s="11" t="s">
        <v>130</v>
      </c>
      <c r="L126" s="11" t="s">
        <v>82</v>
      </c>
      <c r="M126" s="11" t="s">
        <v>83</v>
      </c>
      <c r="N126" s="11" t="s">
        <v>28</v>
      </c>
      <c r="O126" s="11" t="s">
        <v>31</v>
      </c>
      <c r="P126" s="11" t="s">
        <v>306</v>
      </c>
      <c r="Q126" s="13">
        <v>600.55799999999999</v>
      </c>
      <c r="R126" s="11">
        <v>3</v>
      </c>
      <c r="S126" s="28">
        <v>0.3</v>
      </c>
      <c r="T126" s="13">
        <v>-8.5793999999999997</v>
      </c>
    </row>
    <row r="127" spans="1:20" x14ac:dyDescent="0.3">
      <c r="A127" s="11">
        <v>126</v>
      </c>
      <c r="B127" s="10">
        <v>40806</v>
      </c>
      <c r="C127" s="11">
        <v>2011</v>
      </c>
      <c r="D127" s="12" t="s">
        <v>112</v>
      </c>
      <c r="E127" s="10">
        <v>40811</v>
      </c>
      <c r="F127" s="11">
        <f t="shared" si="1"/>
        <v>5</v>
      </c>
      <c r="G127" s="11" t="s">
        <v>44</v>
      </c>
      <c r="H127" s="11" t="s">
        <v>307</v>
      </c>
      <c r="I127" s="11" t="s">
        <v>24</v>
      </c>
      <c r="J127" s="11" t="s">
        <v>1097</v>
      </c>
      <c r="K127" s="11" t="s">
        <v>308</v>
      </c>
      <c r="L127" s="11" t="s">
        <v>144</v>
      </c>
      <c r="M127" s="11" t="s">
        <v>83</v>
      </c>
      <c r="N127" s="11" t="s">
        <v>28</v>
      </c>
      <c r="O127" s="11" t="s">
        <v>48</v>
      </c>
      <c r="P127" s="11" t="s">
        <v>309</v>
      </c>
      <c r="Q127" s="13">
        <v>617.70000000000005</v>
      </c>
      <c r="R127" s="11">
        <v>6</v>
      </c>
      <c r="S127" s="28">
        <v>0.5</v>
      </c>
      <c r="T127" s="13">
        <v>-407.68200000000002</v>
      </c>
    </row>
    <row r="128" spans="1:20" x14ac:dyDescent="0.3">
      <c r="A128" s="11">
        <v>127</v>
      </c>
      <c r="B128" s="10">
        <v>41949</v>
      </c>
      <c r="C128" s="11">
        <v>2014</v>
      </c>
      <c r="D128" s="12" t="s">
        <v>21</v>
      </c>
      <c r="E128" s="10">
        <v>41956</v>
      </c>
      <c r="F128" s="11">
        <f t="shared" si="1"/>
        <v>7</v>
      </c>
      <c r="G128" s="11" t="s">
        <v>44</v>
      </c>
      <c r="H128" s="11" t="s">
        <v>310</v>
      </c>
      <c r="I128" s="11" t="s">
        <v>24</v>
      </c>
      <c r="J128" s="11" t="s">
        <v>1097</v>
      </c>
      <c r="K128" s="11" t="s">
        <v>311</v>
      </c>
      <c r="L128" s="11" t="s">
        <v>197</v>
      </c>
      <c r="M128" s="11" t="s">
        <v>38</v>
      </c>
      <c r="N128" s="11" t="s">
        <v>39</v>
      </c>
      <c r="O128" s="11" t="s">
        <v>61</v>
      </c>
      <c r="P128" s="11" t="s">
        <v>312</v>
      </c>
      <c r="Q128" s="13">
        <v>2.3879999999999999</v>
      </c>
      <c r="R128" s="11">
        <v>2</v>
      </c>
      <c r="S128" s="28">
        <v>0.7</v>
      </c>
      <c r="T128" s="13">
        <v>-1.8308</v>
      </c>
    </row>
    <row r="129" spans="1:20" x14ac:dyDescent="0.3">
      <c r="A129" s="11">
        <v>128</v>
      </c>
      <c r="B129" s="10">
        <v>41949</v>
      </c>
      <c r="C129" s="11">
        <v>2014</v>
      </c>
      <c r="D129" s="12" t="s">
        <v>21</v>
      </c>
      <c r="E129" s="10">
        <v>41956</v>
      </c>
      <c r="F129" s="11">
        <f t="shared" si="1"/>
        <v>7</v>
      </c>
      <c r="G129" s="11" t="s">
        <v>44</v>
      </c>
      <c r="H129" s="11" t="s">
        <v>310</v>
      </c>
      <c r="I129" s="11" t="s">
        <v>24</v>
      </c>
      <c r="J129" s="11" t="s">
        <v>1097</v>
      </c>
      <c r="K129" s="11" t="s">
        <v>311</v>
      </c>
      <c r="L129" s="11" t="s">
        <v>197</v>
      </c>
      <c r="M129" s="11" t="s">
        <v>38</v>
      </c>
      <c r="N129" s="11" t="s">
        <v>39</v>
      </c>
      <c r="O129" s="11" t="s">
        <v>50</v>
      </c>
      <c r="P129" s="11" t="s">
        <v>313</v>
      </c>
      <c r="Q129" s="13">
        <v>243.99199999999999</v>
      </c>
      <c r="R129" s="11">
        <v>7</v>
      </c>
      <c r="S129" s="28">
        <v>0.2</v>
      </c>
      <c r="T129" s="13">
        <v>30.498999999999999</v>
      </c>
    </row>
    <row r="130" spans="1:20" x14ac:dyDescent="0.3">
      <c r="A130" s="11">
        <v>129</v>
      </c>
      <c r="B130" s="10">
        <v>41585</v>
      </c>
      <c r="C130" s="11">
        <v>2013</v>
      </c>
      <c r="D130" s="12" t="s">
        <v>21</v>
      </c>
      <c r="E130" s="10">
        <v>41589</v>
      </c>
      <c r="F130" s="11">
        <f t="shared" ref="F130:F193" si="2">_xlfn.DAYS(E130,B130)</f>
        <v>4</v>
      </c>
      <c r="G130" s="11" t="s">
        <v>22</v>
      </c>
      <c r="H130" s="11" t="s">
        <v>314</v>
      </c>
      <c r="I130" s="11" t="s">
        <v>80</v>
      </c>
      <c r="J130" s="11" t="s">
        <v>1097</v>
      </c>
      <c r="K130" s="11" t="s">
        <v>36</v>
      </c>
      <c r="L130" s="11" t="s">
        <v>37</v>
      </c>
      <c r="M130" s="11" t="s">
        <v>38</v>
      </c>
      <c r="N130" s="11" t="s">
        <v>28</v>
      </c>
      <c r="O130" s="11" t="s">
        <v>31</v>
      </c>
      <c r="P130" s="11" t="s">
        <v>315</v>
      </c>
      <c r="Q130" s="13">
        <v>81.424000000000007</v>
      </c>
      <c r="R130" s="11">
        <v>2</v>
      </c>
      <c r="S130" s="28">
        <v>0.2</v>
      </c>
      <c r="T130" s="13">
        <v>-9.1601999999999997</v>
      </c>
    </row>
    <row r="131" spans="1:20" x14ac:dyDescent="0.3">
      <c r="A131" s="11">
        <v>130</v>
      </c>
      <c r="B131" s="10">
        <v>41585</v>
      </c>
      <c r="C131" s="11">
        <v>2013</v>
      </c>
      <c r="D131" s="12" t="s">
        <v>21</v>
      </c>
      <c r="E131" s="10">
        <v>41589</v>
      </c>
      <c r="F131" s="11">
        <f t="shared" si="2"/>
        <v>4</v>
      </c>
      <c r="G131" s="11" t="s">
        <v>22</v>
      </c>
      <c r="H131" s="11" t="s">
        <v>314</v>
      </c>
      <c r="I131" s="11" t="s">
        <v>80</v>
      </c>
      <c r="J131" s="11" t="s">
        <v>1097</v>
      </c>
      <c r="K131" s="11" t="s">
        <v>36</v>
      </c>
      <c r="L131" s="11" t="s">
        <v>37</v>
      </c>
      <c r="M131" s="11" t="s">
        <v>38</v>
      </c>
      <c r="N131" s="11" t="s">
        <v>28</v>
      </c>
      <c r="O131" s="11" t="s">
        <v>54</v>
      </c>
      <c r="P131" s="11" t="s">
        <v>316</v>
      </c>
      <c r="Q131" s="13">
        <v>238.56</v>
      </c>
      <c r="R131" s="11">
        <v>3</v>
      </c>
      <c r="S131" s="28">
        <v>0</v>
      </c>
      <c r="T131" s="13">
        <v>26.241599999999998</v>
      </c>
    </row>
    <row r="132" spans="1:20" x14ac:dyDescent="0.3">
      <c r="A132" s="11">
        <v>131</v>
      </c>
      <c r="B132" s="10">
        <v>41673</v>
      </c>
      <c r="C132" s="11">
        <v>2014</v>
      </c>
      <c r="D132" s="12" t="s">
        <v>317</v>
      </c>
      <c r="E132" s="10">
        <v>41676</v>
      </c>
      <c r="F132" s="11">
        <f t="shared" si="2"/>
        <v>3</v>
      </c>
      <c r="G132" s="11" t="s">
        <v>132</v>
      </c>
      <c r="H132" s="11" t="s">
        <v>318</v>
      </c>
      <c r="I132" s="11" t="s">
        <v>35</v>
      </c>
      <c r="J132" s="11" t="s">
        <v>1097</v>
      </c>
      <c r="K132" s="11" t="s">
        <v>288</v>
      </c>
      <c r="L132" s="11" t="s">
        <v>289</v>
      </c>
      <c r="M132" s="11" t="s">
        <v>110</v>
      </c>
      <c r="N132" s="11" t="s">
        <v>58</v>
      </c>
      <c r="O132" s="11" t="s">
        <v>59</v>
      </c>
      <c r="P132" s="11" t="s">
        <v>319</v>
      </c>
      <c r="Q132" s="13">
        <v>59.97</v>
      </c>
      <c r="R132" s="11">
        <v>5</v>
      </c>
      <c r="S132" s="28">
        <v>0.4</v>
      </c>
      <c r="T132" s="13">
        <v>-11.994</v>
      </c>
    </row>
    <row r="133" spans="1:20" x14ac:dyDescent="0.3">
      <c r="A133" s="11">
        <v>132</v>
      </c>
      <c r="B133" s="10">
        <v>41673</v>
      </c>
      <c r="C133" s="11">
        <v>2014</v>
      </c>
      <c r="D133" s="12" t="s">
        <v>317</v>
      </c>
      <c r="E133" s="10">
        <v>41676</v>
      </c>
      <c r="F133" s="11">
        <f t="shared" si="2"/>
        <v>3</v>
      </c>
      <c r="G133" s="11" t="s">
        <v>132</v>
      </c>
      <c r="H133" s="11" t="s">
        <v>318</v>
      </c>
      <c r="I133" s="11" t="s">
        <v>35</v>
      </c>
      <c r="J133" s="11" t="s">
        <v>1097</v>
      </c>
      <c r="K133" s="11" t="s">
        <v>288</v>
      </c>
      <c r="L133" s="11" t="s">
        <v>289</v>
      </c>
      <c r="M133" s="11" t="s">
        <v>110</v>
      </c>
      <c r="N133" s="11" t="s">
        <v>39</v>
      </c>
      <c r="O133" s="11" t="s">
        <v>72</v>
      </c>
      <c r="P133" s="11" t="s">
        <v>320</v>
      </c>
      <c r="Q133" s="13">
        <v>78.304000000000002</v>
      </c>
      <c r="R133" s="11">
        <v>2</v>
      </c>
      <c r="S133" s="28">
        <v>0.2</v>
      </c>
      <c r="T133" s="13">
        <v>29.364000000000001</v>
      </c>
    </row>
    <row r="134" spans="1:20" x14ac:dyDescent="0.3">
      <c r="A134" s="11">
        <v>133</v>
      </c>
      <c r="B134" s="10">
        <v>41673</v>
      </c>
      <c r="C134" s="11">
        <v>2014</v>
      </c>
      <c r="D134" s="12" t="s">
        <v>317</v>
      </c>
      <c r="E134" s="10">
        <v>41676</v>
      </c>
      <c r="F134" s="11">
        <f t="shared" si="2"/>
        <v>3</v>
      </c>
      <c r="G134" s="11" t="s">
        <v>132</v>
      </c>
      <c r="H134" s="11" t="s">
        <v>318</v>
      </c>
      <c r="I134" s="11" t="s">
        <v>35</v>
      </c>
      <c r="J134" s="11" t="s">
        <v>1097</v>
      </c>
      <c r="K134" s="11" t="s">
        <v>288</v>
      </c>
      <c r="L134" s="11" t="s">
        <v>289</v>
      </c>
      <c r="M134" s="11" t="s">
        <v>110</v>
      </c>
      <c r="N134" s="11" t="s">
        <v>39</v>
      </c>
      <c r="O134" s="11" t="s">
        <v>176</v>
      </c>
      <c r="P134" s="11" t="s">
        <v>131</v>
      </c>
      <c r="Q134" s="13">
        <v>21.456</v>
      </c>
      <c r="R134" s="11">
        <v>9</v>
      </c>
      <c r="S134" s="28">
        <v>0.2</v>
      </c>
      <c r="T134" s="13">
        <v>6.9732000000000003</v>
      </c>
    </row>
    <row r="135" spans="1:20" x14ac:dyDescent="0.3">
      <c r="A135" s="11">
        <v>134</v>
      </c>
      <c r="B135" s="10">
        <v>41561</v>
      </c>
      <c r="C135" s="11">
        <v>2013</v>
      </c>
      <c r="D135" s="12" t="s">
        <v>43</v>
      </c>
      <c r="E135" s="10">
        <v>41567</v>
      </c>
      <c r="F135" s="11">
        <f t="shared" si="2"/>
        <v>6</v>
      </c>
      <c r="G135" s="11" t="s">
        <v>44</v>
      </c>
      <c r="H135" s="11" t="s">
        <v>321</v>
      </c>
      <c r="I135" s="11" t="s">
        <v>24</v>
      </c>
      <c r="J135" s="11" t="s">
        <v>1097</v>
      </c>
      <c r="K135" s="11" t="s">
        <v>322</v>
      </c>
      <c r="L135" s="11" t="s">
        <v>37</v>
      </c>
      <c r="M135" s="11" t="s">
        <v>38</v>
      </c>
      <c r="N135" s="11" t="s">
        <v>39</v>
      </c>
      <c r="O135" s="11" t="s">
        <v>72</v>
      </c>
      <c r="P135" s="11" t="s">
        <v>323</v>
      </c>
      <c r="Q135" s="13">
        <v>20.04</v>
      </c>
      <c r="R135" s="11">
        <v>3</v>
      </c>
      <c r="S135" s="28">
        <v>0</v>
      </c>
      <c r="T135" s="13">
        <v>9.6191999999999993</v>
      </c>
    </row>
    <row r="136" spans="1:20" x14ac:dyDescent="0.3">
      <c r="A136" s="11">
        <v>135</v>
      </c>
      <c r="B136" s="10">
        <v>41561</v>
      </c>
      <c r="C136" s="11">
        <v>2013</v>
      </c>
      <c r="D136" s="12" t="s">
        <v>43</v>
      </c>
      <c r="E136" s="10">
        <v>41567</v>
      </c>
      <c r="F136" s="11">
        <f t="shared" si="2"/>
        <v>6</v>
      </c>
      <c r="G136" s="11" t="s">
        <v>44</v>
      </c>
      <c r="H136" s="11" t="s">
        <v>321</v>
      </c>
      <c r="I136" s="11" t="s">
        <v>24</v>
      </c>
      <c r="J136" s="11" t="s">
        <v>1097</v>
      </c>
      <c r="K136" s="11" t="s">
        <v>322</v>
      </c>
      <c r="L136" s="11" t="s">
        <v>37</v>
      </c>
      <c r="M136" s="11" t="s">
        <v>38</v>
      </c>
      <c r="N136" s="11" t="s">
        <v>39</v>
      </c>
      <c r="O136" s="11" t="s">
        <v>72</v>
      </c>
      <c r="P136" s="11" t="s">
        <v>324</v>
      </c>
      <c r="Q136" s="13">
        <v>35.44</v>
      </c>
      <c r="R136" s="11">
        <v>1</v>
      </c>
      <c r="S136" s="28">
        <v>0</v>
      </c>
      <c r="T136" s="13">
        <v>16.6568</v>
      </c>
    </row>
    <row r="137" spans="1:20" x14ac:dyDescent="0.3">
      <c r="A137" s="11">
        <v>136</v>
      </c>
      <c r="B137" s="10">
        <v>41561</v>
      </c>
      <c r="C137" s="11">
        <v>2013</v>
      </c>
      <c r="D137" s="12" t="s">
        <v>43</v>
      </c>
      <c r="E137" s="10">
        <v>41567</v>
      </c>
      <c r="F137" s="11">
        <f t="shared" si="2"/>
        <v>6</v>
      </c>
      <c r="G137" s="11" t="s">
        <v>44</v>
      </c>
      <c r="H137" s="11" t="s">
        <v>321</v>
      </c>
      <c r="I137" s="11" t="s">
        <v>24</v>
      </c>
      <c r="J137" s="11" t="s">
        <v>1097</v>
      </c>
      <c r="K137" s="11" t="s">
        <v>322</v>
      </c>
      <c r="L137" s="11" t="s">
        <v>37</v>
      </c>
      <c r="M137" s="11" t="s">
        <v>38</v>
      </c>
      <c r="N137" s="11" t="s">
        <v>39</v>
      </c>
      <c r="O137" s="11" t="s">
        <v>56</v>
      </c>
      <c r="P137" s="11" t="s">
        <v>325</v>
      </c>
      <c r="Q137" s="13">
        <v>11.52</v>
      </c>
      <c r="R137" s="11">
        <v>4</v>
      </c>
      <c r="S137" s="28">
        <v>0</v>
      </c>
      <c r="T137" s="13">
        <v>3.456</v>
      </c>
    </row>
    <row r="138" spans="1:20" x14ac:dyDescent="0.3">
      <c r="A138" s="11">
        <v>137</v>
      </c>
      <c r="B138" s="10">
        <v>41561</v>
      </c>
      <c r="C138" s="11">
        <v>2013</v>
      </c>
      <c r="D138" s="12" t="s">
        <v>43</v>
      </c>
      <c r="E138" s="10">
        <v>41567</v>
      </c>
      <c r="F138" s="11">
        <f t="shared" si="2"/>
        <v>6</v>
      </c>
      <c r="G138" s="11" t="s">
        <v>44</v>
      </c>
      <c r="H138" s="11" t="s">
        <v>321</v>
      </c>
      <c r="I138" s="11" t="s">
        <v>24</v>
      </c>
      <c r="J138" s="11" t="s">
        <v>1097</v>
      </c>
      <c r="K138" s="11" t="s">
        <v>322</v>
      </c>
      <c r="L138" s="11" t="s">
        <v>37</v>
      </c>
      <c r="M138" s="11" t="s">
        <v>38</v>
      </c>
      <c r="N138" s="11" t="s">
        <v>39</v>
      </c>
      <c r="O138" s="11" t="s">
        <v>176</v>
      </c>
      <c r="P138" s="11" t="s">
        <v>326</v>
      </c>
      <c r="Q138" s="13">
        <v>4.0199999999999996</v>
      </c>
      <c r="R138" s="11">
        <v>2</v>
      </c>
      <c r="S138" s="28">
        <v>0</v>
      </c>
      <c r="T138" s="13">
        <v>1.9698</v>
      </c>
    </row>
    <row r="139" spans="1:20" x14ac:dyDescent="0.3">
      <c r="A139" s="11">
        <v>138</v>
      </c>
      <c r="B139" s="10">
        <v>41561</v>
      </c>
      <c r="C139" s="11">
        <v>2013</v>
      </c>
      <c r="D139" s="12" t="s">
        <v>43</v>
      </c>
      <c r="E139" s="10">
        <v>41567</v>
      </c>
      <c r="F139" s="11">
        <f t="shared" si="2"/>
        <v>6</v>
      </c>
      <c r="G139" s="11" t="s">
        <v>44</v>
      </c>
      <c r="H139" s="11" t="s">
        <v>321</v>
      </c>
      <c r="I139" s="11" t="s">
        <v>24</v>
      </c>
      <c r="J139" s="11" t="s">
        <v>1097</v>
      </c>
      <c r="K139" s="11" t="s">
        <v>322</v>
      </c>
      <c r="L139" s="11" t="s">
        <v>37</v>
      </c>
      <c r="M139" s="11" t="s">
        <v>38</v>
      </c>
      <c r="N139" s="11" t="s">
        <v>39</v>
      </c>
      <c r="O139" s="11" t="s">
        <v>61</v>
      </c>
      <c r="P139" s="11" t="s">
        <v>327</v>
      </c>
      <c r="Q139" s="13">
        <v>76.176000000000002</v>
      </c>
      <c r="R139" s="11">
        <v>3</v>
      </c>
      <c r="S139" s="28">
        <v>0.2</v>
      </c>
      <c r="T139" s="13">
        <v>26.6616</v>
      </c>
    </row>
    <row r="140" spans="1:20" x14ac:dyDescent="0.3">
      <c r="A140" s="11">
        <v>139</v>
      </c>
      <c r="B140" s="10">
        <v>41561</v>
      </c>
      <c r="C140" s="11">
        <v>2013</v>
      </c>
      <c r="D140" s="12" t="s">
        <v>43</v>
      </c>
      <c r="E140" s="10">
        <v>41567</v>
      </c>
      <c r="F140" s="11">
        <f t="shared" si="2"/>
        <v>6</v>
      </c>
      <c r="G140" s="11" t="s">
        <v>44</v>
      </c>
      <c r="H140" s="11" t="s">
        <v>321</v>
      </c>
      <c r="I140" s="11" t="s">
        <v>24</v>
      </c>
      <c r="J140" s="11" t="s">
        <v>1097</v>
      </c>
      <c r="K140" s="11" t="s">
        <v>322</v>
      </c>
      <c r="L140" s="11" t="s">
        <v>37</v>
      </c>
      <c r="M140" s="11" t="s">
        <v>38</v>
      </c>
      <c r="N140" s="11" t="s">
        <v>39</v>
      </c>
      <c r="O140" s="11" t="s">
        <v>328</v>
      </c>
      <c r="P140" s="11" t="s">
        <v>329</v>
      </c>
      <c r="Q140" s="13">
        <v>65.88</v>
      </c>
      <c r="R140" s="11">
        <v>6</v>
      </c>
      <c r="S140" s="28">
        <v>0</v>
      </c>
      <c r="T140" s="13">
        <v>18.446400000000001</v>
      </c>
    </row>
    <row r="141" spans="1:20" x14ac:dyDescent="0.3">
      <c r="A141" s="11">
        <v>140</v>
      </c>
      <c r="B141" s="10">
        <v>41561</v>
      </c>
      <c r="C141" s="11">
        <v>2013</v>
      </c>
      <c r="D141" s="12" t="s">
        <v>43</v>
      </c>
      <c r="E141" s="10">
        <v>41567</v>
      </c>
      <c r="F141" s="11">
        <f t="shared" si="2"/>
        <v>6</v>
      </c>
      <c r="G141" s="11" t="s">
        <v>44</v>
      </c>
      <c r="H141" s="11" t="s">
        <v>321</v>
      </c>
      <c r="I141" s="11" t="s">
        <v>24</v>
      </c>
      <c r="J141" s="11" t="s">
        <v>1097</v>
      </c>
      <c r="K141" s="11" t="s">
        <v>322</v>
      </c>
      <c r="L141" s="11" t="s">
        <v>37</v>
      </c>
      <c r="M141" s="11" t="s">
        <v>38</v>
      </c>
      <c r="N141" s="11" t="s">
        <v>28</v>
      </c>
      <c r="O141" s="11" t="s">
        <v>54</v>
      </c>
      <c r="P141" s="11" t="s">
        <v>171</v>
      </c>
      <c r="Q141" s="13">
        <v>43.12</v>
      </c>
      <c r="R141" s="11">
        <v>14</v>
      </c>
      <c r="S141" s="28">
        <v>0</v>
      </c>
      <c r="T141" s="13">
        <v>20.697600000000001</v>
      </c>
    </row>
    <row r="142" spans="1:20" x14ac:dyDescent="0.3">
      <c r="A142" s="11">
        <v>141</v>
      </c>
      <c r="B142" s="10">
        <v>41523</v>
      </c>
      <c r="C142" s="11">
        <v>2013</v>
      </c>
      <c r="D142" s="12" t="s">
        <v>112</v>
      </c>
      <c r="E142" s="10">
        <v>41525</v>
      </c>
      <c r="F142" s="11">
        <f t="shared" si="2"/>
        <v>2</v>
      </c>
      <c r="G142" s="11" t="s">
        <v>22</v>
      </c>
      <c r="H142" s="11" t="s">
        <v>330</v>
      </c>
      <c r="I142" s="11" t="s">
        <v>35</v>
      </c>
      <c r="J142" s="11" t="s">
        <v>1097</v>
      </c>
      <c r="K142" s="11" t="s">
        <v>108</v>
      </c>
      <c r="L142" s="11" t="s">
        <v>109</v>
      </c>
      <c r="M142" s="11" t="s">
        <v>110</v>
      </c>
      <c r="N142" s="11" t="s">
        <v>28</v>
      </c>
      <c r="O142" s="11" t="s">
        <v>54</v>
      </c>
      <c r="P142" s="11" t="s">
        <v>123</v>
      </c>
      <c r="Q142" s="13">
        <v>82.8</v>
      </c>
      <c r="R142" s="11">
        <v>2</v>
      </c>
      <c r="S142" s="28">
        <v>0.2</v>
      </c>
      <c r="T142" s="13">
        <v>10.35</v>
      </c>
    </row>
    <row r="143" spans="1:20" x14ac:dyDescent="0.3">
      <c r="A143" s="11">
        <v>142</v>
      </c>
      <c r="B143" s="10">
        <v>41901</v>
      </c>
      <c r="C143" s="11">
        <v>2014</v>
      </c>
      <c r="D143" s="12" t="s">
        <v>112</v>
      </c>
      <c r="E143" s="10">
        <v>41906</v>
      </c>
      <c r="F143" s="11">
        <f t="shared" si="2"/>
        <v>5</v>
      </c>
      <c r="G143" s="11" t="s">
        <v>44</v>
      </c>
      <c r="H143" s="11" t="s">
        <v>331</v>
      </c>
      <c r="I143" s="11" t="s">
        <v>35</v>
      </c>
      <c r="J143" s="11" t="s">
        <v>1097</v>
      </c>
      <c r="K143" s="11" t="s">
        <v>97</v>
      </c>
      <c r="L143" s="11" t="s">
        <v>37</v>
      </c>
      <c r="M143" s="11" t="s">
        <v>38</v>
      </c>
      <c r="N143" s="11" t="s">
        <v>39</v>
      </c>
      <c r="O143" s="11" t="s">
        <v>56</v>
      </c>
      <c r="P143" s="11" t="s">
        <v>332</v>
      </c>
      <c r="Q143" s="13">
        <v>8.82</v>
      </c>
      <c r="R143" s="11">
        <v>3</v>
      </c>
      <c r="S143" s="28">
        <v>0</v>
      </c>
      <c r="T143" s="13">
        <v>2.3814000000000002</v>
      </c>
    </row>
    <row r="144" spans="1:20" x14ac:dyDescent="0.3">
      <c r="A144" s="11">
        <v>143</v>
      </c>
      <c r="B144" s="10">
        <v>41901</v>
      </c>
      <c r="C144" s="11">
        <v>2014</v>
      </c>
      <c r="D144" s="12" t="s">
        <v>112</v>
      </c>
      <c r="E144" s="10">
        <v>41906</v>
      </c>
      <c r="F144" s="11">
        <f t="shared" si="2"/>
        <v>5</v>
      </c>
      <c r="G144" s="11" t="s">
        <v>44</v>
      </c>
      <c r="H144" s="11" t="s">
        <v>331</v>
      </c>
      <c r="I144" s="11" t="s">
        <v>35</v>
      </c>
      <c r="J144" s="11" t="s">
        <v>1097</v>
      </c>
      <c r="K144" s="11" t="s">
        <v>97</v>
      </c>
      <c r="L144" s="11" t="s">
        <v>37</v>
      </c>
      <c r="M144" s="11" t="s">
        <v>38</v>
      </c>
      <c r="N144" s="11" t="s">
        <v>39</v>
      </c>
      <c r="O144" s="11" t="s">
        <v>124</v>
      </c>
      <c r="P144" s="11" t="s">
        <v>333</v>
      </c>
      <c r="Q144" s="13">
        <v>10.86</v>
      </c>
      <c r="R144" s="11">
        <v>3</v>
      </c>
      <c r="S144" s="28">
        <v>0</v>
      </c>
      <c r="T144" s="13">
        <v>5.1041999999999996</v>
      </c>
    </row>
    <row r="145" spans="1:20" x14ac:dyDescent="0.3">
      <c r="A145" s="11">
        <v>144</v>
      </c>
      <c r="B145" s="10">
        <v>41901</v>
      </c>
      <c r="C145" s="11">
        <v>2014</v>
      </c>
      <c r="D145" s="12" t="s">
        <v>112</v>
      </c>
      <c r="E145" s="10">
        <v>41906</v>
      </c>
      <c r="F145" s="11">
        <f t="shared" si="2"/>
        <v>5</v>
      </c>
      <c r="G145" s="11" t="s">
        <v>44</v>
      </c>
      <c r="H145" s="11" t="s">
        <v>331</v>
      </c>
      <c r="I145" s="11" t="s">
        <v>35</v>
      </c>
      <c r="J145" s="11" t="s">
        <v>1097</v>
      </c>
      <c r="K145" s="11" t="s">
        <v>97</v>
      </c>
      <c r="L145" s="11" t="s">
        <v>37</v>
      </c>
      <c r="M145" s="11" t="s">
        <v>38</v>
      </c>
      <c r="N145" s="11" t="s">
        <v>39</v>
      </c>
      <c r="O145" s="11" t="s">
        <v>72</v>
      </c>
      <c r="P145" s="11" t="s">
        <v>334</v>
      </c>
      <c r="Q145" s="13">
        <v>143.69999999999999</v>
      </c>
      <c r="R145" s="11">
        <v>3</v>
      </c>
      <c r="S145" s="28">
        <v>0</v>
      </c>
      <c r="T145" s="13">
        <v>68.975999999999999</v>
      </c>
    </row>
    <row r="146" spans="1:20" x14ac:dyDescent="0.3">
      <c r="A146" s="11">
        <v>145</v>
      </c>
      <c r="B146" s="10">
        <v>41996</v>
      </c>
      <c r="C146" s="11">
        <v>2014</v>
      </c>
      <c r="D146" s="12" t="s">
        <v>74</v>
      </c>
      <c r="E146" s="10">
        <v>42001</v>
      </c>
      <c r="F146" s="11">
        <f t="shared" si="2"/>
        <v>5</v>
      </c>
      <c r="G146" s="11" t="s">
        <v>44</v>
      </c>
      <c r="H146" s="11" t="s">
        <v>335</v>
      </c>
      <c r="I146" s="11" t="s">
        <v>24</v>
      </c>
      <c r="J146" s="11" t="s">
        <v>1097</v>
      </c>
      <c r="K146" s="11" t="s">
        <v>336</v>
      </c>
      <c r="L146" s="11" t="s">
        <v>337</v>
      </c>
      <c r="M146" s="11" t="s">
        <v>83</v>
      </c>
      <c r="N146" s="11" t="s">
        <v>39</v>
      </c>
      <c r="O146" s="11" t="s">
        <v>63</v>
      </c>
      <c r="P146" s="11" t="s">
        <v>338</v>
      </c>
      <c r="Q146" s="13">
        <v>839.43</v>
      </c>
      <c r="R146" s="11">
        <v>3</v>
      </c>
      <c r="S146" s="28">
        <v>0</v>
      </c>
      <c r="T146" s="13">
        <v>218.2518</v>
      </c>
    </row>
    <row r="147" spans="1:20" x14ac:dyDescent="0.3">
      <c r="A147" s="11">
        <v>146</v>
      </c>
      <c r="B147" s="10">
        <v>41159</v>
      </c>
      <c r="C147" s="11">
        <v>2012</v>
      </c>
      <c r="D147" s="12" t="s">
        <v>112</v>
      </c>
      <c r="E147" s="10">
        <v>41164</v>
      </c>
      <c r="F147" s="11">
        <f t="shared" si="2"/>
        <v>5</v>
      </c>
      <c r="G147" s="11" t="s">
        <v>44</v>
      </c>
      <c r="H147" s="11" t="s">
        <v>339</v>
      </c>
      <c r="I147" s="11" t="s">
        <v>24</v>
      </c>
      <c r="J147" s="11" t="s">
        <v>1097</v>
      </c>
      <c r="K147" s="11" t="s">
        <v>340</v>
      </c>
      <c r="L147" s="11" t="s">
        <v>37</v>
      </c>
      <c r="M147" s="11" t="s">
        <v>38</v>
      </c>
      <c r="N147" s="11" t="s">
        <v>39</v>
      </c>
      <c r="O147" s="11" t="s">
        <v>50</v>
      </c>
      <c r="P147" s="11" t="s">
        <v>231</v>
      </c>
      <c r="Q147" s="13">
        <v>671.93</v>
      </c>
      <c r="R147" s="11">
        <v>7</v>
      </c>
      <c r="S147" s="28">
        <v>0</v>
      </c>
      <c r="T147" s="13">
        <v>20.157900000000001</v>
      </c>
    </row>
    <row r="148" spans="1:20" x14ac:dyDescent="0.3">
      <c r="A148" s="11">
        <v>147</v>
      </c>
      <c r="B148" s="10">
        <v>40838</v>
      </c>
      <c r="C148" s="11">
        <v>2011</v>
      </c>
      <c r="D148" s="12" t="s">
        <v>43</v>
      </c>
      <c r="E148" s="10">
        <v>40844</v>
      </c>
      <c r="F148" s="11">
        <f t="shared" si="2"/>
        <v>6</v>
      </c>
      <c r="G148" s="11" t="s">
        <v>44</v>
      </c>
      <c r="H148" s="11" t="s">
        <v>341</v>
      </c>
      <c r="I148" s="11" t="s">
        <v>80</v>
      </c>
      <c r="J148" s="11" t="s">
        <v>1097</v>
      </c>
      <c r="K148" s="11" t="s">
        <v>342</v>
      </c>
      <c r="L148" s="11" t="s">
        <v>289</v>
      </c>
      <c r="M148" s="11" t="s">
        <v>110</v>
      </c>
      <c r="N148" s="11" t="s">
        <v>28</v>
      </c>
      <c r="O148" s="11" t="s">
        <v>54</v>
      </c>
      <c r="P148" s="11" t="s">
        <v>343</v>
      </c>
      <c r="Q148" s="13">
        <v>93.888000000000005</v>
      </c>
      <c r="R148" s="11">
        <v>4</v>
      </c>
      <c r="S148" s="28">
        <v>0.2</v>
      </c>
      <c r="T148" s="13">
        <v>12.909599999999999</v>
      </c>
    </row>
    <row r="149" spans="1:20" x14ac:dyDescent="0.3">
      <c r="A149" s="11">
        <v>148</v>
      </c>
      <c r="B149" s="10">
        <v>41614</v>
      </c>
      <c r="C149" s="11">
        <v>2013</v>
      </c>
      <c r="D149" s="12" t="s">
        <v>74</v>
      </c>
      <c r="E149" s="10">
        <v>41618</v>
      </c>
      <c r="F149" s="11">
        <f t="shared" si="2"/>
        <v>4</v>
      </c>
      <c r="G149" s="11" t="s">
        <v>44</v>
      </c>
      <c r="H149" s="11" t="s">
        <v>344</v>
      </c>
      <c r="I149" s="11" t="s">
        <v>35</v>
      </c>
      <c r="J149" s="11" t="s">
        <v>1097</v>
      </c>
      <c r="K149" s="11" t="s">
        <v>345</v>
      </c>
      <c r="L149" s="11" t="s">
        <v>88</v>
      </c>
      <c r="M149" s="11" t="s">
        <v>83</v>
      </c>
      <c r="N149" s="11" t="s">
        <v>58</v>
      </c>
      <c r="O149" s="11" t="s">
        <v>59</v>
      </c>
      <c r="P149" s="11" t="s">
        <v>346</v>
      </c>
      <c r="Q149" s="13">
        <v>384.45</v>
      </c>
      <c r="R149" s="11">
        <v>11</v>
      </c>
      <c r="S149" s="28">
        <v>0</v>
      </c>
      <c r="T149" s="13">
        <v>103.8015</v>
      </c>
    </row>
    <row r="150" spans="1:20" x14ac:dyDescent="0.3">
      <c r="A150" s="11">
        <v>149</v>
      </c>
      <c r="B150" s="10">
        <v>41614</v>
      </c>
      <c r="C150" s="11">
        <v>2013</v>
      </c>
      <c r="D150" s="12" t="s">
        <v>74</v>
      </c>
      <c r="E150" s="10">
        <v>41618</v>
      </c>
      <c r="F150" s="11">
        <f t="shared" si="2"/>
        <v>4</v>
      </c>
      <c r="G150" s="11" t="s">
        <v>44</v>
      </c>
      <c r="H150" s="11" t="s">
        <v>344</v>
      </c>
      <c r="I150" s="11" t="s">
        <v>35</v>
      </c>
      <c r="J150" s="11" t="s">
        <v>1097</v>
      </c>
      <c r="K150" s="11" t="s">
        <v>345</v>
      </c>
      <c r="L150" s="11" t="s">
        <v>88</v>
      </c>
      <c r="M150" s="11" t="s">
        <v>83</v>
      </c>
      <c r="N150" s="11" t="s">
        <v>58</v>
      </c>
      <c r="O150" s="11" t="s">
        <v>59</v>
      </c>
      <c r="P150" s="11" t="s">
        <v>347</v>
      </c>
      <c r="Q150" s="13">
        <v>149.97</v>
      </c>
      <c r="R150" s="11">
        <v>3</v>
      </c>
      <c r="S150" s="28">
        <v>0</v>
      </c>
      <c r="T150" s="13">
        <v>5.9988000000000001</v>
      </c>
    </row>
    <row r="151" spans="1:20" x14ac:dyDescent="0.3">
      <c r="A151" s="11">
        <v>150</v>
      </c>
      <c r="B151" s="10">
        <v>41614</v>
      </c>
      <c r="C151" s="11">
        <v>2013</v>
      </c>
      <c r="D151" s="12" t="s">
        <v>74</v>
      </c>
      <c r="E151" s="10">
        <v>41618</v>
      </c>
      <c r="F151" s="11">
        <f t="shared" si="2"/>
        <v>4</v>
      </c>
      <c r="G151" s="11" t="s">
        <v>44</v>
      </c>
      <c r="H151" s="11" t="s">
        <v>344</v>
      </c>
      <c r="I151" s="11" t="s">
        <v>35</v>
      </c>
      <c r="J151" s="11" t="s">
        <v>1097</v>
      </c>
      <c r="K151" s="11" t="s">
        <v>345</v>
      </c>
      <c r="L151" s="11" t="s">
        <v>88</v>
      </c>
      <c r="M151" s="11" t="s">
        <v>83</v>
      </c>
      <c r="N151" s="11" t="s">
        <v>28</v>
      </c>
      <c r="O151" s="11" t="s">
        <v>31</v>
      </c>
      <c r="P151" s="11" t="s">
        <v>32</v>
      </c>
      <c r="Q151" s="13">
        <v>1951.84</v>
      </c>
      <c r="R151" s="11">
        <v>8</v>
      </c>
      <c r="S151" s="28">
        <v>0</v>
      </c>
      <c r="T151" s="13">
        <v>585.55200000000002</v>
      </c>
    </row>
    <row r="152" spans="1:20" x14ac:dyDescent="0.3">
      <c r="A152" s="11">
        <v>151</v>
      </c>
      <c r="B152" s="10">
        <v>41614</v>
      </c>
      <c r="C152" s="11">
        <v>2013</v>
      </c>
      <c r="D152" s="12" t="s">
        <v>74</v>
      </c>
      <c r="E152" s="10">
        <v>41618</v>
      </c>
      <c r="F152" s="11">
        <f t="shared" si="2"/>
        <v>4</v>
      </c>
      <c r="G152" s="11" t="s">
        <v>44</v>
      </c>
      <c r="H152" s="11" t="s">
        <v>344</v>
      </c>
      <c r="I152" s="11" t="s">
        <v>35</v>
      </c>
      <c r="J152" s="11" t="s">
        <v>1097</v>
      </c>
      <c r="K152" s="11" t="s">
        <v>345</v>
      </c>
      <c r="L152" s="11" t="s">
        <v>88</v>
      </c>
      <c r="M152" s="11" t="s">
        <v>83</v>
      </c>
      <c r="N152" s="11" t="s">
        <v>39</v>
      </c>
      <c r="O152" s="11" t="s">
        <v>61</v>
      </c>
      <c r="P152" s="11" t="s">
        <v>348</v>
      </c>
      <c r="Q152" s="13">
        <v>171.55</v>
      </c>
      <c r="R152" s="11">
        <v>5</v>
      </c>
      <c r="S152" s="28">
        <v>0</v>
      </c>
      <c r="T152" s="13">
        <v>80.628500000000003</v>
      </c>
    </row>
    <row r="153" spans="1:20" x14ac:dyDescent="0.3">
      <c r="A153" s="11">
        <v>152</v>
      </c>
      <c r="B153" s="10">
        <v>41347</v>
      </c>
      <c r="C153" s="11">
        <v>2013</v>
      </c>
      <c r="D153" s="12" t="s">
        <v>151</v>
      </c>
      <c r="E153" s="10">
        <v>41350</v>
      </c>
      <c r="F153" s="11">
        <f t="shared" si="2"/>
        <v>3</v>
      </c>
      <c r="G153" s="11" t="s">
        <v>132</v>
      </c>
      <c r="H153" s="11" t="s">
        <v>349</v>
      </c>
      <c r="I153" s="11" t="s">
        <v>80</v>
      </c>
      <c r="J153" s="11" t="s">
        <v>1097</v>
      </c>
      <c r="K153" s="11" t="s">
        <v>350</v>
      </c>
      <c r="L153" s="11" t="s">
        <v>197</v>
      </c>
      <c r="M153" s="11" t="s">
        <v>38</v>
      </c>
      <c r="N153" s="11" t="s">
        <v>39</v>
      </c>
      <c r="O153" s="11" t="s">
        <v>63</v>
      </c>
      <c r="P153" s="11" t="s">
        <v>351</v>
      </c>
      <c r="Q153" s="13">
        <v>157.91999999999999</v>
      </c>
      <c r="R153" s="11">
        <v>5</v>
      </c>
      <c r="S153" s="28">
        <v>0.2</v>
      </c>
      <c r="T153" s="13">
        <v>17.765999999999998</v>
      </c>
    </row>
    <row r="154" spans="1:20" x14ac:dyDescent="0.3">
      <c r="A154" s="11">
        <v>153</v>
      </c>
      <c r="B154" s="10">
        <v>41347</v>
      </c>
      <c r="C154" s="11">
        <v>2013</v>
      </c>
      <c r="D154" s="12" t="s">
        <v>151</v>
      </c>
      <c r="E154" s="10">
        <v>41350</v>
      </c>
      <c r="F154" s="11">
        <f t="shared" si="2"/>
        <v>3</v>
      </c>
      <c r="G154" s="11" t="s">
        <v>132</v>
      </c>
      <c r="H154" s="11" t="s">
        <v>349</v>
      </c>
      <c r="I154" s="11" t="s">
        <v>80</v>
      </c>
      <c r="J154" s="11" t="s">
        <v>1097</v>
      </c>
      <c r="K154" s="11" t="s">
        <v>350</v>
      </c>
      <c r="L154" s="11" t="s">
        <v>197</v>
      </c>
      <c r="M154" s="11" t="s">
        <v>38</v>
      </c>
      <c r="N154" s="11" t="s">
        <v>58</v>
      </c>
      <c r="O154" s="11" t="s">
        <v>59</v>
      </c>
      <c r="P154" s="11" t="s">
        <v>352</v>
      </c>
      <c r="Q154" s="13">
        <v>203.184</v>
      </c>
      <c r="R154" s="11">
        <v>2</v>
      </c>
      <c r="S154" s="28">
        <v>0.2</v>
      </c>
      <c r="T154" s="13">
        <v>15.238799999999999</v>
      </c>
    </row>
    <row r="155" spans="1:20" x14ac:dyDescent="0.3">
      <c r="A155" s="11">
        <v>154</v>
      </c>
      <c r="B155" s="10">
        <v>41060</v>
      </c>
      <c r="C155" s="11">
        <v>2012</v>
      </c>
      <c r="D155" s="12" t="s">
        <v>90</v>
      </c>
      <c r="E155" s="10">
        <v>41062</v>
      </c>
      <c r="F155" s="11">
        <f t="shared" si="2"/>
        <v>2</v>
      </c>
      <c r="G155" s="11" t="s">
        <v>132</v>
      </c>
      <c r="H155" s="11" t="s">
        <v>353</v>
      </c>
      <c r="I155" s="11" t="s">
        <v>35</v>
      </c>
      <c r="J155" s="11" t="s">
        <v>1097</v>
      </c>
      <c r="K155" s="11" t="s">
        <v>354</v>
      </c>
      <c r="L155" s="11" t="s">
        <v>37</v>
      </c>
      <c r="M155" s="11" t="s">
        <v>38</v>
      </c>
      <c r="N155" s="11" t="s">
        <v>39</v>
      </c>
      <c r="O155" s="11" t="s">
        <v>72</v>
      </c>
      <c r="P155" s="11" t="s">
        <v>355</v>
      </c>
      <c r="Q155" s="13">
        <v>58.38</v>
      </c>
      <c r="R155" s="11">
        <v>7</v>
      </c>
      <c r="S155" s="28">
        <v>0</v>
      </c>
      <c r="T155" s="13">
        <v>26.271000000000001</v>
      </c>
    </row>
    <row r="156" spans="1:20" x14ac:dyDescent="0.3">
      <c r="A156" s="11">
        <v>155</v>
      </c>
      <c r="B156" s="10">
        <v>41060</v>
      </c>
      <c r="C156" s="11">
        <v>2012</v>
      </c>
      <c r="D156" s="12" t="s">
        <v>90</v>
      </c>
      <c r="E156" s="10">
        <v>41062</v>
      </c>
      <c r="F156" s="11">
        <f t="shared" si="2"/>
        <v>2</v>
      </c>
      <c r="G156" s="11" t="s">
        <v>132</v>
      </c>
      <c r="H156" s="11" t="s">
        <v>353</v>
      </c>
      <c r="I156" s="11" t="s">
        <v>35</v>
      </c>
      <c r="J156" s="11" t="s">
        <v>1097</v>
      </c>
      <c r="K156" s="11" t="s">
        <v>354</v>
      </c>
      <c r="L156" s="11" t="s">
        <v>37</v>
      </c>
      <c r="M156" s="11" t="s">
        <v>38</v>
      </c>
      <c r="N156" s="11" t="s">
        <v>39</v>
      </c>
      <c r="O156" s="11" t="s">
        <v>72</v>
      </c>
      <c r="P156" s="11" t="s">
        <v>356</v>
      </c>
      <c r="Q156" s="13">
        <v>105.52</v>
      </c>
      <c r="R156" s="11">
        <v>4</v>
      </c>
      <c r="S156" s="28">
        <v>0</v>
      </c>
      <c r="T156" s="13">
        <v>48.539200000000001</v>
      </c>
    </row>
    <row r="157" spans="1:20" x14ac:dyDescent="0.3">
      <c r="A157" s="11">
        <v>156</v>
      </c>
      <c r="B157" s="10">
        <v>41060</v>
      </c>
      <c r="C157" s="11">
        <v>2012</v>
      </c>
      <c r="D157" s="12" t="s">
        <v>90</v>
      </c>
      <c r="E157" s="10">
        <v>41062</v>
      </c>
      <c r="F157" s="11">
        <f t="shared" si="2"/>
        <v>2</v>
      </c>
      <c r="G157" s="11" t="s">
        <v>132</v>
      </c>
      <c r="H157" s="11" t="s">
        <v>353</v>
      </c>
      <c r="I157" s="11" t="s">
        <v>35</v>
      </c>
      <c r="J157" s="11" t="s">
        <v>1097</v>
      </c>
      <c r="K157" s="11" t="s">
        <v>354</v>
      </c>
      <c r="L157" s="11" t="s">
        <v>37</v>
      </c>
      <c r="M157" s="11" t="s">
        <v>38</v>
      </c>
      <c r="N157" s="11" t="s">
        <v>39</v>
      </c>
      <c r="O157" s="11" t="s">
        <v>50</v>
      </c>
      <c r="P157" s="11" t="s">
        <v>357</v>
      </c>
      <c r="Q157" s="13">
        <v>80.88</v>
      </c>
      <c r="R157" s="11">
        <v>6</v>
      </c>
      <c r="S157" s="28">
        <v>0</v>
      </c>
      <c r="T157" s="13">
        <v>21.0288</v>
      </c>
    </row>
    <row r="158" spans="1:20" x14ac:dyDescent="0.3">
      <c r="A158" s="11">
        <v>157</v>
      </c>
      <c r="B158" s="10">
        <v>41057</v>
      </c>
      <c r="C158" s="11">
        <v>2012</v>
      </c>
      <c r="D158" s="12" t="s">
        <v>90</v>
      </c>
      <c r="E158" s="10">
        <v>41063</v>
      </c>
      <c r="F158" s="11">
        <f t="shared" si="2"/>
        <v>6</v>
      </c>
      <c r="G158" s="11" t="s">
        <v>44</v>
      </c>
      <c r="H158" s="11" t="s">
        <v>358</v>
      </c>
      <c r="I158" s="11" t="s">
        <v>80</v>
      </c>
      <c r="J158" s="11" t="s">
        <v>1097</v>
      </c>
      <c r="K158" s="11" t="s">
        <v>76</v>
      </c>
      <c r="L158" s="11" t="s">
        <v>77</v>
      </c>
      <c r="M158" s="11" t="s">
        <v>38</v>
      </c>
      <c r="N158" s="11" t="s">
        <v>39</v>
      </c>
      <c r="O158" s="11" t="s">
        <v>56</v>
      </c>
      <c r="P158" s="11" t="s">
        <v>359</v>
      </c>
      <c r="Q158" s="13">
        <v>6.63</v>
      </c>
      <c r="R158" s="11">
        <v>3</v>
      </c>
      <c r="S158" s="28">
        <v>0</v>
      </c>
      <c r="T158" s="13">
        <v>1.7901</v>
      </c>
    </row>
    <row r="159" spans="1:20" x14ac:dyDescent="0.3">
      <c r="A159" s="11">
        <v>158</v>
      </c>
      <c r="B159" s="10">
        <v>40603</v>
      </c>
      <c r="C159" s="11">
        <v>2011</v>
      </c>
      <c r="D159" s="12" t="s">
        <v>151</v>
      </c>
      <c r="E159" s="10">
        <v>40608</v>
      </c>
      <c r="F159" s="11">
        <f t="shared" si="2"/>
        <v>5</v>
      </c>
      <c r="G159" s="11" t="s">
        <v>22</v>
      </c>
      <c r="H159" s="11" t="s">
        <v>360</v>
      </c>
      <c r="I159" s="11" t="s">
        <v>24</v>
      </c>
      <c r="J159" s="11" t="s">
        <v>1097</v>
      </c>
      <c r="K159" s="11" t="s">
        <v>76</v>
      </c>
      <c r="L159" s="11" t="s">
        <v>77</v>
      </c>
      <c r="M159" s="11" t="s">
        <v>38</v>
      </c>
      <c r="N159" s="11" t="s">
        <v>28</v>
      </c>
      <c r="O159" s="11" t="s">
        <v>31</v>
      </c>
      <c r="P159" s="11" t="s">
        <v>306</v>
      </c>
      <c r="Q159" s="13">
        <v>457.56799999999998</v>
      </c>
      <c r="R159" s="11">
        <v>2</v>
      </c>
      <c r="S159" s="28">
        <v>0.2</v>
      </c>
      <c r="T159" s="13">
        <v>51.476399999999998</v>
      </c>
    </row>
    <row r="160" spans="1:20" x14ac:dyDescent="0.3">
      <c r="A160" s="11">
        <v>159</v>
      </c>
      <c r="B160" s="10">
        <v>41599</v>
      </c>
      <c r="C160" s="11">
        <v>2013</v>
      </c>
      <c r="D160" s="12" t="s">
        <v>21</v>
      </c>
      <c r="E160" s="10">
        <v>41603</v>
      </c>
      <c r="F160" s="11">
        <f t="shared" si="2"/>
        <v>4</v>
      </c>
      <c r="G160" s="11" t="s">
        <v>44</v>
      </c>
      <c r="H160" s="11" t="s">
        <v>361</v>
      </c>
      <c r="I160" s="11" t="s">
        <v>24</v>
      </c>
      <c r="J160" s="11" t="s">
        <v>1097</v>
      </c>
      <c r="K160" s="11" t="s">
        <v>362</v>
      </c>
      <c r="L160" s="11" t="s">
        <v>363</v>
      </c>
      <c r="M160" s="11" t="s">
        <v>83</v>
      </c>
      <c r="N160" s="11" t="s">
        <v>39</v>
      </c>
      <c r="O160" s="11" t="s">
        <v>40</v>
      </c>
      <c r="P160" s="11" t="s">
        <v>364</v>
      </c>
      <c r="Q160" s="13">
        <v>14.62</v>
      </c>
      <c r="R160" s="11">
        <v>2</v>
      </c>
      <c r="S160" s="28">
        <v>0</v>
      </c>
      <c r="T160" s="13">
        <v>6.8714000000000004</v>
      </c>
    </row>
    <row r="161" spans="1:20" x14ac:dyDescent="0.3">
      <c r="A161" s="11">
        <v>160</v>
      </c>
      <c r="B161" s="10">
        <v>41599</v>
      </c>
      <c r="C161" s="11">
        <v>2013</v>
      </c>
      <c r="D161" s="12" t="s">
        <v>21</v>
      </c>
      <c r="E161" s="10">
        <v>41603</v>
      </c>
      <c r="F161" s="11">
        <f t="shared" si="2"/>
        <v>4</v>
      </c>
      <c r="G161" s="11" t="s">
        <v>44</v>
      </c>
      <c r="H161" s="11" t="s">
        <v>361</v>
      </c>
      <c r="I161" s="11" t="s">
        <v>24</v>
      </c>
      <c r="J161" s="11" t="s">
        <v>1097</v>
      </c>
      <c r="K161" s="11" t="s">
        <v>362</v>
      </c>
      <c r="L161" s="11" t="s">
        <v>363</v>
      </c>
      <c r="M161" s="11" t="s">
        <v>83</v>
      </c>
      <c r="N161" s="11" t="s">
        <v>58</v>
      </c>
      <c r="O161" s="11" t="s">
        <v>59</v>
      </c>
      <c r="P161" s="11" t="s">
        <v>365</v>
      </c>
      <c r="Q161" s="13">
        <v>944.93</v>
      </c>
      <c r="R161" s="11">
        <v>7</v>
      </c>
      <c r="S161" s="28">
        <v>0</v>
      </c>
      <c r="T161" s="13">
        <v>236.23249999999999</v>
      </c>
    </row>
    <row r="162" spans="1:20" x14ac:dyDescent="0.3">
      <c r="A162" s="11">
        <v>161</v>
      </c>
      <c r="B162" s="10">
        <v>41406</v>
      </c>
      <c r="C162" s="11">
        <v>2013</v>
      </c>
      <c r="D162" s="12" t="s">
        <v>90</v>
      </c>
      <c r="E162" s="10">
        <v>41407</v>
      </c>
      <c r="F162" s="11">
        <f t="shared" si="2"/>
        <v>1</v>
      </c>
      <c r="G162" s="11" t="s">
        <v>132</v>
      </c>
      <c r="H162" s="11" t="s">
        <v>366</v>
      </c>
      <c r="I162" s="11" t="s">
        <v>24</v>
      </c>
      <c r="J162" s="11" t="s">
        <v>1097</v>
      </c>
      <c r="K162" s="11" t="s">
        <v>36</v>
      </c>
      <c r="L162" s="11" t="s">
        <v>37</v>
      </c>
      <c r="M162" s="11" t="s">
        <v>38</v>
      </c>
      <c r="N162" s="11" t="s">
        <v>39</v>
      </c>
      <c r="O162" s="11" t="s">
        <v>72</v>
      </c>
      <c r="P162" s="11" t="s">
        <v>367</v>
      </c>
      <c r="Q162" s="13">
        <v>5.98</v>
      </c>
      <c r="R162" s="11">
        <v>1</v>
      </c>
      <c r="S162" s="28">
        <v>0</v>
      </c>
      <c r="T162" s="13">
        <v>2.6909999999999998</v>
      </c>
    </row>
    <row r="163" spans="1:20" x14ac:dyDescent="0.3">
      <c r="A163" s="11">
        <v>162</v>
      </c>
      <c r="B163" s="10">
        <v>41271</v>
      </c>
      <c r="C163" s="11">
        <v>2012</v>
      </c>
      <c r="D163" s="12" t="s">
        <v>74</v>
      </c>
      <c r="E163" s="10">
        <v>41274</v>
      </c>
      <c r="F163" s="11">
        <f t="shared" si="2"/>
        <v>3</v>
      </c>
      <c r="G163" s="11" t="s">
        <v>22</v>
      </c>
      <c r="H163" s="11" t="s">
        <v>368</v>
      </c>
      <c r="I163" s="11" t="s">
        <v>24</v>
      </c>
      <c r="J163" s="11" t="s">
        <v>1097</v>
      </c>
      <c r="K163" s="11" t="s">
        <v>108</v>
      </c>
      <c r="L163" s="11" t="s">
        <v>109</v>
      </c>
      <c r="M163" s="11" t="s">
        <v>110</v>
      </c>
      <c r="N163" s="11" t="s">
        <v>58</v>
      </c>
      <c r="O163" s="11" t="s">
        <v>118</v>
      </c>
      <c r="P163" s="11" t="s">
        <v>369</v>
      </c>
      <c r="Q163" s="13">
        <v>54.384</v>
      </c>
      <c r="R163" s="11">
        <v>2</v>
      </c>
      <c r="S163" s="28">
        <v>0.2</v>
      </c>
      <c r="T163" s="13">
        <v>1.3595999999999999</v>
      </c>
    </row>
    <row r="164" spans="1:20" x14ac:dyDescent="0.3">
      <c r="A164" s="11">
        <v>163</v>
      </c>
      <c r="B164" s="10">
        <v>41595</v>
      </c>
      <c r="C164" s="11">
        <v>2013</v>
      </c>
      <c r="D164" s="12" t="s">
        <v>21</v>
      </c>
      <c r="E164" s="10">
        <v>41599</v>
      </c>
      <c r="F164" s="11">
        <f t="shared" si="2"/>
        <v>4</v>
      </c>
      <c r="G164" s="11" t="s">
        <v>44</v>
      </c>
      <c r="H164" s="11" t="s">
        <v>370</v>
      </c>
      <c r="I164" s="11" t="s">
        <v>24</v>
      </c>
      <c r="J164" s="11" t="s">
        <v>1097</v>
      </c>
      <c r="K164" s="11" t="s">
        <v>371</v>
      </c>
      <c r="L164" s="11" t="s">
        <v>372</v>
      </c>
      <c r="M164" s="11" t="s">
        <v>38</v>
      </c>
      <c r="N164" s="11" t="s">
        <v>39</v>
      </c>
      <c r="O164" s="11" t="s">
        <v>124</v>
      </c>
      <c r="P164" s="11" t="s">
        <v>131</v>
      </c>
      <c r="Q164" s="13">
        <v>28.4</v>
      </c>
      <c r="R164" s="11">
        <v>5</v>
      </c>
      <c r="S164" s="28">
        <v>0</v>
      </c>
      <c r="T164" s="13">
        <v>13.348000000000001</v>
      </c>
    </row>
    <row r="165" spans="1:20" x14ac:dyDescent="0.3">
      <c r="A165" s="11">
        <v>164</v>
      </c>
      <c r="B165" s="10">
        <v>41586</v>
      </c>
      <c r="C165" s="11">
        <v>2013</v>
      </c>
      <c r="D165" s="12" t="s">
        <v>21</v>
      </c>
      <c r="E165" s="10">
        <v>41590</v>
      </c>
      <c r="F165" s="11">
        <f t="shared" si="2"/>
        <v>4</v>
      </c>
      <c r="G165" s="11" t="s">
        <v>44</v>
      </c>
      <c r="H165" s="11" t="s">
        <v>373</v>
      </c>
      <c r="I165" s="11" t="s">
        <v>24</v>
      </c>
      <c r="J165" s="11" t="s">
        <v>1097</v>
      </c>
      <c r="K165" s="11" t="s">
        <v>76</v>
      </c>
      <c r="L165" s="11" t="s">
        <v>77</v>
      </c>
      <c r="M165" s="11" t="s">
        <v>38</v>
      </c>
      <c r="N165" s="11" t="s">
        <v>39</v>
      </c>
      <c r="O165" s="11" t="s">
        <v>61</v>
      </c>
      <c r="P165" s="11" t="s">
        <v>374</v>
      </c>
      <c r="Q165" s="13">
        <v>27.68</v>
      </c>
      <c r="R165" s="11">
        <v>2</v>
      </c>
      <c r="S165" s="28">
        <v>0.2</v>
      </c>
      <c r="T165" s="13">
        <v>9.6880000000000006</v>
      </c>
    </row>
    <row r="166" spans="1:20" x14ac:dyDescent="0.3">
      <c r="A166" s="11">
        <v>165</v>
      </c>
      <c r="B166" s="10">
        <v>40794</v>
      </c>
      <c r="C166" s="11">
        <v>2011</v>
      </c>
      <c r="D166" s="12" t="s">
        <v>112</v>
      </c>
      <c r="E166" s="10">
        <v>40798</v>
      </c>
      <c r="F166" s="11">
        <f t="shared" si="2"/>
        <v>4</v>
      </c>
      <c r="G166" s="11" t="s">
        <v>44</v>
      </c>
      <c r="H166" s="11" t="s">
        <v>375</v>
      </c>
      <c r="I166" s="11" t="s">
        <v>24</v>
      </c>
      <c r="J166" s="11" t="s">
        <v>1097</v>
      </c>
      <c r="K166" s="11" t="s">
        <v>376</v>
      </c>
      <c r="L166" s="11" t="s">
        <v>82</v>
      </c>
      <c r="M166" s="11" t="s">
        <v>83</v>
      </c>
      <c r="N166" s="11" t="s">
        <v>39</v>
      </c>
      <c r="O166" s="11" t="s">
        <v>56</v>
      </c>
      <c r="P166" s="11" t="s">
        <v>377</v>
      </c>
      <c r="Q166" s="13">
        <v>9.9359999999999999</v>
      </c>
      <c r="R166" s="11">
        <v>3</v>
      </c>
      <c r="S166" s="28">
        <v>0.2</v>
      </c>
      <c r="T166" s="13">
        <v>2.7324000000000002</v>
      </c>
    </row>
    <row r="167" spans="1:20" x14ac:dyDescent="0.3">
      <c r="A167" s="11">
        <v>166</v>
      </c>
      <c r="B167" s="10">
        <v>40794</v>
      </c>
      <c r="C167" s="11">
        <v>2011</v>
      </c>
      <c r="D167" s="12" t="s">
        <v>112</v>
      </c>
      <c r="E167" s="10">
        <v>40798</v>
      </c>
      <c r="F167" s="11">
        <f t="shared" si="2"/>
        <v>4</v>
      </c>
      <c r="G167" s="11" t="s">
        <v>44</v>
      </c>
      <c r="H167" s="11" t="s">
        <v>375</v>
      </c>
      <c r="I167" s="11" t="s">
        <v>24</v>
      </c>
      <c r="J167" s="11" t="s">
        <v>1097</v>
      </c>
      <c r="K167" s="11" t="s">
        <v>376</v>
      </c>
      <c r="L167" s="11" t="s">
        <v>82</v>
      </c>
      <c r="M167" s="11" t="s">
        <v>83</v>
      </c>
      <c r="N167" s="11" t="s">
        <v>58</v>
      </c>
      <c r="O167" s="11" t="s">
        <v>378</v>
      </c>
      <c r="P167" s="11" t="s">
        <v>379</v>
      </c>
      <c r="Q167" s="13">
        <v>8159.9520000000002</v>
      </c>
      <c r="R167" s="11">
        <v>8</v>
      </c>
      <c r="S167" s="28">
        <v>0.4</v>
      </c>
      <c r="T167" s="13">
        <v>-1359.992</v>
      </c>
    </row>
    <row r="168" spans="1:20" x14ac:dyDescent="0.3">
      <c r="A168" s="11">
        <v>167</v>
      </c>
      <c r="B168" s="10">
        <v>40794</v>
      </c>
      <c r="C168" s="11">
        <v>2011</v>
      </c>
      <c r="D168" s="12" t="s">
        <v>112</v>
      </c>
      <c r="E168" s="10">
        <v>40798</v>
      </c>
      <c r="F168" s="11">
        <f t="shared" si="2"/>
        <v>4</v>
      </c>
      <c r="G168" s="11" t="s">
        <v>44</v>
      </c>
      <c r="H168" s="11" t="s">
        <v>375</v>
      </c>
      <c r="I168" s="11" t="s">
        <v>24</v>
      </c>
      <c r="J168" s="11" t="s">
        <v>1097</v>
      </c>
      <c r="K168" s="11" t="s">
        <v>376</v>
      </c>
      <c r="L168" s="11" t="s">
        <v>82</v>
      </c>
      <c r="M168" s="11" t="s">
        <v>83</v>
      </c>
      <c r="N168" s="11" t="s">
        <v>39</v>
      </c>
      <c r="O168" s="11" t="s">
        <v>50</v>
      </c>
      <c r="P168" s="11" t="s">
        <v>380</v>
      </c>
      <c r="Q168" s="13">
        <v>275.928</v>
      </c>
      <c r="R168" s="11">
        <v>3</v>
      </c>
      <c r="S168" s="28">
        <v>0.2</v>
      </c>
      <c r="T168" s="13">
        <v>-58.634700000000002</v>
      </c>
    </row>
    <row r="169" spans="1:20" x14ac:dyDescent="0.3">
      <c r="A169" s="11">
        <v>168</v>
      </c>
      <c r="B169" s="10">
        <v>40794</v>
      </c>
      <c r="C169" s="11">
        <v>2011</v>
      </c>
      <c r="D169" s="12" t="s">
        <v>112</v>
      </c>
      <c r="E169" s="10">
        <v>40798</v>
      </c>
      <c r="F169" s="11">
        <f t="shared" si="2"/>
        <v>4</v>
      </c>
      <c r="G169" s="11" t="s">
        <v>44</v>
      </c>
      <c r="H169" s="11" t="s">
        <v>375</v>
      </c>
      <c r="I169" s="11" t="s">
        <v>24</v>
      </c>
      <c r="J169" s="11" t="s">
        <v>1097</v>
      </c>
      <c r="K169" s="11" t="s">
        <v>376</v>
      </c>
      <c r="L169" s="11" t="s">
        <v>82</v>
      </c>
      <c r="M169" s="11" t="s">
        <v>83</v>
      </c>
      <c r="N169" s="11" t="s">
        <v>28</v>
      </c>
      <c r="O169" s="11" t="s">
        <v>31</v>
      </c>
      <c r="P169" s="11" t="s">
        <v>381</v>
      </c>
      <c r="Q169" s="13">
        <v>1740.06</v>
      </c>
      <c r="R169" s="11">
        <v>9</v>
      </c>
      <c r="S169" s="28">
        <v>0.3</v>
      </c>
      <c r="T169" s="13">
        <v>-24.858000000000001</v>
      </c>
    </row>
    <row r="170" spans="1:20" x14ac:dyDescent="0.3">
      <c r="A170" s="11">
        <v>169</v>
      </c>
      <c r="B170" s="10">
        <v>40794</v>
      </c>
      <c r="C170" s="11">
        <v>2011</v>
      </c>
      <c r="D170" s="12" t="s">
        <v>112</v>
      </c>
      <c r="E170" s="10">
        <v>40798</v>
      </c>
      <c r="F170" s="11">
        <f t="shared" si="2"/>
        <v>4</v>
      </c>
      <c r="G170" s="11" t="s">
        <v>44</v>
      </c>
      <c r="H170" s="11" t="s">
        <v>375</v>
      </c>
      <c r="I170" s="11" t="s">
        <v>24</v>
      </c>
      <c r="J170" s="11" t="s">
        <v>1097</v>
      </c>
      <c r="K170" s="11" t="s">
        <v>376</v>
      </c>
      <c r="L170" s="11" t="s">
        <v>82</v>
      </c>
      <c r="M170" s="11" t="s">
        <v>83</v>
      </c>
      <c r="N170" s="11" t="s">
        <v>39</v>
      </c>
      <c r="O170" s="11" t="s">
        <v>56</v>
      </c>
      <c r="P170" s="11" t="s">
        <v>382</v>
      </c>
      <c r="Q170" s="13">
        <v>32.064</v>
      </c>
      <c r="R170" s="11">
        <v>6</v>
      </c>
      <c r="S170" s="28">
        <v>0.2</v>
      </c>
      <c r="T170" s="13">
        <v>6.8136000000000001</v>
      </c>
    </row>
    <row r="171" spans="1:20" x14ac:dyDescent="0.3">
      <c r="A171" s="11">
        <v>170</v>
      </c>
      <c r="B171" s="10">
        <v>40794</v>
      </c>
      <c r="C171" s="11">
        <v>2011</v>
      </c>
      <c r="D171" s="12" t="s">
        <v>112</v>
      </c>
      <c r="E171" s="10">
        <v>40798</v>
      </c>
      <c r="F171" s="11">
        <f t="shared" si="2"/>
        <v>4</v>
      </c>
      <c r="G171" s="11" t="s">
        <v>44</v>
      </c>
      <c r="H171" s="11" t="s">
        <v>375</v>
      </c>
      <c r="I171" s="11" t="s">
        <v>24</v>
      </c>
      <c r="J171" s="11" t="s">
        <v>1097</v>
      </c>
      <c r="K171" s="11" t="s">
        <v>376</v>
      </c>
      <c r="L171" s="11" t="s">
        <v>82</v>
      </c>
      <c r="M171" s="11" t="s">
        <v>83</v>
      </c>
      <c r="N171" s="11" t="s">
        <v>39</v>
      </c>
      <c r="O171" s="11" t="s">
        <v>63</v>
      </c>
      <c r="P171" s="11" t="s">
        <v>383</v>
      </c>
      <c r="Q171" s="13">
        <v>177.98</v>
      </c>
      <c r="R171" s="11">
        <v>5</v>
      </c>
      <c r="S171" s="28">
        <v>0.8</v>
      </c>
      <c r="T171" s="13">
        <v>-453.84899999999999</v>
      </c>
    </row>
    <row r="172" spans="1:20" x14ac:dyDescent="0.3">
      <c r="A172" s="11">
        <v>171</v>
      </c>
      <c r="B172" s="10">
        <v>40794</v>
      </c>
      <c r="C172" s="11">
        <v>2011</v>
      </c>
      <c r="D172" s="12" t="s">
        <v>112</v>
      </c>
      <c r="E172" s="10">
        <v>40798</v>
      </c>
      <c r="F172" s="11">
        <f t="shared" si="2"/>
        <v>4</v>
      </c>
      <c r="G172" s="11" t="s">
        <v>44</v>
      </c>
      <c r="H172" s="11" t="s">
        <v>375</v>
      </c>
      <c r="I172" s="11" t="s">
        <v>24</v>
      </c>
      <c r="J172" s="11" t="s">
        <v>1097</v>
      </c>
      <c r="K172" s="11" t="s">
        <v>376</v>
      </c>
      <c r="L172" s="11" t="s">
        <v>82</v>
      </c>
      <c r="M172" s="11" t="s">
        <v>83</v>
      </c>
      <c r="N172" s="11" t="s">
        <v>58</v>
      </c>
      <c r="O172" s="11" t="s">
        <v>59</v>
      </c>
      <c r="P172" s="11" t="s">
        <v>384</v>
      </c>
      <c r="Q172" s="13">
        <v>143.976</v>
      </c>
      <c r="R172" s="11">
        <v>3</v>
      </c>
      <c r="S172" s="28">
        <v>0.2</v>
      </c>
      <c r="T172" s="13">
        <v>8.9984999999999999</v>
      </c>
    </row>
    <row r="173" spans="1:20" x14ac:dyDescent="0.3">
      <c r="A173" s="11">
        <v>172</v>
      </c>
      <c r="B173" s="10">
        <v>40760</v>
      </c>
      <c r="C173" s="11">
        <v>2011</v>
      </c>
      <c r="D173" s="12" t="s">
        <v>95</v>
      </c>
      <c r="E173" s="10">
        <v>40764</v>
      </c>
      <c r="F173" s="11">
        <f t="shared" si="2"/>
        <v>4</v>
      </c>
      <c r="G173" s="11" t="s">
        <v>44</v>
      </c>
      <c r="H173" s="11" t="s">
        <v>385</v>
      </c>
      <c r="I173" s="11" t="s">
        <v>24</v>
      </c>
      <c r="J173" s="11" t="s">
        <v>1097</v>
      </c>
      <c r="K173" s="11" t="s">
        <v>36</v>
      </c>
      <c r="L173" s="11" t="s">
        <v>37</v>
      </c>
      <c r="M173" s="11" t="s">
        <v>38</v>
      </c>
      <c r="N173" s="11" t="s">
        <v>39</v>
      </c>
      <c r="O173" s="11" t="s">
        <v>72</v>
      </c>
      <c r="P173" s="11" t="s">
        <v>386</v>
      </c>
      <c r="Q173" s="13">
        <v>20.94</v>
      </c>
      <c r="R173" s="11">
        <v>3</v>
      </c>
      <c r="S173" s="28">
        <v>0</v>
      </c>
      <c r="T173" s="13">
        <v>9.8417999999999992</v>
      </c>
    </row>
    <row r="174" spans="1:20" x14ac:dyDescent="0.3">
      <c r="A174" s="11">
        <v>173</v>
      </c>
      <c r="B174" s="10">
        <v>40760</v>
      </c>
      <c r="C174" s="11">
        <v>2011</v>
      </c>
      <c r="D174" s="12" t="s">
        <v>95</v>
      </c>
      <c r="E174" s="10">
        <v>40764</v>
      </c>
      <c r="F174" s="11">
        <f t="shared" si="2"/>
        <v>4</v>
      </c>
      <c r="G174" s="11" t="s">
        <v>44</v>
      </c>
      <c r="H174" s="11" t="s">
        <v>385</v>
      </c>
      <c r="I174" s="11" t="s">
        <v>24</v>
      </c>
      <c r="J174" s="11" t="s">
        <v>1097</v>
      </c>
      <c r="K174" s="11" t="s">
        <v>36</v>
      </c>
      <c r="L174" s="11" t="s">
        <v>37</v>
      </c>
      <c r="M174" s="11" t="s">
        <v>38</v>
      </c>
      <c r="N174" s="11" t="s">
        <v>39</v>
      </c>
      <c r="O174" s="11" t="s">
        <v>72</v>
      </c>
      <c r="P174" s="11" t="s">
        <v>387</v>
      </c>
      <c r="Q174" s="13">
        <v>110.96</v>
      </c>
      <c r="R174" s="11">
        <v>2</v>
      </c>
      <c r="S174" s="28">
        <v>0</v>
      </c>
      <c r="T174" s="13">
        <v>53.260800000000003</v>
      </c>
    </row>
    <row r="175" spans="1:20" x14ac:dyDescent="0.3">
      <c r="A175" s="11">
        <v>174</v>
      </c>
      <c r="B175" s="10">
        <v>40760</v>
      </c>
      <c r="C175" s="11">
        <v>2011</v>
      </c>
      <c r="D175" s="12" t="s">
        <v>95</v>
      </c>
      <c r="E175" s="10">
        <v>40764</v>
      </c>
      <c r="F175" s="11">
        <f t="shared" si="2"/>
        <v>4</v>
      </c>
      <c r="G175" s="11" t="s">
        <v>44</v>
      </c>
      <c r="H175" s="11" t="s">
        <v>385</v>
      </c>
      <c r="I175" s="11" t="s">
        <v>24</v>
      </c>
      <c r="J175" s="11" t="s">
        <v>1097</v>
      </c>
      <c r="K175" s="11" t="s">
        <v>36</v>
      </c>
      <c r="L175" s="11" t="s">
        <v>37</v>
      </c>
      <c r="M175" s="11" t="s">
        <v>38</v>
      </c>
      <c r="N175" s="11" t="s">
        <v>28</v>
      </c>
      <c r="O175" s="11" t="s">
        <v>31</v>
      </c>
      <c r="P175" s="11" t="s">
        <v>388</v>
      </c>
      <c r="Q175" s="13">
        <v>340.14400000000001</v>
      </c>
      <c r="R175" s="11">
        <v>7</v>
      </c>
      <c r="S175" s="28">
        <v>0.2</v>
      </c>
      <c r="T175" s="13">
        <v>21.259</v>
      </c>
    </row>
    <row r="176" spans="1:20" x14ac:dyDescent="0.3">
      <c r="A176" s="11">
        <v>175</v>
      </c>
      <c r="B176" s="10">
        <v>40800</v>
      </c>
      <c r="C176" s="11">
        <v>2011</v>
      </c>
      <c r="D176" s="12" t="s">
        <v>112</v>
      </c>
      <c r="E176" s="10">
        <v>40805</v>
      </c>
      <c r="F176" s="11">
        <f t="shared" si="2"/>
        <v>5</v>
      </c>
      <c r="G176" s="11" t="s">
        <v>44</v>
      </c>
      <c r="H176" s="11" t="s">
        <v>389</v>
      </c>
      <c r="I176" s="11" t="s">
        <v>35</v>
      </c>
      <c r="J176" s="11" t="s">
        <v>1097</v>
      </c>
      <c r="K176" s="11" t="s">
        <v>193</v>
      </c>
      <c r="L176" s="11" t="s">
        <v>144</v>
      </c>
      <c r="M176" s="11" t="s">
        <v>83</v>
      </c>
      <c r="N176" s="11" t="s">
        <v>39</v>
      </c>
      <c r="O176" s="11" t="s">
        <v>63</v>
      </c>
      <c r="P176" s="11" t="s">
        <v>390</v>
      </c>
      <c r="Q176" s="13">
        <v>52.448</v>
      </c>
      <c r="R176" s="11">
        <v>2</v>
      </c>
      <c r="S176" s="28">
        <v>0.8</v>
      </c>
      <c r="T176" s="13">
        <v>-131.12</v>
      </c>
    </row>
    <row r="177" spans="1:20" x14ac:dyDescent="0.3">
      <c r="A177" s="11">
        <v>176</v>
      </c>
      <c r="B177" s="10">
        <v>40800</v>
      </c>
      <c r="C177" s="11">
        <v>2011</v>
      </c>
      <c r="D177" s="12" t="s">
        <v>112</v>
      </c>
      <c r="E177" s="10">
        <v>40805</v>
      </c>
      <c r="F177" s="11">
        <f t="shared" si="2"/>
        <v>5</v>
      </c>
      <c r="G177" s="11" t="s">
        <v>44</v>
      </c>
      <c r="H177" s="11" t="s">
        <v>389</v>
      </c>
      <c r="I177" s="11" t="s">
        <v>35</v>
      </c>
      <c r="J177" s="11" t="s">
        <v>1097</v>
      </c>
      <c r="K177" s="11" t="s">
        <v>193</v>
      </c>
      <c r="L177" s="11" t="s">
        <v>144</v>
      </c>
      <c r="M177" s="11" t="s">
        <v>83</v>
      </c>
      <c r="N177" s="11" t="s">
        <v>39</v>
      </c>
      <c r="O177" s="11" t="s">
        <v>40</v>
      </c>
      <c r="P177" s="11" t="s">
        <v>391</v>
      </c>
      <c r="Q177" s="13">
        <v>20.16</v>
      </c>
      <c r="R177" s="11">
        <v>4</v>
      </c>
      <c r="S177" s="28">
        <v>0.2</v>
      </c>
      <c r="T177" s="13">
        <v>6.5519999999999996</v>
      </c>
    </row>
    <row r="178" spans="1:20" x14ac:dyDescent="0.3">
      <c r="A178" s="11">
        <v>177</v>
      </c>
      <c r="B178" s="10">
        <v>41751</v>
      </c>
      <c r="C178" s="11">
        <v>2014</v>
      </c>
      <c r="D178" s="12" t="s">
        <v>68</v>
      </c>
      <c r="E178" s="10">
        <v>41755</v>
      </c>
      <c r="F178" s="11">
        <f t="shared" si="2"/>
        <v>4</v>
      </c>
      <c r="G178" s="11" t="s">
        <v>22</v>
      </c>
      <c r="H178" s="11" t="s">
        <v>392</v>
      </c>
      <c r="I178" s="11" t="s">
        <v>24</v>
      </c>
      <c r="J178" s="11" t="s">
        <v>1097</v>
      </c>
      <c r="K178" s="11" t="s">
        <v>130</v>
      </c>
      <c r="L178" s="11" t="s">
        <v>82</v>
      </c>
      <c r="M178" s="11" t="s">
        <v>83</v>
      </c>
      <c r="N178" s="11" t="s">
        <v>39</v>
      </c>
      <c r="O178" s="11" t="s">
        <v>63</v>
      </c>
      <c r="P178" s="11" t="s">
        <v>393</v>
      </c>
      <c r="Q178" s="13">
        <v>97.263999999999996</v>
      </c>
      <c r="R178" s="11">
        <v>4</v>
      </c>
      <c r="S178" s="28">
        <v>0.8</v>
      </c>
      <c r="T178" s="13">
        <v>-243.16</v>
      </c>
    </row>
    <row r="179" spans="1:20" x14ac:dyDescent="0.3">
      <c r="A179" s="11">
        <v>178</v>
      </c>
      <c r="B179" s="10">
        <v>41234</v>
      </c>
      <c r="C179" s="11">
        <v>2012</v>
      </c>
      <c r="D179" s="12" t="s">
        <v>21</v>
      </c>
      <c r="E179" s="10">
        <v>41236</v>
      </c>
      <c r="F179" s="11">
        <f t="shared" si="2"/>
        <v>2</v>
      </c>
      <c r="G179" s="11" t="s">
        <v>22</v>
      </c>
      <c r="H179" s="11" t="s">
        <v>208</v>
      </c>
      <c r="I179" s="11" t="s">
        <v>24</v>
      </c>
      <c r="J179" s="11" t="s">
        <v>1097</v>
      </c>
      <c r="K179" s="11" t="s">
        <v>342</v>
      </c>
      <c r="L179" s="11" t="s">
        <v>289</v>
      </c>
      <c r="M179" s="11" t="s">
        <v>110</v>
      </c>
      <c r="N179" s="11" t="s">
        <v>28</v>
      </c>
      <c r="O179" s="11" t="s">
        <v>31</v>
      </c>
      <c r="P179" s="11" t="s">
        <v>394</v>
      </c>
      <c r="Q179" s="13">
        <v>396.80200000000002</v>
      </c>
      <c r="R179" s="11">
        <v>7</v>
      </c>
      <c r="S179" s="28">
        <v>0.3</v>
      </c>
      <c r="T179" s="13">
        <v>-11.337199999999999</v>
      </c>
    </row>
    <row r="180" spans="1:20" x14ac:dyDescent="0.3">
      <c r="A180" s="11">
        <v>179</v>
      </c>
      <c r="B180" s="10">
        <v>41234</v>
      </c>
      <c r="C180" s="11">
        <v>2012</v>
      </c>
      <c r="D180" s="12" t="s">
        <v>21</v>
      </c>
      <c r="E180" s="10">
        <v>41236</v>
      </c>
      <c r="F180" s="11">
        <f t="shared" si="2"/>
        <v>2</v>
      </c>
      <c r="G180" s="11" t="s">
        <v>22</v>
      </c>
      <c r="H180" s="11" t="s">
        <v>208</v>
      </c>
      <c r="I180" s="11" t="s">
        <v>24</v>
      </c>
      <c r="J180" s="11" t="s">
        <v>1097</v>
      </c>
      <c r="K180" s="11" t="s">
        <v>342</v>
      </c>
      <c r="L180" s="11" t="s">
        <v>289</v>
      </c>
      <c r="M180" s="11" t="s">
        <v>110</v>
      </c>
      <c r="N180" s="11" t="s">
        <v>39</v>
      </c>
      <c r="O180" s="11" t="s">
        <v>328</v>
      </c>
      <c r="P180" s="11" t="s">
        <v>395</v>
      </c>
      <c r="Q180" s="13">
        <v>15.88</v>
      </c>
      <c r="R180" s="11">
        <v>5</v>
      </c>
      <c r="S180" s="28">
        <v>0.2</v>
      </c>
      <c r="T180" s="13">
        <v>-3.7715000000000001</v>
      </c>
    </row>
    <row r="181" spans="1:20" x14ac:dyDescent="0.3">
      <c r="A181" s="11">
        <v>180</v>
      </c>
      <c r="B181" s="10">
        <v>41258</v>
      </c>
      <c r="C181" s="11">
        <v>2012</v>
      </c>
      <c r="D181" s="12" t="s">
        <v>74</v>
      </c>
      <c r="E181" s="10">
        <v>41262</v>
      </c>
      <c r="F181" s="11">
        <f t="shared" si="2"/>
        <v>4</v>
      </c>
      <c r="G181" s="11" t="s">
        <v>44</v>
      </c>
      <c r="H181" s="11" t="s">
        <v>396</v>
      </c>
      <c r="I181" s="11" t="s">
        <v>80</v>
      </c>
      <c r="J181" s="11" t="s">
        <v>1097</v>
      </c>
      <c r="K181" s="11" t="s">
        <v>174</v>
      </c>
      <c r="L181" s="11" t="s">
        <v>175</v>
      </c>
      <c r="M181" s="11" t="s">
        <v>110</v>
      </c>
      <c r="N181" s="11" t="s">
        <v>39</v>
      </c>
      <c r="O181" s="11" t="s">
        <v>56</v>
      </c>
      <c r="P181" s="11" t="s">
        <v>397</v>
      </c>
      <c r="Q181" s="13">
        <v>3.28</v>
      </c>
      <c r="R181" s="11">
        <v>1</v>
      </c>
      <c r="S181" s="28">
        <v>0</v>
      </c>
      <c r="T181" s="13">
        <v>1.4104000000000001</v>
      </c>
    </row>
    <row r="182" spans="1:20" x14ac:dyDescent="0.3">
      <c r="A182" s="11">
        <v>181</v>
      </c>
      <c r="B182" s="10">
        <v>40882</v>
      </c>
      <c r="C182" s="11">
        <v>2011</v>
      </c>
      <c r="D182" s="12" t="s">
        <v>74</v>
      </c>
      <c r="E182" s="10">
        <v>40886</v>
      </c>
      <c r="F182" s="11">
        <f t="shared" si="2"/>
        <v>4</v>
      </c>
      <c r="G182" s="11" t="s">
        <v>22</v>
      </c>
      <c r="H182" s="11" t="s">
        <v>398</v>
      </c>
      <c r="I182" s="11" t="s">
        <v>35</v>
      </c>
      <c r="J182" s="11" t="s">
        <v>1097</v>
      </c>
      <c r="K182" s="11" t="s">
        <v>220</v>
      </c>
      <c r="L182" s="11" t="s">
        <v>144</v>
      </c>
      <c r="M182" s="11" t="s">
        <v>83</v>
      </c>
      <c r="N182" s="11" t="s">
        <v>39</v>
      </c>
      <c r="O182" s="11" t="s">
        <v>50</v>
      </c>
      <c r="P182" s="11" t="s">
        <v>399</v>
      </c>
      <c r="Q182" s="13">
        <v>24.815999999999999</v>
      </c>
      <c r="R182" s="11">
        <v>2</v>
      </c>
      <c r="S182" s="28">
        <v>0.2</v>
      </c>
      <c r="T182" s="13">
        <v>1.8612</v>
      </c>
    </row>
    <row r="183" spans="1:20" x14ac:dyDescent="0.3">
      <c r="A183" s="11">
        <v>182</v>
      </c>
      <c r="B183" s="10">
        <v>40882</v>
      </c>
      <c r="C183" s="11">
        <v>2011</v>
      </c>
      <c r="D183" s="12" t="s">
        <v>74</v>
      </c>
      <c r="E183" s="10">
        <v>40886</v>
      </c>
      <c r="F183" s="11">
        <f t="shared" si="2"/>
        <v>4</v>
      </c>
      <c r="G183" s="11" t="s">
        <v>22</v>
      </c>
      <c r="H183" s="11" t="s">
        <v>398</v>
      </c>
      <c r="I183" s="11" t="s">
        <v>35</v>
      </c>
      <c r="J183" s="11" t="s">
        <v>1097</v>
      </c>
      <c r="K183" s="11" t="s">
        <v>220</v>
      </c>
      <c r="L183" s="11" t="s">
        <v>144</v>
      </c>
      <c r="M183" s="11" t="s">
        <v>83</v>
      </c>
      <c r="N183" s="11" t="s">
        <v>58</v>
      </c>
      <c r="O183" s="11" t="s">
        <v>118</v>
      </c>
      <c r="P183" s="11" t="s">
        <v>400</v>
      </c>
      <c r="Q183" s="13">
        <v>408.74400000000003</v>
      </c>
      <c r="R183" s="11">
        <v>7</v>
      </c>
      <c r="S183" s="28">
        <v>0.2</v>
      </c>
      <c r="T183" s="13">
        <v>76.639499999999998</v>
      </c>
    </row>
    <row r="184" spans="1:20" x14ac:dyDescent="0.3">
      <c r="A184" s="11">
        <v>183</v>
      </c>
      <c r="B184" s="10">
        <v>40866</v>
      </c>
      <c r="C184" s="11">
        <v>2011</v>
      </c>
      <c r="D184" s="12" t="s">
        <v>21</v>
      </c>
      <c r="E184" s="10">
        <v>40871</v>
      </c>
      <c r="F184" s="11">
        <f t="shared" si="2"/>
        <v>5</v>
      </c>
      <c r="G184" s="11" t="s">
        <v>22</v>
      </c>
      <c r="H184" s="11" t="s">
        <v>401</v>
      </c>
      <c r="I184" s="11" t="s">
        <v>80</v>
      </c>
      <c r="J184" s="11" t="s">
        <v>1097</v>
      </c>
      <c r="K184" s="11" t="s">
        <v>402</v>
      </c>
      <c r="L184" s="11" t="s">
        <v>403</v>
      </c>
      <c r="M184" s="11" t="s">
        <v>27</v>
      </c>
      <c r="N184" s="11" t="s">
        <v>58</v>
      </c>
      <c r="O184" s="11" t="s">
        <v>59</v>
      </c>
      <c r="P184" s="11" t="s">
        <v>404</v>
      </c>
      <c r="Q184" s="13">
        <v>503.96</v>
      </c>
      <c r="R184" s="11">
        <v>4</v>
      </c>
      <c r="S184" s="28">
        <v>0</v>
      </c>
      <c r="T184" s="13">
        <v>131.02959999999999</v>
      </c>
    </row>
    <row r="185" spans="1:20" x14ac:dyDescent="0.3">
      <c r="A185" s="11">
        <v>184</v>
      </c>
      <c r="B185" s="10">
        <v>40866</v>
      </c>
      <c r="C185" s="11">
        <v>2011</v>
      </c>
      <c r="D185" s="12" t="s">
        <v>21</v>
      </c>
      <c r="E185" s="10">
        <v>40871</v>
      </c>
      <c r="F185" s="11">
        <f t="shared" si="2"/>
        <v>5</v>
      </c>
      <c r="G185" s="11" t="s">
        <v>22</v>
      </c>
      <c r="H185" s="11" t="s">
        <v>401</v>
      </c>
      <c r="I185" s="11" t="s">
        <v>80</v>
      </c>
      <c r="J185" s="11" t="s">
        <v>1097</v>
      </c>
      <c r="K185" s="11" t="s">
        <v>402</v>
      </c>
      <c r="L185" s="11" t="s">
        <v>403</v>
      </c>
      <c r="M185" s="11" t="s">
        <v>27</v>
      </c>
      <c r="N185" s="11" t="s">
        <v>58</v>
      </c>
      <c r="O185" s="11" t="s">
        <v>59</v>
      </c>
      <c r="P185" s="11" t="s">
        <v>405</v>
      </c>
      <c r="Q185" s="13">
        <v>149.94999999999999</v>
      </c>
      <c r="R185" s="11">
        <v>5</v>
      </c>
      <c r="S185" s="28">
        <v>0</v>
      </c>
      <c r="T185" s="13">
        <v>41.985999999999997</v>
      </c>
    </row>
    <row r="186" spans="1:20" x14ac:dyDescent="0.3">
      <c r="A186" s="11">
        <v>185</v>
      </c>
      <c r="B186" s="10">
        <v>40866</v>
      </c>
      <c r="C186" s="11">
        <v>2011</v>
      </c>
      <c r="D186" s="12" t="s">
        <v>21</v>
      </c>
      <c r="E186" s="10">
        <v>40871</v>
      </c>
      <c r="F186" s="11">
        <f t="shared" si="2"/>
        <v>5</v>
      </c>
      <c r="G186" s="11" t="s">
        <v>22</v>
      </c>
      <c r="H186" s="11" t="s">
        <v>401</v>
      </c>
      <c r="I186" s="11" t="s">
        <v>80</v>
      </c>
      <c r="J186" s="11" t="s">
        <v>1097</v>
      </c>
      <c r="K186" s="11" t="s">
        <v>402</v>
      </c>
      <c r="L186" s="11" t="s">
        <v>403</v>
      </c>
      <c r="M186" s="11" t="s">
        <v>27</v>
      </c>
      <c r="N186" s="11" t="s">
        <v>58</v>
      </c>
      <c r="O186" s="11" t="s">
        <v>118</v>
      </c>
      <c r="P186" s="11" t="s">
        <v>406</v>
      </c>
      <c r="Q186" s="13">
        <v>29</v>
      </c>
      <c r="R186" s="11">
        <v>2</v>
      </c>
      <c r="S186" s="28">
        <v>0</v>
      </c>
      <c r="T186" s="13">
        <v>7.25</v>
      </c>
    </row>
    <row r="187" spans="1:20" x14ac:dyDescent="0.3">
      <c r="A187" s="11">
        <v>186</v>
      </c>
      <c r="B187" s="10">
        <v>41607</v>
      </c>
      <c r="C187" s="11">
        <v>2013</v>
      </c>
      <c r="D187" s="12" t="s">
        <v>21</v>
      </c>
      <c r="E187" s="10">
        <v>41611</v>
      </c>
      <c r="F187" s="11">
        <f t="shared" si="2"/>
        <v>4</v>
      </c>
      <c r="G187" s="11" t="s">
        <v>44</v>
      </c>
      <c r="H187" s="11" t="s">
        <v>407</v>
      </c>
      <c r="I187" s="11" t="s">
        <v>24</v>
      </c>
      <c r="J187" s="11" t="s">
        <v>1097</v>
      </c>
      <c r="K187" s="11" t="s">
        <v>408</v>
      </c>
      <c r="L187" s="11" t="s">
        <v>409</v>
      </c>
      <c r="M187" s="11" t="s">
        <v>110</v>
      </c>
      <c r="N187" s="11" t="s">
        <v>39</v>
      </c>
      <c r="O187" s="11" t="s">
        <v>61</v>
      </c>
      <c r="P187" s="11" t="s">
        <v>410</v>
      </c>
      <c r="Q187" s="13">
        <v>7.16</v>
      </c>
      <c r="R187" s="11">
        <v>2</v>
      </c>
      <c r="S187" s="28">
        <v>0</v>
      </c>
      <c r="T187" s="13">
        <v>3.4367999999999999</v>
      </c>
    </row>
    <row r="188" spans="1:20" x14ac:dyDescent="0.3">
      <c r="A188" s="11">
        <v>187</v>
      </c>
      <c r="B188" s="10">
        <v>40781</v>
      </c>
      <c r="C188" s="11">
        <v>2011</v>
      </c>
      <c r="D188" s="12" t="s">
        <v>95</v>
      </c>
      <c r="E188" s="10">
        <v>40785</v>
      </c>
      <c r="F188" s="11">
        <f t="shared" si="2"/>
        <v>4</v>
      </c>
      <c r="G188" s="11" t="s">
        <v>44</v>
      </c>
      <c r="H188" s="11" t="s">
        <v>411</v>
      </c>
      <c r="I188" s="11" t="s">
        <v>80</v>
      </c>
      <c r="J188" s="11" t="s">
        <v>1097</v>
      </c>
      <c r="K188" s="11" t="s">
        <v>36</v>
      </c>
      <c r="L188" s="11" t="s">
        <v>37</v>
      </c>
      <c r="M188" s="11" t="s">
        <v>38</v>
      </c>
      <c r="N188" s="11" t="s">
        <v>58</v>
      </c>
      <c r="O188" s="11" t="s">
        <v>118</v>
      </c>
      <c r="P188" s="11" t="s">
        <v>412</v>
      </c>
      <c r="Q188" s="13">
        <v>176.8</v>
      </c>
      <c r="R188" s="11">
        <v>8</v>
      </c>
      <c r="S188" s="28">
        <v>0</v>
      </c>
      <c r="T188" s="13">
        <v>22.984000000000002</v>
      </c>
    </row>
    <row r="189" spans="1:20" x14ac:dyDescent="0.3">
      <c r="A189" s="11">
        <v>188</v>
      </c>
      <c r="B189" s="10">
        <v>41472</v>
      </c>
      <c r="C189" s="11">
        <v>2013</v>
      </c>
      <c r="D189" s="12" t="s">
        <v>106</v>
      </c>
      <c r="E189" s="10">
        <v>41478</v>
      </c>
      <c r="F189" s="11">
        <f t="shared" si="2"/>
        <v>6</v>
      </c>
      <c r="G189" s="11" t="s">
        <v>44</v>
      </c>
      <c r="H189" s="11" t="s">
        <v>413</v>
      </c>
      <c r="I189" s="11" t="s">
        <v>35</v>
      </c>
      <c r="J189" s="11" t="s">
        <v>1097</v>
      </c>
      <c r="K189" s="11" t="s">
        <v>414</v>
      </c>
      <c r="L189" s="11" t="s">
        <v>82</v>
      </c>
      <c r="M189" s="11" t="s">
        <v>83</v>
      </c>
      <c r="N189" s="11" t="s">
        <v>39</v>
      </c>
      <c r="O189" s="11" t="s">
        <v>50</v>
      </c>
      <c r="P189" s="11" t="s">
        <v>415</v>
      </c>
      <c r="Q189" s="13">
        <v>37.223999999999997</v>
      </c>
      <c r="R189" s="11">
        <v>3</v>
      </c>
      <c r="S189" s="28">
        <v>0.2</v>
      </c>
      <c r="T189" s="13">
        <v>3.7223999999999999</v>
      </c>
    </row>
    <row r="190" spans="1:20" x14ac:dyDescent="0.3">
      <c r="A190" s="11">
        <v>189</v>
      </c>
      <c r="B190" s="10">
        <v>41472</v>
      </c>
      <c r="C190" s="11">
        <v>2013</v>
      </c>
      <c r="D190" s="12" t="s">
        <v>106</v>
      </c>
      <c r="E190" s="10">
        <v>41478</v>
      </c>
      <c r="F190" s="11">
        <f t="shared" si="2"/>
        <v>6</v>
      </c>
      <c r="G190" s="11" t="s">
        <v>44</v>
      </c>
      <c r="H190" s="11" t="s">
        <v>413</v>
      </c>
      <c r="I190" s="11" t="s">
        <v>35</v>
      </c>
      <c r="J190" s="11" t="s">
        <v>1097</v>
      </c>
      <c r="K190" s="11" t="s">
        <v>414</v>
      </c>
      <c r="L190" s="11" t="s">
        <v>82</v>
      </c>
      <c r="M190" s="11" t="s">
        <v>83</v>
      </c>
      <c r="N190" s="11" t="s">
        <v>39</v>
      </c>
      <c r="O190" s="11" t="s">
        <v>72</v>
      </c>
      <c r="P190" s="11" t="s">
        <v>355</v>
      </c>
      <c r="Q190" s="13">
        <v>20.015999999999998</v>
      </c>
      <c r="R190" s="11">
        <v>3</v>
      </c>
      <c r="S190" s="28">
        <v>0.2</v>
      </c>
      <c r="T190" s="13">
        <v>6.2549999999999999</v>
      </c>
    </row>
    <row r="191" spans="1:20" x14ac:dyDescent="0.3">
      <c r="A191" s="11">
        <v>190</v>
      </c>
      <c r="B191" s="10">
        <v>41194</v>
      </c>
      <c r="C191" s="11">
        <v>2012</v>
      </c>
      <c r="D191" s="12" t="s">
        <v>43</v>
      </c>
      <c r="E191" s="10">
        <v>41196</v>
      </c>
      <c r="F191" s="11">
        <f t="shared" si="2"/>
        <v>2</v>
      </c>
      <c r="G191" s="11" t="s">
        <v>132</v>
      </c>
      <c r="H191" s="11" t="s">
        <v>416</v>
      </c>
      <c r="I191" s="11" t="s">
        <v>80</v>
      </c>
      <c r="J191" s="11" t="s">
        <v>1097</v>
      </c>
      <c r="K191" s="11" t="s">
        <v>174</v>
      </c>
      <c r="L191" s="11" t="s">
        <v>175</v>
      </c>
      <c r="M191" s="11" t="s">
        <v>110</v>
      </c>
      <c r="N191" s="11" t="s">
        <v>28</v>
      </c>
      <c r="O191" s="11" t="s">
        <v>29</v>
      </c>
      <c r="P191" s="11" t="s">
        <v>417</v>
      </c>
      <c r="Q191" s="13">
        <v>899.13599999999997</v>
      </c>
      <c r="R191" s="11">
        <v>4</v>
      </c>
      <c r="S191" s="28">
        <v>0.2</v>
      </c>
      <c r="T191" s="13">
        <v>112.392</v>
      </c>
    </row>
    <row r="192" spans="1:20" x14ac:dyDescent="0.3">
      <c r="A192" s="11">
        <v>191</v>
      </c>
      <c r="B192" s="10">
        <v>41194</v>
      </c>
      <c r="C192" s="11">
        <v>2012</v>
      </c>
      <c r="D192" s="12" t="s">
        <v>43</v>
      </c>
      <c r="E192" s="10">
        <v>41196</v>
      </c>
      <c r="F192" s="11">
        <f t="shared" si="2"/>
        <v>2</v>
      </c>
      <c r="G192" s="11" t="s">
        <v>132</v>
      </c>
      <c r="H192" s="11" t="s">
        <v>416</v>
      </c>
      <c r="I192" s="11" t="s">
        <v>80</v>
      </c>
      <c r="J192" s="11" t="s">
        <v>1097</v>
      </c>
      <c r="K192" s="11" t="s">
        <v>174</v>
      </c>
      <c r="L192" s="11" t="s">
        <v>175</v>
      </c>
      <c r="M192" s="11" t="s">
        <v>110</v>
      </c>
      <c r="N192" s="11" t="s">
        <v>58</v>
      </c>
      <c r="O192" s="11" t="s">
        <v>59</v>
      </c>
      <c r="P192" s="11" t="s">
        <v>418</v>
      </c>
      <c r="Q192" s="13">
        <v>71.760000000000005</v>
      </c>
      <c r="R192" s="11">
        <v>6</v>
      </c>
      <c r="S192" s="28">
        <v>0</v>
      </c>
      <c r="T192" s="13">
        <v>20.0928</v>
      </c>
    </row>
    <row r="193" spans="1:20" x14ac:dyDescent="0.3">
      <c r="A193" s="11">
        <v>192</v>
      </c>
      <c r="B193" s="10">
        <v>41194</v>
      </c>
      <c r="C193" s="11">
        <v>2012</v>
      </c>
      <c r="D193" s="12" t="s">
        <v>43</v>
      </c>
      <c r="E193" s="10">
        <v>41196</v>
      </c>
      <c r="F193" s="11">
        <f t="shared" si="2"/>
        <v>2</v>
      </c>
      <c r="G193" s="11" t="s">
        <v>132</v>
      </c>
      <c r="H193" s="11" t="s">
        <v>416</v>
      </c>
      <c r="I193" s="11" t="s">
        <v>80</v>
      </c>
      <c r="J193" s="11" t="s">
        <v>1097</v>
      </c>
      <c r="K193" s="11" t="s">
        <v>174</v>
      </c>
      <c r="L193" s="11" t="s">
        <v>175</v>
      </c>
      <c r="M193" s="11" t="s">
        <v>110</v>
      </c>
      <c r="N193" s="11" t="s">
        <v>39</v>
      </c>
      <c r="O193" s="11" t="s">
        <v>72</v>
      </c>
      <c r="P193" s="11" t="s">
        <v>419</v>
      </c>
      <c r="Q193" s="13">
        <v>51.84</v>
      </c>
      <c r="R193" s="11">
        <v>8</v>
      </c>
      <c r="S193" s="28">
        <v>0</v>
      </c>
      <c r="T193" s="13">
        <v>24.883199999999999</v>
      </c>
    </row>
    <row r="194" spans="1:20" x14ac:dyDescent="0.3">
      <c r="A194" s="11">
        <v>193</v>
      </c>
      <c r="B194" s="10">
        <v>41194</v>
      </c>
      <c r="C194" s="11">
        <v>2012</v>
      </c>
      <c r="D194" s="12" t="s">
        <v>43</v>
      </c>
      <c r="E194" s="10">
        <v>41196</v>
      </c>
      <c r="F194" s="11">
        <f t="shared" ref="F194:F257" si="3">_xlfn.DAYS(E194,B194)</f>
        <v>2</v>
      </c>
      <c r="G194" s="11" t="s">
        <v>132</v>
      </c>
      <c r="H194" s="11" t="s">
        <v>416</v>
      </c>
      <c r="I194" s="11" t="s">
        <v>80</v>
      </c>
      <c r="J194" s="11" t="s">
        <v>1097</v>
      </c>
      <c r="K194" s="11" t="s">
        <v>174</v>
      </c>
      <c r="L194" s="11" t="s">
        <v>175</v>
      </c>
      <c r="M194" s="11" t="s">
        <v>110</v>
      </c>
      <c r="N194" s="11" t="s">
        <v>28</v>
      </c>
      <c r="O194" s="11" t="s">
        <v>29</v>
      </c>
      <c r="P194" s="11" t="s">
        <v>139</v>
      </c>
      <c r="Q194" s="13">
        <v>626.35199999999998</v>
      </c>
      <c r="R194" s="11">
        <v>3</v>
      </c>
      <c r="S194" s="28">
        <v>0.2</v>
      </c>
      <c r="T194" s="13">
        <v>46.976399999999998</v>
      </c>
    </row>
    <row r="195" spans="1:20" x14ac:dyDescent="0.3">
      <c r="A195" s="11">
        <v>194</v>
      </c>
      <c r="B195" s="10">
        <v>41194</v>
      </c>
      <c r="C195" s="11">
        <v>2012</v>
      </c>
      <c r="D195" s="12" t="s">
        <v>43</v>
      </c>
      <c r="E195" s="10">
        <v>41196</v>
      </c>
      <c r="F195" s="11">
        <f t="shared" si="3"/>
        <v>2</v>
      </c>
      <c r="G195" s="11" t="s">
        <v>132</v>
      </c>
      <c r="H195" s="11" t="s">
        <v>416</v>
      </c>
      <c r="I195" s="11" t="s">
        <v>80</v>
      </c>
      <c r="J195" s="11" t="s">
        <v>1097</v>
      </c>
      <c r="K195" s="11" t="s">
        <v>174</v>
      </c>
      <c r="L195" s="11" t="s">
        <v>175</v>
      </c>
      <c r="M195" s="11" t="s">
        <v>110</v>
      </c>
      <c r="N195" s="11" t="s">
        <v>39</v>
      </c>
      <c r="O195" s="11" t="s">
        <v>56</v>
      </c>
      <c r="P195" s="11" t="s">
        <v>420</v>
      </c>
      <c r="Q195" s="13">
        <v>19.899999999999999</v>
      </c>
      <c r="R195" s="11">
        <v>5</v>
      </c>
      <c r="S195" s="28">
        <v>0</v>
      </c>
      <c r="T195" s="13">
        <v>6.5670000000000002</v>
      </c>
    </row>
    <row r="196" spans="1:20" x14ac:dyDescent="0.3">
      <c r="A196" s="11">
        <v>195</v>
      </c>
      <c r="B196" s="10">
        <v>41213</v>
      </c>
      <c r="C196" s="11">
        <v>2012</v>
      </c>
      <c r="D196" s="12" t="s">
        <v>43</v>
      </c>
      <c r="E196" s="10">
        <v>41219</v>
      </c>
      <c r="F196" s="11">
        <f t="shared" si="3"/>
        <v>6</v>
      </c>
      <c r="G196" s="11" t="s">
        <v>44</v>
      </c>
      <c r="H196" s="11" t="s">
        <v>421</v>
      </c>
      <c r="I196" s="11" t="s">
        <v>35</v>
      </c>
      <c r="J196" s="11" t="s">
        <v>1097</v>
      </c>
      <c r="K196" s="11" t="s">
        <v>422</v>
      </c>
      <c r="L196" s="11" t="s">
        <v>37</v>
      </c>
      <c r="M196" s="11" t="s">
        <v>38</v>
      </c>
      <c r="N196" s="11" t="s">
        <v>39</v>
      </c>
      <c r="O196" s="11" t="s">
        <v>124</v>
      </c>
      <c r="P196" s="11" t="s">
        <v>125</v>
      </c>
      <c r="Q196" s="13">
        <v>14.28</v>
      </c>
      <c r="R196" s="11">
        <v>7</v>
      </c>
      <c r="S196" s="28">
        <v>0</v>
      </c>
      <c r="T196" s="13">
        <v>6.7115999999999998</v>
      </c>
    </row>
    <row r="197" spans="1:20" x14ac:dyDescent="0.3">
      <c r="A197" s="11">
        <v>196</v>
      </c>
      <c r="B197" s="10">
        <v>40623</v>
      </c>
      <c r="C197" s="11">
        <v>2011</v>
      </c>
      <c r="D197" s="12" t="s">
        <v>151</v>
      </c>
      <c r="E197" s="10">
        <v>40627</v>
      </c>
      <c r="F197" s="11">
        <f t="shared" si="3"/>
        <v>4</v>
      </c>
      <c r="G197" s="11" t="s">
        <v>44</v>
      </c>
      <c r="H197" s="11" t="s">
        <v>423</v>
      </c>
      <c r="I197" s="11" t="s">
        <v>24</v>
      </c>
      <c r="J197" s="11" t="s">
        <v>1097</v>
      </c>
      <c r="K197" s="11" t="s">
        <v>424</v>
      </c>
      <c r="L197" s="11" t="s">
        <v>289</v>
      </c>
      <c r="M197" s="11" t="s">
        <v>110</v>
      </c>
      <c r="N197" s="11" t="s">
        <v>39</v>
      </c>
      <c r="O197" s="11" t="s">
        <v>56</v>
      </c>
      <c r="P197" s="11" t="s">
        <v>425</v>
      </c>
      <c r="Q197" s="13">
        <v>7.4080000000000004</v>
      </c>
      <c r="R197" s="11">
        <v>2</v>
      </c>
      <c r="S197" s="28">
        <v>0.2</v>
      </c>
      <c r="T197" s="13">
        <v>1.2038</v>
      </c>
    </row>
    <row r="198" spans="1:20" x14ac:dyDescent="0.3">
      <c r="A198" s="11">
        <v>197</v>
      </c>
      <c r="B198" s="10">
        <v>40623</v>
      </c>
      <c r="C198" s="11">
        <v>2011</v>
      </c>
      <c r="D198" s="12" t="s">
        <v>151</v>
      </c>
      <c r="E198" s="10">
        <v>40627</v>
      </c>
      <c r="F198" s="11">
        <f t="shared" si="3"/>
        <v>4</v>
      </c>
      <c r="G198" s="11" t="s">
        <v>44</v>
      </c>
      <c r="H198" s="11" t="s">
        <v>423</v>
      </c>
      <c r="I198" s="11" t="s">
        <v>24</v>
      </c>
      <c r="J198" s="11" t="s">
        <v>1097</v>
      </c>
      <c r="K198" s="11" t="s">
        <v>424</v>
      </c>
      <c r="L198" s="11" t="s">
        <v>289</v>
      </c>
      <c r="M198" s="11" t="s">
        <v>110</v>
      </c>
      <c r="N198" s="11" t="s">
        <v>39</v>
      </c>
      <c r="O198" s="11" t="s">
        <v>56</v>
      </c>
      <c r="P198" s="11" t="s">
        <v>426</v>
      </c>
      <c r="Q198" s="13">
        <v>6.048</v>
      </c>
      <c r="R198" s="11">
        <v>3</v>
      </c>
      <c r="S198" s="28">
        <v>0.2</v>
      </c>
      <c r="T198" s="13">
        <v>1.5875999999999999</v>
      </c>
    </row>
    <row r="199" spans="1:20" x14ac:dyDescent="0.3">
      <c r="A199" s="11">
        <v>198</v>
      </c>
      <c r="B199" s="10">
        <v>41950</v>
      </c>
      <c r="C199" s="11">
        <v>2014</v>
      </c>
      <c r="D199" s="12" t="s">
        <v>21</v>
      </c>
      <c r="E199" s="10">
        <v>41957</v>
      </c>
      <c r="F199" s="11">
        <f t="shared" si="3"/>
        <v>7</v>
      </c>
      <c r="G199" s="11" t="s">
        <v>44</v>
      </c>
      <c r="H199" s="11" t="s">
        <v>427</v>
      </c>
      <c r="I199" s="11" t="s">
        <v>80</v>
      </c>
      <c r="J199" s="11" t="s">
        <v>1097</v>
      </c>
      <c r="K199" s="11" t="s">
        <v>428</v>
      </c>
      <c r="L199" s="11" t="s">
        <v>429</v>
      </c>
      <c r="M199" s="11" t="s">
        <v>110</v>
      </c>
      <c r="N199" s="11" t="s">
        <v>39</v>
      </c>
      <c r="O199" s="11" t="s">
        <v>50</v>
      </c>
      <c r="P199" s="11" t="s">
        <v>430</v>
      </c>
      <c r="Q199" s="13">
        <v>46.26</v>
      </c>
      <c r="R199" s="11">
        <v>3</v>
      </c>
      <c r="S199" s="28">
        <v>0</v>
      </c>
      <c r="T199" s="13">
        <v>12.0276</v>
      </c>
    </row>
    <row r="200" spans="1:20" x14ac:dyDescent="0.3">
      <c r="A200" s="11">
        <v>199</v>
      </c>
      <c r="B200" s="10">
        <v>41827</v>
      </c>
      <c r="C200" s="11">
        <v>2014</v>
      </c>
      <c r="D200" s="12" t="s">
        <v>106</v>
      </c>
      <c r="E200" s="10">
        <v>41834</v>
      </c>
      <c r="F200" s="11">
        <f t="shared" si="3"/>
        <v>7</v>
      </c>
      <c r="G200" s="11" t="s">
        <v>44</v>
      </c>
      <c r="H200" s="11" t="s">
        <v>431</v>
      </c>
      <c r="I200" s="11" t="s">
        <v>35</v>
      </c>
      <c r="J200" s="11" t="s">
        <v>1097</v>
      </c>
      <c r="K200" s="11" t="s">
        <v>108</v>
      </c>
      <c r="L200" s="11" t="s">
        <v>109</v>
      </c>
      <c r="M200" s="11" t="s">
        <v>110</v>
      </c>
      <c r="N200" s="11" t="s">
        <v>39</v>
      </c>
      <c r="O200" s="11" t="s">
        <v>61</v>
      </c>
      <c r="P200" s="11" t="s">
        <v>432</v>
      </c>
      <c r="Q200" s="13">
        <v>2.9460000000000002</v>
      </c>
      <c r="R200" s="11">
        <v>2</v>
      </c>
      <c r="S200" s="28">
        <v>0.7</v>
      </c>
      <c r="T200" s="13">
        <v>-2.2585999999999999</v>
      </c>
    </row>
    <row r="201" spans="1:20" x14ac:dyDescent="0.3">
      <c r="A201" s="11">
        <v>200</v>
      </c>
      <c r="B201" s="10">
        <v>41827</v>
      </c>
      <c r="C201" s="11">
        <v>2014</v>
      </c>
      <c r="D201" s="12" t="s">
        <v>106</v>
      </c>
      <c r="E201" s="10">
        <v>41834</v>
      </c>
      <c r="F201" s="11">
        <f t="shared" si="3"/>
        <v>7</v>
      </c>
      <c r="G201" s="11" t="s">
        <v>44</v>
      </c>
      <c r="H201" s="11" t="s">
        <v>431</v>
      </c>
      <c r="I201" s="11" t="s">
        <v>35</v>
      </c>
      <c r="J201" s="11" t="s">
        <v>1097</v>
      </c>
      <c r="K201" s="11" t="s">
        <v>108</v>
      </c>
      <c r="L201" s="11" t="s">
        <v>109</v>
      </c>
      <c r="M201" s="11" t="s">
        <v>110</v>
      </c>
      <c r="N201" s="11" t="s">
        <v>39</v>
      </c>
      <c r="O201" s="11" t="s">
        <v>72</v>
      </c>
      <c r="P201" s="11" t="s">
        <v>433</v>
      </c>
      <c r="Q201" s="13">
        <v>16.056000000000001</v>
      </c>
      <c r="R201" s="11">
        <v>3</v>
      </c>
      <c r="S201" s="28">
        <v>0.2</v>
      </c>
      <c r="T201" s="13">
        <v>5.8202999999999996</v>
      </c>
    </row>
    <row r="202" spans="1:20" x14ac:dyDescent="0.3">
      <c r="A202" s="11">
        <v>201</v>
      </c>
      <c r="B202" s="10">
        <v>41815</v>
      </c>
      <c r="C202" s="11">
        <v>2014</v>
      </c>
      <c r="D202" s="12" t="s">
        <v>33</v>
      </c>
      <c r="E202" s="10">
        <v>41820</v>
      </c>
      <c r="F202" s="11">
        <f t="shared" si="3"/>
        <v>5</v>
      </c>
      <c r="G202" s="11" t="s">
        <v>44</v>
      </c>
      <c r="H202" s="11" t="s">
        <v>434</v>
      </c>
      <c r="I202" s="11" t="s">
        <v>24</v>
      </c>
      <c r="J202" s="11" t="s">
        <v>1097</v>
      </c>
      <c r="K202" s="11" t="s">
        <v>435</v>
      </c>
      <c r="L202" s="11" t="s">
        <v>289</v>
      </c>
      <c r="M202" s="11" t="s">
        <v>110</v>
      </c>
      <c r="N202" s="11" t="s">
        <v>39</v>
      </c>
      <c r="O202" s="11" t="s">
        <v>72</v>
      </c>
      <c r="P202" s="11" t="s">
        <v>436</v>
      </c>
      <c r="Q202" s="13">
        <v>21.744</v>
      </c>
      <c r="R202" s="11">
        <v>3</v>
      </c>
      <c r="S202" s="28">
        <v>0.2</v>
      </c>
      <c r="T202" s="13">
        <v>6.7949999999999999</v>
      </c>
    </row>
    <row r="203" spans="1:20" x14ac:dyDescent="0.3">
      <c r="A203" s="11">
        <v>202</v>
      </c>
      <c r="B203" s="10">
        <v>40758</v>
      </c>
      <c r="C203" s="11">
        <v>2011</v>
      </c>
      <c r="D203" s="12" t="s">
        <v>95</v>
      </c>
      <c r="E203" s="10">
        <v>40760</v>
      </c>
      <c r="F203" s="11">
        <f t="shared" si="3"/>
        <v>2</v>
      </c>
      <c r="G203" s="11" t="s">
        <v>132</v>
      </c>
      <c r="H203" s="11" t="s">
        <v>437</v>
      </c>
      <c r="I203" s="11" t="s">
        <v>24</v>
      </c>
      <c r="J203" s="11" t="s">
        <v>1097</v>
      </c>
      <c r="K203" s="11" t="s">
        <v>438</v>
      </c>
      <c r="L203" s="11" t="s">
        <v>268</v>
      </c>
      <c r="M203" s="11" t="s">
        <v>38</v>
      </c>
      <c r="N203" s="11" t="s">
        <v>28</v>
      </c>
      <c r="O203" s="11" t="s">
        <v>48</v>
      </c>
      <c r="P203" s="11" t="s">
        <v>439</v>
      </c>
      <c r="Q203" s="13">
        <v>218.75</v>
      </c>
      <c r="R203" s="11">
        <v>2</v>
      </c>
      <c r="S203" s="28">
        <v>0.5</v>
      </c>
      <c r="T203" s="13">
        <v>-161.875</v>
      </c>
    </row>
    <row r="204" spans="1:20" x14ac:dyDescent="0.3">
      <c r="A204" s="11">
        <v>203</v>
      </c>
      <c r="B204" s="10">
        <v>40758</v>
      </c>
      <c r="C204" s="11">
        <v>2011</v>
      </c>
      <c r="D204" s="12" t="s">
        <v>95</v>
      </c>
      <c r="E204" s="10">
        <v>40760</v>
      </c>
      <c r="F204" s="11">
        <f t="shared" si="3"/>
        <v>2</v>
      </c>
      <c r="G204" s="11" t="s">
        <v>132</v>
      </c>
      <c r="H204" s="11" t="s">
        <v>437</v>
      </c>
      <c r="I204" s="11" t="s">
        <v>24</v>
      </c>
      <c r="J204" s="11" t="s">
        <v>1097</v>
      </c>
      <c r="K204" s="11" t="s">
        <v>438</v>
      </c>
      <c r="L204" s="11" t="s">
        <v>268</v>
      </c>
      <c r="M204" s="11" t="s">
        <v>38</v>
      </c>
      <c r="N204" s="11" t="s">
        <v>39</v>
      </c>
      <c r="O204" s="11" t="s">
        <v>63</v>
      </c>
      <c r="P204" s="11" t="s">
        <v>440</v>
      </c>
      <c r="Q204" s="13">
        <v>2.6</v>
      </c>
      <c r="R204" s="11">
        <v>1</v>
      </c>
      <c r="S204" s="28">
        <v>0.2</v>
      </c>
      <c r="T204" s="13">
        <v>0.29249999999999998</v>
      </c>
    </row>
    <row r="205" spans="1:20" x14ac:dyDescent="0.3">
      <c r="A205" s="11">
        <v>204</v>
      </c>
      <c r="B205" s="10">
        <v>41991</v>
      </c>
      <c r="C205" s="11">
        <v>2014</v>
      </c>
      <c r="D205" s="12" t="s">
        <v>74</v>
      </c>
      <c r="E205" s="10">
        <v>41995</v>
      </c>
      <c r="F205" s="11">
        <f t="shared" si="3"/>
        <v>4</v>
      </c>
      <c r="G205" s="11" t="s">
        <v>22</v>
      </c>
      <c r="H205" s="11" t="s">
        <v>441</v>
      </c>
      <c r="I205" s="11" t="s">
        <v>24</v>
      </c>
      <c r="J205" s="11" t="s">
        <v>1097</v>
      </c>
      <c r="K205" s="11" t="s">
        <v>442</v>
      </c>
      <c r="L205" s="11" t="s">
        <v>82</v>
      </c>
      <c r="M205" s="11" t="s">
        <v>83</v>
      </c>
      <c r="N205" s="11" t="s">
        <v>39</v>
      </c>
      <c r="O205" s="11" t="s">
        <v>63</v>
      </c>
      <c r="P205" s="11" t="s">
        <v>443</v>
      </c>
      <c r="Q205" s="13">
        <v>66.284000000000006</v>
      </c>
      <c r="R205" s="11">
        <v>2</v>
      </c>
      <c r="S205" s="28">
        <v>0.8</v>
      </c>
      <c r="T205" s="13">
        <v>-178.96680000000001</v>
      </c>
    </row>
    <row r="206" spans="1:20" x14ac:dyDescent="0.3">
      <c r="A206" s="11">
        <v>205</v>
      </c>
      <c r="B206" s="10">
        <v>41794</v>
      </c>
      <c r="C206" s="11">
        <v>2014</v>
      </c>
      <c r="D206" s="12" t="s">
        <v>33</v>
      </c>
      <c r="E206" s="10">
        <v>41798</v>
      </c>
      <c r="F206" s="11">
        <f t="shared" si="3"/>
        <v>4</v>
      </c>
      <c r="G206" s="11" t="s">
        <v>44</v>
      </c>
      <c r="H206" s="11" t="s">
        <v>444</v>
      </c>
      <c r="I206" s="11" t="s">
        <v>35</v>
      </c>
      <c r="J206" s="11" t="s">
        <v>1097</v>
      </c>
      <c r="K206" s="11" t="s">
        <v>345</v>
      </c>
      <c r="L206" s="11" t="s">
        <v>210</v>
      </c>
      <c r="M206" s="11" t="s">
        <v>27</v>
      </c>
      <c r="N206" s="11" t="s">
        <v>28</v>
      </c>
      <c r="O206" s="11" t="s">
        <v>54</v>
      </c>
      <c r="P206" s="11" t="s">
        <v>445</v>
      </c>
      <c r="Q206" s="13">
        <v>35.167999999999999</v>
      </c>
      <c r="R206" s="11">
        <v>7</v>
      </c>
      <c r="S206" s="28">
        <v>0.2</v>
      </c>
      <c r="T206" s="13">
        <v>9.6712000000000007</v>
      </c>
    </row>
    <row r="207" spans="1:20" x14ac:dyDescent="0.3">
      <c r="A207" s="11">
        <v>206</v>
      </c>
      <c r="B207" s="10">
        <v>41983</v>
      </c>
      <c r="C207" s="11">
        <v>2014</v>
      </c>
      <c r="D207" s="12" t="s">
        <v>74</v>
      </c>
      <c r="E207" s="10">
        <v>41988</v>
      </c>
      <c r="F207" s="11">
        <f t="shared" si="3"/>
        <v>5</v>
      </c>
      <c r="G207" s="11" t="s">
        <v>44</v>
      </c>
      <c r="H207" s="11" t="s">
        <v>446</v>
      </c>
      <c r="I207" s="11" t="s">
        <v>24</v>
      </c>
      <c r="J207" s="11" t="s">
        <v>1097</v>
      </c>
      <c r="K207" s="11" t="s">
        <v>447</v>
      </c>
      <c r="L207" s="11" t="s">
        <v>37</v>
      </c>
      <c r="M207" s="11" t="s">
        <v>38</v>
      </c>
      <c r="N207" s="11" t="s">
        <v>58</v>
      </c>
      <c r="O207" s="11" t="s">
        <v>59</v>
      </c>
      <c r="P207" s="11" t="s">
        <v>448</v>
      </c>
      <c r="Q207" s="13">
        <v>444.76799999999997</v>
      </c>
      <c r="R207" s="11">
        <v>4</v>
      </c>
      <c r="S207" s="28">
        <v>0.2</v>
      </c>
      <c r="T207" s="13">
        <v>44.476799999999997</v>
      </c>
    </row>
    <row r="208" spans="1:20" x14ac:dyDescent="0.3">
      <c r="A208" s="11">
        <v>207</v>
      </c>
      <c r="B208" s="10">
        <v>41975</v>
      </c>
      <c r="C208" s="11">
        <v>2014</v>
      </c>
      <c r="D208" s="12" t="s">
        <v>74</v>
      </c>
      <c r="E208" s="10">
        <v>41981</v>
      </c>
      <c r="F208" s="11">
        <f t="shared" si="3"/>
        <v>6</v>
      </c>
      <c r="G208" s="11" t="s">
        <v>44</v>
      </c>
      <c r="H208" s="11" t="s">
        <v>449</v>
      </c>
      <c r="I208" s="11" t="s">
        <v>24</v>
      </c>
      <c r="J208" s="11" t="s">
        <v>1097</v>
      </c>
      <c r="K208" s="11" t="s">
        <v>450</v>
      </c>
      <c r="L208" s="11" t="s">
        <v>159</v>
      </c>
      <c r="M208" s="11" t="s">
        <v>83</v>
      </c>
      <c r="N208" s="11" t="s">
        <v>39</v>
      </c>
      <c r="O208" s="11" t="s">
        <v>50</v>
      </c>
      <c r="P208" s="11" t="s">
        <v>451</v>
      </c>
      <c r="Q208" s="13">
        <v>83.92</v>
      </c>
      <c r="R208" s="11">
        <v>4</v>
      </c>
      <c r="S208" s="28">
        <v>0</v>
      </c>
      <c r="T208" s="13">
        <v>5.8743999999999996</v>
      </c>
    </row>
    <row r="209" spans="1:20" x14ac:dyDescent="0.3">
      <c r="A209" s="11">
        <v>208</v>
      </c>
      <c r="B209" s="10">
        <v>41975</v>
      </c>
      <c r="C209" s="11">
        <v>2014</v>
      </c>
      <c r="D209" s="12" t="s">
        <v>74</v>
      </c>
      <c r="E209" s="10">
        <v>41981</v>
      </c>
      <c r="F209" s="11">
        <f t="shared" si="3"/>
        <v>6</v>
      </c>
      <c r="G209" s="11" t="s">
        <v>44</v>
      </c>
      <c r="H209" s="11" t="s">
        <v>449</v>
      </c>
      <c r="I209" s="11" t="s">
        <v>24</v>
      </c>
      <c r="J209" s="11" t="s">
        <v>1097</v>
      </c>
      <c r="K209" s="11" t="s">
        <v>450</v>
      </c>
      <c r="L209" s="11" t="s">
        <v>159</v>
      </c>
      <c r="M209" s="11" t="s">
        <v>83</v>
      </c>
      <c r="N209" s="11" t="s">
        <v>58</v>
      </c>
      <c r="O209" s="11" t="s">
        <v>59</v>
      </c>
      <c r="P209" s="11" t="s">
        <v>452</v>
      </c>
      <c r="Q209" s="13">
        <v>131.97999999999999</v>
      </c>
      <c r="R209" s="11">
        <v>2</v>
      </c>
      <c r="S209" s="28">
        <v>0</v>
      </c>
      <c r="T209" s="13">
        <v>35.634599999999999</v>
      </c>
    </row>
    <row r="210" spans="1:20" x14ac:dyDescent="0.3">
      <c r="A210" s="11">
        <v>209</v>
      </c>
      <c r="B210" s="10">
        <v>41975</v>
      </c>
      <c r="C210" s="11">
        <v>2014</v>
      </c>
      <c r="D210" s="12" t="s">
        <v>74</v>
      </c>
      <c r="E210" s="10">
        <v>41981</v>
      </c>
      <c r="F210" s="11">
        <f t="shared" si="3"/>
        <v>6</v>
      </c>
      <c r="G210" s="11" t="s">
        <v>44</v>
      </c>
      <c r="H210" s="11" t="s">
        <v>449</v>
      </c>
      <c r="I210" s="11" t="s">
        <v>24</v>
      </c>
      <c r="J210" s="11" t="s">
        <v>1097</v>
      </c>
      <c r="K210" s="11" t="s">
        <v>450</v>
      </c>
      <c r="L210" s="11" t="s">
        <v>159</v>
      </c>
      <c r="M210" s="11" t="s">
        <v>83</v>
      </c>
      <c r="N210" s="11" t="s">
        <v>39</v>
      </c>
      <c r="O210" s="11" t="s">
        <v>61</v>
      </c>
      <c r="P210" s="11" t="s">
        <v>312</v>
      </c>
      <c r="Q210" s="13">
        <v>15.92</v>
      </c>
      <c r="R210" s="11">
        <v>4</v>
      </c>
      <c r="S210" s="28">
        <v>0</v>
      </c>
      <c r="T210" s="13">
        <v>7.4824000000000002</v>
      </c>
    </row>
    <row r="211" spans="1:20" x14ac:dyDescent="0.3">
      <c r="A211" s="11">
        <v>210</v>
      </c>
      <c r="B211" s="10">
        <v>41975</v>
      </c>
      <c r="C211" s="11">
        <v>2014</v>
      </c>
      <c r="D211" s="12" t="s">
        <v>74</v>
      </c>
      <c r="E211" s="10">
        <v>41981</v>
      </c>
      <c r="F211" s="11">
        <f t="shared" si="3"/>
        <v>6</v>
      </c>
      <c r="G211" s="11" t="s">
        <v>44</v>
      </c>
      <c r="H211" s="11" t="s">
        <v>449</v>
      </c>
      <c r="I211" s="11" t="s">
        <v>24</v>
      </c>
      <c r="J211" s="11" t="s">
        <v>1097</v>
      </c>
      <c r="K211" s="11" t="s">
        <v>450</v>
      </c>
      <c r="L211" s="11" t="s">
        <v>159</v>
      </c>
      <c r="M211" s="11" t="s">
        <v>83</v>
      </c>
      <c r="N211" s="11" t="s">
        <v>39</v>
      </c>
      <c r="O211" s="11" t="s">
        <v>176</v>
      </c>
      <c r="P211" s="11" t="s">
        <v>453</v>
      </c>
      <c r="Q211" s="13">
        <v>52.29</v>
      </c>
      <c r="R211" s="11">
        <v>9</v>
      </c>
      <c r="S211" s="28">
        <v>0</v>
      </c>
      <c r="T211" s="13">
        <v>16.209900000000001</v>
      </c>
    </row>
    <row r="212" spans="1:20" x14ac:dyDescent="0.3">
      <c r="A212" s="11">
        <v>211</v>
      </c>
      <c r="B212" s="10">
        <v>41975</v>
      </c>
      <c r="C212" s="11">
        <v>2014</v>
      </c>
      <c r="D212" s="12" t="s">
        <v>74</v>
      </c>
      <c r="E212" s="10">
        <v>41981</v>
      </c>
      <c r="F212" s="11">
        <f t="shared" si="3"/>
        <v>6</v>
      </c>
      <c r="G212" s="11" t="s">
        <v>44</v>
      </c>
      <c r="H212" s="11" t="s">
        <v>449</v>
      </c>
      <c r="I212" s="11" t="s">
        <v>24</v>
      </c>
      <c r="J212" s="11" t="s">
        <v>1097</v>
      </c>
      <c r="K212" s="11" t="s">
        <v>450</v>
      </c>
      <c r="L212" s="11" t="s">
        <v>159</v>
      </c>
      <c r="M212" s="11" t="s">
        <v>83</v>
      </c>
      <c r="N212" s="11" t="s">
        <v>39</v>
      </c>
      <c r="O212" s="11" t="s">
        <v>50</v>
      </c>
      <c r="P212" s="11" t="s">
        <v>454</v>
      </c>
      <c r="Q212" s="13">
        <v>91.99</v>
      </c>
      <c r="R212" s="11">
        <v>1</v>
      </c>
      <c r="S212" s="28">
        <v>0</v>
      </c>
      <c r="T212" s="13">
        <v>3.6796000000000002</v>
      </c>
    </row>
    <row r="213" spans="1:20" x14ac:dyDescent="0.3">
      <c r="A213" s="11">
        <v>212</v>
      </c>
      <c r="B213" s="10">
        <v>40948</v>
      </c>
      <c r="C213" s="11">
        <v>2012</v>
      </c>
      <c r="D213" s="12" t="s">
        <v>317</v>
      </c>
      <c r="E213" s="10">
        <v>40952</v>
      </c>
      <c r="F213" s="11">
        <f t="shared" si="3"/>
        <v>4</v>
      </c>
      <c r="G213" s="11" t="s">
        <v>22</v>
      </c>
      <c r="H213" s="11" t="s">
        <v>455</v>
      </c>
      <c r="I213" s="11" t="s">
        <v>35</v>
      </c>
      <c r="J213" s="11" t="s">
        <v>1097</v>
      </c>
      <c r="K213" s="11" t="s">
        <v>442</v>
      </c>
      <c r="L213" s="11" t="s">
        <v>82</v>
      </c>
      <c r="M213" s="11" t="s">
        <v>83</v>
      </c>
      <c r="N213" s="11" t="s">
        <v>58</v>
      </c>
      <c r="O213" s="11" t="s">
        <v>118</v>
      </c>
      <c r="P213" s="11" t="s">
        <v>456</v>
      </c>
      <c r="Q213" s="13">
        <v>20.8</v>
      </c>
      <c r="R213" s="11">
        <v>2</v>
      </c>
      <c r="S213" s="28">
        <v>0.2</v>
      </c>
      <c r="T213" s="13">
        <v>6.5</v>
      </c>
    </row>
    <row r="214" spans="1:20" x14ac:dyDescent="0.3">
      <c r="A214" s="11">
        <v>213</v>
      </c>
      <c r="B214" s="10">
        <v>40910</v>
      </c>
      <c r="C214" s="11">
        <v>2012</v>
      </c>
      <c r="D214" s="12" t="s">
        <v>115</v>
      </c>
      <c r="E214" s="10">
        <v>40917</v>
      </c>
      <c r="F214" s="11">
        <f t="shared" si="3"/>
        <v>7</v>
      </c>
      <c r="G214" s="11" t="s">
        <v>44</v>
      </c>
      <c r="H214" s="11" t="s">
        <v>457</v>
      </c>
      <c r="I214" s="11" t="s">
        <v>35</v>
      </c>
      <c r="J214" s="11" t="s">
        <v>1097</v>
      </c>
      <c r="K214" s="11" t="s">
        <v>458</v>
      </c>
      <c r="L214" s="11" t="s">
        <v>289</v>
      </c>
      <c r="M214" s="11" t="s">
        <v>110</v>
      </c>
      <c r="N214" s="11" t="s">
        <v>39</v>
      </c>
      <c r="O214" s="11" t="s">
        <v>40</v>
      </c>
      <c r="P214" s="11" t="s">
        <v>459</v>
      </c>
      <c r="Q214" s="13">
        <v>23.68</v>
      </c>
      <c r="R214" s="11">
        <v>2</v>
      </c>
      <c r="S214" s="28">
        <v>0.2</v>
      </c>
      <c r="T214" s="13">
        <v>8.8800000000000008</v>
      </c>
    </row>
    <row r="215" spans="1:20" x14ac:dyDescent="0.3">
      <c r="A215" s="11">
        <v>214</v>
      </c>
      <c r="B215" s="10">
        <v>40910</v>
      </c>
      <c r="C215" s="11">
        <v>2012</v>
      </c>
      <c r="D215" s="12" t="s">
        <v>115</v>
      </c>
      <c r="E215" s="10">
        <v>40917</v>
      </c>
      <c r="F215" s="11">
        <f t="shared" si="3"/>
        <v>7</v>
      </c>
      <c r="G215" s="11" t="s">
        <v>44</v>
      </c>
      <c r="H215" s="11" t="s">
        <v>457</v>
      </c>
      <c r="I215" s="11" t="s">
        <v>35</v>
      </c>
      <c r="J215" s="11" t="s">
        <v>1097</v>
      </c>
      <c r="K215" s="11" t="s">
        <v>458</v>
      </c>
      <c r="L215" s="11" t="s">
        <v>289</v>
      </c>
      <c r="M215" s="11" t="s">
        <v>110</v>
      </c>
      <c r="N215" s="11" t="s">
        <v>28</v>
      </c>
      <c r="O215" s="11" t="s">
        <v>29</v>
      </c>
      <c r="P215" s="11" t="s">
        <v>460</v>
      </c>
      <c r="Q215" s="13">
        <v>452.45</v>
      </c>
      <c r="R215" s="11">
        <v>5</v>
      </c>
      <c r="S215" s="28">
        <v>0.5</v>
      </c>
      <c r="T215" s="13">
        <v>-244.32300000000001</v>
      </c>
    </row>
    <row r="216" spans="1:20" x14ac:dyDescent="0.3">
      <c r="A216" s="11">
        <v>215</v>
      </c>
      <c r="B216" s="10">
        <v>40910</v>
      </c>
      <c r="C216" s="11">
        <v>2012</v>
      </c>
      <c r="D216" s="12" t="s">
        <v>115</v>
      </c>
      <c r="E216" s="10">
        <v>40917</v>
      </c>
      <c r="F216" s="11">
        <f t="shared" si="3"/>
        <v>7</v>
      </c>
      <c r="G216" s="11" t="s">
        <v>44</v>
      </c>
      <c r="H216" s="11" t="s">
        <v>457</v>
      </c>
      <c r="I216" s="11" t="s">
        <v>35</v>
      </c>
      <c r="J216" s="11" t="s">
        <v>1097</v>
      </c>
      <c r="K216" s="11" t="s">
        <v>458</v>
      </c>
      <c r="L216" s="11" t="s">
        <v>289</v>
      </c>
      <c r="M216" s="11" t="s">
        <v>110</v>
      </c>
      <c r="N216" s="11" t="s">
        <v>58</v>
      </c>
      <c r="O216" s="11" t="s">
        <v>59</v>
      </c>
      <c r="P216" s="11" t="s">
        <v>275</v>
      </c>
      <c r="Q216" s="13">
        <v>62.981999999999999</v>
      </c>
      <c r="R216" s="11">
        <v>3</v>
      </c>
      <c r="S216" s="28">
        <v>0.4</v>
      </c>
      <c r="T216" s="13">
        <v>-14.6958</v>
      </c>
    </row>
    <row r="217" spans="1:20" x14ac:dyDescent="0.3">
      <c r="A217" s="11">
        <v>216</v>
      </c>
      <c r="B217" s="10">
        <v>40910</v>
      </c>
      <c r="C217" s="11">
        <v>2012</v>
      </c>
      <c r="D217" s="12" t="s">
        <v>115</v>
      </c>
      <c r="E217" s="10">
        <v>40917</v>
      </c>
      <c r="F217" s="11">
        <f t="shared" si="3"/>
        <v>7</v>
      </c>
      <c r="G217" s="11" t="s">
        <v>44</v>
      </c>
      <c r="H217" s="11" t="s">
        <v>457</v>
      </c>
      <c r="I217" s="11" t="s">
        <v>35</v>
      </c>
      <c r="J217" s="11" t="s">
        <v>1097</v>
      </c>
      <c r="K217" s="11" t="s">
        <v>458</v>
      </c>
      <c r="L217" s="11" t="s">
        <v>289</v>
      </c>
      <c r="M217" s="11" t="s">
        <v>110</v>
      </c>
      <c r="N217" s="11" t="s">
        <v>58</v>
      </c>
      <c r="O217" s="11" t="s">
        <v>378</v>
      </c>
      <c r="P217" s="11" t="s">
        <v>461</v>
      </c>
      <c r="Q217" s="13">
        <v>1188</v>
      </c>
      <c r="R217" s="11">
        <v>9</v>
      </c>
      <c r="S217" s="28">
        <v>0.7</v>
      </c>
      <c r="T217" s="13">
        <v>-950.4</v>
      </c>
    </row>
    <row r="218" spans="1:20" x14ac:dyDescent="0.3">
      <c r="A218" s="11">
        <v>217</v>
      </c>
      <c r="B218" s="10">
        <v>40910</v>
      </c>
      <c r="C218" s="11">
        <v>2012</v>
      </c>
      <c r="D218" s="12" t="s">
        <v>115</v>
      </c>
      <c r="E218" s="10">
        <v>40917</v>
      </c>
      <c r="F218" s="11">
        <f t="shared" si="3"/>
        <v>7</v>
      </c>
      <c r="G218" s="11" t="s">
        <v>44</v>
      </c>
      <c r="H218" s="11" t="s">
        <v>457</v>
      </c>
      <c r="I218" s="11" t="s">
        <v>35</v>
      </c>
      <c r="J218" s="11" t="s">
        <v>1097</v>
      </c>
      <c r="K218" s="11" t="s">
        <v>458</v>
      </c>
      <c r="L218" s="11" t="s">
        <v>289</v>
      </c>
      <c r="M218" s="11" t="s">
        <v>110</v>
      </c>
      <c r="N218" s="11" t="s">
        <v>58</v>
      </c>
      <c r="O218" s="11" t="s">
        <v>118</v>
      </c>
      <c r="P218" s="11" t="s">
        <v>462</v>
      </c>
      <c r="Q218" s="13">
        <v>89.584000000000003</v>
      </c>
      <c r="R218" s="11">
        <v>2</v>
      </c>
      <c r="S218" s="28">
        <v>0.2</v>
      </c>
      <c r="T218" s="13">
        <v>4.4791999999999996</v>
      </c>
    </row>
    <row r="219" spans="1:20" x14ac:dyDescent="0.3">
      <c r="A219" s="11">
        <v>218</v>
      </c>
      <c r="B219" s="10">
        <v>41576</v>
      </c>
      <c r="C219" s="11">
        <v>2013</v>
      </c>
      <c r="D219" s="12" t="s">
        <v>43</v>
      </c>
      <c r="E219" s="10">
        <v>41580</v>
      </c>
      <c r="F219" s="11">
        <f t="shared" si="3"/>
        <v>4</v>
      </c>
      <c r="G219" s="11" t="s">
        <v>44</v>
      </c>
      <c r="H219" s="11" t="s">
        <v>463</v>
      </c>
      <c r="I219" s="11" t="s">
        <v>24</v>
      </c>
      <c r="J219" s="11" t="s">
        <v>1097</v>
      </c>
      <c r="K219" s="11" t="s">
        <v>36</v>
      </c>
      <c r="L219" s="11" t="s">
        <v>37</v>
      </c>
      <c r="M219" s="11" t="s">
        <v>38</v>
      </c>
      <c r="N219" s="11" t="s">
        <v>39</v>
      </c>
      <c r="O219" s="11" t="s">
        <v>50</v>
      </c>
      <c r="P219" s="11" t="s">
        <v>415</v>
      </c>
      <c r="Q219" s="13">
        <v>93.06</v>
      </c>
      <c r="R219" s="11">
        <v>6</v>
      </c>
      <c r="S219" s="28">
        <v>0</v>
      </c>
      <c r="T219" s="13">
        <v>26.056799999999999</v>
      </c>
    </row>
    <row r="220" spans="1:20" x14ac:dyDescent="0.3">
      <c r="A220" s="11">
        <v>219</v>
      </c>
      <c r="B220" s="10">
        <v>41576</v>
      </c>
      <c r="C220" s="11">
        <v>2013</v>
      </c>
      <c r="D220" s="12" t="s">
        <v>43</v>
      </c>
      <c r="E220" s="10">
        <v>41580</v>
      </c>
      <c r="F220" s="11">
        <f t="shared" si="3"/>
        <v>4</v>
      </c>
      <c r="G220" s="11" t="s">
        <v>44</v>
      </c>
      <c r="H220" s="11" t="s">
        <v>463</v>
      </c>
      <c r="I220" s="11" t="s">
        <v>24</v>
      </c>
      <c r="J220" s="11" t="s">
        <v>1097</v>
      </c>
      <c r="K220" s="11" t="s">
        <v>36</v>
      </c>
      <c r="L220" s="11" t="s">
        <v>37</v>
      </c>
      <c r="M220" s="11" t="s">
        <v>38</v>
      </c>
      <c r="N220" s="11" t="s">
        <v>58</v>
      </c>
      <c r="O220" s="11" t="s">
        <v>59</v>
      </c>
      <c r="P220" s="11" t="s">
        <v>464</v>
      </c>
      <c r="Q220" s="13">
        <v>302.37599999999998</v>
      </c>
      <c r="R220" s="11">
        <v>3</v>
      </c>
      <c r="S220" s="28">
        <v>0.2</v>
      </c>
      <c r="T220" s="13">
        <v>22.6782</v>
      </c>
    </row>
    <row r="221" spans="1:20" x14ac:dyDescent="0.3">
      <c r="A221" s="11">
        <v>220</v>
      </c>
      <c r="B221" s="10">
        <v>41267</v>
      </c>
      <c r="C221" s="11">
        <v>2012</v>
      </c>
      <c r="D221" s="12" t="s">
        <v>74</v>
      </c>
      <c r="E221" s="10">
        <v>41270</v>
      </c>
      <c r="F221" s="11">
        <f t="shared" si="3"/>
        <v>3</v>
      </c>
      <c r="G221" s="11" t="s">
        <v>132</v>
      </c>
      <c r="H221" s="11" t="s">
        <v>465</v>
      </c>
      <c r="I221" s="11" t="s">
        <v>24</v>
      </c>
      <c r="J221" s="11" t="s">
        <v>1097</v>
      </c>
      <c r="K221" s="11" t="s">
        <v>466</v>
      </c>
      <c r="L221" s="11" t="s">
        <v>289</v>
      </c>
      <c r="M221" s="11" t="s">
        <v>110</v>
      </c>
      <c r="N221" s="11" t="s">
        <v>39</v>
      </c>
      <c r="O221" s="11" t="s">
        <v>176</v>
      </c>
      <c r="P221" s="11" t="s">
        <v>467</v>
      </c>
      <c r="Q221" s="13">
        <v>5.5839999999999996</v>
      </c>
      <c r="R221" s="11">
        <v>2</v>
      </c>
      <c r="S221" s="28">
        <v>0.2</v>
      </c>
      <c r="T221" s="13">
        <v>1.8148</v>
      </c>
    </row>
    <row r="222" spans="1:20" x14ac:dyDescent="0.3">
      <c r="A222" s="11">
        <v>221</v>
      </c>
      <c r="B222" s="10">
        <v>41267</v>
      </c>
      <c r="C222" s="11">
        <v>2012</v>
      </c>
      <c r="D222" s="12" t="s">
        <v>74</v>
      </c>
      <c r="E222" s="10">
        <v>41270</v>
      </c>
      <c r="F222" s="11">
        <f t="shared" si="3"/>
        <v>3</v>
      </c>
      <c r="G222" s="11" t="s">
        <v>132</v>
      </c>
      <c r="H222" s="11" t="s">
        <v>465</v>
      </c>
      <c r="I222" s="11" t="s">
        <v>24</v>
      </c>
      <c r="J222" s="11" t="s">
        <v>1097</v>
      </c>
      <c r="K222" s="11" t="s">
        <v>466</v>
      </c>
      <c r="L222" s="11" t="s">
        <v>289</v>
      </c>
      <c r="M222" s="11" t="s">
        <v>110</v>
      </c>
      <c r="N222" s="11" t="s">
        <v>39</v>
      </c>
      <c r="O222" s="11" t="s">
        <v>72</v>
      </c>
      <c r="P222" s="11" t="s">
        <v>468</v>
      </c>
      <c r="Q222" s="13">
        <v>22.704000000000001</v>
      </c>
      <c r="R222" s="11">
        <v>6</v>
      </c>
      <c r="S222" s="28">
        <v>0.2</v>
      </c>
      <c r="T222" s="13">
        <v>8.2302</v>
      </c>
    </row>
    <row r="223" spans="1:20" x14ac:dyDescent="0.3">
      <c r="A223" s="11">
        <v>222</v>
      </c>
      <c r="B223" s="10">
        <v>41267</v>
      </c>
      <c r="C223" s="11">
        <v>2012</v>
      </c>
      <c r="D223" s="12" t="s">
        <v>74</v>
      </c>
      <c r="E223" s="10">
        <v>41270</v>
      </c>
      <c r="F223" s="11">
        <f t="shared" si="3"/>
        <v>3</v>
      </c>
      <c r="G223" s="11" t="s">
        <v>132</v>
      </c>
      <c r="H223" s="11" t="s">
        <v>465</v>
      </c>
      <c r="I223" s="11" t="s">
        <v>24</v>
      </c>
      <c r="J223" s="11" t="s">
        <v>1097</v>
      </c>
      <c r="K223" s="11" t="s">
        <v>466</v>
      </c>
      <c r="L223" s="11" t="s">
        <v>289</v>
      </c>
      <c r="M223" s="11" t="s">
        <v>110</v>
      </c>
      <c r="N223" s="11" t="s">
        <v>39</v>
      </c>
      <c r="O223" s="11" t="s">
        <v>61</v>
      </c>
      <c r="P223" s="11" t="s">
        <v>248</v>
      </c>
      <c r="Q223" s="13">
        <v>19.776</v>
      </c>
      <c r="R223" s="11">
        <v>4</v>
      </c>
      <c r="S223" s="28">
        <v>0.7</v>
      </c>
      <c r="T223" s="13">
        <v>-13.8432</v>
      </c>
    </row>
    <row r="224" spans="1:20" x14ac:dyDescent="0.3">
      <c r="A224" s="11">
        <v>223</v>
      </c>
      <c r="B224" s="10">
        <v>41267</v>
      </c>
      <c r="C224" s="11">
        <v>2012</v>
      </c>
      <c r="D224" s="12" t="s">
        <v>74</v>
      </c>
      <c r="E224" s="10">
        <v>41270</v>
      </c>
      <c r="F224" s="11">
        <f t="shared" si="3"/>
        <v>3</v>
      </c>
      <c r="G224" s="11" t="s">
        <v>132</v>
      </c>
      <c r="H224" s="11" t="s">
        <v>465</v>
      </c>
      <c r="I224" s="11" t="s">
        <v>24</v>
      </c>
      <c r="J224" s="11" t="s">
        <v>1097</v>
      </c>
      <c r="K224" s="11" t="s">
        <v>466</v>
      </c>
      <c r="L224" s="11" t="s">
        <v>289</v>
      </c>
      <c r="M224" s="11" t="s">
        <v>110</v>
      </c>
      <c r="N224" s="11" t="s">
        <v>28</v>
      </c>
      <c r="O224" s="11" t="s">
        <v>54</v>
      </c>
      <c r="P224" s="11" t="s">
        <v>469</v>
      </c>
      <c r="Q224" s="13">
        <v>72.703999999999994</v>
      </c>
      <c r="R224" s="11">
        <v>4</v>
      </c>
      <c r="S224" s="28">
        <v>0.2</v>
      </c>
      <c r="T224" s="13">
        <v>19.084800000000001</v>
      </c>
    </row>
    <row r="225" spans="1:20" x14ac:dyDescent="0.3">
      <c r="A225" s="11">
        <v>224</v>
      </c>
      <c r="B225" s="10">
        <v>41267</v>
      </c>
      <c r="C225" s="11">
        <v>2012</v>
      </c>
      <c r="D225" s="12" t="s">
        <v>74</v>
      </c>
      <c r="E225" s="10">
        <v>41270</v>
      </c>
      <c r="F225" s="11">
        <f t="shared" si="3"/>
        <v>3</v>
      </c>
      <c r="G225" s="11" t="s">
        <v>132</v>
      </c>
      <c r="H225" s="11" t="s">
        <v>465</v>
      </c>
      <c r="I225" s="11" t="s">
        <v>24</v>
      </c>
      <c r="J225" s="11" t="s">
        <v>1097</v>
      </c>
      <c r="K225" s="11" t="s">
        <v>466</v>
      </c>
      <c r="L225" s="11" t="s">
        <v>289</v>
      </c>
      <c r="M225" s="11" t="s">
        <v>110</v>
      </c>
      <c r="N225" s="11" t="s">
        <v>58</v>
      </c>
      <c r="O225" s="11" t="s">
        <v>378</v>
      </c>
      <c r="P225" s="11" t="s">
        <v>470</v>
      </c>
      <c r="Q225" s="13">
        <v>479.988</v>
      </c>
      <c r="R225" s="11">
        <v>4</v>
      </c>
      <c r="S225" s="28">
        <v>0.7</v>
      </c>
      <c r="T225" s="13">
        <v>-383.99040000000002</v>
      </c>
    </row>
    <row r="226" spans="1:20" x14ac:dyDescent="0.3">
      <c r="A226" s="11">
        <v>225</v>
      </c>
      <c r="B226" s="10">
        <v>41267</v>
      </c>
      <c r="C226" s="11">
        <v>2012</v>
      </c>
      <c r="D226" s="12" t="s">
        <v>74</v>
      </c>
      <c r="E226" s="10">
        <v>41270</v>
      </c>
      <c r="F226" s="11">
        <f t="shared" si="3"/>
        <v>3</v>
      </c>
      <c r="G226" s="11" t="s">
        <v>132</v>
      </c>
      <c r="H226" s="11" t="s">
        <v>465</v>
      </c>
      <c r="I226" s="11" t="s">
        <v>24</v>
      </c>
      <c r="J226" s="11" t="s">
        <v>1097</v>
      </c>
      <c r="K226" s="11" t="s">
        <v>466</v>
      </c>
      <c r="L226" s="11" t="s">
        <v>289</v>
      </c>
      <c r="M226" s="11" t="s">
        <v>110</v>
      </c>
      <c r="N226" s="11" t="s">
        <v>39</v>
      </c>
      <c r="O226" s="11" t="s">
        <v>56</v>
      </c>
      <c r="P226" s="11" t="s">
        <v>471</v>
      </c>
      <c r="Q226" s="13">
        <v>27.167999999999999</v>
      </c>
      <c r="R226" s="11">
        <v>2</v>
      </c>
      <c r="S226" s="28">
        <v>0.2</v>
      </c>
      <c r="T226" s="13">
        <v>2.7168000000000001</v>
      </c>
    </row>
    <row r="227" spans="1:20" x14ac:dyDescent="0.3">
      <c r="A227" s="11">
        <v>226</v>
      </c>
      <c r="B227" s="10">
        <v>41130</v>
      </c>
      <c r="C227" s="11">
        <v>2012</v>
      </c>
      <c r="D227" s="12" t="s">
        <v>95</v>
      </c>
      <c r="E227" s="10">
        <v>41137</v>
      </c>
      <c r="F227" s="11">
        <f t="shared" si="3"/>
        <v>7</v>
      </c>
      <c r="G227" s="11" t="s">
        <v>44</v>
      </c>
      <c r="H227" s="11" t="s">
        <v>472</v>
      </c>
      <c r="I227" s="11" t="s">
        <v>35</v>
      </c>
      <c r="J227" s="11" t="s">
        <v>1097</v>
      </c>
      <c r="K227" s="11" t="s">
        <v>473</v>
      </c>
      <c r="L227" s="11" t="s">
        <v>159</v>
      </c>
      <c r="M227" s="11" t="s">
        <v>83</v>
      </c>
      <c r="N227" s="11" t="s">
        <v>39</v>
      </c>
      <c r="O227" s="11" t="s">
        <v>56</v>
      </c>
      <c r="P227" s="11" t="s">
        <v>474</v>
      </c>
      <c r="Q227" s="13">
        <v>2.2000000000000002</v>
      </c>
      <c r="R227" s="11">
        <v>1</v>
      </c>
      <c r="S227" s="28">
        <v>0</v>
      </c>
      <c r="T227" s="13">
        <v>0.96799999999999997</v>
      </c>
    </row>
    <row r="228" spans="1:20" x14ac:dyDescent="0.3">
      <c r="A228" s="11">
        <v>227</v>
      </c>
      <c r="B228" s="10">
        <v>41130</v>
      </c>
      <c r="C228" s="11">
        <v>2012</v>
      </c>
      <c r="D228" s="12" t="s">
        <v>95</v>
      </c>
      <c r="E228" s="10">
        <v>41137</v>
      </c>
      <c r="F228" s="11">
        <f t="shared" si="3"/>
        <v>7</v>
      </c>
      <c r="G228" s="11" t="s">
        <v>44</v>
      </c>
      <c r="H228" s="11" t="s">
        <v>472</v>
      </c>
      <c r="I228" s="11" t="s">
        <v>35</v>
      </c>
      <c r="J228" s="11" t="s">
        <v>1097</v>
      </c>
      <c r="K228" s="11" t="s">
        <v>473</v>
      </c>
      <c r="L228" s="11" t="s">
        <v>159</v>
      </c>
      <c r="M228" s="11" t="s">
        <v>83</v>
      </c>
      <c r="N228" s="11" t="s">
        <v>28</v>
      </c>
      <c r="O228" s="11" t="s">
        <v>48</v>
      </c>
      <c r="P228" s="11" t="s">
        <v>475</v>
      </c>
      <c r="Q228" s="13">
        <v>622.45000000000005</v>
      </c>
      <c r="R228" s="11">
        <v>5</v>
      </c>
      <c r="S228" s="28">
        <v>0</v>
      </c>
      <c r="T228" s="13">
        <v>136.93899999999999</v>
      </c>
    </row>
    <row r="229" spans="1:20" x14ac:dyDescent="0.3">
      <c r="A229" s="11">
        <v>228</v>
      </c>
      <c r="B229" s="10">
        <v>41130</v>
      </c>
      <c r="C229" s="11">
        <v>2012</v>
      </c>
      <c r="D229" s="12" t="s">
        <v>95</v>
      </c>
      <c r="E229" s="10">
        <v>41137</v>
      </c>
      <c r="F229" s="11">
        <f t="shared" si="3"/>
        <v>7</v>
      </c>
      <c r="G229" s="11" t="s">
        <v>44</v>
      </c>
      <c r="H229" s="11" t="s">
        <v>472</v>
      </c>
      <c r="I229" s="11" t="s">
        <v>35</v>
      </c>
      <c r="J229" s="11" t="s">
        <v>1097</v>
      </c>
      <c r="K229" s="11" t="s">
        <v>473</v>
      </c>
      <c r="L229" s="11" t="s">
        <v>159</v>
      </c>
      <c r="M229" s="11" t="s">
        <v>83</v>
      </c>
      <c r="N229" s="11" t="s">
        <v>39</v>
      </c>
      <c r="O229" s="11" t="s">
        <v>50</v>
      </c>
      <c r="P229" s="11" t="s">
        <v>476</v>
      </c>
      <c r="Q229" s="13">
        <v>21.98</v>
      </c>
      <c r="R229" s="11">
        <v>1</v>
      </c>
      <c r="S229" s="28">
        <v>0</v>
      </c>
      <c r="T229" s="13">
        <v>0.2198</v>
      </c>
    </row>
    <row r="230" spans="1:20" x14ac:dyDescent="0.3">
      <c r="A230" s="11">
        <v>229</v>
      </c>
      <c r="B230" s="10">
        <v>40967</v>
      </c>
      <c r="C230" s="11">
        <v>2012</v>
      </c>
      <c r="D230" s="12" t="s">
        <v>317</v>
      </c>
      <c r="E230" s="10">
        <v>40972</v>
      </c>
      <c r="F230" s="11">
        <f t="shared" si="3"/>
        <v>5</v>
      </c>
      <c r="G230" s="11" t="s">
        <v>44</v>
      </c>
      <c r="H230" s="11" t="s">
        <v>477</v>
      </c>
      <c r="I230" s="11" t="s">
        <v>24</v>
      </c>
      <c r="J230" s="11" t="s">
        <v>1097</v>
      </c>
      <c r="K230" s="11" t="s">
        <v>232</v>
      </c>
      <c r="L230" s="11" t="s">
        <v>210</v>
      </c>
      <c r="M230" s="11" t="s">
        <v>27</v>
      </c>
      <c r="N230" s="11" t="s">
        <v>28</v>
      </c>
      <c r="O230" s="11" t="s">
        <v>31</v>
      </c>
      <c r="P230" s="11" t="s">
        <v>478</v>
      </c>
      <c r="Q230" s="13">
        <v>161.56800000000001</v>
      </c>
      <c r="R230" s="11">
        <v>2</v>
      </c>
      <c r="S230" s="28">
        <v>0.2</v>
      </c>
      <c r="T230" s="13">
        <v>-28.2744</v>
      </c>
    </row>
    <row r="231" spans="1:20" x14ac:dyDescent="0.3">
      <c r="A231" s="11">
        <v>230</v>
      </c>
      <c r="B231" s="10">
        <v>40967</v>
      </c>
      <c r="C231" s="11">
        <v>2012</v>
      </c>
      <c r="D231" s="12" t="s">
        <v>317</v>
      </c>
      <c r="E231" s="10">
        <v>40972</v>
      </c>
      <c r="F231" s="11">
        <f t="shared" si="3"/>
        <v>5</v>
      </c>
      <c r="G231" s="11" t="s">
        <v>44</v>
      </c>
      <c r="H231" s="11" t="s">
        <v>477</v>
      </c>
      <c r="I231" s="11" t="s">
        <v>24</v>
      </c>
      <c r="J231" s="11" t="s">
        <v>1097</v>
      </c>
      <c r="K231" s="11" t="s">
        <v>232</v>
      </c>
      <c r="L231" s="11" t="s">
        <v>210</v>
      </c>
      <c r="M231" s="11" t="s">
        <v>27</v>
      </c>
      <c r="N231" s="11" t="s">
        <v>28</v>
      </c>
      <c r="O231" s="11" t="s">
        <v>31</v>
      </c>
      <c r="P231" s="11" t="s">
        <v>479</v>
      </c>
      <c r="Q231" s="13">
        <v>389.69600000000003</v>
      </c>
      <c r="R231" s="11">
        <v>8</v>
      </c>
      <c r="S231" s="28">
        <v>0.2</v>
      </c>
      <c r="T231" s="13">
        <v>43.840800000000002</v>
      </c>
    </row>
    <row r="232" spans="1:20" x14ac:dyDescent="0.3">
      <c r="A232" s="11">
        <v>231</v>
      </c>
      <c r="B232" s="10">
        <v>40799</v>
      </c>
      <c r="C232" s="11">
        <v>2011</v>
      </c>
      <c r="D232" s="12" t="s">
        <v>112</v>
      </c>
      <c r="E232" s="10">
        <v>40803</v>
      </c>
      <c r="F232" s="11">
        <f t="shared" si="3"/>
        <v>4</v>
      </c>
      <c r="G232" s="11" t="s">
        <v>44</v>
      </c>
      <c r="H232" s="11" t="s">
        <v>480</v>
      </c>
      <c r="I232" s="11" t="s">
        <v>35</v>
      </c>
      <c r="J232" s="11" t="s">
        <v>1097</v>
      </c>
      <c r="K232" s="11" t="s">
        <v>273</v>
      </c>
      <c r="L232" s="11" t="s">
        <v>71</v>
      </c>
      <c r="M232" s="11" t="s">
        <v>27</v>
      </c>
      <c r="N232" s="11" t="s">
        <v>39</v>
      </c>
      <c r="O232" s="11" t="s">
        <v>61</v>
      </c>
      <c r="P232" s="11" t="s">
        <v>481</v>
      </c>
      <c r="Q232" s="13">
        <v>18.648</v>
      </c>
      <c r="R232" s="11">
        <v>7</v>
      </c>
      <c r="S232" s="28">
        <v>0.7</v>
      </c>
      <c r="T232" s="13">
        <v>-12.432</v>
      </c>
    </row>
    <row r="233" spans="1:20" x14ac:dyDescent="0.3">
      <c r="A233" s="11">
        <v>232</v>
      </c>
      <c r="B233" s="10">
        <v>41737</v>
      </c>
      <c r="C233" s="11">
        <v>2014</v>
      </c>
      <c r="D233" s="12" t="s">
        <v>68</v>
      </c>
      <c r="E233" s="10">
        <v>41742</v>
      </c>
      <c r="F233" s="11">
        <f t="shared" si="3"/>
        <v>5</v>
      </c>
      <c r="G233" s="11" t="s">
        <v>44</v>
      </c>
      <c r="H233" s="11" t="s">
        <v>230</v>
      </c>
      <c r="I233" s="11" t="s">
        <v>80</v>
      </c>
      <c r="J233" s="11" t="s">
        <v>1097</v>
      </c>
      <c r="K233" s="11" t="s">
        <v>482</v>
      </c>
      <c r="L233" s="11" t="s">
        <v>47</v>
      </c>
      <c r="M233" s="11" t="s">
        <v>27</v>
      </c>
      <c r="N233" s="11" t="s">
        <v>28</v>
      </c>
      <c r="O233" s="11" t="s">
        <v>48</v>
      </c>
      <c r="P233" s="11" t="s">
        <v>483</v>
      </c>
      <c r="Q233" s="13">
        <v>233.86</v>
      </c>
      <c r="R233" s="11">
        <v>2</v>
      </c>
      <c r="S233" s="28">
        <v>0.45</v>
      </c>
      <c r="T233" s="13">
        <v>-102.048</v>
      </c>
    </row>
    <row r="234" spans="1:20" x14ac:dyDescent="0.3">
      <c r="A234" s="11">
        <v>233</v>
      </c>
      <c r="B234" s="10">
        <v>41737</v>
      </c>
      <c r="C234" s="11">
        <v>2014</v>
      </c>
      <c r="D234" s="12" t="s">
        <v>68</v>
      </c>
      <c r="E234" s="10">
        <v>41742</v>
      </c>
      <c r="F234" s="11">
        <f t="shared" si="3"/>
        <v>5</v>
      </c>
      <c r="G234" s="11" t="s">
        <v>44</v>
      </c>
      <c r="H234" s="11" t="s">
        <v>230</v>
      </c>
      <c r="I234" s="11" t="s">
        <v>80</v>
      </c>
      <c r="J234" s="11" t="s">
        <v>1097</v>
      </c>
      <c r="K234" s="11" t="s">
        <v>482</v>
      </c>
      <c r="L234" s="11" t="s">
        <v>47</v>
      </c>
      <c r="M234" s="11" t="s">
        <v>27</v>
      </c>
      <c r="N234" s="11" t="s">
        <v>28</v>
      </c>
      <c r="O234" s="11" t="s">
        <v>48</v>
      </c>
      <c r="P234" s="11" t="s">
        <v>484</v>
      </c>
      <c r="Q234" s="13">
        <v>620.61450000000002</v>
      </c>
      <c r="R234" s="11">
        <v>3</v>
      </c>
      <c r="S234" s="28">
        <v>0.45</v>
      </c>
      <c r="T234" s="13">
        <v>-248.2458</v>
      </c>
    </row>
    <row r="235" spans="1:20" x14ac:dyDescent="0.3">
      <c r="A235" s="11">
        <v>234</v>
      </c>
      <c r="B235" s="10">
        <v>41737</v>
      </c>
      <c r="C235" s="11">
        <v>2014</v>
      </c>
      <c r="D235" s="12" t="s">
        <v>68</v>
      </c>
      <c r="E235" s="10">
        <v>41742</v>
      </c>
      <c r="F235" s="11">
        <f t="shared" si="3"/>
        <v>5</v>
      </c>
      <c r="G235" s="11" t="s">
        <v>44</v>
      </c>
      <c r="H235" s="11" t="s">
        <v>230</v>
      </c>
      <c r="I235" s="11" t="s">
        <v>80</v>
      </c>
      <c r="J235" s="11" t="s">
        <v>1097</v>
      </c>
      <c r="K235" s="11" t="s">
        <v>482</v>
      </c>
      <c r="L235" s="11" t="s">
        <v>47</v>
      </c>
      <c r="M235" s="11" t="s">
        <v>27</v>
      </c>
      <c r="N235" s="11" t="s">
        <v>39</v>
      </c>
      <c r="O235" s="11" t="s">
        <v>61</v>
      </c>
      <c r="P235" s="11" t="s">
        <v>481</v>
      </c>
      <c r="Q235" s="13">
        <v>5.3280000000000003</v>
      </c>
      <c r="R235" s="11">
        <v>2</v>
      </c>
      <c r="S235" s="28">
        <v>0.7</v>
      </c>
      <c r="T235" s="13">
        <v>-3.552</v>
      </c>
    </row>
    <row r="236" spans="1:20" x14ac:dyDescent="0.3">
      <c r="A236" s="11">
        <v>235</v>
      </c>
      <c r="B236" s="10">
        <v>41737</v>
      </c>
      <c r="C236" s="11">
        <v>2014</v>
      </c>
      <c r="D236" s="12" t="s">
        <v>68</v>
      </c>
      <c r="E236" s="10">
        <v>41742</v>
      </c>
      <c r="F236" s="11">
        <f t="shared" si="3"/>
        <v>5</v>
      </c>
      <c r="G236" s="11" t="s">
        <v>44</v>
      </c>
      <c r="H236" s="11" t="s">
        <v>230</v>
      </c>
      <c r="I236" s="11" t="s">
        <v>80</v>
      </c>
      <c r="J236" s="11" t="s">
        <v>1097</v>
      </c>
      <c r="K236" s="11" t="s">
        <v>482</v>
      </c>
      <c r="L236" s="11" t="s">
        <v>47</v>
      </c>
      <c r="M236" s="11" t="s">
        <v>27</v>
      </c>
      <c r="N236" s="11" t="s">
        <v>28</v>
      </c>
      <c r="O236" s="11" t="s">
        <v>54</v>
      </c>
      <c r="P236" s="11" t="s">
        <v>485</v>
      </c>
      <c r="Q236" s="13">
        <v>258.072</v>
      </c>
      <c r="R236" s="11">
        <v>3</v>
      </c>
      <c r="S236" s="28">
        <v>0.2</v>
      </c>
      <c r="T236" s="13">
        <v>0</v>
      </c>
    </row>
    <row r="237" spans="1:20" x14ac:dyDescent="0.3">
      <c r="A237" s="11">
        <v>236</v>
      </c>
      <c r="B237" s="10">
        <v>41737</v>
      </c>
      <c r="C237" s="11">
        <v>2014</v>
      </c>
      <c r="D237" s="12" t="s">
        <v>68</v>
      </c>
      <c r="E237" s="10">
        <v>41742</v>
      </c>
      <c r="F237" s="11">
        <f t="shared" si="3"/>
        <v>5</v>
      </c>
      <c r="G237" s="11" t="s">
        <v>44</v>
      </c>
      <c r="H237" s="11" t="s">
        <v>230</v>
      </c>
      <c r="I237" s="11" t="s">
        <v>80</v>
      </c>
      <c r="J237" s="11" t="s">
        <v>1097</v>
      </c>
      <c r="K237" s="11" t="s">
        <v>482</v>
      </c>
      <c r="L237" s="11" t="s">
        <v>47</v>
      </c>
      <c r="M237" s="11" t="s">
        <v>27</v>
      </c>
      <c r="N237" s="11" t="s">
        <v>58</v>
      </c>
      <c r="O237" s="11" t="s">
        <v>118</v>
      </c>
      <c r="P237" s="11" t="s">
        <v>486</v>
      </c>
      <c r="Q237" s="13">
        <v>617.976</v>
      </c>
      <c r="R237" s="11">
        <v>3</v>
      </c>
      <c r="S237" s="28">
        <v>0.2</v>
      </c>
      <c r="T237" s="13">
        <v>-7.7247000000000003</v>
      </c>
    </row>
    <row r="238" spans="1:20" x14ac:dyDescent="0.3">
      <c r="A238" s="11">
        <v>237</v>
      </c>
      <c r="B238" s="10">
        <v>41956</v>
      </c>
      <c r="C238" s="11">
        <v>2014</v>
      </c>
      <c r="D238" s="12" t="s">
        <v>21</v>
      </c>
      <c r="E238" s="10">
        <v>41960</v>
      </c>
      <c r="F238" s="11">
        <f t="shared" si="3"/>
        <v>4</v>
      </c>
      <c r="G238" s="11" t="s">
        <v>44</v>
      </c>
      <c r="H238" s="11" t="s">
        <v>487</v>
      </c>
      <c r="I238" s="11" t="s">
        <v>35</v>
      </c>
      <c r="J238" s="11" t="s">
        <v>1097</v>
      </c>
      <c r="K238" s="11" t="s">
        <v>488</v>
      </c>
      <c r="L238" s="11" t="s">
        <v>37</v>
      </c>
      <c r="M238" s="11" t="s">
        <v>38</v>
      </c>
      <c r="N238" s="11" t="s">
        <v>39</v>
      </c>
      <c r="O238" s="11" t="s">
        <v>72</v>
      </c>
      <c r="P238" s="11" t="s">
        <v>489</v>
      </c>
      <c r="Q238" s="13">
        <v>10.56</v>
      </c>
      <c r="R238" s="11">
        <v>2</v>
      </c>
      <c r="S238" s="28">
        <v>0</v>
      </c>
      <c r="T238" s="13">
        <v>4.7519999999999998</v>
      </c>
    </row>
    <row r="239" spans="1:20" x14ac:dyDescent="0.3">
      <c r="A239" s="11">
        <v>238</v>
      </c>
      <c r="B239" s="10">
        <v>41430</v>
      </c>
      <c r="C239" s="11">
        <v>2013</v>
      </c>
      <c r="D239" s="12" t="s">
        <v>33</v>
      </c>
      <c r="E239" s="10">
        <v>41435</v>
      </c>
      <c r="F239" s="11">
        <f t="shared" si="3"/>
        <v>5</v>
      </c>
      <c r="G239" s="11" t="s">
        <v>22</v>
      </c>
      <c r="H239" s="11" t="s">
        <v>490</v>
      </c>
      <c r="I239" s="11" t="s">
        <v>24</v>
      </c>
      <c r="J239" s="11" t="s">
        <v>1097</v>
      </c>
      <c r="K239" s="11" t="s">
        <v>193</v>
      </c>
      <c r="L239" s="11" t="s">
        <v>144</v>
      </c>
      <c r="M239" s="11" t="s">
        <v>83</v>
      </c>
      <c r="N239" s="11" t="s">
        <v>39</v>
      </c>
      <c r="O239" s="11" t="s">
        <v>72</v>
      </c>
      <c r="P239" s="11" t="s">
        <v>491</v>
      </c>
      <c r="Q239" s="13">
        <v>25.92</v>
      </c>
      <c r="R239" s="11">
        <v>5</v>
      </c>
      <c r="S239" s="28">
        <v>0.2</v>
      </c>
      <c r="T239" s="13">
        <v>9.3960000000000008</v>
      </c>
    </row>
    <row r="240" spans="1:20" x14ac:dyDescent="0.3">
      <c r="A240" s="11">
        <v>239</v>
      </c>
      <c r="B240" s="10">
        <v>41430</v>
      </c>
      <c r="C240" s="11">
        <v>2013</v>
      </c>
      <c r="D240" s="12" t="s">
        <v>33</v>
      </c>
      <c r="E240" s="10">
        <v>41435</v>
      </c>
      <c r="F240" s="11">
        <f t="shared" si="3"/>
        <v>5</v>
      </c>
      <c r="G240" s="11" t="s">
        <v>22</v>
      </c>
      <c r="H240" s="11" t="s">
        <v>490</v>
      </c>
      <c r="I240" s="11" t="s">
        <v>24</v>
      </c>
      <c r="J240" s="11" t="s">
        <v>1097</v>
      </c>
      <c r="K240" s="11" t="s">
        <v>193</v>
      </c>
      <c r="L240" s="11" t="s">
        <v>144</v>
      </c>
      <c r="M240" s="11" t="s">
        <v>83</v>
      </c>
      <c r="N240" s="11" t="s">
        <v>28</v>
      </c>
      <c r="O240" s="11" t="s">
        <v>54</v>
      </c>
      <c r="P240" s="11" t="s">
        <v>492</v>
      </c>
      <c r="Q240" s="13">
        <v>419.68</v>
      </c>
      <c r="R240" s="11">
        <v>5</v>
      </c>
      <c r="S240" s="28">
        <v>0.6</v>
      </c>
      <c r="T240" s="13">
        <v>-356.72800000000001</v>
      </c>
    </row>
    <row r="241" spans="1:20" x14ac:dyDescent="0.3">
      <c r="A241" s="11">
        <v>240</v>
      </c>
      <c r="B241" s="10">
        <v>41430</v>
      </c>
      <c r="C241" s="11">
        <v>2013</v>
      </c>
      <c r="D241" s="12" t="s">
        <v>33</v>
      </c>
      <c r="E241" s="10">
        <v>41435</v>
      </c>
      <c r="F241" s="11">
        <f t="shared" si="3"/>
        <v>5</v>
      </c>
      <c r="G241" s="11" t="s">
        <v>22</v>
      </c>
      <c r="H241" s="11" t="s">
        <v>490</v>
      </c>
      <c r="I241" s="11" t="s">
        <v>24</v>
      </c>
      <c r="J241" s="11" t="s">
        <v>1097</v>
      </c>
      <c r="K241" s="11" t="s">
        <v>193</v>
      </c>
      <c r="L241" s="11" t="s">
        <v>144</v>
      </c>
      <c r="M241" s="11" t="s">
        <v>83</v>
      </c>
      <c r="N241" s="11" t="s">
        <v>28</v>
      </c>
      <c r="O241" s="11" t="s">
        <v>54</v>
      </c>
      <c r="P241" s="11" t="s">
        <v>131</v>
      </c>
      <c r="Q241" s="13">
        <v>11.688000000000001</v>
      </c>
      <c r="R241" s="11">
        <v>3</v>
      </c>
      <c r="S241" s="28">
        <v>0.6</v>
      </c>
      <c r="T241" s="13">
        <v>-4.6752000000000002</v>
      </c>
    </row>
    <row r="242" spans="1:20" x14ac:dyDescent="0.3">
      <c r="A242" s="11">
        <v>241</v>
      </c>
      <c r="B242" s="10">
        <v>41430</v>
      </c>
      <c r="C242" s="11">
        <v>2013</v>
      </c>
      <c r="D242" s="12" t="s">
        <v>33</v>
      </c>
      <c r="E242" s="10">
        <v>41435</v>
      </c>
      <c r="F242" s="11">
        <f t="shared" si="3"/>
        <v>5</v>
      </c>
      <c r="G242" s="11" t="s">
        <v>22</v>
      </c>
      <c r="H242" s="11" t="s">
        <v>490</v>
      </c>
      <c r="I242" s="11" t="s">
        <v>24</v>
      </c>
      <c r="J242" s="11" t="s">
        <v>1097</v>
      </c>
      <c r="K242" s="11" t="s">
        <v>193</v>
      </c>
      <c r="L242" s="11" t="s">
        <v>144</v>
      </c>
      <c r="M242" s="11" t="s">
        <v>83</v>
      </c>
      <c r="N242" s="11" t="s">
        <v>58</v>
      </c>
      <c r="O242" s="11" t="s">
        <v>59</v>
      </c>
      <c r="P242" s="11" t="s">
        <v>493</v>
      </c>
      <c r="Q242" s="13">
        <v>31.984000000000002</v>
      </c>
      <c r="R242" s="11">
        <v>2</v>
      </c>
      <c r="S242" s="28">
        <v>0.2</v>
      </c>
      <c r="T242" s="13">
        <v>11.1944</v>
      </c>
    </row>
    <row r="243" spans="1:20" x14ac:dyDescent="0.3">
      <c r="A243" s="11">
        <v>242</v>
      </c>
      <c r="B243" s="10">
        <v>41430</v>
      </c>
      <c r="C243" s="11">
        <v>2013</v>
      </c>
      <c r="D243" s="12" t="s">
        <v>33</v>
      </c>
      <c r="E243" s="10">
        <v>41435</v>
      </c>
      <c r="F243" s="11">
        <f t="shared" si="3"/>
        <v>5</v>
      </c>
      <c r="G243" s="11" t="s">
        <v>22</v>
      </c>
      <c r="H243" s="11" t="s">
        <v>490</v>
      </c>
      <c r="I243" s="11" t="s">
        <v>24</v>
      </c>
      <c r="J243" s="11" t="s">
        <v>1097</v>
      </c>
      <c r="K243" s="11" t="s">
        <v>193</v>
      </c>
      <c r="L243" s="11" t="s">
        <v>144</v>
      </c>
      <c r="M243" s="11" t="s">
        <v>83</v>
      </c>
      <c r="N243" s="11" t="s">
        <v>28</v>
      </c>
      <c r="O243" s="11" t="s">
        <v>48</v>
      </c>
      <c r="P243" s="11" t="s">
        <v>494</v>
      </c>
      <c r="Q243" s="13">
        <v>177.22499999999999</v>
      </c>
      <c r="R243" s="11">
        <v>5</v>
      </c>
      <c r="S243" s="28">
        <v>0.5</v>
      </c>
      <c r="T243" s="13">
        <v>-120.51300000000001</v>
      </c>
    </row>
    <row r="244" spans="1:20" x14ac:dyDescent="0.3">
      <c r="A244" s="11">
        <v>243</v>
      </c>
      <c r="B244" s="10">
        <v>41430</v>
      </c>
      <c r="C244" s="11">
        <v>2013</v>
      </c>
      <c r="D244" s="12" t="s">
        <v>33</v>
      </c>
      <c r="E244" s="10">
        <v>41435</v>
      </c>
      <c r="F244" s="11">
        <f t="shared" si="3"/>
        <v>5</v>
      </c>
      <c r="G244" s="11" t="s">
        <v>22</v>
      </c>
      <c r="H244" s="11" t="s">
        <v>490</v>
      </c>
      <c r="I244" s="11" t="s">
        <v>24</v>
      </c>
      <c r="J244" s="11" t="s">
        <v>1097</v>
      </c>
      <c r="K244" s="11" t="s">
        <v>193</v>
      </c>
      <c r="L244" s="11" t="s">
        <v>144</v>
      </c>
      <c r="M244" s="11" t="s">
        <v>83</v>
      </c>
      <c r="N244" s="11" t="s">
        <v>28</v>
      </c>
      <c r="O244" s="11" t="s">
        <v>54</v>
      </c>
      <c r="P244" s="11" t="s">
        <v>495</v>
      </c>
      <c r="Q244" s="13">
        <v>4.0439999999999996</v>
      </c>
      <c r="R244" s="11">
        <v>3</v>
      </c>
      <c r="S244" s="28">
        <v>0.6</v>
      </c>
      <c r="T244" s="13">
        <v>-2.8308</v>
      </c>
    </row>
    <row r="245" spans="1:20" x14ac:dyDescent="0.3">
      <c r="A245" s="11">
        <v>244</v>
      </c>
      <c r="B245" s="10">
        <v>41430</v>
      </c>
      <c r="C245" s="11">
        <v>2013</v>
      </c>
      <c r="D245" s="12" t="s">
        <v>33</v>
      </c>
      <c r="E245" s="10">
        <v>41435</v>
      </c>
      <c r="F245" s="11">
        <f t="shared" si="3"/>
        <v>5</v>
      </c>
      <c r="G245" s="11" t="s">
        <v>22</v>
      </c>
      <c r="H245" s="11" t="s">
        <v>490</v>
      </c>
      <c r="I245" s="11" t="s">
        <v>24</v>
      </c>
      <c r="J245" s="11" t="s">
        <v>1097</v>
      </c>
      <c r="K245" s="11" t="s">
        <v>193</v>
      </c>
      <c r="L245" s="11" t="s">
        <v>144</v>
      </c>
      <c r="M245" s="11" t="s">
        <v>83</v>
      </c>
      <c r="N245" s="11" t="s">
        <v>39</v>
      </c>
      <c r="O245" s="11" t="s">
        <v>56</v>
      </c>
      <c r="P245" s="11" t="s">
        <v>425</v>
      </c>
      <c r="Q245" s="13">
        <v>7.4080000000000004</v>
      </c>
      <c r="R245" s="11">
        <v>2</v>
      </c>
      <c r="S245" s="28">
        <v>0.2</v>
      </c>
      <c r="T245" s="13">
        <v>1.2038</v>
      </c>
    </row>
    <row r="246" spans="1:20" x14ac:dyDescent="0.3">
      <c r="A246" s="11">
        <v>245</v>
      </c>
      <c r="B246" s="10">
        <v>40695</v>
      </c>
      <c r="C246" s="11">
        <v>2011</v>
      </c>
      <c r="D246" s="12" t="s">
        <v>33</v>
      </c>
      <c r="E246" s="10">
        <v>40700</v>
      </c>
      <c r="F246" s="11">
        <f t="shared" si="3"/>
        <v>5</v>
      </c>
      <c r="G246" s="11" t="s">
        <v>22</v>
      </c>
      <c r="H246" s="11" t="s">
        <v>496</v>
      </c>
      <c r="I246" s="11" t="s">
        <v>80</v>
      </c>
      <c r="J246" s="11" t="s">
        <v>1097</v>
      </c>
      <c r="K246" s="11" t="s">
        <v>497</v>
      </c>
      <c r="L246" s="11" t="s">
        <v>154</v>
      </c>
      <c r="M246" s="11" t="s">
        <v>83</v>
      </c>
      <c r="N246" s="11" t="s">
        <v>28</v>
      </c>
      <c r="O246" s="11" t="s">
        <v>31</v>
      </c>
      <c r="P246" s="11" t="s">
        <v>306</v>
      </c>
      <c r="Q246" s="13">
        <v>2001.86</v>
      </c>
      <c r="R246" s="11">
        <v>7</v>
      </c>
      <c r="S246" s="28">
        <v>0</v>
      </c>
      <c r="T246" s="13">
        <v>580.5394</v>
      </c>
    </row>
    <row r="247" spans="1:20" x14ac:dyDescent="0.3">
      <c r="A247" s="11">
        <v>246</v>
      </c>
      <c r="B247" s="10">
        <v>40695</v>
      </c>
      <c r="C247" s="11">
        <v>2011</v>
      </c>
      <c r="D247" s="12" t="s">
        <v>33</v>
      </c>
      <c r="E247" s="10">
        <v>40700</v>
      </c>
      <c r="F247" s="11">
        <f t="shared" si="3"/>
        <v>5</v>
      </c>
      <c r="G247" s="11" t="s">
        <v>22</v>
      </c>
      <c r="H247" s="11" t="s">
        <v>496</v>
      </c>
      <c r="I247" s="11" t="s">
        <v>80</v>
      </c>
      <c r="J247" s="11" t="s">
        <v>1097</v>
      </c>
      <c r="K247" s="11" t="s">
        <v>497</v>
      </c>
      <c r="L247" s="11" t="s">
        <v>154</v>
      </c>
      <c r="M247" s="11" t="s">
        <v>83</v>
      </c>
      <c r="N247" s="11" t="s">
        <v>39</v>
      </c>
      <c r="O247" s="11" t="s">
        <v>50</v>
      </c>
      <c r="P247" s="11" t="s">
        <v>498</v>
      </c>
      <c r="Q247" s="13">
        <v>166.72</v>
      </c>
      <c r="R247" s="11">
        <v>2</v>
      </c>
      <c r="S247" s="28">
        <v>0</v>
      </c>
      <c r="T247" s="13">
        <v>41.68</v>
      </c>
    </row>
    <row r="248" spans="1:20" x14ac:dyDescent="0.3">
      <c r="A248" s="11">
        <v>247</v>
      </c>
      <c r="B248" s="10">
        <v>40695</v>
      </c>
      <c r="C248" s="11">
        <v>2011</v>
      </c>
      <c r="D248" s="12" t="s">
        <v>33</v>
      </c>
      <c r="E248" s="10">
        <v>40700</v>
      </c>
      <c r="F248" s="11">
        <f t="shared" si="3"/>
        <v>5</v>
      </c>
      <c r="G248" s="11" t="s">
        <v>22</v>
      </c>
      <c r="H248" s="11" t="s">
        <v>496</v>
      </c>
      <c r="I248" s="11" t="s">
        <v>80</v>
      </c>
      <c r="J248" s="11" t="s">
        <v>1097</v>
      </c>
      <c r="K248" s="11" t="s">
        <v>497</v>
      </c>
      <c r="L248" s="11" t="s">
        <v>154</v>
      </c>
      <c r="M248" s="11" t="s">
        <v>83</v>
      </c>
      <c r="N248" s="11" t="s">
        <v>39</v>
      </c>
      <c r="O248" s="11" t="s">
        <v>72</v>
      </c>
      <c r="P248" s="11" t="s">
        <v>499</v>
      </c>
      <c r="Q248" s="13">
        <v>47.88</v>
      </c>
      <c r="R248" s="11">
        <v>6</v>
      </c>
      <c r="S248" s="28">
        <v>0</v>
      </c>
      <c r="T248" s="13">
        <v>23.94</v>
      </c>
    </row>
    <row r="249" spans="1:20" x14ac:dyDescent="0.3">
      <c r="A249" s="11">
        <v>248</v>
      </c>
      <c r="B249" s="10">
        <v>40695</v>
      </c>
      <c r="C249" s="11">
        <v>2011</v>
      </c>
      <c r="D249" s="12" t="s">
        <v>33</v>
      </c>
      <c r="E249" s="10">
        <v>40700</v>
      </c>
      <c r="F249" s="11">
        <f t="shared" si="3"/>
        <v>5</v>
      </c>
      <c r="G249" s="11" t="s">
        <v>22</v>
      </c>
      <c r="H249" s="11" t="s">
        <v>496</v>
      </c>
      <c r="I249" s="11" t="s">
        <v>80</v>
      </c>
      <c r="J249" s="11" t="s">
        <v>1097</v>
      </c>
      <c r="K249" s="11" t="s">
        <v>497</v>
      </c>
      <c r="L249" s="11" t="s">
        <v>154</v>
      </c>
      <c r="M249" s="11" t="s">
        <v>83</v>
      </c>
      <c r="N249" s="11" t="s">
        <v>39</v>
      </c>
      <c r="O249" s="11" t="s">
        <v>63</v>
      </c>
      <c r="P249" s="11" t="s">
        <v>500</v>
      </c>
      <c r="Q249" s="13">
        <v>1503.25</v>
      </c>
      <c r="R249" s="11">
        <v>5</v>
      </c>
      <c r="S249" s="28">
        <v>0</v>
      </c>
      <c r="T249" s="13">
        <v>496.07249999999999</v>
      </c>
    </row>
    <row r="250" spans="1:20" x14ac:dyDescent="0.3">
      <c r="A250" s="11">
        <v>249</v>
      </c>
      <c r="B250" s="10">
        <v>40695</v>
      </c>
      <c r="C250" s="11">
        <v>2011</v>
      </c>
      <c r="D250" s="12" t="s">
        <v>33</v>
      </c>
      <c r="E250" s="10">
        <v>40700</v>
      </c>
      <c r="F250" s="11">
        <f t="shared" si="3"/>
        <v>5</v>
      </c>
      <c r="G250" s="11" t="s">
        <v>22</v>
      </c>
      <c r="H250" s="11" t="s">
        <v>496</v>
      </c>
      <c r="I250" s="11" t="s">
        <v>80</v>
      </c>
      <c r="J250" s="11" t="s">
        <v>1097</v>
      </c>
      <c r="K250" s="11" t="s">
        <v>497</v>
      </c>
      <c r="L250" s="11" t="s">
        <v>154</v>
      </c>
      <c r="M250" s="11" t="s">
        <v>83</v>
      </c>
      <c r="N250" s="11" t="s">
        <v>39</v>
      </c>
      <c r="O250" s="11" t="s">
        <v>72</v>
      </c>
      <c r="P250" s="11" t="s">
        <v>419</v>
      </c>
      <c r="Q250" s="13">
        <v>25.92</v>
      </c>
      <c r="R250" s="11">
        <v>4</v>
      </c>
      <c r="S250" s="28">
        <v>0</v>
      </c>
      <c r="T250" s="13">
        <v>12.441599999999999</v>
      </c>
    </row>
    <row r="251" spans="1:20" x14ac:dyDescent="0.3">
      <c r="A251" s="11">
        <v>250</v>
      </c>
      <c r="B251" s="10">
        <v>41619</v>
      </c>
      <c r="C251" s="11">
        <v>2013</v>
      </c>
      <c r="D251" s="12" t="s">
        <v>74</v>
      </c>
      <c r="E251" s="10">
        <v>41624</v>
      </c>
      <c r="F251" s="11">
        <f t="shared" si="3"/>
        <v>5</v>
      </c>
      <c r="G251" s="11" t="s">
        <v>22</v>
      </c>
      <c r="H251" s="11" t="s">
        <v>501</v>
      </c>
      <c r="I251" s="11" t="s">
        <v>24</v>
      </c>
      <c r="J251" s="11" t="s">
        <v>1097</v>
      </c>
      <c r="K251" s="11" t="s">
        <v>97</v>
      </c>
      <c r="L251" s="11" t="s">
        <v>37</v>
      </c>
      <c r="M251" s="11" t="s">
        <v>38</v>
      </c>
      <c r="N251" s="11" t="s">
        <v>28</v>
      </c>
      <c r="O251" s="11" t="s">
        <v>31</v>
      </c>
      <c r="P251" s="11" t="s">
        <v>502</v>
      </c>
      <c r="Q251" s="13">
        <v>321.56799999999998</v>
      </c>
      <c r="R251" s="11">
        <v>2</v>
      </c>
      <c r="S251" s="28">
        <v>0.2</v>
      </c>
      <c r="T251" s="13">
        <v>28.1372</v>
      </c>
    </row>
    <row r="252" spans="1:20" x14ac:dyDescent="0.3">
      <c r="A252" s="11">
        <v>251</v>
      </c>
      <c r="B252" s="10">
        <v>41529</v>
      </c>
      <c r="C252" s="11">
        <v>2013</v>
      </c>
      <c r="D252" s="12" t="s">
        <v>112</v>
      </c>
      <c r="E252" s="10">
        <v>41535</v>
      </c>
      <c r="F252" s="11">
        <f t="shared" si="3"/>
        <v>6</v>
      </c>
      <c r="G252" s="11" t="s">
        <v>44</v>
      </c>
      <c r="H252" s="11" t="s">
        <v>503</v>
      </c>
      <c r="I252" s="11" t="s">
        <v>24</v>
      </c>
      <c r="J252" s="11" t="s">
        <v>1097</v>
      </c>
      <c r="K252" s="11" t="s">
        <v>504</v>
      </c>
      <c r="L252" s="11" t="s">
        <v>37</v>
      </c>
      <c r="M252" s="11" t="s">
        <v>38</v>
      </c>
      <c r="N252" s="11" t="s">
        <v>39</v>
      </c>
      <c r="O252" s="11" t="s">
        <v>72</v>
      </c>
      <c r="P252" s="11" t="s">
        <v>505</v>
      </c>
      <c r="Q252" s="13">
        <v>7.61</v>
      </c>
      <c r="R252" s="11">
        <v>1</v>
      </c>
      <c r="S252" s="28">
        <v>0</v>
      </c>
      <c r="T252" s="13">
        <v>3.5767000000000002</v>
      </c>
    </row>
    <row r="253" spans="1:20" x14ac:dyDescent="0.3">
      <c r="A253" s="11">
        <v>252</v>
      </c>
      <c r="B253" s="10">
        <v>41529</v>
      </c>
      <c r="C253" s="11">
        <v>2013</v>
      </c>
      <c r="D253" s="12" t="s">
        <v>112</v>
      </c>
      <c r="E253" s="10">
        <v>41535</v>
      </c>
      <c r="F253" s="11">
        <f t="shared" si="3"/>
        <v>6</v>
      </c>
      <c r="G253" s="11" t="s">
        <v>44</v>
      </c>
      <c r="H253" s="11" t="s">
        <v>503</v>
      </c>
      <c r="I253" s="11" t="s">
        <v>24</v>
      </c>
      <c r="J253" s="11" t="s">
        <v>1097</v>
      </c>
      <c r="K253" s="11" t="s">
        <v>504</v>
      </c>
      <c r="L253" s="11" t="s">
        <v>37</v>
      </c>
      <c r="M253" s="11" t="s">
        <v>38</v>
      </c>
      <c r="N253" s="11" t="s">
        <v>58</v>
      </c>
      <c r="O253" s="11" t="s">
        <v>118</v>
      </c>
      <c r="P253" s="11" t="s">
        <v>486</v>
      </c>
      <c r="Q253" s="13">
        <v>3347.37</v>
      </c>
      <c r="R253" s="11">
        <v>13</v>
      </c>
      <c r="S253" s="28">
        <v>0</v>
      </c>
      <c r="T253" s="13">
        <v>636.00030000000004</v>
      </c>
    </row>
    <row r="254" spans="1:20" x14ac:dyDescent="0.3">
      <c r="A254" s="11">
        <v>253</v>
      </c>
      <c r="B254" s="10">
        <v>41619</v>
      </c>
      <c r="C254" s="11">
        <v>2013</v>
      </c>
      <c r="D254" s="12" t="s">
        <v>74</v>
      </c>
      <c r="E254" s="10">
        <v>41622</v>
      </c>
      <c r="F254" s="11">
        <f t="shared" si="3"/>
        <v>3</v>
      </c>
      <c r="G254" s="11" t="s">
        <v>132</v>
      </c>
      <c r="H254" s="11" t="s">
        <v>506</v>
      </c>
      <c r="I254" s="11" t="s">
        <v>24</v>
      </c>
      <c r="J254" s="11" t="s">
        <v>1097</v>
      </c>
      <c r="K254" s="11" t="s">
        <v>174</v>
      </c>
      <c r="L254" s="11" t="s">
        <v>175</v>
      </c>
      <c r="M254" s="11" t="s">
        <v>110</v>
      </c>
      <c r="N254" s="11" t="s">
        <v>39</v>
      </c>
      <c r="O254" s="11" t="s">
        <v>50</v>
      </c>
      <c r="P254" s="11" t="s">
        <v>507</v>
      </c>
      <c r="Q254" s="13">
        <v>80.58</v>
      </c>
      <c r="R254" s="11">
        <v>6</v>
      </c>
      <c r="S254" s="28">
        <v>0</v>
      </c>
      <c r="T254" s="13">
        <v>22.5624</v>
      </c>
    </row>
    <row r="255" spans="1:20" x14ac:dyDescent="0.3">
      <c r="A255" s="11">
        <v>254</v>
      </c>
      <c r="B255" s="10">
        <v>41619</v>
      </c>
      <c r="C255" s="11">
        <v>2013</v>
      </c>
      <c r="D255" s="12" t="s">
        <v>74</v>
      </c>
      <c r="E255" s="10">
        <v>41622</v>
      </c>
      <c r="F255" s="11">
        <f t="shared" si="3"/>
        <v>3</v>
      </c>
      <c r="G255" s="11" t="s">
        <v>132</v>
      </c>
      <c r="H255" s="11" t="s">
        <v>506</v>
      </c>
      <c r="I255" s="11" t="s">
        <v>24</v>
      </c>
      <c r="J255" s="11" t="s">
        <v>1097</v>
      </c>
      <c r="K255" s="11" t="s">
        <v>174</v>
      </c>
      <c r="L255" s="11" t="s">
        <v>175</v>
      </c>
      <c r="M255" s="11" t="s">
        <v>110</v>
      </c>
      <c r="N255" s="11" t="s">
        <v>39</v>
      </c>
      <c r="O255" s="11" t="s">
        <v>124</v>
      </c>
      <c r="P255" s="11" t="s">
        <v>508</v>
      </c>
      <c r="Q255" s="13">
        <v>361.92</v>
      </c>
      <c r="R255" s="11">
        <v>4</v>
      </c>
      <c r="S255" s="28">
        <v>0</v>
      </c>
      <c r="T255" s="13">
        <v>162.864</v>
      </c>
    </row>
    <row r="256" spans="1:20" x14ac:dyDescent="0.3">
      <c r="A256" s="11">
        <v>255</v>
      </c>
      <c r="B256" s="10">
        <v>41241</v>
      </c>
      <c r="C256" s="11">
        <v>2012</v>
      </c>
      <c r="D256" s="12" t="s">
        <v>21</v>
      </c>
      <c r="E256" s="10">
        <v>41247</v>
      </c>
      <c r="F256" s="11">
        <f t="shared" si="3"/>
        <v>6</v>
      </c>
      <c r="G256" s="11" t="s">
        <v>44</v>
      </c>
      <c r="H256" s="11" t="s">
        <v>509</v>
      </c>
      <c r="I256" s="11" t="s">
        <v>35</v>
      </c>
      <c r="J256" s="11" t="s">
        <v>1097</v>
      </c>
      <c r="K256" s="11" t="s">
        <v>193</v>
      </c>
      <c r="L256" s="11" t="s">
        <v>144</v>
      </c>
      <c r="M256" s="11" t="s">
        <v>83</v>
      </c>
      <c r="N256" s="11" t="s">
        <v>28</v>
      </c>
      <c r="O256" s="11" t="s">
        <v>54</v>
      </c>
      <c r="P256" s="11" t="s">
        <v>495</v>
      </c>
      <c r="Q256" s="13">
        <v>12.132</v>
      </c>
      <c r="R256" s="11">
        <v>9</v>
      </c>
      <c r="S256" s="28">
        <v>0.6</v>
      </c>
      <c r="T256" s="13">
        <v>-8.4923999999999999</v>
      </c>
    </row>
    <row r="257" spans="1:20" x14ac:dyDescent="0.3">
      <c r="A257" s="11">
        <v>256</v>
      </c>
      <c r="B257" s="10">
        <v>41241</v>
      </c>
      <c r="C257" s="11">
        <v>2012</v>
      </c>
      <c r="D257" s="12" t="s">
        <v>21</v>
      </c>
      <c r="E257" s="10">
        <v>41247</v>
      </c>
      <c r="F257" s="11">
        <f t="shared" si="3"/>
        <v>6</v>
      </c>
      <c r="G257" s="11" t="s">
        <v>44</v>
      </c>
      <c r="H257" s="11" t="s">
        <v>509</v>
      </c>
      <c r="I257" s="11" t="s">
        <v>35</v>
      </c>
      <c r="J257" s="11" t="s">
        <v>1097</v>
      </c>
      <c r="K257" s="11" t="s">
        <v>193</v>
      </c>
      <c r="L257" s="11" t="s">
        <v>144</v>
      </c>
      <c r="M257" s="11" t="s">
        <v>83</v>
      </c>
      <c r="N257" s="11" t="s">
        <v>39</v>
      </c>
      <c r="O257" s="11" t="s">
        <v>50</v>
      </c>
      <c r="P257" s="11" t="s">
        <v>510</v>
      </c>
      <c r="Q257" s="13">
        <v>82.367999999999995</v>
      </c>
      <c r="R257" s="11">
        <v>2</v>
      </c>
      <c r="S257" s="28">
        <v>0.2</v>
      </c>
      <c r="T257" s="13">
        <v>-19.5624</v>
      </c>
    </row>
    <row r="258" spans="1:20" x14ac:dyDescent="0.3">
      <c r="A258" s="11">
        <v>257</v>
      </c>
      <c r="B258" s="10">
        <v>41241</v>
      </c>
      <c r="C258" s="11">
        <v>2012</v>
      </c>
      <c r="D258" s="12" t="s">
        <v>21</v>
      </c>
      <c r="E258" s="10">
        <v>41247</v>
      </c>
      <c r="F258" s="11">
        <f t="shared" ref="F258:F321" si="4">_xlfn.DAYS(E258,B258)</f>
        <v>6</v>
      </c>
      <c r="G258" s="11" t="s">
        <v>44</v>
      </c>
      <c r="H258" s="11" t="s">
        <v>509</v>
      </c>
      <c r="I258" s="11" t="s">
        <v>35</v>
      </c>
      <c r="J258" s="11" t="s">
        <v>1097</v>
      </c>
      <c r="K258" s="11" t="s">
        <v>193</v>
      </c>
      <c r="L258" s="11" t="s">
        <v>144</v>
      </c>
      <c r="M258" s="11" t="s">
        <v>83</v>
      </c>
      <c r="N258" s="11" t="s">
        <v>39</v>
      </c>
      <c r="O258" s="11" t="s">
        <v>50</v>
      </c>
      <c r="P258" s="11" t="s">
        <v>357</v>
      </c>
      <c r="Q258" s="13">
        <v>53.92</v>
      </c>
      <c r="R258" s="11">
        <v>5</v>
      </c>
      <c r="S258" s="28">
        <v>0.2</v>
      </c>
      <c r="T258" s="13">
        <v>4.0439999999999996</v>
      </c>
    </row>
    <row r="259" spans="1:20" x14ac:dyDescent="0.3">
      <c r="A259" s="11">
        <v>258</v>
      </c>
      <c r="B259" s="10">
        <v>41241</v>
      </c>
      <c r="C259" s="11">
        <v>2012</v>
      </c>
      <c r="D259" s="12" t="s">
        <v>21</v>
      </c>
      <c r="E259" s="10">
        <v>41247</v>
      </c>
      <c r="F259" s="11">
        <f t="shared" si="4"/>
        <v>6</v>
      </c>
      <c r="G259" s="11" t="s">
        <v>44</v>
      </c>
      <c r="H259" s="11" t="s">
        <v>509</v>
      </c>
      <c r="I259" s="11" t="s">
        <v>35</v>
      </c>
      <c r="J259" s="11" t="s">
        <v>1097</v>
      </c>
      <c r="K259" s="11" t="s">
        <v>193</v>
      </c>
      <c r="L259" s="11" t="s">
        <v>144</v>
      </c>
      <c r="M259" s="11" t="s">
        <v>83</v>
      </c>
      <c r="N259" s="11" t="s">
        <v>58</v>
      </c>
      <c r="O259" s="11" t="s">
        <v>59</v>
      </c>
      <c r="P259" s="11" t="s">
        <v>511</v>
      </c>
      <c r="Q259" s="13">
        <v>647.904</v>
      </c>
      <c r="R259" s="11">
        <v>6</v>
      </c>
      <c r="S259" s="28">
        <v>0.2</v>
      </c>
      <c r="T259" s="13">
        <v>56.691600000000001</v>
      </c>
    </row>
    <row r="260" spans="1:20" x14ac:dyDescent="0.3">
      <c r="A260" s="11">
        <v>259</v>
      </c>
      <c r="B260" s="10">
        <v>41975</v>
      </c>
      <c r="C260" s="11">
        <v>2014</v>
      </c>
      <c r="D260" s="12" t="s">
        <v>74</v>
      </c>
      <c r="E260" s="10">
        <v>41977</v>
      </c>
      <c r="F260" s="11">
        <f t="shared" si="4"/>
        <v>2</v>
      </c>
      <c r="G260" s="11" t="s">
        <v>22</v>
      </c>
      <c r="H260" s="11" t="s">
        <v>512</v>
      </c>
      <c r="I260" s="11" t="s">
        <v>24</v>
      </c>
      <c r="J260" s="11" t="s">
        <v>1097</v>
      </c>
      <c r="K260" s="11" t="s">
        <v>174</v>
      </c>
      <c r="L260" s="11" t="s">
        <v>175</v>
      </c>
      <c r="M260" s="11" t="s">
        <v>110</v>
      </c>
      <c r="N260" s="11" t="s">
        <v>58</v>
      </c>
      <c r="O260" s="11" t="s">
        <v>118</v>
      </c>
      <c r="P260" s="11" t="s">
        <v>513</v>
      </c>
      <c r="Q260" s="13">
        <v>20.37</v>
      </c>
      <c r="R260" s="11">
        <v>3</v>
      </c>
      <c r="S260" s="28">
        <v>0</v>
      </c>
      <c r="T260" s="13">
        <v>6.9257999999999997</v>
      </c>
    </row>
    <row r="261" spans="1:20" x14ac:dyDescent="0.3">
      <c r="A261" s="11">
        <v>260</v>
      </c>
      <c r="B261" s="10">
        <v>41975</v>
      </c>
      <c r="C261" s="11">
        <v>2014</v>
      </c>
      <c r="D261" s="12" t="s">
        <v>74</v>
      </c>
      <c r="E261" s="10">
        <v>41977</v>
      </c>
      <c r="F261" s="11">
        <f t="shared" si="4"/>
        <v>2</v>
      </c>
      <c r="G261" s="11" t="s">
        <v>22</v>
      </c>
      <c r="H261" s="11" t="s">
        <v>512</v>
      </c>
      <c r="I261" s="11" t="s">
        <v>24</v>
      </c>
      <c r="J261" s="11" t="s">
        <v>1097</v>
      </c>
      <c r="K261" s="11" t="s">
        <v>174</v>
      </c>
      <c r="L261" s="11" t="s">
        <v>175</v>
      </c>
      <c r="M261" s="11" t="s">
        <v>110</v>
      </c>
      <c r="N261" s="11" t="s">
        <v>39</v>
      </c>
      <c r="O261" s="11" t="s">
        <v>50</v>
      </c>
      <c r="P261" s="11" t="s">
        <v>514</v>
      </c>
      <c r="Q261" s="13">
        <v>221.55</v>
      </c>
      <c r="R261" s="11">
        <v>3</v>
      </c>
      <c r="S261" s="28">
        <v>0</v>
      </c>
      <c r="T261" s="13">
        <v>6.6464999999999996</v>
      </c>
    </row>
    <row r="262" spans="1:20" x14ac:dyDescent="0.3">
      <c r="A262" s="11">
        <v>261</v>
      </c>
      <c r="B262" s="10">
        <v>41975</v>
      </c>
      <c r="C262" s="11">
        <v>2014</v>
      </c>
      <c r="D262" s="12" t="s">
        <v>74</v>
      </c>
      <c r="E262" s="10">
        <v>41977</v>
      </c>
      <c r="F262" s="11">
        <f t="shared" si="4"/>
        <v>2</v>
      </c>
      <c r="G262" s="11" t="s">
        <v>22</v>
      </c>
      <c r="H262" s="11" t="s">
        <v>512</v>
      </c>
      <c r="I262" s="11" t="s">
        <v>24</v>
      </c>
      <c r="J262" s="11" t="s">
        <v>1097</v>
      </c>
      <c r="K262" s="11" t="s">
        <v>174</v>
      </c>
      <c r="L262" s="11" t="s">
        <v>175</v>
      </c>
      <c r="M262" s="11" t="s">
        <v>110</v>
      </c>
      <c r="N262" s="11" t="s">
        <v>39</v>
      </c>
      <c r="O262" s="11" t="s">
        <v>61</v>
      </c>
      <c r="P262" s="11" t="s">
        <v>515</v>
      </c>
      <c r="Q262" s="13">
        <v>17.52</v>
      </c>
      <c r="R262" s="11">
        <v>5</v>
      </c>
      <c r="S262" s="28">
        <v>0.2</v>
      </c>
      <c r="T262" s="13">
        <v>6.1319999999999997</v>
      </c>
    </row>
    <row r="263" spans="1:20" x14ac:dyDescent="0.3">
      <c r="A263" s="11">
        <v>262</v>
      </c>
      <c r="B263" s="10">
        <v>41799</v>
      </c>
      <c r="C263" s="11">
        <v>2014</v>
      </c>
      <c r="D263" s="12" t="s">
        <v>33</v>
      </c>
      <c r="E263" s="10">
        <v>41803</v>
      </c>
      <c r="F263" s="11">
        <f t="shared" si="4"/>
        <v>4</v>
      </c>
      <c r="G263" s="11" t="s">
        <v>44</v>
      </c>
      <c r="H263" s="11" t="s">
        <v>516</v>
      </c>
      <c r="I263" s="11" t="s">
        <v>35</v>
      </c>
      <c r="J263" s="11" t="s">
        <v>1097</v>
      </c>
      <c r="K263" s="11" t="s">
        <v>340</v>
      </c>
      <c r="L263" s="11" t="s">
        <v>82</v>
      </c>
      <c r="M263" s="11" t="s">
        <v>83</v>
      </c>
      <c r="N263" s="11" t="s">
        <v>39</v>
      </c>
      <c r="O263" s="11" t="s">
        <v>63</v>
      </c>
      <c r="P263" s="11" t="s">
        <v>517</v>
      </c>
      <c r="Q263" s="13">
        <v>1.6240000000000001</v>
      </c>
      <c r="R263" s="11">
        <v>2</v>
      </c>
      <c r="S263" s="28">
        <v>0.8</v>
      </c>
      <c r="T263" s="13">
        <v>-4.4660000000000002</v>
      </c>
    </row>
    <row r="264" spans="1:20" x14ac:dyDescent="0.3">
      <c r="A264" s="11">
        <v>263</v>
      </c>
      <c r="B264" s="10">
        <v>40805</v>
      </c>
      <c r="C264" s="11">
        <v>2011</v>
      </c>
      <c r="D264" s="12" t="s">
        <v>112</v>
      </c>
      <c r="E264" s="10">
        <v>40807</v>
      </c>
      <c r="F264" s="11">
        <f t="shared" si="4"/>
        <v>2</v>
      </c>
      <c r="G264" s="11" t="s">
        <v>22</v>
      </c>
      <c r="H264" s="11" t="s">
        <v>518</v>
      </c>
      <c r="I264" s="11" t="s">
        <v>35</v>
      </c>
      <c r="J264" s="11" t="s">
        <v>1097</v>
      </c>
      <c r="K264" s="11" t="s">
        <v>130</v>
      </c>
      <c r="L264" s="11" t="s">
        <v>82</v>
      </c>
      <c r="M264" s="11" t="s">
        <v>83</v>
      </c>
      <c r="N264" s="11" t="s">
        <v>58</v>
      </c>
      <c r="O264" s="11" t="s">
        <v>378</v>
      </c>
      <c r="P264" s="11" t="s">
        <v>379</v>
      </c>
      <c r="Q264" s="13">
        <v>3059.982</v>
      </c>
      <c r="R264" s="11">
        <v>3</v>
      </c>
      <c r="S264" s="28">
        <v>0.4</v>
      </c>
      <c r="T264" s="13">
        <v>-509.99700000000001</v>
      </c>
    </row>
    <row r="265" spans="1:20" x14ac:dyDescent="0.3">
      <c r="A265" s="11">
        <v>264</v>
      </c>
      <c r="B265" s="10">
        <v>40805</v>
      </c>
      <c r="C265" s="11">
        <v>2011</v>
      </c>
      <c r="D265" s="12" t="s">
        <v>112</v>
      </c>
      <c r="E265" s="10">
        <v>40807</v>
      </c>
      <c r="F265" s="11">
        <f t="shared" si="4"/>
        <v>2</v>
      </c>
      <c r="G265" s="11" t="s">
        <v>22</v>
      </c>
      <c r="H265" s="11" t="s">
        <v>518</v>
      </c>
      <c r="I265" s="11" t="s">
        <v>35</v>
      </c>
      <c r="J265" s="11" t="s">
        <v>1097</v>
      </c>
      <c r="K265" s="11" t="s">
        <v>130</v>
      </c>
      <c r="L265" s="11" t="s">
        <v>82</v>
      </c>
      <c r="M265" s="11" t="s">
        <v>83</v>
      </c>
      <c r="N265" s="11" t="s">
        <v>58</v>
      </c>
      <c r="O265" s="11" t="s">
        <v>378</v>
      </c>
      <c r="P265" s="11" t="s">
        <v>519</v>
      </c>
      <c r="Q265" s="13">
        <v>2519.9580000000001</v>
      </c>
      <c r="R265" s="11">
        <v>7</v>
      </c>
      <c r="S265" s="28">
        <v>0.4</v>
      </c>
      <c r="T265" s="13">
        <v>-251.9958</v>
      </c>
    </row>
    <row r="266" spans="1:20" x14ac:dyDescent="0.3">
      <c r="A266" s="11">
        <v>265</v>
      </c>
      <c r="B266" s="10">
        <v>41432</v>
      </c>
      <c r="C266" s="11">
        <v>2013</v>
      </c>
      <c r="D266" s="12" t="s">
        <v>33</v>
      </c>
      <c r="E266" s="10">
        <v>41439</v>
      </c>
      <c r="F266" s="11">
        <f t="shared" si="4"/>
        <v>7</v>
      </c>
      <c r="G266" s="11" t="s">
        <v>44</v>
      </c>
      <c r="H266" s="11" t="s">
        <v>520</v>
      </c>
      <c r="I266" s="11" t="s">
        <v>24</v>
      </c>
      <c r="J266" s="11" t="s">
        <v>1097</v>
      </c>
      <c r="K266" s="11" t="s">
        <v>193</v>
      </c>
      <c r="L266" s="11" t="s">
        <v>144</v>
      </c>
      <c r="M266" s="11" t="s">
        <v>83</v>
      </c>
      <c r="N266" s="11" t="s">
        <v>58</v>
      </c>
      <c r="O266" s="11" t="s">
        <v>59</v>
      </c>
      <c r="P266" s="11" t="s">
        <v>521</v>
      </c>
      <c r="Q266" s="13">
        <v>328.22399999999999</v>
      </c>
      <c r="R266" s="11">
        <v>4</v>
      </c>
      <c r="S266" s="28">
        <v>0.2</v>
      </c>
      <c r="T266" s="13">
        <v>28.7196</v>
      </c>
    </row>
    <row r="267" spans="1:20" x14ac:dyDescent="0.3">
      <c r="A267" s="11">
        <v>266</v>
      </c>
      <c r="B267" s="10">
        <v>41223</v>
      </c>
      <c r="C267" s="11">
        <v>2012</v>
      </c>
      <c r="D267" s="12" t="s">
        <v>21</v>
      </c>
      <c r="E267" s="10">
        <v>41228</v>
      </c>
      <c r="F267" s="11">
        <f t="shared" si="4"/>
        <v>5</v>
      </c>
      <c r="G267" s="11" t="s">
        <v>44</v>
      </c>
      <c r="H267" s="11" t="s">
        <v>522</v>
      </c>
      <c r="I267" s="11" t="s">
        <v>24</v>
      </c>
      <c r="J267" s="11" t="s">
        <v>1097</v>
      </c>
      <c r="K267" s="11" t="s">
        <v>523</v>
      </c>
      <c r="L267" s="11" t="s">
        <v>37</v>
      </c>
      <c r="M267" s="11" t="s">
        <v>38</v>
      </c>
      <c r="N267" s="11" t="s">
        <v>58</v>
      </c>
      <c r="O267" s="11" t="s">
        <v>118</v>
      </c>
      <c r="P267" s="11" t="s">
        <v>524</v>
      </c>
      <c r="Q267" s="13">
        <v>79.900000000000006</v>
      </c>
      <c r="R267" s="11">
        <v>2</v>
      </c>
      <c r="S267" s="28">
        <v>0</v>
      </c>
      <c r="T267" s="13">
        <v>35.155999999999999</v>
      </c>
    </row>
    <row r="268" spans="1:20" x14ac:dyDescent="0.3">
      <c r="A268" s="11">
        <v>267</v>
      </c>
      <c r="B268" s="10">
        <v>41807</v>
      </c>
      <c r="C268" s="11">
        <v>2014</v>
      </c>
      <c r="D268" s="12" t="s">
        <v>33</v>
      </c>
      <c r="E268" s="10">
        <v>41811</v>
      </c>
      <c r="F268" s="11">
        <f t="shared" si="4"/>
        <v>4</v>
      </c>
      <c r="G268" s="11" t="s">
        <v>44</v>
      </c>
      <c r="H268" s="11" t="s">
        <v>525</v>
      </c>
      <c r="I268" s="11" t="s">
        <v>35</v>
      </c>
      <c r="J268" s="11" t="s">
        <v>1097</v>
      </c>
      <c r="K268" s="11" t="s">
        <v>526</v>
      </c>
      <c r="L268" s="11" t="s">
        <v>71</v>
      </c>
      <c r="M268" s="11" t="s">
        <v>27</v>
      </c>
      <c r="N268" s="11" t="s">
        <v>39</v>
      </c>
      <c r="O268" s="11" t="s">
        <v>56</v>
      </c>
      <c r="P268" s="11" t="s">
        <v>527</v>
      </c>
      <c r="Q268" s="13">
        <v>14.016</v>
      </c>
      <c r="R268" s="11">
        <v>3</v>
      </c>
      <c r="S268" s="28">
        <v>0.2</v>
      </c>
      <c r="T268" s="13">
        <v>4.7304000000000004</v>
      </c>
    </row>
    <row r="269" spans="1:20" x14ac:dyDescent="0.3">
      <c r="A269" s="11">
        <v>268</v>
      </c>
      <c r="B269" s="10">
        <v>41296</v>
      </c>
      <c r="C269" s="11">
        <v>2013</v>
      </c>
      <c r="D269" s="12" t="s">
        <v>115</v>
      </c>
      <c r="E269" s="10">
        <v>41302</v>
      </c>
      <c r="F269" s="11">
        <f t="shared" si="4"/>
        <v>6</v>
      </c>
      <c r="G269" s="11" t="s">
        <v>44</v>
      </c>
      <c r="H269" s="11" t="s">
        <v>235</v>
      </c>
      <c r="I269" s="11" t="s">
        <v>24</v>
      </c>
      <c r="J269" s="11" t="s">
        <v>1097</v>
      </c>
      <c r="K269" s="11" t="s">
        <v>528</v>
      </c>
      <c r="L269" s="11" t="s">
        <v>429</v>
      </c>
      <c r="M269" s="11" t="s">
        <v>110</v>
      </c>
      <c r="N269" s="11" t="s">
        <v>39</v>
      </c>
      <c r="O269" s="11" t="s">
        <v>176</v>
      </c>
      <c r="P269" s="11" t="s">
        <v>529</v>
      </c>
      <c r="Q269" s="13">
        <v>7.56</v>
      </c>
      <c r="R269" s="11">
        <v>6</v>
      </c>
      <c r="S269" s="28">
        <v>0</v>
      </c>
      <c r="T269" s="13">
        <v>0.3024</v>
      </c>
    </row>
    <row r="270" spans="1:20" x14ac:dyDescent="0.3">
      <c r="A270" s="11">
        <v>269</v>
      </c>
      <c r="B270" s="10">
        <v>41983</v>
      </c>
      <c r="C270" s="11">
        <v>2014</v>
      </c>
      <c r="D270" s="12" t="s">
        <v>74</v>
      </c>
      <c r="E270" s="10">
        <v>41987</v>
      </c>
      <c r="F270" s="11">
        <f t="shared" si="4"/>
        <v>4</v>
      </c>
      <c r="G270" s="11" t="s">
        <v>44</v>
      </c>
      <c r="H270" s="11" t="s">
        <v>530</v>
      </c>
      <c r="I270" s="11" t="s">
        <v>35</v>
      </c>
      <c r="J270" s="11" t="s">
        <v>1097</v>
      </c>
      <c r="K270" s="11" t="s">
        <v>531</v>
      </c>
      <c r="L270" s="11" t="s">
        <v>289</v>
      </c>
      <c r="M270" s="11" t="s">
        <v>110</v>
      </c>
      <c r="N270" s="11" t="s">
        <v>39</v>
      </c>
      <c r="O270" s="11" t="s">
        <v>50</v>
      </c>
      <c r="P270" s="11" t="s">
        <v>532</v>
      </c>
      <c r="Q270" s="13">
        <v>37.207999999999998</v>
      </c>
      <c r="R270" s="11">
        <v>1</v>
      </c>
      <c r="S270" s="28">
        <v>0.2</v>
      </c>
      <c r="T270" s="13">
        <v>-7.4416000000000002</v>
      </c>
    </row>
    <row r="271" spans="1:20" x14ac:dyDescent="0.3">
      <c r="A271" s="11">
        <v>270</v>
      </c>
      <c r="B271" s="10">
        <v>41983</v>
      </c>
      <c r="C271" s="11">
        <v>2014</v>
      </c>
      <c r="D271" s="12" t="s">
        <v>74</v>
      </c>
      <c r="E271" s="10">
        <v>41987</v>
      </c>
      <c r="F271" s="11">
        <f t="shared" si="4"/>
        <v>4</v>
      </c>
      <c r="G271" s="11" t="s">
        <v>44</v>
      </c>
      <c r="H271" s="11" t="s">
        <v>530</v>
      </c>
      <c r="I271" s="11" t="s">
        <v>35</v>
      </c>
      <c r="J271" s="11" t="s">
        <v>1097</v>
      </c>
      <c r="K271" s="11" t="s">
        <v>531</v>
      </c>
      <c r="L271" s="11" t="s">
        <v>289</v>
      </c>
      <c r="M271" s="11" t="s">
        <v>110</v>
      </c>
      <c r="N271" s="11" t="s">
        <v>39</v>
      </c>
      <c r="O271" s="11" t="s">
        <v>124</v>
      </c>
      <c r="P271" s="11" t="s">
        <v>533</v>
      </c>
      <c r="Q271" s="13">
        <v>57.576000000000001</v>
      </c>
      <c r="R271" s="11">
        <v>3</v>
      </c>
      <c r="S271" s="28">
        <v>0.2</v>
      </c>
      <c r="T271" s="13">
        <v>21.591000000000001</v>
      </c>
    </row>
    <row r="272" spans="1:20" x14ac:dyDescent="0.3">
      <c r="A272" s="11">
        <v>271</v>
      </c>
      <c r="B272" s="10">
        <v>42002</v>
      </c>
      <c r="C272" s="11">
        <v>2014</v>
      </c>
      <c r="D272" s="12" t="s">
        <v>74</v>
      </c>
      <c r="E272" s="10">
        <v>42007</v>
      </c>
      <c r="F272" s="11">
        <f t="shared" si="4"/>
        <v>5</v>
      </c>
      <c r="G272" s="11" t="s">
        <v>22</v>
      </c>
      <c r="H272" s="11" t="s">
        <v>534</v>
      </c>
      <c r="I272" s="11" t="s">
        <v>35</v>
      </c>
      <c r="J272" s="11" t="s">
        <v>1097</v>
      </c>
      <c r="K272" s="11" t="s">
        <v>97</v>
      </c>
      <c r="L272" s="11" t="s">
        <v>37</v>
      </c>
      <c r="M272" s="11" t="s">
        <v>38</v>
      </c>
      <c r="N272" s="11" t="s">
        <v>39</v>
      </c>
      <c r="O272" s="11" t="s">
        <v>50</v>
      </c>
      <c r="P272" s="11" t="s">
        <v>535</v>
      </c>
      <c r="Q272" s="13">
        <v>725.84</v>
      </c>
      <c r="R272" s="11">
        <v>4</v>
      </c>
      <c r="S272" s="28">
        <v>0</v>
      </c>
      <c r="T272" s="13">
        <v>210.49359999999999</v>
      </c>
    </row>
    <row r="273" spans="1:20" x14ac:dyDescent="0.3">
      <c r="A273" s="11">
        <v>272</v>
      </c>
      <c r="B273" s="10">
        <v>41120</v>
      </c>
      <c r="C273" s="11">
        <v>2012</v>
      </c>
      <c r="D273" s="12" t="s">
        <v>106</v>
      </c>
      <c r="E273" s="10">
        <v>41121</v>
      </c>
      <c r="F273" s="11">
        <f t="shared" si="4"/>
        <v>1</v>
      </c>
      <c r="G273" s="11" t="s">
        <v>132</v>
      </c>
      <c r="H273" s="11" t="s">
        <v>339</v>
      </c>
      <c r="I273" s="11" t="s">
        <v>24</v>
      </c>
      <c r="J273" s="11" t="s">
        <v>1097</v>
      </c>
      <c r="K273" s="11" t="s">
        <v>97</v>
      </c>
      <c r="L273" s="11" t="s">
        <v>37</v>
      </c>
      <c r="M273" s="11" t="s">
        <v>38</v>
      </c>
      <c r="N273" s="11" t="s">
        <v>58</v>
      </c>
      <c r="O273" s="11" t="s">
        <v>118</v>
      </c>
      <c r="P273" s="11" t="s">
        <v>536</v>
      </c>
      <c r="Q273" s="13">
        <v>209.93</v>
      </c>
      <c r="R273" s="11">
        <v>7</v>
      </c>
      <c r="S273" s="28">
        <v>0</v>
      </c>
      <c r="T273" s="13">
        <v>92.369200000000006</v>
      </c>
    </row>
    <row r="274" spans="1:20" x14ac:dyDescent="0.3">
      <c r="A274" s="11">
        <v>273</v>
      </c>
      <c r="B274" s="10">
        <v>41120</v>
      </c>
      <c r="C274" s="11">
        <v>2012</v>
      </c>
      <c r="D274" s="12" t="s">
        <v>106</v>
      </c>
      <c r="E274" s="10">
        <v>41121</v>
      </c>
      <c r="F274" s="11">
        <f t="shared" si="4"/>
        <v>1</v>
      </c>
      <c r="G274" s="11" t="s">
        <v>132</v>
      </c>
      <c r="H274" s="11" t="s">
        <v>339</v>
      </c>
      <c r="I274" s="11" t="s">
        <v>24</v>
      </c>
      <c r="J274" s="11" t="s">
        <v>1097</v>
      </c>
      <c r="K274" s="11" t="s">
        <v>97</v>
      </c>
      <c r="L274" s="11" t="s">
        <v>37</v>
      </c>
      <c r="M274" s="11" t="s">
        <v>38</v>
      </c>
      <c r="N274" s="11" t="s">
        <v>28</v>
      </c>
      <c r="O274" s="11" t="s">
        <v>54</v>
      </c>
      <c r="P274" s="11" t="s">
        <v>537</v>
      </c>
      <c r="Q274" s="13">
        <v>5.28</v>
      </c>
      <c r="R274" s="11">
        <v>3</v>
      </c>
      <c r="S274" s="28">
        <v>0</v>
      </c>
      <c r="T274" s="13">
        <v>2.3231999999999999</v>
      </c>
    </row>
    <row r="275" spans="1:20" x14ac:dyDescent="0.3">
      <c r="A275" s="11">
        <v>274</v>
      </c>
      <c r="B275" s="10">
        <v>41120</v>
      </c>
      <c r="C275" s="11">
        <v>2012</v>
      </c>
      <c r="D275" s="12" t="s">
        <v>106</v>
      </c>
      <c r="E275" s="10">
        <v>41121</v>
      </c>
      <c r="F275" s="11">
        <f t="shared" si="4"/>
        <v>1</v>
      </c>
      <c r="G275" s="11" t="s">
        <v>132</v>
      </c>
      <c r="H275" s="11" t="s">
        <v>339</v>
      </c>
      <c r="I275" s="11" t="s">
        <v>24</v>
      </c>
      <c r="J275" s="11" t="s">
        <v>1097</v>
      </c>
      <c r="K275" s="11" t="s">
        <v>97</v>
      </c>
      <c r="L275" s="11" t="s">
        <v>37</v>
      </c>
      <c r="M275" s="11" t="s">
        <v>38</v>
      </c>
      <c r="N275" s="11" t="s">
        <v>39</v>
      </c>
      <c r="O275" s="11" t="s">
        <v>61</v>
      </c>
      <c r="P275" s="11" t="s">
        <v>538</v>
      </c>
      <c r="Q275" s="13">
        <v>10.92</v>
      </c>
      <c r="R275" s="11">
        <v>3</v>
      </c>
      <c r="S275" s="28">
        <v>0.2</v>
      </c>
      <c r="T275" s="13">
        <v>4.0949999999999998</v>
      </c>
    </row>
    <row r="276" spans="1:20" x14ac:dyDescent="0.3">
      <c r="A276" s="11">
        <v>275</v>
      </c>
      <c r="B276" s="10">
        <v>41899</v>
      </c>
      <c r="C276" s="11">
        <v>2014</v>
      </c>
      <c r="D276" s="12" t="s">
        <v>112</v>
      </c>
      <c r="E276" s="10">
        <v>41900</v>
      </c>
      <c r="F276" s="11">
        <f t="shared" si="4"/>
        <v>1</v>
      </c>
      <c r="G276" s="11" t="s">
        <v>132</v>
      </c>
      <c r="H276" s="11" t="s">
        <v>539</v>
      </c>
      <c r="I276" s="11" t="s">
        <v>35</v>
      </c>
      <c r="J276" s="11" t="s">
        <v>1097</v>
      </c>
      <c r="K276" s="11" t="s">
        <v>540</v>
      </c>
      <c r="L276" s="11" t="s">
        <v>37</v>
      </c>
      <c r="M276" s="11" t="s">
        <v>38</v>
      </c>
      <c r="N276" s="11" t="s">
        <v>39</v>
      </c>
      <c r="O276" s="11" t="s">
        <v>72</v>
      </c>
      <c r="P276" s="11" t="s">
        <v>541</v>
      </c>
      <c r="Q276" s="13">
        <v>8.82</v>
      </c>
      <c r="R276" s="11">
        <v>2</v>
      </c>
      <c r="S276" s="28">
        <v>0</v>
      </c>
      <c r="T276" s="13">
        <v>4.0571999999999999</v>
      </c>
    </row>
    <row r="277" spans="1:20" x14ac:dyDescent="0.3">
      <c r="A277" s="11">
        <v>276</v>
      </c>
      <c r="B277" s="10">
        <v>41899</v>
      </c>
      <c r="C277" s="11">
        <v>2014</v>
      </c>
      <c r="D277" s="12" t="s">
        <v>112</v>
      </c>
      <c r="E277" s="10">
        <v>41900</v>
      </c>
      <c r="F277" s="11">
        <f t="shared" si="4"/>
        <v>1</v>
      </c>
      <c r="G277" s="11" t="s">
        <v>132</v>
      </c>
      <c r="H277" s="11" t="s">
        <v>539</v>
      </c>
      <c r="I277" s="11" t="s">
        <v>35</v>
      </c>
      <c r="J277" s="11" t="s">
        <v>1097</v>
      </c>
      <c r="K277" s="11" t="s">
        <v>540</v>
      </c>
      <c r="L277" s="11" t="s">
        <v>37</v>
      </c>
      <c r="M277" s="11" t="s">
        <v>38</v>
      </c>
      <c r="N277" s="11" t="s">
        <v>39</v>
      </c>
      <c r="O277" s="11" t="s">
        <v>56</v>
      </c>
      <c r="P277" s="11" t="s">
        <v>542</v>
      </c>
      <c r="Q277" s="13">
        <v>5.98</v>
      </c>
      <c r="R277" s="11">
        <v>1</v>
      </c>
      <c r="S277" s="28">
        <v>0</v>
      </c>
      <c r="T277" s="13">
        <v>1.5548</v>
      </c>
    </row>
    <row r="278" spans="1:20" x14ac:dyDescent="0.3">
      <c r="A278" s="11">
        <v>277</v>
      </c>
      <c r="B278" s="10">
        <v>41926</v>
      </c>
      <c r="C278" s="11">
        <v>2014</v>
      </c>
      <c r="D278" s="12" t="s">
        <v>43</v>
      </c>
      <c r="E278" s="10">
        <v>41930</v>
      </c>
      <c r="F278" s="11">
        <f t="shared" si="4"/>
        <v>4</v>
      </c>
      <c r="G278" s="11" t="s">
        <v>44</v>
      </c>
      <c r="H278" s="11" t="s">
        <v>543</v>
      </c>
      <c r="I278" s="11" t="s">
        <v>35</v>
      </c>
      <c r="J278" s="11" t="s">
        <v>1097</v>
      </c>
      <c r="K278" s="11" t="s">
        <v>108</v>
      </c>
      <c r="L278" s="11" t="s">
        <v>109</v>
      </c>
      <c r="M278" s="11" t="s">
        <v>110</v>
      </c>
      <c r="N278" s="11" t="s">
        <v>39</v>
      </c>
      <c r="O278" s="11" t="s">
        <v>72</v>
      </c>
      <c r="P278" s="11" t="s">
        <v>544</v>
      </c>
      <c r="Q278" s="13">
        <v>11.648</v>
      </c>
      <c r="R278" s="11">
        <v>2</v>
      </c>
      <c r="S278" s="28">
        <v>0.2</v>
      </c>
      <c r="T278" s="13">
        <v>4.0768000000000004</v>
      </c>
    </row>
    <row r="279" spans="1:20" x14ac:dyDescent="0.3">
      <c r="A279" s="11">
        <v>278</v>
      </c>
      <c r="B279" s="10">
        <v>41926</v>
      </c>
      <c r="C279" s="11">
        <v>2014</v>
      </c>
      <c r="D279" s="12" t="s">
        <v>43</v>
      </c>
      <c r="E279" s="10">
        <v>41930</v>
      </c>
      <c r="F279" s="11">
        <f t="shared" si="4"/>
        <v>4</v>
      </c>
      <c r="G279" s="11" t="s">
        <v>44</v>
      </c>
      <c r="H279" s="11" t="s">
        <v>543</v>
      </c>
      <c r="I279" s="11" t="s">
        <v>35</v>
      </c>
      <c r="J279" s="11" t="s">
        <v>1097</v>
      </c>
      <c r="K279" s="11" t="s">
        <v>108</v>
      </c>
      <c r="L279" s="11" t="s">
        <v>109</v>
      </c>
      <c r="M279" s="11" t="s">
        <v>110</v>
      </c>
      <c r="N279" s="11" t="s">
        <v>39</v>
      </c>
      <c r="O279" s="11" t="s">
        <v>72</v>
      </c>
      <c r="P279" s="11" t="s">
        <v>545</v>
      </c>
      <c r="Q279" s="13">
        <v>18.175999999999998</v>
      </c>
      <c r="R279" s="11">
        <v>4</v>
      </c>
      <c r="S279" s="28">
        <v>0.2</v>
      </c>
      <c r="T279" s="13">
        <v>5.9071999999999996</v>
      </c>
    </row>
    <row r="280" spans="1:20" x14ac:dyDescent="0.3">
      <c r="A280" s="11">
        <v>279</v>
      </c>
      <c r="B280" s="10">
        <v>41926</v>
      </c>
      <c r="C280" s="11">
        <v>2014</v>
      </c>
      <c r="D280" s="12" t="s">
        <v>43</v>
      </c>
      <c r="E280" s="10">
        <v>41930</v>
      </c>
      <c r="F280" s="11">
        <f t="shared" si="4"/>
        <v>4</v>
      </c>
      <c r="G280" s="11" t="s">
        <v>44</v>
      </c>
      <c r="H280" s="11" t="s">
        <v>543</v>
      </c>
      <c r="I280" s="11" t="s">
        <v>35</v>
      </c>
      <c r="J280" s="11" t="s">
        <v>1097</v>
      </c>
      <c r="K280" s="11" t="s">
        <v>108</v>
      </c>
      <c r="L280" s="11" t="s">
        <v>109</v>
      </c>
      <c r="M280" s="11" t="s">
        <v>110</v>
      </c>
      <c r="N280" s="11" t="s">
        <v>39</v>
      </c>
      <c r="O280" s="11" t="s">
        <v>50</v>
      </c>
      <c r="P280" s="11" t="s">
        <v>546</v>
      </c>
      <c r="Q280" s="13">
        <v>59.712000000000003</v>
      </c>
      <c r="R280" s="11">
        <v>6</v>
      </c>
      <c r="S280" s="28">
        <v>0.2</v>
      </c>
      <c r="T280" s="13">
        <v>5.9711999999999996</v>
      </c>
    </row>
    <row r="281" spans="1:20" x14ac:dyDescent="0.3">
      <c r="A281" s="11">
        <v>280</v>
      </c>
      <c r="B281" s="10">
        <v>41926</v>
      </c>
      <c r="C281" s="11">
        <v>2014</v>
      </c>
      <c r="D281" s="12" t="s">
        <v>43</v>
      </c>
      <c r="E281" s="10">
        <v>41930</v>
      </c>
      <c r="F281" s="11">
        <f t="shared" si="4"/>
        <v>4</v>
      </c>
      <c r="G281" s="11" t="s">
        <v>44</v>
      </c>
      <c r="H281" s="11" t="s">
        <v>543</v>
      </c>
      <c r="I281" s="11" t="s">
        <v>35</v>
      </c>
      <c r="J281" s="11" t="s">
        <v>1097</v>
      </c>
      <c r="K281" s="11" t="s">
        <v>108</v>
      </c>
      <c r="L281" s="11" t="s">
        <v>109</v>
      </c>
      <c r="M281" s="11" t="s">
        <v>110</v>
      </c>
      <c r="N281" s="11" t="s">
        <v>39</v>
      </c>
      <c r="O281" s="11" t="s">
        <v>40</v>
      </c>
      <c r="P281" s="11" t="s">
        <v>547</v>
      </c>
      <c r="Q281" s="13">
        <v>24.84</v>
      </c>
      <c r="R281" s="11">
        <v>3</v>
      </c>
      <c r="S281" s="28">
        <v>0.2</v>
      </c>
      <c r="T281" s="13">
        <v>8.6940000000000008</v>
      </c>
    </row>
    <row r="282" spans="1:20" x14ac:dyDescent="0.3">
      <c r="A282" s="11">
        <v>281</v>
      </c>
      <c r="B282" s="10">
        <v>41178</v>
      </c>
      <c r="C282" s="11">
        <v>2012</v>
      </c>
      <c r="D282" s="12" t="s">
        <v>112</v>
      </c>
      <c r="E282" s="10">
        <v>41180</v>
      </c>
      <c r="F282" s="11">
        <f t="shared" si="4"/>
        <v>2</v>
      </c>
      <c r="G282" s="11" t="s">
        <v>22</v>
      </c>
      <c r="H282" s="11" t="s">
        <v>299</v>
      </c>
      <c r="I282" s="11" t="s">
        <v>24</v>
      </c>
      <c r="J282" s="11" t="s">
        <v>1097</v>
      </c>
      <c r="K282" s="11" t="s">
        <v>130</v>
      </c>
      <c r="L282" s="11" t="s">
        <v>82</v>
      </c>
      <c r="M282" s="11" t="s">
        <v>83</v>
      </c>
      <c r="N282" s="11" t="s">
        <v>39</v>
      </c>
      <c r="O282" s="11" t="s">
        <v>61</v>
      </c>
      <c r="P282" s="11" t="s">
        <v>548</v>
      </c>
      <c r="Q282" s="13">
        <v>2.08</v>
      </c>
      <c r="R282" s="11">
        <v>5</v>
      </c>
      <c r="S282" s="28">
        <v>0.8</v>
      </c>
      <c r="T282" s="13">
        <v>-3.4319999999999999</v>
      </c>
    </row>
    <row r="283" spans="1:20" x14ac:dyDescent="0.3">
      <c r="A283" s="11">
        <v>282</v>
      </c>
      <c r="B283" s="10">
        <v>41178</v>
      </c>
      <c r="C283" s="11">
        <v>2012</v>
      </c>
      <c r="D283" s="12" t="s">
        <v>112</v>
      </c>
      <c r="E283" s="10">
        <v>41180</v>
      </c>
      <c r="F283" s="11">
        <f t="shared" si="4"/>
        <v>2</v>
      </c>
      <c r="G283" s="11" t="s">
        <v>22</v>
      </c>
      <c r="H283" s="11" t="s">
        <v>299</v>
      </c>
      <c r="I283" s="11" t="s">
        <v>24</v>
      </c>
      <c r="J283" s="11" t="s">
        <v>1097</v>
      </c>
      <c r="K283" s="11" t="s">
        <v>130</v>
      </c>
      <c r="L283" s="11" t="s">
        <v>82</v>
      </c>
      <c r="M283" s="11" t="s">
        <v>83</v>
      </c>
      <c r="N283" s="11" t="s">
        <v>58</v>
      </c>
      <c r="O283" s="11" t="s">
        <v>59</v>
      </c>
      <c r="P283" s="11" t="s">
        <v>549</v>
      </c>
      <c r="Q283" s="13">
        <v>1114.4000000000001</v>
      </c>
      <c r="R283" s="11">
        <v>7</v>
      </c>
      <c r="S283" s="28">
        <v>0.2</v>
      </c>
      <c r="T283" s="13">
        <v>376.11</v>
      </c>
    </row>
    <row r="284" spans="1:20" x14ac:dyDescent="0.3">
      <c r="A284" s="11">
        <v>283</v>
      </c>
      <c r="B284" s="10">
        <v>41215</v>
      </c>
      <c r="C284" s="11">
        <v>2012</v>
      </c>
      <c r="D284" s="12" t="s">
        <v>21</v>
      </c>
      <c r="E284" s="10">
        <v>41219</v>
      </c>
      <c r="F284" s="11">
        <f t="shared" si="4"/>
        <v>4</v>
      </c>
      <c r="G284" s="11" t="s">
        <v>44</v>
      </c>
      <c r="H284" s="11" t="s">
        <v>550</v>
      </c>
      <c r="I284" s="11" t="s">
        <v>24</v>
      </c>
      <c r="J284" s="11" t="s">
        <v>1097</v>
      </c>
      <c r="K284" s="11" t="s">
        <v>36</v>
      </c>
      <c r="L284" s="11" t="s">
        <v>37</v>
      </c>
      <c r="M284" s="11" t="s">
        <v>38</v>
      </c>
      <c r="N284" s="11" t="s">
        <v>28</v>
      </c>
      <c r="O284" s="11" t="s">
        <v>48</v>
      </c>
      <c r="P284" s="11" t="s">
        <v>551</v>
      </c>
      <c r="Q284" s="13">
        <v>1038.8399999999999</v>
      </c>
      <c r="R284" s="11">
        <v>5</v>
      </c>
      <c r="S284" s="28">
        <v>0.2</v>
      </c>
      <c r="T284" s="13">
        <v>51.942</v>
      </c>
    </row>
    <row r="285" spans="1:20" x14ac:dyDescent="0.3">
      <c r="A285" s="11">
        <v>284</v>
      </c>
      <c r="B285" s="10">
        <v>41178</v>
      </c>
      <c r="C285" s="11">
        <v>2012</v>
      </c>
      <c r="D285" s="12" t="s">
        <v>112</v>
      </c>
      <c r="E285" s="10">
        <v>41184</v>
      </c>
      <c r="F285" s="11">
        <f t="shared" si="4"/>
        <v>6</v>
      </c>
      <c r="G285" s="11" t="s">
        <v>44</v>
      </c>
      <c r="H285" s="11" t="s">
        <v>120</v>
      </c>
      <c r="I285" s="11" t="s">
        <v>24</v>
      </c>
      <c r="J285" s="11" t="s">
        <v>1097</v>
      </c>
      <c r="K285" s="11" t="s">
        <v>250</v>
      </c>
      <c r="L285" s="11" t="s">
        <v>251</v>
      </c>
      <c r="M285" s="11" t="s">
        <v>38</v>
      </c>
      <c r="N285" s="11" t="s">
        <v>39</v>
      </c>
      <c r="O285" s="11" t="s">
        <v>72</v>
      </c>
      <c r="P285" s="11" t="s">
        <v>131</v>
      </c>
      <c r="Q285" s="13">
        <v>141.76</v>
      </c>
      <c r="R285" s="11">
        <v>5</v>
      </c>
      <c r="S285" s="28">
        <v>0.2</v>
      </c>
      <c r="T285" s="13">
        <v>47.844000000000001</v>
      </c>
    </row>
    <row r="286" spans="1:20" x14ac:dyDescent="0.3">
      <c r="A286" s="11">
        <v>285</v>
      </c>
      <c r="B286" s="10">
        <v>41178</v>
      </c>
      <c r="C286" s="11">
        <v>2012</v>
      </c>
      <c r="D286" s="12" t="s">
        <v>112</v>
      </c>
      <c r="E286" s="10">
        <v>41184</v>
      </c>
      <c r="F286" s="11">
        <f t="shared" si="4"/>
        <v>6</v>
      </c>
      <c r="G286" s="11" t="s">
        <v>44</v>
      </c>
      <c r="H286" s="11" t="s">
        <v>120</v>
      </c>
      <c r="I286" s="11" t="s">
        <v>24</v>
      </c>
      <c r="J286" s="11" t="s">
        <v>1097</v>
      </c>
      <c r="K286" s="11" t="s">
        <v>250</v>
      </c>
      <c r="L286" s="11" t="s">
        <v>251</v>
      </c>
      <c r="M286" s="11" t="s">
        <v>38</v>
      </c>
      <c r="N286" s="11" t="s">
        <v>58</v>
      </c>
      <c r="O286" s="11" t="s">
        <v>118</v>
      </c>
      <c r="P286" s="11" t="s">
        <v>552</v>
      </c>
      <c r="Q286" s="13">
        <v>239.8</v>
      </c>
      <c r="R286" s="11">
        <v>5</v>
      </c>
      <c r="S286" s="28">
        <v>0.2</v>
      </c>
      <c r="T286" s="13">
        <v>47.96</v>
      </c>
    </row>
    <row r="287" spans="1:20" x14ac:dyDescent="0.3">
      <c r="A287" s="11">
        <v>286</v>
      </c>
      <c r="B287" s="10">
        <v>41178</v>
      </c>
      <c r="C287" s="11">
        <v>2012</v>
      </c>
      <c r="D287" s="12" t="s">
        <v>112</v>
      </c>
      <c r="E287" s="10">
        <v>41184</v>
      </c>
      <c r="F287" s="11">
        <f t="shared" si="4"/>
        <v>6</v>
      </c>
      <c r="G287" s="11" t="s">
        <v>44</v>
      </c>
      <c r="H287" s="11" t="s">
        <v>120</v>
      </c>
      <c r="I287" s="11" t="s">
        <v>24</v>
      </c>
      <c r="J287" s="11" t="s">
        <v>1097</v>
      </c>
      <c r="K287" s="11" t="s">
        <v>250</v>
      </c>
      <c r="L287" s="11" t="s">
        <v>251</v>
      </c>
      <c r="M287" s="11" t="s">
        <v>38</v>
      </c>
      <c r="N287" s="11" t="s">
        <v>39</v>
      </c>
      <c r="O287" s="11" t="s">
        <v>72</v>
      </c>
      <c r="P287" s="11" t="s">
        <v>553</v>
      </c>
      <c r="Q287" s="13">
        <v>31.103999999999999</v>
      </c>
      <c r="R287" s="11">
        <v>6</v>
      </c>
      <c r="S287" s="28">
        <v>0.2</v>
      </c>
      <c r="T287" s="13">
        <v>10.8864</v>
      </c>
    </row>
    <row r="288" spans="1:20" x14ac:dyDescent="0.3">
      <c r="A288" s="11">
        <v>287</v>
      </c>
      <c r="B288" s="10">
        <v>41627</v>
      </c>
      <c r="C288" s="11">
        <v>2013</v>
      </c>
      <c r="D288" s="12" t="s">
        <v>74</v>
      </c>
      <c r="E288" s="10">
        <v>41629</v>
      </c>
      <c r="F288" s="11">
        <f t="shared" si="4"/>
        <v>2</v>
      </c>
      <c r="G288" s="11" t="s">
        <v>22</v>
      </c>
      <c r="H288" s="11" t="s">
        <v>554</v>
      </c>
      <c r="I288" s="11" t="s">
        <v>35</v>
      </c>
      <c r="J288" s="11" t="s">
        <v>1097</v>
      </c>
      <c r="K288" s="11" t="s">
        <v>555</v>
      </c>
      <c r="L288" s="11" t="s">
        <v>47</v>
      </c>
      <c r="M288" s="11" t="s">
        <v>27</v>
      </c>
      <c r="N288" s="11" t="s">
        <v>39</v>
      </c>
      <c r="O288" s="11" t="s">
        <v>61</v>
      </c>
      <c r="P288" s="11" t="s">
        <v>556</v>
      </c>
      <c r="Q288" s="13">
        <v>254.05799999999999</v>
      </c>
      <c r="R288" s="11">
        <v>7</v>
      </c>
      <c r="S288" s="28">
        <v>0.7</v>
      </c>
      <c r="T288" s="13">
        <v>-169.37200000000001</v>
      </c>
    </row>
    <row r="289" spans="1:20" x14ac:dyDescent="0.3">
      <c r="A289" s="11">
        <v>288</v>
      </c>
      <c r="B289" s="10">
        <v>41627</v>
      </c>
      <c r="C289" s="11">
        <v>2013</v>
      </c>
      <c r="D289" s="12" t="s">
        <v>74</v>
      </c>
      <c r="E289" s="10">
        <v>41629</v>
      </c>
      <c r="F289" s="11">
        <f t="shared" si="4"/>
        <v>2</v>
      </c>
      <c r="G289" s="11" t="s">
        <v>22</v>
      </c>
      <c r="H289" s="11" t="s">
        <v>554</v>
      </c>
      <c r="I289" s="11" t="s">
        <v>35</v>
      </c>
      <c r="J289" s="11" t="s">
        <v>1097</v>
      </c>
      <c r="K289" s="11" t="s">
        <v>555</v>
      </c>
      <c r="L289" s="11" t="s">
        <v>47</v>
      </c>
      <c r="M289" s="11" t="s">
        <v>27</v>
      </c>
      <c r="N289" s="11" t="s">
        <v>39</v>
      </c>
      <c r="O289" s="11" t="s">
        <v>63</v>
      </c>
      <c r="P289" s="11" t="s">
        <v>393</v>
      </c>
      <c r="Q289" s="13">
        <v>194.52799999999999</v>
      </c>
      <c r="R289" s="11">
        <v>2</v>
      </c>
      <c r="S289" s="28">
        <v>0.2</v>
      </c>
      <c r="T289" s="13">
        <v>24.315999999999999</v>
      </c>
    </row>
    <row r="290" spans="1:20" x14ac:dyDescent="0.3">
      <c r="A290" s="11">
        <v>289</v>
      </c>
      <c r="B290" s="10">
        <v>41627</v>
      </c>
      <c r="C290" s="11">
        <v>2013</v>
      </c>
      <c r="D290" s="12" t="s">
        <v>74</v>
      </c>
      <c r="E290" s="10">
        <v>41629</v>
      </c>
      <c r="F290" s="11">
        <f t="shared" si="4"/>
        <v>2</v>
      </c>
      <c r="G290" s="11" t="s">
        <v>22</v>
      </c>
      <c r="H290" s="11" t="s">
        <v>554</v>
      </c>
      <c r="I290" s="11" t="s">
        <v>35</v>
      </c>
      <c r="J290" s="11" t="s">
        <v>1097</v>
      </c>
      <c r="K290" s="11" t="s">
        <v>555</v>
      </c>
      <c r="L290" s="11" t="s">
        <v>47</v>
      </c>
      <c r="M290" s="11" t="s">
        <v>27</v>
      </c>
      <c r="N290" s="11" t="s">
        <v>39</v>
      </c>
      <c r="O290" s="11" t="s">
        <v>328</v>
      </c>
      <c r="P290" s="11" t="s">
        <v>557</v>
      </c>
      <c r="Q290" s="13">
        <v>961.48</v>
      </c>
      <c r="R290" s="11">
        <v>5</v>
      </c>
      <c r="S290" s="28">
        <v>0.2</v>
      </c>
      <c r="T290" s="13">
        <v>-204.31450000000001</v>
      </c>
    </row>
    <row r="291" spans="1:20" x14ac:dyDescent="0.3">
      <c r="A291" s="11">
        <v>290</v>
      </c>
      <c r="B291" s="10">
        <v>41599</v>
      </c>
      <c r="C291" s="11">
        <v>2013</v>
      </c>
      <c r="D291" s="12" t="s">
        <v>21</v>
      </c>
      <c r="E291" s="10">
        <v>41603</v>
      </c>
      <c r="F291" s="11">
        <f t="shared" si="4"/>
        <v>4</v>
      </c>
      <c r="G291" s="11" t="s">
        <v>22</v>
      </c>
      <c r="H291" s="11" t="s">
        <v>558</v>
      </c>
      <c r="I291" s="11" t="s">
        <v>80</v>
      </c>
      <c r="J291" s="11" t="s">
        <v>1097</v>
      </c>
      <c r="K291" s="11" t="s">
        <v>288</v>
      </c>
      <c r="L291" s="11" t="s">
        <v>289</v>
      </c>
      <c r="M291" s="11" t="s">
        <v>110</v>
      </c>
      <c r="N291" s="11" t="s">
        <v>39</v>
      </c>
      <c r="O291" s="11" t="s">
        <v>176</v>
      </c>
      <c r="P291" s="11" t="s">
        <v>559</v>
      </c>
      <c r="Q291" s="13">
        <v>19.096</v>
      </c>
      <c r="R291" s="11">
        <v>7</v>
      </c>
      <c r="S291" s="28">
        <v>0.2</v>
      </c>
      <c r="T291" s="13">
        <v>6.6836000000000002</v>
      </c>
    </row>
    <row r="292" spans="1:20" x14ac:dyDescent="0.3">
      <c r="A292" s="11">
        <v>291</v>
      </c>
      <c r="B292" s="10">
        <v>41599</v>
      </c>
      <c r="C292" s="11">
        <v>2013</v>
      </c>
      <c r="D292" s="12" t="s">
        <v>21</v>
      </c>
      <c r="E292" s="10">
        <v>41603</v>
      </c>
      <c r="F292" s="11">
        <f t="shared" si="4"/>
        <v>4</v>
      </c>
      <c r="G292" s="11" t="s">
        <v>22</v>
      </c>
      <c r="H292" s="11" t="s">
        <v>558</v>
      </c>
      <c r="I292" s="11" t="s">
        <v>80</v>
      </c>
      <c r="J292" s="11" t="s">
        <v>1097</v>
      </c>
      <c r="K292" s="11" t="s">
        <v>288</v>
      </c>
      <c r="L292" s="11" t="s">
        <v>289</v>
      </c>
      <c r="M292" s="11" t="s">
        <v>110</v>
      </c>
      <c r="N292" s="11" t="s">
        <v>39</v>
      </c>
      <c r="O292" s="11" t="s">
        <v>40</v>
      </c>
      <c r="P292" s="11" t="s">
        <v>560</v>
      </c>
      <c r="Q292" s="13">
        <v>18.495999999999999</v>
      </c>
      <c r="R292" s="11">
        <v>8</v>
      </c>
      <c r="S292" s="28">
        <v>0.2</v>
      </c>
      <c r="T292" s="13">
        <v>6.2423999999999999</v>
      </c>
    </row>
    <row r="293" spans="1:20" x14ac:dyDescent="0.3">
      <c r="A293" s="11">
        <v>292</v>
      </c>
      <c r="B293" s="10">
        <v>41599</v>
      </c>
      <c r="C293" s="11">
        <v>2013</v>
      </c>
      <c r="D293" s="12" t="s">
        <v>21</v>
      </c>
      <c r="E293" s="10">
        <v>41603</v>
      </c>
      <c r="F293" s="11">
        <f t="shared" si="4"/>
        <v>4</v>
      </c>
      <c r="G293" s="11" t="s">
        <v>22</v>
      </c>
      <c r="H293" s="11" t="s">
        <v>558</v>
      </c>
      <c r="I293" s="11" t="s">
        <v>80</v>
      </c>
      <c r="J293" s="11" t="s">
        <v>1097</v>
      </c>
      <c r="K293" s="11" t="s">
        <v>288</v>
      </c>
      <c r="L293" s="11" t="s">
        <v>289</v>
      </c>
      <c r="M293" s="11" t="s">
        <v>110</v>
      </c>
      <c r="N293" s="11" t="s">
        <v>58</v>
      </c>
      <c r="O293" s="11" t="s">
        <v>118</v>
      </c>
      <c r="P293" s="11" t="s">
        <v>561</v>
      </c>
      <c r="Q293" s="13">
        <v>255.98400000000001</v>
      </c>
      <c r="R293" s="11">
        <v>2</v>
      </c>
      <c r="S293" s="28">
        <v>0.2</v>
      </c>
      <c r="T293" s="13">
        <v>54.396599999999999</v>
      </c>
    </row>
    <row r="294" spans="1:20" x14ac:dyDescent="0.3">
      <c r="A294" s="11">
        <v>293</v>
      </c>
      <c r="B294" s="10">
        <v>41599</v>
      </c>
      <c r="C294" s="11">
        <v>2013</v>
      </c>
      <c r="D294" s="12" t="s">
        <v>21</v>
      </c>
      <c r="E294" s="10">
        <v>41603</v>
      </c>
      <c r="F294" s="11">
        <f t="shared" si="4"/>
        <v>4</v>
      </c>
      <c r="G294" s="11" t="s">
        <v>22</v>
      </c>
      <c r="H294" s="11" t="s">
        <v>558</v>
      </c>
      <c r="I294" s="11" t="s">
        <v>80</v>
      </c>
      <c r="J294" s="11" t="s">
        <v>1097</v>
      </c>
      <c r="K294" s="11" t="s">
        <v>288</v>
      </c>
      <c r="L294" s="11" t="s">
        <v>289</v>
      </c>
      <c r="M294" s="11" t="s">
        <v>110</v>
      </c>
      <c r="N294" s="11" t="s">
        <v>28</v>
      </c>
      <c r="O294" s="11" t="s">
        <v>29</v>
      </c>
      <c r="P294" s="11" t="s">
        <v>562</v>
      </c>
      <c r="Q294" s="13">
        <v>86.97</v>
      </c>
      <c r="R294" s="11">
        <v>3</v>
      </c>
      <c r="S294" s="28">
        <v>0.5</v>
      </c>
      <c r="T294" s="13">
        <v>-48.703200000000002</v>
      </c>
    </row>
    <row r="295" spans="1:20" x14ac:dyDescent="0.3">
      <c r="A295" s="11">
        <v>294</v>
      </c>
      <c r="B295" s="10">
        <v>40903</v>
      </c>
      <c r="C295" s="11">
        <v>2011</v>
      </c>
      <c r="D295" s="12" t="s">
        <v>74</v>
      </c>
      <c r="E295" s="10">
        <v>40905</v>
      </c>
      <c r="F295" s="11">
        <f t="shared" si="4"/>
        <v>2</v>
      </c>
      <c r="G295" s="11" t="s">
        <v>132</v>
      </c>
      <c r="H295" s="11" t="s">
        <v>563</v>
      </c>
      <c r="I295" s="11" t="s">
        <v>35</v>
      </c>
      <c r="J295" s="11" t="s">
        <v>1097</v>
      </c>
      <c r="K295" s="11" t="s">
        <v>564</v>
      </c>
      <c r="L295" s="11" t="s">
        <v>268</v>
      </c>
      <c r="M295" s="11" t="s">
        <v>38</v>
      </c>
      <c r="N295" s="11" t="s">
        <v>28</v>
      </c>
      <c r="O295" s="11" t="s">
        <v>54</v>
      </c>
      <c r="P295" s="11" t="s">
        <v>565</v>
      </c>
      <c r="Q295" s="13">
        <v>300.416</v>
      </c>
      <c r="R295" s="11">
        <v>8</v>
      </c>
      <c r="S295" s="28">
        <v>0.2</v>
      </c>
      <c r="T295" s="13">
        <v>78.859200000000001</v>
      </c>
    </row>
    <row r="296" spans="1:20" x14ac:dyDescent="0.3">
      <c r="A296" s="11">
        <v>295</v>
      </c>
      <c r="B296" s="10">
        <v>40903</v>
      </c>
      <c r="C296" s="11">
        <v>2011</v>
      </c>
      <c r="D296" s="12" t="s">
        <v>74</v>
      </c>
      <c r="E296" s="10">
        <v>40905</v>
      </c>
      <c r="F296" s="11">
        <f t="shared" si="4"/>
        <v>2</v>
      </c>
      <c r="G296" s="11" t="s">
        <v>132</v>
      </c>
      <c r="H296" s="11" t="s">
        <v>563</v>
      </c>
      <c r="I296" s="11" t="s">
        <v>35</v>
      </c>
      <c r="J296" s="11" t="s">
        <v>1097</v>
      </c>
      <c r="K296" s="11" t="s">
        <v>564</v>
      </c>
      <c r="L296" s="11" t="s">
        <v>268</v>
      </c>
      <c r="M296" s="11" t="s">
        <v>38</v>
      </c>
      <c r="N296" s="11" t="s">
        <v>28</v>
      </c>
      <c r="O296" s="11" t="s">
        <v>31</v>
      </c>
      <c r="P296" s="11" t="s">
        <v>566</v>
      </c>
      <c r="Q296" s="13">
        <v>230.352</v>
      </c>
      <c r="R296" s="11">
        <v>3</v>
      </c>
      <c r="S296" s="28">
        <v>0.2</v>
      </c>
      <c r="T296" s="13">
        <v>20.155799999999999</v>
      </c>
    </row>
    <row r="297" spans="1:20" x14ac:dyDescent="0.3">
      <c r="A297" s="11">
        <v>296</v>
      </c>
      <c r="B297" s="10">
        <v>40903</v>
      </c>
      <c r="C297" s="11">
        <v>2011</v>
      </c>
      <c r="D297" s="12" t="s">
        <v>74</v>
      </c>
      <c r="E297" s="10">
        <v>40905</v>
      </c>
      <c r="F297" s="11">
        <f t="shared" si="4"/>
        <v>2</v>
      </c>
      <c r="G297" s="11" t="s">
        <v>132</v>
      </c>
      <c r="H297" s="11" t="s">
        <v>563</v>
      </c>
      <c r="I297" s="11" t="s">
        <v>35</v>
      </c>
      <c r="J297" s="11" t="s">
        <v>1097</v>
      </c>
      <c r="K297" s="11" t="s">
        <v>564</v>
      </c>
      <c r="L297" s="11" t="s">
        <v>268</v>
      </c>
      <c r="M297" s="11" t="s">
        <v>38</v>
      </c>
      <c r="N297" s="11" t="s">
        <v>28</v>
      </c>
      <c r="O297" s="11" t="s">
        <v>54</v>
      </c>
      <c r="P297" s="11" t="s">
        <v>567</v>
      </c>
      <c r="Q297" s="13">
        <v>218.352</v>
      </c>
      <c r="R297" s="11">
        <v>3</v>
      </c>
      <c r="S297" s="28">
        <v>0.2</v>
      </c>
      <c r="T297" s="13">
        <v>-24.564599999999999</v>
      </c>
    </row>
    <row r="298" spans="1:20" x14ac:dyDescent="0.3">
      <c r="A298" s="11">
        <v>297</v>
      </c>
      <c r="B298" s="10">
        <v>40903</v>
      </c>
      <c r="C298" s="11">
        <v>2011</v>
      </c>
      <c r="D298" s="12" t="s">
        <v>74</v>
      </c>
      <c r="E298" s="10">
        <v>40905</v>
      </c>
      <c r="F298" s="11">
        <f t="shared" si="4"/>
        <v>2</v>
      </c>
      <c r="G298" s="11" t="s">
        <v>132</v>
      </c>
      <c r="H298" s="11" t="s">
        <v>563</v>
      </c>
      <c r="I298" s="11" t="s">
        <v>35</v>
      </c>
      <c r="J298" s="11" t="s">
        <v>1097</v>
      </c>
      <c r="K298" s="11" t="s">
        <v>564</v>
      </c>
      <c r="L298" s="11" t="s">
        <v>268</v>
      </c>
      <c r="M298" s="11" t="s">
        <v>38</v>
      </c>
      <c r="N298" s="11" t="s">
        <v>39</v>
      </c>
      <c r="O298" s="11" t="s">
        <v>61</v>
      </c>
      <c r="P298" s="11" t="s">
        <v>568</v>
      </c>
      <c r="Q298" s="13">
        <v>78.599999999999994</v>
      </c>
      <c r="R298" s="11">
        <v>5</v>
      </c>
      <c r="S298" s="28">
        <v>0.7</v>
      </c>
      <c r="T298" s="13">
        <v>-62.88</v>
      </c>
    </row>
    <row r="299" spans="1:20" x14ac:dyDescent="0.3">
      <c r="A299" s="11">
        <v>298</v>
      </c>
      <c r="B299" s="10">
        <v>40903</v>
      </c>
      <c r="C299" s="11">
        <v>2011</v>
      </c>
      <c r="D299" s="12" t="s">
        <v>74</v>
      </c>
      <c r="E299" s="10">
        <v>40905</v>
      </c>
      <c r="F299" s="11">
        <f t="shared" si="4"/>
        <v>2</v>
      </c>
      <c r="G299" s="11" t="s">
        <v>132</v>
      </c>
      <c r="H299" s="11" t="s">
        <v>563</v>
      </c>
      <c r="I299" s="11" t="s">
        <v>35</v>
      </c>
      <c r="J299" s="11" t="s">
        <v>1097</v>
      </c>
      <c r="K299" s="11" t="s">
        <v>564</v>
      </c>
      <c r="L299" s="11" t="s">
        <v>268</v>
      </c>
      <c r="M299" s="11" t="s">
        <v>38</v>
      </c>
      <c r="N299" s="11" t="s">
        <v>39</v>
      </c>
      <c r="O299" s="11" t="s">
        <v>176</v>
      </c>
      <c r="P299" s="11" t="s">
        <v>569</v>
      </c>
      <c r="Q299" s="13">
        <v>27.552</v>
      </c>
      <c r="R299" s="11">
        <v>3</v>
      </c>
      <c r="S299" s="28">
        <v>0.2</v>
      </c>
      <c r="T299" s="13">
        <v>9.2988</v>
      </c>
    </row>
    <row r="300" spans="1:20" x14ac:dyDescent="0.3">
      <c r="A300" s="11">
        <v>299</v>
      </c>
      <c r="B300" s="10">
        <v>41576</v>
      </c>
      <c r="C300" s="11">
        <v>2013</v>
      </c>
      <c r="D300" s="12" t="s">
        <v>43</v>
      </c>
      <c r="E300" s="10">
        <v>41582</v>
      </c>
      <c r="F300" s="11">
        <f t="shared" si="4"/>
        <v>6</v>
      </c>
      <c r="G300" s="11" t="s">
        <v>44</v>
      </c>
      <c r="H300" s="11" t="s">
        <v>330</v>
      </c>
      <c r="I300" s="11" t="s">
        <v>35</v>
      </c>
      <c r="J300" s="11" t="s">
        <v>1097</v>
      </c>
      <c r="K300" s="11" t="s">
        <v>570</v>
      </c>
      <c r="L300" s="11" t="s">
        <v>429</v>
      </c>
      <c r="M300" s="11" t="s">
        <v>110</v>
      </c>
      <c r="N300" s="11" t="s">
        <v>39</v>
      </c>
      <c r="O300" s="11" t="s">
        <v>72</v>
      </c>
      <c r="P300" s="11" t="s">
        <v>571</v>
      </c>
      <c r="Q300" s="13">
        <v>32.4</v>
      </c>
      <c r="R300" s="11">
        <v>5</v>
      </c>
      <c r="S300" s="28">
        <v>0</v>
      </c>
      <c r="T300" s="13">
        <v>15.552</v>
      </c>
    </row>
    <row r="301" spans="1:20" x14ac:dyDescent="0.3">
      <c r="A301" s="11">
        <v>300</v>
      </c>
      <c r="B301" s="10">
        <v>41576</v>
      </c>
      <c r="C301" s="11">
        <v>2013</v>
      </c>
      <c r="D301" s="12" t="s">
        <v>43</v>
      </c>
      <c r="E301" s="10">
        <v>41582</v>
      </c>
      <c r="F301" s="11">
        <f t="shared" si="4"/>
        <v>6</v>
      </c>
      <c r="G301" s="11" t="s">
        <v>44</v>
      </c>
      <c r="H301" s="11" t="s">
        <v>330</v>
      </c>
      <c r="I301" s="11" t="s">
        <v>35</v>
      </c>
      <c r="J301" s="11" t="s">
        <v>1097</v>
      </c>
      <c r="K301" s="11" t="s">
        <v>570</v>
      </c>
      <c r="L301" s="11" t="s">
        <v>429</v>
      </c>
      <c r="M301" s="11" t="s">
        <v>110</v>
      </c>
      <c r="N301" s="11" t="s">
        <v>39</v>
      </c>
      <c r="O301" s="11" t="s">
        <v>50</v>
      </c>
      <c r="P301" s="11" t="s">
        <v>572</v>
      </c>
      <c r="Q301" s="13">
        <v>1082.48</v>
      </c>
      <c r="R301" s="11">
        <v>8</v>
      </c>
      <c r="S301" s="28">
        <v>0</v>
      </c>
      <c r="T301" s="13">
        <v>10.8248</v>
      </c>
    </row>
    <row r="302" spans="1:20" x14ac:dyDescent="0.3">
      <c r="A302" s="11">
        <v>301</v>
      </c>
      <c r="B302" s="10">
        <v>41576</v>
      </c>
      <c r="C302" s="11">
        <v>2013</v>
      </c>
      <c r="D302" s="12" t="s">
        <v>43</v>
      </c>
      <c r="E302" s="10">
        <v>41582</v>
      </c>
      <c r="F302" s="11">
        <f t="shared" si="4"/>
        <v>6</v>
      </c>
      <c r="G302" s="11" t="s">
        <v>44</v>
      </c>
      <c r="H302" s="11" t="s">
        <v>330</v>
      </c>
      <c r="I302" s="11" t="s">
        <v>35</v>
      </c>
      <c r="J302" s="11" t="s">
        <v>1097</v>
      </c>
      <c r="K302" s="11" t="s">
        <v>570</v>
      </c>
      <c r="L302" s="11" t="s">
        <v>429</v>
      </c>
      <c r="M302" s="11" t="s">
        <v>110</v>
      </c>
      <c r="N302" s="11" t="s">
        <v>39</v>
      </c>
      <c r="O302" s="11" t="s">
        <v>72</v>
      </c>
      <c r="P302" s="11" t="s">
        <v>573</v>
      </c>
      <c r="Q302" s="13">
        <v>56.91</v>
      </c>
      <c r="R302" s="11">
        <v>3</v>
      </c>
      <c r="S302" s="28">
        <v>0</v>
      </c>
      <c r="T302" s="13">
        <v>27.316800000000001</v>
      </c>
    </row>
    <row r="303" spans="1:20" x14ac:dyDescent="0.3">
      <c r="A303" s="11">
        <v>302</v>
      </c>
      <c r="B303" s="10">
        <v>41576</v>
      </c>
      <c r="C303" s="11">
        <v>2013</v>
      </c>
      <c r="D303" s="12" t="s">
        <v>43</v>
      </c>
      <c r="E303" s="10">
        <v>41582</v>
      </c>
      <c r="F303" s="11">
        <f t="shared" si="4"/>
        <v>6</v>
      </c>
      <c r="G303" s="11" t="s">
        <v>44</v>
      </c>
      <c r="H303" s="11" t="s">
        <v>330</v>
      </c>
      <c r="I303" s="11" t="s">
        <v>35</v>
      </c>
      <c r="J303" s="11" t="s">
        <v>1097</v>
      </c>
      <c r="K303" s="11" t="s">
        <v>570</v>
      </c>
      <c r="L303" s="11" t="s">
        <v>429</v>
      </c>
      <c r="M303" s="11" t="s">
        <v>110</v>
      </c>
      <c r="N303" s="11" t="s">
        <v>28</v>
      </c>
      <c r="O303" s="11" t="s">
        <v>54</v>
      </c>
      <c r="P303" s="11" t="s">
        <v>574</v>
      </c>
      <c r="Q303" s="13">
        <v>77.599999999999994</v>
      </c>
      <c r="R303" s="11">
        <v>4</v>
      </c>
      <c r="S303" s="28">
        <v>0</v>
      </c>
      <c r="T303" s="13">
        <v>38.024000000000001</v>
      </c>
    </row>
    <row r="304" spans="1:20" x14ac:dyDescent="0.3">
      <c r="A304" s="11">
        <v>303</v>
      </c>
      <c r="B304" s="10">
        <v>41576</v>
      </c>
      <c r="C304" s="11">
        <v>2013</v>
      </c>
      <c r="D304" s="12" t="s">
        <v>43</v>
      </c>
      <c r="E304" s="10">
        <v>41582</v>
      </c>
      <c r="F304" s="11">
        <f t="shared" si="4"/>
        <v>6</v>
      </c>
      <c r="G304" s="11" t="s">
        <v>44</v>
      </c>
      <c r="H304" s="11" t="s">
        <v>330</v>
      </c>
      <c r="I304" s="11" t="s">
        <v>35</v>
      </c>
      <c r="J304" s="11" t="s">
        <v>1097</v>
      </c>
      <c r="K304" s="11" t="s">
        <v>570</v>
      </c>
      <c r="L304" s="11" t="s">
        <v>429</v>
      </c>
      <c r="M304" s="11" t="s">
        <v>110</v>
      </c>
      <c r="N304" s="11" t="s">
        <v>39</v>
      </c>
      <c r="O304" s="11" t="s">
        <v>61</v>
      </c>
      <c r="P304" s="11" t="s">
        <v>575</v>
      </c>
      <c r="Q304" s="13">
        <v>14.28</v>
      </c>
      <c r="R304" s="11">
        <v>1</v>
      </c>
      <c r="S304" s="28">
        <v>0</v>
      </c>
      <c r="T304" s="13">
        <v>6.5688000000000004</v>
      </c>
    </row>
    <row r="305" spans="1:20" x14ac:dyDescent="0.3">
      <c r="A305" s="11">
        <v>304</v>
      </c>
      <c r="B305" s="10">
        <v>41963</v>
      </c>
      <c r="C305" s="11">
        <v>2014</v>
      </c>
      <c r="D305" s="12" t="s">
        <v>21</v>
      </c>
      <c r="E305" s="10">
        <v>41967</v>
      </c>
      <c r="F305" s="11">
        <f t="shared" si="4"/>
        <v>4</v>
      </c>
      <c r="G305" s="11" t="s">
        <v>44</v>
      </c>
      <c r="H305" s="11" t="s">
        <v>463</v>
      </c>
      <c r="I305" s="11" t="s">
        <v>24</v>
      </c>
      <c r="J305" s="11" t="s">
        <v>1097</v>
      </c>
      <c r="K305" s="11" t="s">
        <v>193</v>
      </c>
      <c r="L305" s="11" t="s">
        <v>144</v>
      </c>
      <c r="M305" s="11" t="s">
        <v>83</v>
      </c>
      <c r="N305" s="11" t="s">
        <v>28</v>
      </c>
      <c r="O305" s="11" t="s">
        <v>48</v>
      </c>
      <c r="P305" s="11" t="s">
        <v>576</v>
      </c>
      <c r="Q305" s="13">
        <v>219.07499999999999</v>
      </c>
      <c r="R305" s="11">
        <v>3</v>
      </c>
      <c r="S305" s="28">
        <v>0.5</v>
      </c>
      <c r="T305" s="13">
        <v>-131.44499999999999</v>
      </c>
    </row>
    <row r="306" spans="1:20" x14ac:dyDescent="0.3">
      <c r="A306" s="11">
        <v>305</v>
      </c>
      <c r="B306" s="10">
        <v>41033</v>
      </c>
      <c r="C306" s="11">
        <v>2012</v>
      </c>
      <c r="D306" s="12" t="s">
        <v>90</v>
      </c>
      <c r="E306" s="10">
        <v>41038</v>
      </c>
      <c r="F306" s="11">
        <f t="shared" si="4"/>
        <v>5</v>
      </c>
      <c r="G306" s="11" t="s">
        <v>22</v>
      </c>
      <c r="H306" s="11" t="s">
        <v>577</v>
      </c>
      <c r="I306" s="11" t="s">
        <v>35</v>
      </c>
      <c r="J306" s="11" t="s">
        <v>1097</v>
      </c>
      <c r="K306" s="11" t="s">
        <v>174</v>
      </c>
      <c r="L306" s="11" t="s">
        <v>175</v>
      </c>
      <c r="M306" s="11" t="s">
        <v>110</v>
      </c>
      <c r="N306" s="11" t="s">
        <v>28</v>
      </c>
      <c r="O306" s="11" t="s">
        <v>54</v>
      </c>
      <c r="P306" s="11" t="s">
        <v>578</v>
      </c>
      <c r="Q306" s="13">
        <v>26.8</v>
      </c>
      <c r="R306" s="11">
        <v>2</v>
      </c>
      <c r="S306" s="28">
        <v>0</v>
      </c>
      <c r="T306" s="13">
        <v>12.864000000000001</v>
      </c>
    </row>
    <row r="307" spans="1:20" x14ac:dyDescent="0.3">
      <c r="A307" s="11">
        <v>306</v>
      </c>
      <c r="B307" s="10">
        <v>40907</v>
      </c>
      <c r="C307" s="11">
        <v>2011</v>
      </c>
      <c r="D307" s="12" t="s">
        <v>74</v>
      </c>
      <c r="E307" s="10">
        <v>40912</v>
      </c>
      <c r="F307" s="11">
        <f t="shared" si="4"/>
        <v>5</v>
      </c>
      <c r="G307" s="11" t="s">
        <v>44</v>
      </c>
      <c r="H307" s="11" t="s">
        <v>214</v>
      </c>
      <c r="I307" s="11" t="s">
        <v>35</v>
      </c>
      <c r="J307" s="11" t="s">
        <v>1097</v>
      </c>
      <c r="K307" s="11" t="s">
        <v>579</v>
      </c>
      <c r="L307" s="11" t="s">
        <v>159</v>
      </c>
      <c r="M307" s="11" t="s">
        <v>83</v>
      </c>
      <c r="N307" s="11" t="s">
        <v>39</v>
      </c>
      <c r="O307" s="11" t="s">
        <v>56</v>
      </c>
      <c r="P307" s="11" t="s">
        <v>580</v>
      </c>
      <c r="Q307" s="13">
        <v>9.84</v>
      </c>
      <c r="R307" s="11">
        <v>3</v>
      </c>
      <c r="S307" s="28">
        <v>0</v>
      </c>
      <c r="T307" s="13">
        <v>2.8536000000000001</v>
      </c>
    </row>
    <row r="308" spans="1:20" x14ac:dyDescent="0.3">
      <c r="A308" s="11">
        <v>307</v>
      </c>
      <c r="B308" s="10">
        <v>40695</v>
      </c>
      <c r="C308" s="11">
        <v>2011</v>
      </c>
      <c r="D308" s="12" t="s">
        <v>33</v>
      </c>
      <c r="E308" s="10">
        <v>40700</v>
      </c>
      <c r="F308" s="11">
        <f t="shared" si="4"/>
        <v>5</v>
      </c>
      <c r="G308" s="11" t="s">
        <v>44</v>
      </c>
      <c r="H308" s="11" t="s">
        <v>581</v>
      </c>
      <c r="I308" s="11" t="s">
        <v>80</v>
      </c>
      <c r="J308" s="11" t="s">
        <v>1097</v>
      </c>
      <c r="K308" s="11" t="s">
        <v>582</v>
      </c>
      <c r="L308" s="11" t="s">
        <v>429</v>
      </c>
      <c r="M308" s="11" t="s">
        <v>110</v>
      </c>
      <c r="N308" s="11" t="s">
        <v>39</v>
      </c>
      <c r="O308" s="11" t="s">
        <v>61</v>
      </c>
      <c r="P308" s="11" t="s">
        <v>583</v>
      </c>
      <c r="Q308" s="13">
        <v>45.48</v>
      </c>
      <c r="R308" s="11">
        <v>3</v>
      </c>
      <c r="S308" s="28">
        <v>0</v>
      </c>
      <c r="T308" s="13">
        <v>20.9208</v>
      </c>
    </row>
    <row r="309" spans="1:20" x14ac:dyDescent="0.3">
      <c r="A309" s="11">
        <v>308</v>
      </c>
      <c r="B309" s="10">
        <v>40695</v>
      </c>
      <c r="C309" s="11">
        <v>2011</v>
      </c>
      <c r="D309" s="12" t="s">
        <v>33</v>
      </c>
      <c r="E309" s="10">
        <v>40700</v>
      </c>
      <c r="F309" s="11">
        <f t="shared" si="4"/>
        <v>5</v>
      </c>
      <c r="G309" s="11" t="s">
        <v>44</v>
      </c>
      <c r="H309" s="11" t="s">
        <v>581</v>
      </c>
      <c r="I309" s="11" t="s">
        <v>80</v>
      </c>
      <c r="J309" s="11" t="s">
        <v>1097</v>
      </c>
      <c r="K309" s="11" t="s">
        <v>582</v>
      </c>
      <c r="L309" s="11" t="s">
        <v>429</v>
      </c>
      <c r="M309" s="11" t="s">
        <v>110</v>
      </c>
      <c r="N309" s="11" t="s">
        <v>39</v>
      </c>
      <c r="O309" s="11" t="s">
        <v>56</v>
      </c>
      <c r="P309" s="11" t="s">
        <v>584</v>
      </c>
      <c r="Q309" s="13">
        <v>289.2</v>
      </c>
      <c r="R309" s="11">
        <v>6</v>
      </c>
      <c r="S309" s="28">
        <v>0</v>
      </c>
      <c r="T309" s="13">
        <v>83.867999999999995</v>
      </c>
    </row>
    <row r="310" spans="1:20" x14ac:dyDescent="0.3">
      <c r="A310" s="11">
        <v>309</v>
      </c>
      <c r="B310" s="10">
        <v>41745</v>
      </c>
      <c r="C310" s="11">
        <v>2014</v>
      </c>
      <c r="D310" s="12" t="s">
        <v>68</v>
      </c>
      <c r="E310" s="10">
        <v>41747</v>
      </c>
      <c r="F310" s="11">
        <f t="shared" si="4"/>
        <v>2</v>
      </c>
      <c r="G310" s="11" t="s">
        <v>132</v>
      </c>
      <c r="H310" s="11" t="s">
        <v>585</v>
      </c>
      <c r="I310" s="11" t="s">
        <v>24</v>
      </c>
      <c r="J310" s="11" t="s">
        <v>1097</v>
      </c>
      <c r="K310" s="11" t="s">
        <v>586</v>
      </c>
      <c r="L310" s="11" t="s">
        <v>202</v>
      </c>
      <c r="M310" s="11" t="s">
        <v>27</v>
      </c>
      <c r="N310" s="11" t="s">
        <v>39</v>
      </c>
      <c r="O310" s="11" t="s">
        <v>56</v>
      </c>
      <c r="P310" s="11" t="s">
        <v>587</v>
      </c>
      <c r="Q310" s="13">
        <v>4.8899999999999997</v>
      </c>
      <c r="R310" s="11">
        <v>1</v>
      </c>
      <c r="S310" s="28">
        <v>0</v>
      </c>
      <c r="T310" s="13">
        <v>2.0049000000000001</v>
      </c>
    </row>
    <row r="311" spans="1:20" x14ac:dyDescent="0.3">
      <c r="A311" s="11">
        <v>310</v>
      </c>
      <c r="B311" s="10">
        <v>41530</v>
      </c>
      <c r="C311" s="11">
        <v>2013</v>
      </c>
      <c r="D311" s="12" t="s">
        <v>112</v>
      </c>
      <c r="E311" s="10">
        <v>41532</v>
      </c>
      <c r="F311" s="11">
        <f t="shared" si="4"/>
        <v>2</v>
      </c>
      <c r="G311" s="11" t="s">
        <v>22</v>
      </c>
      <c r="H311" s="11" t="s">
        <v>588</v>
      </c>
      <c r="I311" s="11" t="s">
        <v>35</v>
      </c>
      <c r="J311" s="11" t="s">
        <v>1097</v>
      </c>
      <c r="K311" s="11" t="s">
        <v>589</v>
      </c>
      <c r="L311" s="11" t="s">
        <v>268</v>
      </c>
      <c r="M311" s="11" t="s">
        <v>38</v>
      </c>
      <c r="N311" s="11" t="s">
        <v>28</v>
      </c>
      <c r="O311" s="11" t="s">
        <v>54</v>
      </c>
      <c r="P311" s="11" t="s">
        <v>590</v>
      </c>
      <c r="Q311" s="13">
        <v>15.135999999999999</v>
      </c>
      <c r="R311" s="11">
        <v>4</v>
      </c>
      <c r="S311" s="28">
        <v>0.2</v>
      </c>
      <c r="T311" s="13">
        <v>3.5948000000000002</v>
      </c>
    </row>
    <row r="312" spans="1:20" x14ac:dyDescent="0.3">
      <c r="A312" s="11">
        <v>311</v>
      </c>
      <c r="B312" s="10">
        <v>41530</v>
      </c>
      <c r="C312" s="11">
        <v>2013</v>
      </c>
      <c r="D312" s="12" t="s">
        <v>112</v>
      </c>
      <c r="E312" s="10">
        <v>41532</v>
      </c>
      <c r="F312" s="11">
        <f t="shared" si="4"/>
        <v>2</v>
      </c>
      <c r="G312" s="11" t="s">
        <v>22</v>
      </c>
      <c r="H312" s="11" t="s">
        <v>588</v>
      </c>
      <c r="I312" s="11" t="s">
        <v>35</v>
      </c>
      <c r="J312" s="11" t="s">
        <v>1097</v>
      </c>
      <c r="K312" s="11" t="s">
        <v>589</v>
      </c>
      <c r="L312" s="11" t="s">
        <v>268</v>
      </c>
      <c r="M312" s="11" t="s">
        <v>38</v>
      </c>
      <c r="N312" s="11" t="s">
        <v>28</v>
      </c>
      <c r="O312" s="11" t="s">
        <v>31</v>
      </c>
      <c r="P312" s="11" t="s">
        <v>591</v>
      </c>
      <c r="Q312" s="13">
        <v>466.76799999999997</v>
      </c>
      <c r="R312" s="11">
        <v>2</v>
      </c>
      <c r="S312" s="28">
        <v>0.2</v>
      </c>
      <c r="T312" s="13">
        <v>52.511400000000002</v>
      </c>
    </row>
    <row r="313" spans="1:20" x14ac:dyDescent="0.3">
      <c r="A313" s="11">
        <v>312</v>
      </c>
      <c r="B313" s="10">
        <v>41530</v>
      </c>
      <c r="C313" s="11">
        <v>2013</v>
      </c>
      <c r="D313" s="12" t="s">
        <v>112</v>
      </c>
      <c r="E313" s="10">
        <v>41532</v>
      </c>
      <c r="F313" s="11">
        <f t="shared" si="4"/>
        <v>2</v>
      </c>
      <c r="G313" s="11" t="s">
        <v>22</v>
      </c>
      <c r="H313" s="11" t="s">
        <v>588</v>
      </c>
      <c r="I313" s="11" t="s">
        <v>35</v>
      </c>
      <c r="J313" s="11" t="s">
        <v>1097</v>
      </c>
      <c r="K313" s="11" t="s">
        <v>589</v>
      </c>
      <c r="L313" s="11" t="s">
        <v>268</v>
      </c>
      <c r="M313" s="11" t="s">
        <v>38</v>
      </c>
      <c r="N313" s="11" t="s">
        <v>28</v>
      </c>
      <c r="O313" s="11" t="s">
        <v>54</v>
      </c>
      <c r="P313" s="11" t="s">
        <v>592</v>
      </c>
      <c r="Q313" s="13">
        <v>15.231999999999999</v>
      </c>
      <c r="R313" s="11">
        <v>1</v>
      </c>
      <c r="S313" s="28">
        <v>0.2</v>
      </c>
      <c r="T313" s="13">
        <v>1.7136</v>
      </c>
    </row>
    <row r="314" spans="1:20" x14ac:dyDescent="0.3">
      <c r="A314" s="11">
        <v>313</v>
      </c>
      <c r="B314" s="10">
        <v>41530</v>
      </c>
      <c r="C314" s="11">
        <v>2013</v>
      </c>
      <c r="D314" s="12" t="s">
        <v>112</v>
      </c>
      <c r="E314" s="10">
        <v>41532</v>
      </c>
      <c r="F314" s="11">
        <f t="shared" si="4"/>
        <v>2</v>
      </c>
      <c r="G314" s="11" t="s">
        <v>22</v>
      </c>
      <c r="H314" s="11" t="s">
        <v>588</v>
      </c>
      <c r="I314" s="11" t="s">
        <v>35</v>
      </c>
      <c r="J314" s="11" t="s">
        <v>1097</v>
      </c>
      <c r="K314" s="11" t="s">
        <v>589</v>
      </c>
      <c r="L314" s="11" t="s">
        <v>268</v>
      </c>
      <c r="M314" s="11" t="s">
        <v>38</v>
      </c>
      <c r="N314" s="11" t="s">
        <v>39</v>
      </c>
      <c r="O314" s="11" t="s">
        <v>40</v>
      </c>
      <c r="P314" s="11" t="s">
        <v>593</v>
      </c>
      <c r="Q314" s="13">
        <v>6.2640000000000002</v>
      </c>
      <c r="R314" s="11">
        <v>3</v>
      </c>
      <c r="S314" s="28">
        <v>0.2</v>
      </c>
      <c r="T314" s="13">
        <v>2.0358000000000001</v>
      </c>
    </row>
    <row r="315" spans="1:20" x14ac:dyDescent="0.3">
      <c r="A315" s="11">
        <v>314</v>
      </c>
      <c r="B315" s="10">
        <v>40813</v>
      </c>
      <c r="C315" s="11">
        <v>2011</v>
      </c>
      <c r="D315" s="12" t="s">
        <v>112</v>
      </c>
      <c r="E315" s="10">
        <v>40819</v>
      </c>
      <c r="F315" s="11">
        <f t="shared" si="4"/>
        <v>6</v>
      </c>
      <c r="G315" s="11" t="s">
        <v>44</v>
      </c>
      <c r="H315" s="11" t="s">
        <v>594</v>
      </c>
      <c r="I315" s="11" t="s">
        <v>35</v>
      </c>
      <c r="J315" s="11" t="s">
        <v>1097</v>
      </c>
      <c r="K315" s="11" t="s">
        <v>595</v>
      </c>
      <c r="L315" s="11" t="s">
        <v>429</v>
      </c>
      <c r="M315" s="11" t="s">
        <v>110</v>
      </c>
      <c r="N315" s="11" t="s">
        <v>28</v>
      </c>
      <c r="O315" s="11" t="s">
        <v>54</v>
      </c>
      <c r="P315" s="11" t="s">
        <v>596</v>
      </c>
      <c r="Q315" s="13">
        <v>87.54</v>
      </c>
      <c r="R315" s="11">
        <v>3</v>
      </c>
      <c r="S315" s="28">
        <v>0</v>
      </c>
      <c r="T315" s="13">
        <v>37.642200000000003</v>
      </c>
    </row>
    <row r="316" spans="1:20" x14ac:dyDescent="0.3">
      <c r="A316" s="11">
        <v>315</v>
      </c>
      <c r="B316" s="10">
        <v>40764</v>
      </c>
      <c r="C316" s="11">
        <v>2011</v>
      </c>
      <c r="D316" s="12" t="s">
        <v>95</v>
      </c>
      <c r="E316" s="10">
        <v>40771</v>
      </c>
      <c r="F316" s="11">
        <f t="shared" si="4"/>
        <v>7</v>
      </c>
      <c r="G316" s="11" t="s">
        <v>44</v>
      </c>
      <c r="H316" s="11" t="s">
        <v>597</v>
      </c>
      <c r="I316" s="11" t="s">
        <v>35</v>
      </c>
      <c r="J316" s="11" t="s">
        <v>1097</v>
      </c>
      <c r="K316" s="11" t="s">
        <v>598</v>
      </c>
      <c r="L316" s="11" t="s">
        <v>47</v>
      </c>
      <c r="M316" s="11" t="s">
        <v>27</v>
      </c>
      <c r="N316" s="11" t="s">
        <v>58</v>
      </c>
      <c r="O316" s="11" t="s">
        <v>59</v>
      </c>
      <c r="P316" s="11" t="s">
        <v>599</v>
      </c>
      <c r="Q316" s="13">
        <v>178.38399999999999</v>
      </c>
      <c r="R316" s="11">
        <v>2</v>
      </c>
      <c r="S316" s="28">
        <v>0.2</v>
      </c>
      <c r="T316" s="13">
        <v>22.297999999999998</v>
      </c>
    </row>
    <row r="317" spans="1:20" x14ac:dyDescent="0.3">
      <c r="A317" s="11">
        <v>316</v>
      </c>
      <c r="B317" s="10">
        <v>40764</v>
      </c>
      <c r="C317" s="11">
        <v>2011</v>
      </c>
      <c r="D317" s="12" t="s">
        <v>95</v>
      </c>
      <c r="E317" s="10">
        <v>40771</v>
      </c>
      <c r="F317" s="11">
        <f t="shared" si="4"/>
        <v>7</v>
      </c>
      <c r="G317" s="11" t="s">
        <v>44</v>
      </c>
      <c r="H317" s="11" t="s">
        <v>597</v>
      </c>
      <c r="I317" s="11" t="s">
        <v>35</v>
      </c>
      <c r="J317" s="11" t="s">
        <v>1097</v>
      </c>
      <c r="K317" s="11" t="s">
        <v>598</v>
      </c>
      <c r="L317" s="11" t="s">
        <v>47</v>
      </c>
      <c r="M317" s="11" t="s">
        <v>27</v>
      </c>
      <c r="N317" s="11" t="s">
        <v>39</v>
      </c>
      <c r="O317" s="11" t="s">
        <v>72</v>
      </c>
      <c r="P317" s="11" t="s">
        <v>600</v>
      </c>
      <c r="Q317" s="13">
        <v>15.552</v>
      </c>
      <c r="R317" s="11">
        <v>3</v>
      </c>
      <c r="S317" s="28">
        <v>0.2</v>
      </c>
      <c r="T317" s="13">
        <v>5.4432</v>
      </c>
    </row>
    <row r="318" spans="1:20" x14ac:dyDescent="0.3">
      <c r="A318" s="11">
        <v>317</v>
      </c>
      <c r="B318" s="10">
        <v>40905</v>
      </c>
      <c r="C318" s="11">
        <v>2011</v>
      </c>
      <c r="D318" s="12" t="s">
        <v>74</v>
      </c>
      <c r="E318" s="10">
        <v>40907</v>
      </c>
      <c r="F318" s="11">
        <f t="shared" si="4"/>
        <v>2</v>
      </c>
      <c r="G318" s="11" t="s">
        <v>132</v>
      </c>
      <c r="H318" s="11" t="s">
        <v>601</v>
      </c>
      <c r="I318" s="11" t="s">
        <v>35</v>
      </c>
      <c r="J318" s="11" t="s">
        <v>1097</v>
      </c>
      <c r="K318" s="11" t="s">
        <v>108</v>
      </c>
      <c r="L318" s="11" t="s">
        <v>109</v>
      </c>
      <c r="M318" s="11" t="s">
        <v>110</v>
      </c>
      <c r="N318" s="11" t="s">
        <v>39</v>
      </c>
      <c r="O318" s="11" t="s">
        <v>56</v>
      </c>
      <c r="P318" s="11" t="s">
        <v>602</v>
      </c>
      <c r="Q318" s="13">
        <v>99.135999999999996</v>
      </c>
      <c r="R318" s="11">
        <v>4</v>
      </c>
      <c r="S318" s="28">
        <v>0.2</v>
      </c>
      <c r="T318" s="13">
        <v>8.6744000000000003</v>
      </c>
    </row>
    <row r="319" spans="1:20" x14ac:dyDescent="0.3">
      <c r="A319" s="11">
        <v>318</v>
      </c>
      <c r="B319" s="10">
        <v>40851</v>
      </c>
      <c r="C319" s="11">
        <v>2011</v>
      </c>
      <c r="D319" s="12" t="s">
        <v>21</v>
      </c>
      <c r="E319" s="10">
        <v>40856</v>
      </c>
      <c r="F319" s="11">
        <f t="shared" si="4"/>
        <v>5</v>
      </c>
      <c r="G319" s="11" t="s">
        <v>44</v>
      </c>
      <c r="H319" s="11" t="s">
        <v>603</v>
      </c>
      <c r="I319" s="11" t="s">
        <v>80</v>
      </c>
      <c r="J319" s="11" t="s">
        <v>1097</v>
      </c>
      <c r="K319" s="11" t="s">
        <v>174</v>
      </c>
      <c r="L319" s="11" t="s">
        <v>175</v>
      </c>
      <c r="M319" s="11" t="s">
        <v>110</v>
      </c>
      <c r="N319" s="11" t="s">
        <v>28</v>
      </c>
      <c r="O319" s="11" t="s">
        <v>31</v>
      </c>
      <c r="P319" s="11" t="s">
        <v>604</v>
      </c>
      <c r="Q319" s="13">
        <v>135.88200000000001</v>
      </c>
      <c r="R319" s="11">
        <v>1</v>
      </c>
      <c r="S319" s="28">
        <v>0.1</v>
      </c>
      <c r="T319" s="13">
        <v>24.1568</v>
      </c>
    </row>
    <row r="320" spans="1:20" x14ac:dyDescent="0.3">
      <c r="A320" s="11">
        <v>319</v>
      </c>
      <c r="B320" s="10">
        <v>40851</v>
      </c>
      <c r="C320" s="11">
        <v>2011</v>
      </c>
      <c r="D320" s="12" t="s">
        <v>21</v>
      </c>
      <c r="E320" s="10">
        <v>40856</v>
      </c>
      <c r="F320" s="11">
        <f t="shared" si="4"/>
        <v>5</v>
      </c>
      <c r="G320" s="11" t="s">
        <v>44</v>
      </c>
      <c r="H320" s="11" t="s">
        <v>603</v>
      </c>
      <c r="I320" s="11" t="s">
        <v>80</v>
      </c>
      <c r="J320" s="11" t="s">
        <v>1097</v>
      </c>
      <c r="K320" s="11" t="s">
        <v>174</v>
      </c>
      <c r="L320" s="11" t="s">
        <v>175</v>
      </c>
      <c r="M320" s="11" t="s">
        <v>110</v>
      </c>
      <c r="N320" s="11" t="s">
        <v>58</v>
      </c>
      <c r="O320" s="11" t="s">
        <v>378</v>
      </c>
      <c r="P320" s="11" t="s">
        <v>605</v>
      </c>
      <c r="Q320" s="13">
        <v>3991.98</v>
      </c>
      <c r="R320" s="11">
        <v>2</v>
      </c>
      <c r="S320" s="28">
        <v>0</v>
      </c>
      <c r="T320" s="13">
        <v>1995.99</v>
      </c>
    </row>
    <row r="321" spans="1:20" x14ac:dyDescent="0.3">
      <c r="A321" s="11">
        <v>320</v>
      </c>
      <c r="B321" s="10">
        <v>40851</v>
      </c>
      <c r="C321" s="11">
        <v>2011</v>
      </c>
      <c r="D321" s="12" t="s">
        <v>21</v>
      </c>
      <c r="E321" s="10">
        <v>40856</v>
      </c>
      <c r="F321" s="11">
        <f t="shared" si="4"/>
        <v>5</v>
      </c>
      <c r="G321" s="11" t="s">
        <v>44</v>
      </c>
      <c r="H321" s="11" t="s">
        <v>603</v>
      </c>
      <c r="I321" s="11" t="s">
        <v>80</v>
      </c>
      <c r="J321" s="11" t="s">
        <v>1097</v>
      </c>
      <c r="K321" s="11" t="s">
        <v>174</v>
      </c>
      <c r="L321" s="11" t="s">
        <v>175</v>
      </c>
      <c r="M321" s="11" t="s">
        <v>110</v>
      </c>
      <c r="N321" s="11" t="s">
        <v>58</v>
      </c>
      <c r="O321" s="11" t="s">
        <v>59</v>
      </c>
      <c r="P321" s="11" t="s">
        <v>145</v>
      </c>
      <c r="Q321" s="13">
        <v>275.94</v>
      </c>
      <c r="R321" s="11">
        <v>6</v>
      </c>
      <c r="S321" s="28">
        <v>0</v>
      </c>
      <c r="T321" s="13">
        <v>80.022599999999997</v>
      </c>
    </row>
    <row r="322" spans="1:20" x14ac:dyDescent="0.3">
      <c r="A322" s="11">
        <v>321</v>
      </c>
      <c r="B322" s="10">
        <v>40851</v>
      </c>
      <c r="C322" s="11">
        <v>2011</v>
      </c>
      <c r="D322" s="12" t="s">
        <v>21</v>
      </c>
      <c r="E322" s="10">
        <v>40856</v>
      </c>
      <c r="F322" s="11">
        <f t="shared" ref="F322:F385" si="5">_xlfn.DAYS(E322,B322)</f>
        <v>5</v>
      </c>
      <c r="G322" s="11" t="s">
        <v>44</v>
      </c>
      <c r="H322" s="11" t="s">
        <v>603</v>
      </c>
      <c r="I322" s="11" t="s">
        <v>80</v>
      </c>
      <c r="J322" s="11" t="s">
        <v>1097</v>
      </c>
      <c r="K322" s="11" t="s">
        <v>174</v>
      </c>
      <c r="L322" s="11" t="s">
        <v>175</v>
      </c>
      <c r="M322" s="11" t="s">
        <v>110</v>
      </c>
      <c r="N322" s="11" t="s">
        <v>58</v>
      </c>
      <c r="O322" s="11" t="s">
        <v>118</v>
      </c>
      <c r="P322" s="11" t="s">
        <v>606</v>
      </c>
      <c r="Q322" s="13">
        <v>360</v>
      </c>
      <c r="R322" s="11">
        <v>4</v>
      </c>
      <c r="S322" s="28">
        <v>0</v>
      </c>
      <c r="T322" s="13">
        <v>129.6</v>
      </c>
    </row>
    <row r="323" spans="1:20" x14ac:dyDescent="0.3">
      <c r="A323" s="11">
        <v>322</v>
      </c>
      <c r="B323" s="10">
        <v>40851</v>
      </c>
      <c r="C323" s="11">
        <v>2011</v>
      </c>
      <c r="D323" s="12" t="s">
        <v>21</v>
      </c>
      <c r="E323" s="10">
        <v>40856</v>
      </c>
      <c r="F323" s="11">
        <f t="shared" si="5"/>
        <v>5</v>
      </c>
      <c r="G323" s="11" t="s">
        <v>44</v>
      </c>
      <c r="H323" s="11" t="s">
        <v>603</v>
      </c>
      <c r="I323" s="11" t="s">
        <v>80</v>
      </c>
      <c r="J323" s="11" t="s">
        <v>1097</v>
      </c>
      <c r="K323" s="11" t="s">
        <v>174</v>
      </c>
      <c r="L323" s="11" t="s">
        <v>175</v>
      </c>
      <c r="M323" s="11" t="s">
        <v>110</v>
      </c>
      <c r="N323" s="11" t="s">
        <v>39</v>
      </c>
      <c r="O323" s="11" t="s">
        <v>50</v>
      </c>
      <c r="P323" s="11" t="s">
        <v>313</v>
      </c>
      <c r="Q323" s="13">
        <v>43.57</v>
      </c>
      <c r="R323" s="11">
        <v>1</v>
      </c>
      <c r="S323" s="28">
        <v>0</v>
      </c>
      <c r="T323" s="13">
        <v>13.071</v>
      </c>
    </row>
    <row r="324" spans="1:20" x14ac:dyDescent="0.3">
      <c r="A324" s="11">
        <v>323</v>
      </c>
      <c r="B324" s="10">
        <v>40805</v>
      </c>
      <c r="C324" s="11">
        <v>2011</v>
      </c>
      <c r="D324" s="12" t="s">
        <v>112</v>
      </c>
      <c r="E324" s="10">
        <v>40810</v>
      </c>
      <c r="F324" s="11">
        <f t="shared" si="5"/>
        <v>5</v>
      </c>
      <c r="G324" s="11" t="s">
        <v>44</v>
      </c>
      <c r="H324" s="11" t="s">
        <v>607</v>
      </c>
      <c r="I324" s="11" t="s">
        <v>35</v>
      </c>
      <c r="J324" s="11" t="s">
        <v>1097</v>
      </c>
      <c r="K324" s="11" t="s">
        <v>608</v>
      </c>
      <c r="L324" s="11" t="s">
        <v>37</v>
      </c>
      <c r="M324" s="11" t="s">
        <v>38</v>
      </c>
      <c r="N324" s="11" t="s">
        <v>39</v>
      </c>
      <c r="O324" s="11" t="s">
        <v>176</v>
      </c>
      <c r="P324" s="11" t="s">
        <v>609</v>
      </c>
      <c r="Q324" s="13">
        <v>7.16</v>
      </c>
      <c r="R324" s="11">
        <v>2</v>
      </c>
      <c r="S324" s="28">
        <v>0</v>
      </c>
      <c r="T324" s="13">
        <v>3.58</v>
      </c>
    </row>
    <row r="325" spans="1:20" x14ac:dyDescent="0.3">
      <c r="A325" s="11">
        <v>324</v>
      </c>
      <c r="B325" s="10">
        <v>41388</v>
      </c>
      <c r="C325" s="11">
        <v>2013</v>
      </c>
      <c r="D325" s="12" t="s">
        <v>68</v>
      </c>
      <c r="E325" s="10">
        <v>41392</v>
      </c>
      <c r="F325" s="11">
        <f t="shared" si="5"/>
        <v>4</v>
      </c>
      <c r="G325" s="11" t="s">
        <v>44</v>
      </c>
      <c r="H325" s="11" t="s">
        <v>610</v>
      </c>
      <c r="I325" s="11" t="s">
        <v>35</v>
      </c>
      <c r="J325" s="11" t="s">
        <v>1097</v>
      </c>
      <c r="K325" s="11" t="s">
        <v>611</v>
      </c>
      <c r="L325" s="11" t="s">
        <v>37</v>
      </c>
      <c r="M325" s="11" t="s">
        <v>38</v>
      </c>
      <c r="N325" s="11" t="s">
        <v>39</v>
      </c>
      <c r="O325" s="11" t="s">
        <v>61</v>
      </c>
      <c r="P325" s="11" t="s">
        <v>568</v>
      </c>
      <c r="Q325" s="13">
        <v>251.52</v>
      </c>
      <c r="R325" s="11">
        <v>6</v>
      </c>
      <c r="S325" s="28">
        <v>0.2</v>
      </c>
      <c r="T325" s="13">
        <v>81.744</v>
      </c>
    </row>
    <row r="326" spans="1:20" x14ac:dyDescent="0.3">
      <c r="A326" s="11">
        <v>325</v>
      </c>
      <c r="B326" s="10">
        <v>41388</v>
      </c>
      <c r="C326" s="11">
        <v>2013</v>
      </c>
      <c r="D326" s="12" t="s">
        <v>68</v>
      </c>
      <c r="E326" s="10">
        <v>41392</v>
      </c>
      <c r="F326" s="11">
        <f t="shared" si="5"/>
        <v>4</v>
      </c>
      <c r="G326" s="11" t="s">
        <v>44</v>
      </c>
      <c r="H326" s="11" t="s">
        <v>610</v>
      </c>
      <c r="I326" s="11" t="s">
        <v>35</v>
      </c>
      <c r="J326" s="11" t="s">
        <v>1097</v>
      </c>
      <c r="K326" s="11" t="s">
        <v>611</v>
      </c>
      <c r="L326" s="11" t="s">
        <v>37</v>
      </c>
      <c r="M326" s="11" t="s">
        <v>38</v>
      </c>
      <c r="N326" s="11" t="s">
        <v>58</v>
      </c>
      <c r="O326" s="11" t="s">
        <v>118</v>
      </c>
      <c r="P326" s="11" t="s">
        <v>612</v>
      </c>
      <c r="Q326" s="13">
        <v>99.99</v>
      </c>
      <c r="R326" s="11">
        <v>1</v>
      </c>
      <c r="S326" s="28">
        <v>0</v>
      </c>
      <c r="T326" s="13">
        <v>34.996499999999997</v>
      </c>
    </row>
    <row r="327" spans="1:20" x14ac:dyDescent="0.3">
      <c r="A327" s="11">
        <v>326</v>
      </c>
      <c r="B327" s="10">
        <v>41947</v>
      </c>
      <c r="C327" s="11">
        <v>2014</v>
      </c>
      <c r="D327" s="12" t="s">
        <v>21</v>
      </c>
      <c r="E327" s="10">
        <v>41949</v>
      </c>
      <c r="F327" s="11">
        <f t="shared" si="5"/>
        <v>2</v>
      </c>
      <c r="G327" s="11" t="s">
        <v>22</v>
      </c>
      <c r="H327" s="11" t="s">
        <v>613</v>
      </c>
      <c r="I327" s="11" t="s">
        <v>35</v>
      </c>
      <c r="J327" s="11" t="s">
        <v>1097</v>
      </c>
      <c r="K327" s="11" t="s">
        <v>614</v>
      </c>
      <c r="L327" s="11" t="s">
        <v>210</v>
      </c>
      <c r="M327" s="11" t="s">
        <v>27</v>
      </c>
      <c r="N327" s="11" t="s">
        <v>28</v>
      </c>
      <c r="O327" s="11" t="s">
        <v>54</v>
      </c>
      <c r="P327" s="11" t="s">
        <v>615</v>
      </c>
      <c r="Q327" s="13">
        <v>15.992000000000001</v>
      </c>
      <c r="R327" s="11">
        <v>1</v>
      </c>
      <c r="S327" s="28">
        <v>0.2</v>
      </c>
      <c r="T327" s="13">
        <v>0.99950000000000006</v>
      </c>
    </row>
    <row r="328" spans="1:20" x14ac:dyDescent="0.3">
      <c r="A328" s="11">
        <v>327</v>
      </c>
      <c r="B328" s="10">
        <v>41517</v>
      </c>
      <c r="C328" s="11">
        <v>2013</v>
      </c>
      <c r="D328" s="12" t="s">
        <v>95</v>
      </c>
      <c r="E328" s="10">
        <v>41519</v>
      </c>
      <c r="F328" s="11">
        <f t="shared" si="5"/>
        <v>2</v>
      </c>
      <c r="G328" s="11" t="s">
        <v>132</v>
      </c>
      <c r="H328" s="11" t="s">
        <v>616</v>
      </c>
      <c r="I328" s="11" t="s">
        <v>24</v>
      </c>
      <c r="J328" s="11" t="s">
        <v>1097</v>
      </c>
      <c r="K328" s="11" t="s">
        <v>108</v>
      </c>
      <c r="L328" s="11" t="s">
        <v>109</v>
      </c>
      <c r="M328" s="11" t="s">
        <v>110</v>
      </c>
      <c r="N328" s="11" t="s">
        <v>58</v>
      </c>
      <c r="O328" s="11" t="s">
        <v>59</v>
      </c>
      <c r="P328" s="11" t="s">
        <v>617</v>
      </c>
      <c r="Q328" s="13">
        <v>290.89800000000002</v>
      </c>
      <c r="R328" s="11">
        <v>3</v>
      </c>
      <c r="S328" s="28">
        <v>0.4</v>
      </c>
      <c r="T328" s="13">
        <v>-67.876199999999997</v>
      </c>
    </row>
    <row r="329" spans="1:20" x14ac:dyDescent="0.3">
      <c r="A329" s="11">
        <v>328</v>
      </c>
      <c r="B329" s="10">
        <v>41517</v>
      </c>
      <c r="C329" s="11">
        <v>2013</v>
      </c>
      <c r="D329" s="12" t="s">
        <v>95</v>
      </c>
      <c r="E329" s="10">
        <v>41519</v>
      </c>
      <c r="F329" s="11">
        <f t="shared" si="5"/>
        <v>2</v>
      </c>
      <c r="G329" s="11" t="s">
        <v>132</v>
      </c>
      <c r="H329" s="11" t="s">
        <v>616</v>
      </c>
      <c r="I329" s="11" t="s">
        <v>24</v>
      </c>
      <c r="J329" s="11" t="s">
        <v>1097</v>
      </c>
      <c r="K329" s="11" t="s">
        <v>108</v>
      </c>
      <c r="L329" s="11" t="s">
        <v>109</v>
      </c>
      <c r="M329" s="11" t="s">
        <v>110</v>
      </c>
      <c r="N329" s="11" t="s">
        <v>39</v>
      </c>
      <c r="O329" s="11" t="s">
        <v>50</v>
      </c>
      <c r="P329" s="11" t="s">
        <v>618</v>
      </c>
      <c r="Q329" s="13">
        <v>54.223999999999997</v>
      </c>
      <c r="R329" s="11">
        <v>2</v>
      </c>
      <c r="S329" s="28">
        <v>0.2</v>
      </c>
      <c r="T329" s="13">
        <v>3.3889999999999998</v>
      </c>
    </row>
    <row r="330" spans="1:20" x14ac:dyDescent="0.3">
      <c r="A330" s="11">
        <v>329</v>
      </c>
      <c r="B330" s="10">
        <v>41517</v>
      </c>
      <c r="C330" s="11">
        <v>2013</v>
      </c>
      <c r="D330" s="12" t="s">
        <v>95</v>
      </c>
      <c r="E330" s="10">
        <v>41519</v>
      </c>
      <c r="F330" s="11">
        <f t="shared" si="5"/>
        <v>2</v>
      </c>
      <c r="G330" s="11" t="s">
        <v>132</v>
      </c>
      <c r="H330" s="11" t="s">
        <v>616</v>
      </c>
      <c r="I330" s="11" t="s">
        <v>24</v>
      </c>
      <c r="J330" s="11" t="s">
        <v>1097</v>
      </c>
      <c r="K330" s="11" t="s">
        <v>108</v>
      </c>
      <c r="L330" s="11" t="s">
        <v>109</v>
      </c>
      <c r="M330" s="11" t="s">
        <v>110</v>
      </c>
      <c r="N330" s="11" t="s">
        <v>28</v>
      </c>
      <c r="O330" s="11" t="s">
        <v>31</v>
      </c>
      <c r="P330" s="11" t="s">
        <v>619</v>
      </c>
      <c r="Q330" s="13">
        <v>786.74400000000003</v>
      </c>
      <c r="R330" s="11">
        <v>4</v>
      </c>
      <c r="S330" s="28">
        <v>0.3</v>
      </c>
      <c r="T330" s="13">
        <v>-258.5016</v>
      </c>
    </row>
    <row r="331" spans="1:20" x14ac:dyDescent="0.3">
      <c r="A331" s="11">
        <v>330</v>
      </c>
      <c r="B331" s="10">
        <v>41517</v>
      </c>
      <c r="C331" s="11">
        <v>2013</v>
      </c>
      <c r="D331" s="12" t="s">
        <v>95</v>
      </c>
      <c r="E331" s="10">
        <v>41519</v>
      </c>
      <c r="F331" s="11">
        <f t="shared" si="5"/>
        <v>2</v>
      </c>
      <c r="G331" s="11" t="s">
        <v>132</v>
      </c>
      <c r="H331" s="11" t="s">
        <v>616</v>
      </c>
      <c r="I331" s="11" t="s">
        <v>24</v>
      </c>
      <c r="J331" s="11" t="s">
        <v>1097</v>
      </c>
      <c r="K331" s="11" t="s">
        <v>108</v>
      </c>
      <c r="L331" s="11" t="s">
        <v>109</v>
      </c>
      <c r="M331" s="11" t="s">
        <v>110</v>
      </c>
      <c r="N331" s="11" t="s">
        <v>39</v>
      </c>
      <c r="O331" s="11" t="s">
        <v>40</v>
      </c>
      <c r="P331" s="11" t="s">
        <v>620</v>
      </c>
      <c r="Q331" s="13">
        <v>100.24</v>
      </c>
      <c r="R331" s="11">
        <v>10</v>
      </c>
      <c r="S331" s="28">
        <v>0.2</v>
      </c>
      <c r="T331" s="13">
        <v>33.831000000000003</v>
      </c>
    </row>
    <row r="332" spans="1:20" x14ac:dyDescent="0.3">
      <c r="A332" s="11">
        <v>331</v>
      </c>
      <c r="B332" s="10">
        <v>41517</v>
      </c>
      <c r="C332" s="11">
        <v>2013</v>
      </c>
      <c r="D332" s="12" t="s">
        <v>95</v>
      </c>
      <c r="E332" s="10">
        <v>41519</v>
      </c>
      <c r="F332" s="11">
        <f t="shared" si="5"/>
        <v>2</v>
      </c>
      <c r="G332" s="11" t="s">
        <v>132</v>
      </c>
      <c r="H332" s="11" t="s">
        <v>616</v>
      </c>
      <c r="I332" s="11" t="s">
        <v>24</v>
      </c>
      <c r="J332" s="11" t="s">
        <v>1097</v>
      </c>
      <c r="K332" s="11" t="s">
        <v>108</v>
      </c>
      <c r="L332" s="11" t="s">
        <v>109</v>
      </c>
      <c r="M332" s="11" t="s">
        <v>110</v>
      </c>
      <c r="N332" s="11" t="s">
        <v>39</v>
      </c>
      <c r="O332" s="11" t="s">
        <v>61</v>
      </c>
      <c r="P332" s="11" t="s">
        <v>621</v>
      </c>
      <c r="Q332" s="13">
        <v>37.764000000000003</v>
      </c>
      <c r="R332" s="11">
        <v>6</v>
      </c>
      <c r="S332" s="28">
        <v>0.7</v>
      </c>
      <c r="T332" s="13">
        <v>-27.6936</v>
      </c>
    </row>
    <row r="333" spans="1:20" x14ac:dyDescent="0.3">
      <c r="A333" s="11">
        <v>332</v>
      </c>
      <c r="B333" s="10">
        <v>41390</v>
      </c>
      <c r="C333" s="11">
        <v>2013</v>
      </c>
      <c r="D333" s="12" t="s">
        <v>68</v>
      </c>
      <c r="E333" s="10">
        <v>41394</v>
      </c>
      <c r="F333" s="11">
        <f t="shared" si="5"/>
        <v>4</v>
      </c>
      <c r="G333" s="11" t="s">
        <v>22</v>
      </c>
      <c r="H333" s="11" t="s">
        <v>622</v>
      </c>
      <c r="I333" s="11" t="s">
        <v>24</v>
      </c>
      <c r="J333" s="11" t="s">
        <v>1097</v>
      </c>
      <c r="K333" s="11" t="s">
        <v>108</v>
      </c>
      <c r="L333" s="11" t="s">
        <v>109</v>
      </c>
      <c r="M333" s="11" t="s">
        <v>110</v>
      </c>
      <c r="N333" s="11" t="s">
        <v>58</v>
      </c>
      <c r="O333" s="11" t="s">
        <v>59</v>
      </c>
      <c r="P333" s="11" t="s">
        <v>623</v>
      </c>
      <c r="Q333" s="13">
        <v>82.8</v>
      </c>
      <c r="R333" s="11">
        <v>2</v>
      </c>
      <c r="S333" s="28">
        <v>0.4</v>
      </c>
      <c r="T333" s="13">
        <v>-20.7</v>
      </c>
    </row>
    <row r="334" spans="1:20" x14ac:dyDescent="0.3">
      <c r="A334" s="11">
        <v>333</v>
      </c>
      <c r="B334" s="10">
        <v>41390</v>
      </c>
      <c r="C334" s="11">
        <v>2013</v>
      </c>
      <c r="D334" s="12" t="s">
        <v>68</v>
      </c>
      <c r="E334" s="10">
        <v>41394</v>
      </c>
      <c r="F334" s="11">
        <f t="shared" si="5"/>
        <v>4</v>
      </c>
      <c r="G334" s="11" t="s">
        <v>22</v>
      </c>
      <c r="H334" s="11" t="s">
        <v>622</v>
      </c>
      <c r="I334" s="11" t="s">
        <v>24</v>
      </c>
      <c r="J334" s="11" t="s">
        <v>1097</v>
      </c>
      <c r="K334" s="11" t="s">
        <v>108</v>
      </c>
      <c r="L334" s="11" t="s">
        <v>109</v>
      </c>
      <c r="M334" s="11" t="s">
        <v>110</v>
      </c>
      <c r="N334" s="11" t="s">
        <v>39</v>
      </c>
      <c r="O334" s="11" t="s">
        <v>61</v>
      </c>
      <c r="P334" s="11" t="s">
        <v>624</v>
      </c>
      <c r="Q334" s="13">
        <v>20.724</v>
      </c>
      <c r="R334" s="11">
        <v>2</v>
      </c>
      <c r="S334" s="28">
        <v>0.7</v>
      </c>
      <c r="T334" s="13">
        <v>-13.816000000000001</v>
      </c>
    </row>
    <row r="335" spans="1:20" x14ac:dyDescent="0.3">
      <c r="A335" s="11">
        <v>334</v>
      </c>
      <c r="B335" s="10">
        <v>41390</v>
      </c>
      <c r="C335" s="11">
        <v>2013</v>
      </c>
      <c r="D335" s="12" t="s">
        <v>68</v>
      </c>
      <c r="E335" s="10">
        <v>41394</v>
      </c>
      <c r="F335" s="11">
        <f t="shared" si="5"/>
        <v>4</v>
      </c>
      <c r="G335" s="11" t="s">
        <v>22</v>
      </c>
      <c r="H335" s="11" t="s">
        <v>622</v>
      </c>
      <c r="I335" s="11" t="s">
        <v>24</v>
      </c>
      <c r="J335" s="11" t="s">
        <v>1097</v>
      </c>
      <c r="K335" s="11" t="s">
        <v>108</v>
      </c>
      <c r="L335" s="11" t="s">
        <v>109</v>
      </c>
      <c r="M335" s="11" t="s">
        <v>110</v>
      </c>
      <c r="N335" s="11" t="s">
        <v>39</v>
      </c>
      <c r="O335" s="11" t="s">
        <v>61</v>
      </c>
      <c r="P335" s="11" t="s">
        <v>625</v>
      </c>
      <c r="Q335" s="13">
        <v>4.8959999999999999</v>
      </c>
      <c r="R335" s="11">
        <v>3</v>
      </c>
      <c r="S335" s="28">
        <v>0.7</v>
      </c>
      <c r="T335" s="13">
        <v>-3.4272</v>
      </c>
    </row>
    <row r="336" spans="1:20" x14ac:dyDescent="0.3">
      <c r="A336" s="11">
        <v>335</v>
      </c>
      <c r="B336" s="10">
        <v>41153</v>
      </c>
      <c r="C336" s="11">
        <v>2012</v>
      </c>
      <c r="D336" s="12" t="s">
        <v>112</v>
      </c>
      <c r="E336" s="10">
        <v>41156</v>
      </c>
      <c r="F336" s="11">
        <f t="shared" si="5"/>
        <v>3</v>
      </c>
      <c r="G336" s="11" t="s">
        <v>22</v>
      </c>
      <c r="H336" s="11" t="s">
        <v>626</v>
      </c>
      <c r="I336" s="11" t="s">
        <v>24</v>
      </c>
      <c r="J336" s="11" t="s">
        <v>1097</v>
      </c>
      <c r="K336" s="11" t="s">
        <v>36</v>
      </c>
      <c r="L336" s="11" t="s">
        <v>37</v>
      </c>
      <c r="M336" s="11" t="s">
        <v>38</v>
      </c>
      <c r="N336" s="11" t="s">
        <v>39</v>
      </c>
      <c r="O336" s="11" t="s">
        <v>61</v>
      </c>
      <c r="P336" s="11" t="s">
        <v>627</v>
      </c>
      <c r="Q336" s="13">
        <v>4.7519999999999998</v>
      </c>
      <c r="R336" s="11">
        <v>1</v>
      </c>
      <c r="S336" s="28">
        <v>0.2</v>
      </c>
      <c r="T336" s="13">
        <v>1.6037999999999999</v>
      </c>
    </row>
    <row r="337" spans="1:20" x14ac:dyDescent="0.3">
      <c r="A337" s="11">
        <v>336</v>
      </c>
      <c r="B337" s="10">
        <v>41153</v>
      </c>
      <c r="C337" s="11">
        <v>2012</v>
      </c>
      <c r="D337" s="12" t="s">
        <v>112</v>
      </c>
      <c r="E337" s="10">
        <v>41156</v>
      </c>
      <c r="F337" s="11">
        <f t="shared" si="5"/>
        <v>3</v>
      </c>
      <c r="G337" s="11" t="s">
        <v>22</v>
      </c>
      <c r="H337" s="11" t="s">
        <v>626</v>
      </c>
      <c r="I337" s="11" t="s">
        <v>24</v>
      </c>
      <c r="J337" s="11" t="s">
        <v>1097</v>
      </c>
      <c r="K337" s="11" t="s">
        <v>36</v>
      </c>
      <c r="L337" s="11" t="s">
        <v>37</v>
      </c>
      <c r="M337" s="11" t="s">
        <v>38</v>
      </c>
      <c r="N337" s="11" t="s">
        <v>58</v>
      </c>
      <c r="O337" s="11" t="s">
        <v>628</v>
      </c>
      <c r="P337" s="11" t="s">
        <v>629</v>
      </c>
      <c r="Q337" s="13">
        <v>959.98400000000004</v>
      </c>
      <c r="R337" s="11">
        <v>2</v>
      </c>
      <c r="S337" s="28">
        <v>0.2</v>
      </c>
      <c r="T337" s="13">
        <v>335.99439999999998</v>
      </c>
    </row>
    <row r="338" spans="1:20" x14ac:dyDescent="0.3">
      <c r="A338" s="11">
        <v>337</v>
      </c>
      <c r="B338" s="10">
        <v>41153</v>
      </c>
      <c r="C338" s="11">
        <v>2012</v>
      </c>
      <c r="D338" s="12" t="s">
        <v>112</v>
      </c>
      <c r="E338" s="10">
        <v>41156</v>
      </c>
      <c r="F338" s="11">
        <f t="shared" si="5"/>
        <v>3</v>
      </c>
      <c r="G338" s="11" t="s">
        <v>22</v>
      </c>
      <c r="H338" s="11" t="s">
        <v>626</v>
      </c>
      <c r="I338" s="11" t="s">
        <v>24</v>
      </c>
      <c r="J338" s="11" t="s">
        <v>1097</v>
      </c>
      <c r="K338" s="11" t="s">
        <v>36</v>
      </c>
      <c r="L338" s="11" t="s">
        <v>37</v>
      </c>
      <c r="M338" s="11" t="s">
        <v>38</v>
      </c>
      <c r="N338" s="11" t="s">
        <v>39</v>
      </c>
      <c r="O338" s="11" t="s">
        <v>61</v>
      </c>
      <c r="P338" s="11" t="s">
        <v>630</v>
      </c>
      <c r="Q338" s="13">
        <v>14.368</v>
      </c>
      <c r="R338" s="11">
        <v>4</v>
      </c>
      <c r="S338" s="28">
        <v>0.2</v>
      </c>
      <c r="T338" s="13">
        <v>4.49</v>
      </c>
    </row>
    <row r="339" spans="1:20" x14ac:dyDescent="0.3">
      <c r="A339" s="11">
        <v>338</v>
      </c>
      <c r="B339" s="10">
        <v>40736</v>
      </c>
      <c r="C339" s="11">
        <v>2011</v>
      </c>
      <c r="D339" s="12" t="s">
        <v>106</v>
      </c>
      <c r="E339" s="10">
        <v>40741</v>
      </c>
      <c r="F339" s="11">
        <f t="shared" si="5"/>
        <v>5</v>
      </c>
      <c r="G339" s="11" t="s">
        <v>44</v>
      </c>
      <c r="H339" s="11" t="s">
        <v>631</v>
      </c>
      <c r="I339" s="11" t="s">
        <v>35</v>
      </c>
      <c r="J339" s="11" t="s">
        <v>1097</v>
      </c>
      <c r="K339" s="11" t="s">
        <v>97</v>
      </c>
      <c r="L339" s="11" t="s">
        <v>37</v>
      </c>
      <c r="M339" s="11" t="s">
        <v>38</v>
      </c>
      <c r="N339" s="11" t="s">
        <v>39</v>
      </c>
      <c r="O339" s="11" t="s">
        <v>61</v>
      </c>
      <c r="P339" s="11" t="s">
        <v>632</v>
      </c>
      <c r="Q339" s="13">
        <v>7.7119999999999997</v>
      </c>
      <c r="R339" s="11">
        <v>2</v>
      </c>
      <c r="S339" s="28">
        <v>0.2</v>
      </c>
      <c r="T339" s="13">
        <v>2.7955999999999999</v>
      </c>
    </row>
    <row r="340" spans="1:20" x14ac:dyDescent="0.3">
      <c r="A340" s="11">
        <v>339</v>
      </c>
      <c r="B340" s="10">
        <v>40736</v>
      </c>
      <c r="C340" s="11">
        <v>2011</v>
      </c>
      <c r="D340" s="12" t="s">
        <v>106</v>
      </c>
      <c r="E340" s="10">
        <v>40741</v>
      </c>
      <c r="F340" s="11">
        <f t="shared" si="5"/>
        <v>5</v>
      </c>
      <c r="G340" s="11" t="s">
        <v>44</v>
      </c>
      <c r="H340" s="11" t="s">
        <v>631</v>
      </c>
      <c r="I340" s="11" t="s">
        <v>35</v>
      </c>
      <c r="J340" s="11" t="s">
        <v>1097</v>
      </c>
      <c r="K340" s="11" t="s">
        <v>97</v>
      </c>
      <c r="L340" s="11" t="s">
        <v>37</v>
      </c>
      <c r="M340" s="11" t="s">
        <v>38</v>
      </c>
      <c r="N340" s="11" t="s">
        <v>28</v>
      </c>
      <c r="O340" s="11" t="s">
        <v>48</v>
      </c>
      <c r="P340" s="11" t="s">
        <v>633</v>
      </c>
      <c r="Q340" s="13">
        <v>698.35199999999998</v>
      </c>
      <c r="R340" s="11">
        <v>3</v>
      </c>
      <c r="S340" s="28">
        <v>0.2</v>
      </c>
      <c r="T340" s="13">
        <v>-17.4588</v>
      </c>
    </row>
    <row r="341" spans="1:20" x14ac:dyDescent="0.3">
      <c r="A341" s="11">
        <v>340</v>
      </c>
      <c r="B341" s="10">
        <v>41082</v>
      </c>
      <c r="C341" s="11">
        <v>2012</v>
      </c>
      <c r="D341" s="12" t="s">
        <v>33</v>
      </c>
      <c r="E341" s="10">
        <v>41086</v>
      </c>
      <c r="F341" s="11">
        <f t="shared" si="5"/>
        <v>4</v>
      </c>
      <c r="G341" s="11" t="s">
        <v>22</v>
      </c>
      <c r="H341" s="11" t="s">
        <v>490</v>
      </c>
      <c r="I341" s="11" t="s">
        <v>24</v>
      </c>
      <c r="J341" s="11" t="s">
        <v>1097</v>
      </c>
      <c r="K341" s="11" t="s">
        <v>634</v>
      </c>
      <c r="L341" s="11" t="s">
        <v>93</v>
      </c>
      <c r="M341" s="11" t="s">
        <v>38</v>
      </c>
      <c r="N341" s="11" t="s">
        <v>39</v>
      </c>
      <c r="O341" s="11" t="s">
        <v>176</v>
      </c>
      <c r="P341" s="11" t="s">
        <v>635</v>
      </c>
      <c r="Q341" s="13">
        <v>4.96</v>
      </c>
      <c r="R341" s="11">
        <v>4</v>
      </c>
      <c r="S341" s="28">
        <v>0</v>
      </c>
      <c r="T341" s="13">
        <v>2.3311999999999999</v>
      </c>
    </row>
    <row r="342" spans="1:20" x14ac:dyDescent="0.3">
      <c r="A342" s="11">
        <v>341</v>
      </c>
      <c r="B342" s="10">
        <v>40646</v>
      </c>
      <c r="C342" s="11">
        <v>2011</v>
      </c>
      <c r="D342" s="12" t="s">
        <v>68</v>
      </c>
      <c r="E342" s="10">
        <v>40650</v>
      </c>
      <c r="F342" s="11">
        <f t="shared" si="5"/>
        <v>4</v>
      </c>
      <c r="G342" s="11" t="s">
        <v>22</v>
      </c>
      <c r="H342" s="11" t="s">
        <v>330</v>
      </c>
      <c r="I342" s="11" t="s">
        <v>35</v>
      </c>
      <c r="J342" s="11" t="s">
        <v>1097</v>
      </c>
      <c r="K342" s="11" t="s">
        <v>108</v>
      </c>
      <c r="L342" s="11" t="s">
        <v>109</v>
      </c>
      <c r="M342" s="11" t="s">
        <v>110</v>
      </c>
      <c r="N342" s="11" t="s">
        <v>39</v>
      </c>
      <c r="O342" s="11" t="s">
        <v>56</v>
      </c>
      <c r="P342" s="11" t="s">
        <v>636</v>
      </c>
      <c r="Q342" s="13">
        <v>17.856000000000002</v>
      </c>
      <c r="R342" s="11">
        <v>4</v>
      </c>
      <c r="S342" s="28">
        <v>0.2</v>
      </c>
      <c r="T342" s="13">
        <v>1.1160000000000001</v>
      </c>
    </row>
    <row r="343" spans="1:20" x14ac:dyDescent="0.3">
      <c r="A343" s="11">
        <v>342</v>
      </c>
      <c r="B343" s="10">
        <v>40646</v>
      </c>
      <c r="C343" s="11">
        <v>2011</v>
      </c>
      <c r="D343" s="12" t="s">
        <v>68</v>
      </c>
      <c r="E343" s="10">
        <v>40650</v>
      </c>
      <c r="F343" s="11">
        <f t="shared" si="5"/>
        <v>4</v>
      </c>
      <c r="G343" s="11" t="s">
        <v>22</v>
      </c>
      <c r="H343" s="11" t="s">
        <v>330</v>
      </c>
      <c r="I343" s="11" t="s">
        <v>35</v>
      </c>
      <c r="J343" s="11" t="s">
        <v>1097</v>
      </c>
      <c r="K343" s="11" t="s">
        <v>108</v>
      </c>
      <c r="L343" s="11" t="s">
        <v>109</v>
      </c>
      <c r="M343" s="11" t="s">
        <v>110</v>
      </c>
      <c r="N343" s="11" t="s">
        <v>39</v>
      </c>
      <c r="O343" s="11" t="s">
        <v>61</v>
      </c>
      <c r="P343" s="11" t="s">
        <v>78</v>
      </c>
      <c r="Q343" s="13">
        <v>509.97</v>
      </c>
      <c r="R343" s="11">
        <v>10</v>
      </c>
      <c r="S343" s="28">
        <v>0.7</v>
      </c>
      <c r="T343" s="13">
        <v>-407.976</v>
      </c>
    </row>
    <row r="344" spans="1:20" x14ac:dyDescent="0.3">
      <c r="A344" s="11">
        <v>343</v>
      </c>
      <c r="B344" s="10">
        <v>40646</v>
      </c>
      <c r="C344" s="11">
        <v>2011</v>
      </c>
      <c r="D344" s="12" t="s">
        <v>68</v>
      </c>
      <c r="E344" s="10">
        <v>40650</v>
      </c>
      <c r="F344" s="11">
        <f t="shared" si="5"/>
        <v>4</v>
      </c>
      <c r="G344" s="11" t="s">
        <v>22</v>
      </c>
      <c r="H344" s="11" t="s">
        <v>330</v>
      </c>
      <c r="I344" s="11" t="s">
        <v>35</v>
      </c>
      <c r="J344" s="11" t="s">
        <v>1097</v>
      </c>
      <c r="K344" s="11" t="s">
        <v>108</v>
      </c>
      <c r="L344" s="11" t="s">
        <v>109</v>
      </c>
      <c r="M344" s="11" t="s">
        <v>110</v>
      </c>
      <c r="N344" s="11" t="s">
        <v>39</v>
      </c>
      <c r="O344" s="11" t="s">
        <v>176</v>
      </c>
      <c r="P344" s="11" t="s">
        <v>131</v>
      </c>
      <c r="Q344" s="13">
        <v>30.992000000000001</v>
      </c>
      <c r="R344" s="11">
        <v>13</v>
      </c>
      <c r="S344" s="28">
        <v>0.2</v>
      </c>
      <c r="T344" s="13">
        <v>10.0724</v>
      </c>
    </row>
    <row r="345" spans="1:20" x14ac:dyDescent="0.3">
      <c r="A345" s="11">
        <v>344</v>
      </c>
      <c r="B345" s="10">
        <v>40646</v>
      </c>
      <c r="C345" s="11">
        <v>2011</v>
      </c>
      <c r="D345" s="12" t="s">
        <v>68</v>
      </c>
      <c r="E345" s="10">
        <v>40650</v>
      </c>
      <c r="F345" s="11">
        <f t="shared" si="5"/>
        <v>4</v>
      </c>
      <c r="G345" s="11" t="s">
        <v>22</v>
      </c>
      <c r="H345" s="11" t="s">
        <v>330</v>
      </c>
      <c r="I345" s="11" t="s">
        <v>35</v>
      </c>
      <c r="J345" s="11" t="s">
        <v>1097</v>
      </c>
      <c r="K345" s="11" t="s">
        <v>108</v>
      </c>
      <c r="L345" s="11" t="s">
        <v>109</v>
      </c>
      <c r="M345" s="11" t="s">
        <v>110</v>
      </c>
      <c r="N345" s="11" t="s">
        <v>58</v>
      </c>
      <c r="O345" s="11" t="s">
        <v>59</v>
      </c>
      <c r="P345" s="11" t="s">
        <v>637</v>
      </c>
      <c r="Q345" s="13">
        <v>71.927999999999997</v>
      </c>
      <c r="R345" s="11">
        <v>12</v>
      </c>
      <c r="S345" s="28">
        <v>0.4</v>
      </c>
      <c r="T345" s="13">
        <v>8.3916000000000004</v>
      </c>
    </row>
    <row r="346" spans="1:20" x14ac:dyDescent="0.3">
      <c r="A346" s="11">
        <v>345</v>
      </c>
      <c r="B346" s="10">
        <v>41263</v>
      </c>
      <c r="C346" s="11">
        <v>2012</v>
      </c>
      <c r="D346" s="12" t="s">
        <v>74</v>
      </c>
      <c r="E346" s="10">
        <v>41267</v>
      </c>
      <c r="F346" s="11">
        <f t="shared" si="5"/>
        <v>4</v>
      </c>
      <c r="G346" s="11" t="s">
        <v>44</v>
      </c>
      <c r="H346" s="11" t="s">
        <v>385</v>
      </c>
      <c r="I346" s="11" t="s">
        <v>24</v>
      </c>
      <c r="J346" s="11" t="s">
        <v>1097</v>
      </c>
      <c r="K346" s="11" t="s">
        <v>638</v>
      </c>
      <c r="L346" s="11" t="s">
        <v>82</v>
      </c>
      <c r="M346" s="11" t="s">
        <v>83</v>
      </c>
      <c r="N346" s="11" t="s">
        <v>39</v>
      </c>
      <c r="O346" s="11" t="s">
        <v>50</v>
      </c>
      <c r="P346" s="11" t="s">
        <v>94</v>
      </c>
      <c r="Q346" s="13">
        <v>88.8</v>
      </c>
      <c r="R346" s="11">
        <v>4</v>
      </c>
      <c r="S346" s="28">
        <v>0.2</v>
      </c>
      <c r="T346" s="13">
        <v>-2.2200000000000002</v>
      </c>
    </row>
    <row r="347" spans="1:20" x14ac:dyDescent="0.3">
      <c r="A347" s="11">
        <v>346</v>
      </c>
      <c r="B347" s="10">
        <v>41806</v>
      </c>
      <c r="C347" s="11">
        <v>2014</v>
      </c>
      <c r="D347" s="12" t="s">
        <v>33</v>
      </c>
      <c r="E347" s="10">
        <v>41810</v>
      </c>
      <c r="F347" s="11">
        <f t="shared" si="5"/>
        <v>4</v>
      </c>
      <c r="G347" s="11" t="s">
        <v>44</v>
      </c>
      <c r="H347" s="11" t="s">
        <v>639</v>
      </c>
      <c r="I347" s="11" t="s">
        <v>24</v>
      </c>
      <c r="J347" s="11" t="s">
        <v>1097</v>
      </c>
      <c r="K347" s="11" t="s">
        <v>97</v>
      </c>
      <c r="L347" s="11" t="s">
        <v>37</v>
      </c>
      <c r="M347" s="11" t="s">
        <v>38</v>
      </c>
      <c r="N347" s="11" t="s">
        <v>58</v>
      </c>
      <c r="O347" s="11" t="s">
        <v>59</v>
      </c>
      <c r="P347" s="11" t="s">
        <v>319</v>
      </c>
      <c r="Q347" s="13">
        <v>47.975999999999999</v>
      </c>
      <c r="R347" s="11">
        <v>3</v>
      </c>
      <c r="S347" s="28">
        <v>0.2</v>
      </c>
      <c r="T347" s="13">
        <v>4.7976000000000001</v>
      </c>
    </row>
    <row r="348" spans="1:20" x14ac:dyDescent="0.3">
      <c r="A348" s="11">
        <v>347</v>
      </c>
      <c r="B348" s="10">
        <v>41829</v>
      </c>
      <c r="C348" s="11">
        <v>2014</v>
      </c>
      <c r="D348" s="12" t="s">
        <v>106</v>
      </c>
      <c r="E348" s="10">
        <v>41833</v>
      </c>
      <c r="F348" s="11">
        <f t="shared" si="5"/>
        <v>4</v>
      </c>
      <c r="G348" s="11" t="s">
        <v>44</v>
      </c>
      <c r="H348" s="11" t="s">
        <v>640</v>
      </c>
      <c r="I348" s="11" t="s">
        <v>24</v>
      </c>
      <c r="J348" s="11" t="s">
        <v>1097</v>
      </c>
      <c r="K348" s="11" t="s">
        <v>641</v>
      </c>
      <c r="L348" s="11" t="s">
        <v>642</v>
      </c>
      <c r="M348" s="11" t="s">
        <v>110</v>
      </c>
      <c r="N348" s="11" t="s">
        <v>39</v>
      </c>
      <c r="O348" s="11" t="s">
        <v>56</v>
      </c>
      <c r="P348" s="11" t="s">
        <v>426</v>
      </c>
      <c r="Q348" s="13">
        <v>7.56</v>
      </c>
      <c r="R348" s="11">
        <v>3</v>
      </c>
      <c r="S348" s="28">
        <v>0</v>
      </c>
      <c r="T348" s="13">
        <v>3.0996000000000001</v>
      </c>
    </row>
    <row r="349" spans="1:20" x14ac:dyDescent="0.3">
      <c r="A349" s="11">
        <v>348</v>
      </c>
      <c r="B349" s="10">
        <v>41829</v>
      </c>
      <c r="C349" s="11">
        <v>2014</v>
      </c>
      <c r="D349" s="12" t="s">
        <v>106</v>
      </c>
      <c r="E349" s="10">
        <v>41833</v>
      </c>
      <c r="F349" s="11">
        <f t="shared" si="5"/>
        <v>4</v>
      </c>
      <c r="G349" s="11" t="s">
        <v>44</v>
      </c>
      <c r="H349" s="11" t="s">
        <v>640</v>
      </c>
      <c r="I349" s="11" t="s">
        <v>24</v>
      </c>
      <c r="J349" s="11" t="s">
        <v>1097</v>
      </c>
      <c r="K349" s="11" t="s">
        <v>641</v>
      </c>
      <c r="L349" s="11" t="s">
        <v>642</v>
      </c>
      <c r="M349" s="11" t="s">
        <v>110</v>
      </c>
      <c r="N349" s="11" t="s">
        <v>39</v>
      </c>
      <c r="O349" s="11" t="s">
        <v>72</v>
      </c>
      <c r="P349" s="11" t="s">
        <v>131</v>
      </c>
      <c r="Q349" s="13">
        <v>24.56</v>
      </c>
      <c r="R349" s="11">
        <v>2</v>
      </c>
      <c r="S349" s="28">
        <v>0</v>
      </c>
      <c r="T349" s="13">
        <v>11.543200000000001</v>
      </c>
    </row>
    <row r="350" spans="1:20" x14ac:dyDescent="0.3">
      <c r="A350" s="11">
        <v>349</v>
      </c>
      <c r="B350" s="10">
        <v>41829</v>
      </c>
      <c r="C350" s="11">
        <v>2014</v>
      </c>
      <c r="D350" s="12" t="s">
        <v>106</v>
      </c>
      <c r="E350" s="10">
        <v>41833</v>
      </c>
      <c r="F350" s="11">
        <f t="shared" si="5"/>
        <v>4</v>
      </c>
      <c r="G350" s="11" t="s">
        <v>44</v>
      </c>
      <c r="H350" s="11" t="s">
        <v>640</v>
      </c>
      <c r="I350" s="11" t="s">
        <v>24</v>
      </c>
      <c r="J350" s="11" t="s">
        <v>1097</v>
      </c>
      <c r="K350" s="11" t="s">
        <v>641</v>
      </c>
      <c r="L350" s="11" t="s">
        <v>642</v>
      </c>
      <c r="M350" s="11" t="s">
        <v>110</v>
      </c>
      <c r="N350" s="11" t="s">
        <v>39</v>
      </c>
      <c r="O350" s="11" t="s">
        <v>56</v>
      </c>
      <c r="P350" s="11" t="s">
        <v>643</v>
      </c>
      <c r="Q350" s="13">
        <v>12.96</v>
      </c>
      <c r="R350" s="11">
        <v>2</v>
      </c>
      <c r="S350" s="28">
        <v>0</v>
      </c>
      <c r="T350" s="13">
        <v>4.1471999999999998</v>
      </c>
    </row>
    <row r="351" spans="1:20" x14ac:dyDescent="0.3">
      <c r="A351" s="11">
        <v>350</v>
      </c>
      <c r="B351" s="10">
        <v>41519</v>
      </c>
      <c r="C351" s="11">
        <v>2013</v>
      </c>
      <c r="D351" s="12" t="s">
        <v>112</v>
      </c>
      <c r="E351" s="10">
        <v>41521</v>
      </c>
      <c r="F351" s="11">
        <f t="shared" si="5"/>
        <v>2</v>
      </c>
      <c r="G351" s="11" t="s">
        <v>132</v>
      </c>
      <c r="H351" s="11" t="s">
        <v>644</v>
      </c>
      <c r="I351" s="11" t="s">
        <v>80</v>
      </c>
      <c r="J351" s="11" t="s">
        <v>1097</v>
      </c>
      <c r="K351" s="11" t="s">
        <v>174</v>
      </c>
      <c r="L351" s="11" t="s">
        <v>175</v>
      </c>
      <c r="M351" s="11" t="s">
        <v>110</v>
      </c>
      <c r="N351" s="11" t="s">
        <v>58</v>
      </c>
      <c r="O351" s="11" t="s">
        <v>118</v>
      </c>
      <c r="P351" s="11" t="s">
        <v>513</v>
      </c>
      <c r="Q351" s="13">
        <v>6.79</v>
      </c>
      <c r="R351" s="11">
        <v>1</v>
      </c>
      <c r="S351" s="28">
        <v>0</v>
      </c>
      <c r="T351" s="13">
        <v>2.3086000000000002</v>
      </c>
    </row>
    <row r="352" spans="1:20" x14ac:dyDescent="0.3">
      <c r="A352" s="11">
        <v>351</v>
      </c>
      <c r="B352" s="10">
        <v>41519</v>
      </c>
      <c r="C352" s="11">
        <v>2013</v>
      </c>
      <c r="D352" s="12" t="s">
        <v>112</v>
      </c>
      <c r="E352" s="10">
        <v>41521</v>
      </c>
      <c r="F352" s="11">
        <f t="shared" si="5"/>
        <v>2</v>
      </c>
      <c r="G352" s="11" t="s">
        <v>132</v>
      </c>
      <c r="H352" s="11" t="s">
        <v>644</v>
      </c>
      <c r="I352" s="11" t="s">
        <v>80</v>
      </c>
      <c r="J352" s="11" t="s">
        <v>1097</v>
      </c>
      <c r="K352" s="11" t="s">
        <v>174</v>
      </c>
      <c r="L352" s="11" t="s">
        <v>175</v>
      </c>
      <c r="M352" s="11" t="s">
        <v>110</v>
      </c>
      <c r="N352" s="11" t="s">
        <v>39</v>
      </c>
      <c r="O352" s="11" t="s">
        <v>72</v>
      </c>
      <c r="P352" s="11" t="s">
        <v>645</v>
      </c>
      <c r="Q352" s="13">
        <v>24.56</v>
      </c>
      <c r="R352" s="11">
        <v>2</v>
      </c>
      <c r="S352" s="28">
        <v>0</v>
      </c>
      <c r="T352" s="13">
        <v>11.543200000000001</v>
      </c>
    </row>
    <row r="353" spans="1:20" x14ac:dyDescent="0.3">
      <c r="A353" s="11">
        <v>352</v>
      </c>
      <c r="B353" s="10">
        <v>41519</v>
      </c>
      <c r="C353" s="11">
        <v>2013</v>
      </c>
      <c r="D353" s="12" t="s">
        <v>112</v>
      </c>
      <c r="E353" s="10">
        <v>41521</v>
      </c>
      <c r="F353" s="11">
        <f t="shared" si="5"/>
        <v>2</v>
      </c>
      <c r="G353" s="11" t="s">
        <v>132</v>
      </c>
      <c r="H353" s="11" t="s">
        <v>644</v>
      </c>
      <c r="I353" s="11" t="s">
        <v>80</v>
      </c>
      <c r="J353" s="11" t="s">
        <v>1097</v>
      </c>
      <c r="K353" s="11" t="s">
        <v>174</v>
      </c>
      <c r="L353" s="11" t="s">
        <v>175</v>
      </c>
      <c r="M353" s="11" t="s">
        <v>110</v>
      </c>
      <c r="N353" s="11" t="s">
        <v>39</v>
      </c>
      <c r="O353" s="11" t="s">
        <v>61</v>
      </c>
      <c r="P353" s="11" t="s">
        <v>646</v>
      </c>
      <c r="Q353" s="13">
        <v>3.048</v>
      </c>
      <c r="R353" s="11">
        <v>1</v>
      </c>
      <c r="S353" s="28">
        <v>0.2</v>
      </c>
      <c r="T353" s="13">
        <v>1.0668</v>
      </c>
    </row>
    <row r="354" spans="1:20" x14ac:dyDescent="0.3">
      <c r="A354" s="11">
        <v>353</v>
      </c>
      <c r="B354" s="10">
        <v>41519</v>
      </c>
      <c r="C354" s="11">
        <v>2013</v>
      </c>
      <c r="D354" s="12" t="s">
        <v>112</v>
      </c>
      <c r="E354" s="10">
        <v>41521</v>
      </c>
      <c r="F354" s="11">
        <f t="shared" si="5"/>
        <v>2</v>
      </c>
      <c r="G354" s="11" t="s">
        <v>132</v>
      </c>
      <c r="H354" s="11" t="s">
        <v>644</v>
      </c>
      <c r="I354" s="11" t="s">
        <v>80</v>
      </c>
      <c r="J354" s="11" t="s">
        <v>1097</v>
      </c>
      <c r="K354" s="11" t="s">
        <v>174</v>
      </c>
      <c r="L354" s="11" t="s">
        <v>175</v>
      </c>
      <c r="M354" s="11" t="s">
        <v>110</v>
      </c>
      <c r="N354" s="11" t="s">
        <v>39</v>
      </c>
      <c r="O354" s="11" t="s">
        <v>72</v>
      </c>
      <c r="P354" s="11" t="s">
        <v>645</v>
      </c>
      <c r="Q354" s="13">
        <v>49.12</v>
      </c>
      <c r="R354" s="11">
        <v>4</v>
      </c>
      <c r="S354" s="28">
        <v>0</v>
      </c>
      <c r="T354" s="13">
        <v>23.086400000000001</v>
      </c>
    </row>
    <row r="355" spans="1:20" x14ac:dyDescent="0.3">
      <c r="A355" s="11">
        <v>354</v>
      </c>
      <c r="B355" s="10">
        <v>41519</v>
      </c>
      <c r="C355" s="11">
        <v>2013</v>
      </c>
      <c r="D355" s="12" t="s">
        <v>112</v>
      </c>
      <c r="E355" s="10">
        <v>41521</v>
      </c>
      <c r="F355" s="11">
        <f t="shared" si="5"/>
        <v>2</v>
      </c>
      <c r="G355" s="11" t="s">
        <v>132</v>
      </c>
      <c r="H355" s="11" t="s">
        <v>644</v>
      </c>
      <c r="I355" s="11" t="s">
        <v>80</v>
      </c>
      <c r="J355" s="11" t="s">
        <v>1097</v>
      </c>
      <c r="K355" s="11" t="s">
        <v>174</v>
      </c>
      <c r="L355" s="11" t="s">
        <v>175</v>
      </c>
      <c r="M355" s="11" t="s">
        <v>110</v>
      </c>
      <c r="N355" s="11" t="s">
        <v>39</v>
      </c>
      <c r="O355" s="11" t="s">
        <v>61</v>
      </c>
      <c r="P355" s="11" t="s">
        <v>647</v>
      </c>
      <c r="Q355" s="13">
        <v>4355.1679999999997</v>
      </c>
      <c r="R355" s="11">
        <v>4</v>
      </c>
      <c r="S355" s="28">
        <v>0.2</v>
      </c>
      <c r="T355" s="13">
        <v>1415.4295999999999</v>
      </c>
    </row>
    <row r="356" spans="1:20" x14ac:dyDescent="0.3">
      <c r="A356" s="11">
        <v>355</v>
      </c>
      <c r="B356" s="10">
        <v>41373</v>
      </c>
      <c r="C356" s="11">
        <v>2013</v>
      </c>
      <c r="D356" s="12" t="s">
        <v>68</v>
      </c>
      <c r="E356" s="10">
        <v>41378</v>
      </c>
      <c r="F356" s="11">
        <f t="shared" si="5"/>
        <v>5</v>
      </c>
      <c r="G356" s="11" t="s">
        <v>44</v>
      </c>
      <c r="H356" s="11" t="s">
        <v>648</v>
      </c>
      <c r="I356" s="11" t="s">
        <v>24</v>
      </c>
      <c r="J356" s="11" t="s">
        <v>1097</v>
      </c>
      <c r="K356" s="11" t="s">
        <v>174</v>
      </c>
      <c r="L356" s="11" t="s">
        <v>175</v>
      </c>
      <c r="M356" s="11" t="s">
        <v>110</v>
      </c>
      <c r="N356" s="11" t="s">
        <v>28</v>
      </c>
      <c r="O356" s="11" t="s">
        <v>29</v>
      </c>
      <c r="P356" s="11" t="s">
        <v>649</v>
      </c>
      <c r="Q356" s="13">
        <v>388.70400000000001</v>
      </c>
      <c r="R356" s="11">
        <v>6</v>
      </c>
      <c r="S356" s="28">
        <v>0.2</v>
      </c>
      <c r="T356" s="13">
        <v>-4.8587999999999996</v>
      </c>
    </row>
    <row r="357" spans="1:20" x14ac:dyDescent="0.3">
      <c r="A357" s="11">
        <v>356</v>
      </c>
      <c r="B357" s="10">
        <v>41373</v>
      </c>
      <c r="C357" s="11">
        <v>2013</v>
      </c>
      <c r="D357" s="12" t="s">
        <v>68</v>
      </c>
      <c r="E357" s="10">
        <v>41378</v>
      </c>
      <c r="F357" s="11">
        <f t="shared" si="5"/>
        <v>5</v>
      </c>
      <c r="G357" s="11" t="s">
        <v>44</v>
      </c>
      <c r="H357" s="11" t="s">
        <v>648</v>
      </c>
      <c r="I357" s="11" t="s">
        <v>24</v>
      </c>
      <c r="J357" s="11" t="s">
        <v>1097</v>
      </c>
      <c r="K357" s="11" t="s">
        <v>174</v>
      </c>
      <c r="L357" s="11" t="s">
        <v>175</v>
      </c>
      <c r="M357" s="11" t="s">
        <v>110</v>
      </c>
      <c r="N357" s="11" t="s">
        <v>39</v>
      </c>
      <c r="O357" s="11" t="s">
        <v>124</v>
      </c>
      <c r="P357" s="11" t="s">
        <v>650</v>
      </c>
      <c r="Q357" s="13">
        <v>8.26</v>
      </c>
      <c r="R357" s="11">
        <v>2</v>
      </c>
      <c r="S357" s="28">
        <v>0</v>
      </c>
      <c r="T357" s="13">
        <v>3.7995999999999999</v>
      </c>
    </row>
    <row r="358" spans="1:20" x14ac:dyDescent="0.3">
      <c r="A358" s="11">
        <v>357</v>
      </c>
      <c r="B358" s="10">
        <v>41373</v>
      </c>
      <c r="C358" s="11">
        <v>2013</v>
      </c>
      <c r="D358" s="12" t="s">
        <v>68</v>
      </c>
      <c r="E358" s="10">
        <v>41378</v>
      </c>
      <c r="F358" s="11">
        <f t="shared" si="5"/>
        <v>5</v>
      </c>
      <c r="G358" s="11" t="s">
        <v>44</v>
      </c>
      <c r="H358" s="11" t="s">
        <v>648</v>
      </c>
      <c r="I358" s="11" t="s">
        <v>24</v>
      </c>
      <c r="J358" s="11" t="s">
        <v>1097</v>
      </c>
      <c r="K358" s="11" t="s">
        <v>174</v>
      </c>
      <c r="L358" s="11" t="s">
        <v>175</v>
      </c>
      <c r="M358" s="11" t="s">
        <v>110</v>
      </c>
      <c r="N358" s="11" t="s">
        <v>39</v>
      </c>
      <c r="O358" s="11" t="s">
        <v>56</v>
      </c>
      <c r="P358" s="11" t="s">
        <v>651</v>
      </c>
      <c r="Q358" s="13">
        <v>17.04</v>
      </c>
      <c r="R358" s="11">
        <v>4</v>
      </c>
      <c r="S358" s="28">
        <v>0</v>
      </c>
      <c r="T358" s="13">
        <v>6.9863999999999997</v>
      </c>
    </row>
    <row r="359" spans="1:20" x14ac:dyDescent="0.3">
      <c r="A359" s="11">
        <v>358</v>
      </c>
      <c r="B359" s="10">
        <v>41373</v>
      </c>
      <c r="C359" s="11">
        <v>2013</v>
      </c>
      <c r="D359" s="12" t="s">
        <v>68</v>
      </c>
      <c r="E359" s="10">
        <v>41378</v>
      </c>
      <c r="F359" s="11">
        <f t="shared" si="5"/>
        <v>5</v>
      </c>
      <c r="G359" s="11" t="s">
        <v>44</v>
      </c>
      <c r="H359" s="11" t="s">
        <v>648</v>
      </c>
      <c r="I359" s="11" t="s">
        <v>24</v>
      </c>
      <c r="J359" s="11" t="s">
        <v>1097</v>
      </c>
      <c r="K359" s="11" t="s">
        <v>174</v>
      </c>
      <c r="L359" s="11" t="s">
        <v>175</v>
      </c>
      <c r="M359" s="11" t="s">
        <v>110</v>
      </c>
      <c r="N359" s="11" t="s">
        <v>39</v>
      </c>
      <c r="O359" s="11" t="s">
        <v>72</v>
      </c>
      <c r="P359" s="11" t="s">
        <v>652</v>
      </c>
      <c r="Q359" s="13">
        <v>34.4</v>
      </c>
      <c r="R359" s="11">
        <v>5</v>
      </c>
      <c r="S359" s="28">
        <v>0</v>
      </c>
      <c r="T359" s="13">
        <v>15.824</v>
      </c>
    </row>
    <row r="360" spans="1:20" x14ac:dyDescent="0.3">
      <c r="A360" s="11">
        <v>359</v>
      </c>
      <c r="B360" s="10">
        <v>41388</v>
      </c>
      <c r="C360" s="11">
        <v>2013</v>
      </c>
      <c r="D360" s="12" t="s">
        <v>68</v>
      </c>
      <c r="E360" s="10">
        <v>41393</v>
      </c>
      <c r="F360" s="11">
        <f t="shared" si="5"/>
        <v>5</v>
      </c>
      <c r="G360" s="11" t="s">
        <v>44</v>
      </c>
      <c r="H360" s="11" t="s">
        <v>444</v>
      </c>
      <c r="I360" s="11" t="s">
        <v>35</v>
      </c>
      <c r="J360" s="11" t="s">
        <v>1097</v>
      </c>
      <c r="K360" s="11" t="s">
        <v>273</v>
      </c>
      <c r="L360" s="11" t="s">
        <v>71</v>
      </c>
      <c r="M360" s="11" t="s">
        <v>27</v>
      </c>
      <c r="N360" s="11" t="s">
        <v>39</v>
      </c>
      <c r="O360" s="11" t="s">
        <v>72</v>
      </c>
      <c r="P360" s="11" t="s">
        <v>436</v>
      </c>
      <c r="Q360" s="13">
        <v>36.24</v>
      </c>
      <c r="R360" s="11">
        <v>5</v>
      </c>
      <c r="S360" s="28">
        <v>0.2</v>
      </c>
      <c r="T360" s="13">
        <v>11.324999999999999</v>
      </c>
    </row>
    <row r="361" spans="1:20" x14ac:dyDescent="0.3">
      <c r="A361" s="11">
        <v>360</v>
      </c>
      <c r="B361" s="10">
        <v>41707</v>
      </c>
      <c r="C361" s="11">
        <v>2014</v>
      </c>
      <c r="D361" s="12" t="s">
        <v>151</v>
      </c>
      <c r="E361" s="10">
        <v>41710</v>
      </c>
      <c r="F361" s="11">
        <f t="shared" si="5"/>
        <v>3</v>
      </c>
      <c r="G361" s="11" t="s">
        <v>132</v>
      </c>
      <c r="H361" s="11" t="s">
        <v>653</v>
      </c>
      <c r="I361" s="11" t="s">
        <v>35</v>
      </c>
      <c r="J361" s="11" t="s">
        <v>1097</v>
      </c>
      <c r="K361" s="11" t="s">
        <v>288</v>
      </c>
      <c r="L361" s="11" t="s">
        <v>654</v>
      </c>
      <c r="M361" s="11" t="s">
        <v>27</v>
      </c>
      <c r="N361" s="11" t="s">
        <v>39</v>
      </c>
      <c r="O361" s="11" t="s">
        <v>63</v>
      </c>
      <c r="P361" s="11" t="s">
        <v>655</v>
      </c>
      <c r="Q361" s="13">
        <v>647.84</v>
      </c>
      <c r="R361" s="11">
        <v>8</v>
      </c>
      <c r="S361" s="28">
        <v>0</v>
      </c>
      <c r="T361" s="13">
        <v>168.4384</v>
      </c>
    </row>
    <row r="362" spans="1:20" x14ac:dyDescent="0.3">
      <c r="A362" s="11">
        <v>361</v>
      </c>
      <c r="B362" s="10">
        <v>41707</v>
      </c>
      <c r="C362" s="11">
        <v>2014</v>
      </c>
      <c r="D362" s="12" t="s">
        <v>151</v>
      </c>
      <c r="E362" s="10">
        <v>41710</v>
      </c>
      <c r="F362" s="11">
        <f t="shared" si="5"/>
        <v>3</v>
      </c>
      <c r="G362" s="11" t="s">
        <v>132</v>
      </c>
      <c r="H362" s="11" t="s">
        <v>653</v>
      </c>
      <c r="I362" s="11" t="s">
        <v>35</v>
      </c>
      <c r="J362" s="11" t="s">
        <v>1097</v>
      </c>
      <c r="K362" s="11" t="s">
        <v>288</v>
      </c>
      <c r="L362" s="11" t="s">
        <v>654</v>
      </c>
      <c r="M362" s="11" t="s">
        <v>27</v>
      </c>
      <c r="N362" s="11" t="s">
        <v>39</v>
      </c>
      <c r="O362" s="11" t="s">
        <v>40</v>
      </c>
      <c r="P362" s="11" t="s">
        <v>656</v>
      </c>
      <c r="Q362" s="13">
        <v>20.7</v>
      </c>
      <c r="R362" s="11">
        <v>2</v>
      </c>
      <c r="S362" s="28">
        <v>0</v>
      </c>
      <c r="T362" s="13">
        <v>9.9359999999999999</v>
      </c>
    </row>
    <row r="363" spans="1:20" x14ac:dyDescent="0.3">
      <c r="A363" s="11">
        <v>362</v>
      </c>
      <c r="B363" s="10">
        <v>41908</v>
      </c>
      <c r="C363" s="11">
        <v>2014</v>
      </c>
      <c r="D363" s="12" t="s">
        <v>112</v>
      </c>
      <c r="E363" s="10">
        <v>41914</v>
      </c>
      <c r="F363" s="11">
        <f t="shared" si="5"/>
        <v>6</v>
      </c>
      <c r="G363" s="11" t="s">
        <v>44</v>
      </c>
      <c r="H363" s="11" t="s">
        <v>657</v>
      </c>
      <c r="I363" s="11" t="s">
        <v>24</v>
      </c>
      <c r="J363" s="11" t="s">
        <v>1097</v>
      </c>
      <c r="K363" s="11" t="s">
        <v>174</v>
      </c>
      <c r="L363" s="11" t="s">
        <v>175</v>
      </c>
      <c r="M363" s="11" t="s">
        <v>110</v>
      </c>
      <c r="N363" s="11" t="s">
        <v>39</v>
      </c>
      <c r="O363" s="11" t="s">
        <v>40</v>
      </c>
      <c r="P363" s="11" t="s">
        <v>656</v>
      </c>
      <c r="Q363" s="13">
        <v>20.7</v>
      </c>
      <c r="R363" s="11">
        <v>2</v>
      </c>
      <c r="S363" s="28">
        <v>0</v>
      </c>
      <c r="T363" s="13">
        <v>9.9359999999999999</v>
      </c>
    </row>
    <row r="364" spans="1:20" x14ac:dyDescent="0.3">
      <c r="A364" s="11">
        <v>363</v>
      </c>
      <c r="B364" s="10">
        <v>41908</v>
      </c>
      <c r="C364" s="11">
        <v>2014</v>
      </c>
      <c r="D364" s="12" t="s">
        <v>112</v>
      </c>
      <c r="E364" s="10">
        <v>41914</v>
      </c>
      <c r="F364" s="11">
        <f t="shared" si="5"/>
        <v>6</v>
      </c>
      <c r="G364" s="11" t="s">
        <v>44</v>
      </c>
      <c r="H364" s="11" t="s">
        <v>657</v>
      </c>
      <c r="I364" s="11" t="s">
        <v>24</v>
      </c>
      <c r="J364" s="11" t="s">
        <v>1097</v>
      </c>
      <c r="K364" s="11" t="s">
        <v>174</v>
      </c>
      <c r="L364" s="11" t="s">
        <v>175</v>
      </c>
      <c r="M364" s="11" t="s">
        <v>110</v>
      </c>
      <c r="N364" s="11" t="s">
        <v>28</v>
      </c>
      <c r="O364" s="11" t="s">
        <v>31</v>
      </c>
      <c r="P364" s="11" t="s">
        <v>658</v>
      </c>
      <c r="Q364" s="13">
        <v>488.64600000000002</v>
      </c>
      <c r="R364" s="11">
        <v>3</v>
      </c>
      <c r="S364" s="28">
        <v>0.1</v>
      </c>
      <c r="T364" s="13">
        <v>86.870400000000004</v>
      </c>
    </row>
    <row r="365" spans="1:20" x14ac:dyDescent="0.3">
      <c r="A365" s="11">
        <v>364</v>
      </c>
      <c r="B365" s="10">
        <v>41908</v>
      </c>
      <c r="C365" s="11">
        <v>2014</v>
      </c>
      <c r="D365" s="12" t="s">
        <v>112</v>
      </c>
      <c r="E365" s="10">
        <v>41914</v>
      </c>
      <c r="F365" s="11">
        <f t="shared" si="5"/>
        <v>6</v>
      </c>
      <c r="G365" s="11" t="s">
        <v>44</v>
      </c>
      <c r="H365" s="11" t="s">
        <v>657</v>
      </c>
      <c r="I365" s="11" t="s">
        <v>24</v>
      </c>
      <c r="J365" s="11" t="s">
        <v>1097</v>
      </c>
      <c r="K365" s="11" t="s">
        <v>174</v>
      </c>
      <c r="L365" s="11" t="s">
        <v>175</v>
      </c>
      <c r="M365" s="11" t="s">
        <v>110</v>
      </c>
      <c r="N365" s="11" t="s">
        <v>39</v>
      </c>
      <c r="O365" s="11" t="s">
        <v>56</v>
      </c>
      <c r="P365" s="11" t="s">
        <v>659</v>
      </c>
      <c r="Q365" s="13">
        <v>5.56</v>
      </c>
      <c r="R365" s="11">
        <v>2</v>
      </c>
      <c r="S365" s="28">
        <v>0</v>
      </c>
      <c r="T365" s="13">
        <v>1.4456</v>
      </c>
    </row>
    <row r="366" spans="1:20" x14ac:dyDescent="0.3">
      <c r="A366" s="11">
        <v>365</v>
      </c>
      <c r="B366" s="10">
        <v>41908</v>
      </c>
      <c r="C366" s="11">
        <v>2014</v>
      </c>
      <c r="D366" s="12" t="s">
        <v>112</v>
      </c>
      <c r="E366" s="10">
        <v>41914</v>
      </c>
      <c r="F366" s="11">
        <f t="shared" si="5"/>
        <v>6</v>
      </c>
      <c r="G366" s="11" t="s">
        <v>44</v>
      </c>
      <c r="H366" s="11" t="s">
        <v>657</v>
      </c>
      <c r="I366" s="11" t="s">
        <v>24</v>
      </c>
      <c r="J366" s="11" t="s">
        <v>1097</v>
      </c>
      <c r="K366" s="11" t="s">
        <v>174</v>
      </c>
      <c r="L366" s="11" t="s">
        <v>175</v>
      </c>
      <c r="M366" s="11" t="s">
        <v>110</v>
      </c>
      <c r="N366" s="11" t="s">
        <v>28</v>
      </c>
      <c r="O366" s="11" t="s">
        <v>54</v>
      </c>
      <c r="P366" s="11" t="s">
        <v>660</v>
      </c>
      <c r="Q366" s="13">
        <v>47.12</v>
      </c>
      <c r="R366" s="11">
        <v>8</v>
      </c>
      <c r="S366" s="28">
        <v>0</v>
      </c>
      <c r="T366" s="13">
        <v>20.732800000000001</v>
      </c>
    </row>
    <row r="367" spans="1:20" x14ac:dyDescent="0.3">
      <c r="A367" s="11">
        <v>366</v>
      </c>
      <c r="B367" s="10">
        <v>40810</v>
      </c>
      <c r="C367" s="11">
        <v>2011</v>
      </c>
      <c r="D367" s="12" t="s">
        <v>112</v>
      </c>
      <c r="E367" s="10">
        <v>40815</v>
      </c>
      <c r="F367" s="11">
        <f t="shared" si="5"/>
        <v>5</v>
      </c>
      <c r="G367" s="11" t="s">
        <v>44</v>
      </c>
      <c r="H367" s="11" t="s">
        <v>661</v>
      </c>
      <c r="I367" s="11" t="s">
        <v>24</v>
      </c>
      <c r="J367" s="11" t="s">
        <v>1097</v>
      </c>
      <c r="K367" s="11" t="s">
        <v>97</v>
      </c>
      <c r="L367" s="11" t="s">
        <v>37</v>
      </c>
      <c r="M367" s="11" t="s">
        <v>38</v>
      </c>
      <c r="N367" s="11" t="s">
        <v>39</v>
      </c>
      <c r="O367" s="11" t="s">
        <v>50</v>
      </c>
      <c r="P367" s="11" t="s">
        <v>160</v>
      </c>
      <c r="Q367" s="13">
        <v>211.96</v>
      </c>
      <c r="R367" s="11">
        <v>4</v>
      </c>
      <c r="S367" s="28">
        <v>0</v>
      </c>
      <c r="T367" s="13">
        <v>8.4784000000000006</v>
      </c>
    </row>
    <row r="368" spans="1:20" x14ac:dyDescent="0.3">
      <c r="A368" s="11">
        <v>367</v>
      </c>
      <c r="B368" s="10">
        <v>41569</v>
      </c>
      <c r="C368" s="11">
        <v>2013</v>
      </c>
      <c r="D368" s="12" t="s">
        <v>43</v>
      </c>
      <c r="E368" s="10">
        <v>41569</v>
      </c>
      <c r="F368" s="11">
        <f t="shared" si="5"/>
        <v>0</v>
      </c>
      <c r="G368" s="11" t="s">
        <v>662</v>
      </c>
      <c r="H368" s="11" t="s">
        <v>663</v>
      </c>
      <c r="I368" s="11" t="s">
        <v>35</v>
      </c>
      <c r="J368" s="11" t="s">
        <v>1097</v>
      </c>
      <c r="K368" s="11" t="s">
        <v>664</v>
      </c>
      <c r="L368" s="11" t="s">
        <v>409</v>
      </c>
      <c r="M368" s="11" t="s">
        <v>110</v>
      </c>
      <c r="N368" s="11" t="s">
        <v>39</v>
      </c>
      <c r="O368" s="11" t="s">
        <v>61</v>
      </c>
      <c r="P368" s="11" t="s">
        <v>665</v>
      </c>
      <c r="Q368" s="13">
        <v>23.2</v>
      </c>
      <c r="R368" s="11">
        <v>4</v>
      </c>
      <c r="S368" s="28">
        <v>0</v>
      </c>
      <c r="T368" s="13">
        <v>10.44</v>
      </c>
    </row>
    <row r="369" spans="1:20" x14ac:dyDescent="0.3">
      <c r="A369" s="11">
        <v>368</v>
      </c>
      <c r="B369" s="10">
        <v>41569</v>
      </c>
      <c r="C369" s="11">
        <v>2013</v>
      </c>
      <c r="D369" s="12" t="s">
        <v>43</v>
      </c>
      <c r="E369" s="10">
        <v>41569</v>
      </c>
      <c r="F369" s="11">
        <f t="shared" si="5"/>
        <v>0</v>
      </c>
      <c r="G369" s="11" t="s">
        <v>662</v>
      </c>
      <c r="H369" s="11" t="s">
        <v>663</v>
      </c>
      <c r="I369" s="11" t="s">
        <v>35</v>
      </c>
      <c r="J369" s="11" t="s">
        <v>1097</v>
      </c>
      <c r="K369" s="11" t="s">
        <v>664</v>
      </c>
      <c r="L369" s="11" t="s">
        <v>409</v>
      </c>
      <c r="M369" s="11" t="s">
        <v>110</v>
      </c>
      <c r="N369" s="11" t="s">
        <v>39</v>
      </c>
      <c r="O369" s="11" t="s">
        <v>328</v>
      </c>
      <c r="P369" s="11" t="s">
        <v>131</v>
      </c>
      <c r="Q369" s="13">
        <v>7.36</v>
      </c>
      <c r="R369" s="11">
        <v>2</v>
      </c>
      <c r="S369" s="28">
        <v>0</v>
      </c>
      <c r="T369" s="13">
        <v>0.1472</v>
      </c>
    </row>
    <row r="370" spans="1:20" x14ac:dyDescent="0.3">
      <c r="A370" s="11">
        <v>369</v>
      </c>
      <c r="B370" s="10">
        <v>41569</v>
      </c>
      <c r="C370" s="11">
        <v>2013</v>
      </c>
      <c r="D370" s="12" t="s">
        <v>43</v>
      </c>
      <c r="E370" s="10">
        <v>41569</v>
      </c>
      <c r="F370" s="11">
        <f t="shared" si="5"/>
        <v>0</v>
      </c>
      <c r="G370" s="11" t="s">
        <v>662</v>
      </c>
      <c r="H370" s="11" t="s">
        <v>663</v>
      </c>
      <c r="I370" s="11" t="s">
        <v>35</v>
      </c>
      <c r="J370" s="11" t="s">
        <v>1097</v>
      </c>
      <c r="K370" s="11" t="s">
        <v>664</v>
      </c>
      <c r="L370" s="11" t="s">
        <v>409</v>
      </c>
      <c r="M370" s="11" t="s">
        <v>110</v>
      </c>
      <c r="N370" s="11" t="s">
        <v>39</v>
      </c>
      <c r="O370" s="11" t="s">
        <v>50</v>
      </c>
      <c r="P370" s="11" t="s">
        <v>666</v>
      </c>
      <c r="Q370" s="13">
        <v>104.79</v>
      </c>
      <c r="R370" s="11">
        <v>7</v>
      </c>
      <c r="S370" s="28">
        <v>0</v>
      </c>
      <c r="T370" s="13">
        <v>29.341200000000001</v>
      </c>
    </row>
    <row r="371" spans="1:20" x14ac:dyDescent="0.3">
      <c r="A371" s="11">
        <v>370</v>
      </c>
      <c r="B371" s="10">
        <v>41569</v>
      </c>
      <c r="C371" s="11">
        <v>2013</v>
      </c>
      <c r="D371" s="12" t="s">
        <v>43</v>
      </c>
      <c r="E371" s="10">
        <v>41569</v>
      </c>
      <c r="F371" s="11">
        <f t="shared" si="5"/>
        <v>0</v>
      </c>
      <c r="G371" s="11" t="s">
        <v>662</v>
      </c>
      <c r="H371" s="11" t="s">
        <v>663</v>
      </c>
      <c r="I371" s="11" t="s">
        <v>35</v>
      </c>
      <c r="J371" s="11" t="s">
        <v>1097</v>
      </c>
      <c r="K371" s="11" t="s">
        <v>664</v>
      </c>
      <c r="L371" s="11" t="s">
        <v>409</v>
      </c>
      <c r="M371" s="11" t="s">
        <v>110</v>
      </c>
      <c r="N371" s="11" t="s">
        <v>28</v>
      </c>
      <c r="O371" s="11" t="s">
        <v>29</v>
      </c>
      <c r="P371" s="11" t="s">
        <v>139</v>
      </c>
      <c r="Q371" s="13">
        <v>1043.92</v>
      </c>
      <c r="R371" s="11">
        <v>4</v>
      </c>
      <c r="S371" s="28">
        <v>0</v>
      </c>
      <c r="T371" s="13">
        <v>271.41919999999999</v>
      </c>
    </row>
    <row r="372" spans="1:20" x14ac:dyDescent="0.3">
      <c r="A372" s="11">
        <v>371</v>
      </c>
      <c r="B372" s="10">
        <v>41789</v>
      </c>
      <c r="C372" s="11">
        <v>2014</v>
      </c>
      <c r="D372" s="12" t="s">
        <v>90</v>
      </c>
      <c r="E372" s="10">
        <v>41795</v>
      </c>
      <c r="F372" s="11">
        <f t="shared" si="5"/>
        <v>6</v>
      </c>
      <c r="G372" s="11" t="s">
        <v>44</v>
      </c>
      <c r="H372" s="11" t="s">
        <v>667</v>
      </c>
      <c r="I372" s="11" t="s">
        <v>24</v>
      </c>
      <c r="J372" s="11" t="s">
        <v>1097</v>
      </c>
      <c r="K372" s="11" t="s">
        <v>668</v>
      </c>
      <c r="L372" s="11" t="s">
        <v>82</v>
      </c>
      <c r="M372" s="11" t="s">
        <v>83</v>
      </c>
      <c r="N372" s="11" t="s">
        <v>39</v>
      </c>
      <c r="O372" s="11" t="s">
        <v>72</v>
      </c>
      <c r="P372" s="11" t="s">
        <v>669</v>
      </c>
      <c r="Q372" s="13">
        <v>25.92</v>
      </c>
      <c r="R372" s="11">
        <v>5</v>
      </c>
      <c r="S372" s="28">
        <v>0.2</v>
      </c>
      <c r="T372" s="13">
        <v>9.3960000000000008</v>
      </c>
    </row>
    <row r="373" spans="1:20" x14ac:dyDescent="0.3">
      <c r="A373" s="11">
        <v>372</v>
      </c>
      <c r="B373" s="10">
        <v>41789</v>
      </c>
      <c r="C373" s="11">
        <v>2014</v>
      </c>
      <c r="D373" s="12" t="s">
        <v>90</v>
      </c>
      <c r="E373" s="10">
        <v>41795</v>
      </c>
      <c r="F373" s="11">
        <f t="shared" si="5"/>
        <v>6</v>
      </c>
      <c r="G373" s="11" t="s">
        <v>44</v>
      </c>
      <c r="H373" s="11" t="s">
        <v>667</v>
      </c>
      <c r="I373" s="11" t="s">
        <v>24</v>
      </c>
      <c r="J373" s="11" t="s">
        <v>1097</v>
      </c>
      <c r="K373" s="11" t="s">
        <v>668</v>
      </c>
      <c r="L373" s="11" t="s">
        <v>82</v>
      </c>
      <c r="M373" s="11" t="s">
        <v>83</v>
      </c>
      <c r="N373" s="11" t="s">
        <v>39</v>
      </c>
      <c r="O373" s="11" t="s">
        <v>50</v>
      </c>
      <c r="P373" s="11" t="s">
        <v>670</v>
      </c>
      <c r="Q373" s="13">
        <v>53.423999999999999</v>
      </c>
      <c r="R373" s="11">
        <v>3</v>
      </c>
      <c r="S373" s="28">
        <v>0.2</v>
      </c>
      <c r="T373" s="13">
        <v>4.6745999999999999</v>
      </c>
    </row>
    <row r="374" spans="1:20" x14ac:dyDescent="0.3">
      <c r="A374" s="11">
        <v>373</v>
      </c>
      <c r="B374" s="10">
        <v>40747</v>
      </c>
      <c r="C374" s="11">
        <v>2011</v>
      </c>
      <c r="D374" s="12" t="s">
        <v>106</v>
      </c>
      <c r="E374" s="10">
        <v>40751</v>
      </c>
      <c r="F374" s="11">
        <f t="shared" si="5"/>
        <v>4</v>
      </c>
      <c r="G374" s="11" t="s">
        <v>44</v>
      </c>
      <c r="H374" s="11" t="s">
        <v>671</v>
      </c>
      <c r="I374" s="11" t="s">
        <v>24</v>
      </c>
      <c r="J374" s="11" t="s">
        <v>1097</v>
      </c>
      <c r="K374" s="11" t="s">
        <v>672</v>
      </c>
      <c r="L374" s="11" t="s">
        <v>197</v>
      </c>
      <c r="M374" s="11" t="s">
        <v>38</v>
      </c>
      <c r="N374" s="11" t="s">
        <v>39</v>
      </c>
      <c r="O374" s="11" t="s">
        <v>61</v>
      </c>
      <c r="P374" s="11" t="s">
        <v>625</v>
      </c>
      <c r="Q374" s="13">
        <v>8.16</v>
      </c>
      <c r="R374" s="11">
        <v>5</v>
      </c>
      <c r="S374" s="28">
        <v>0.7</v>
      </c>
      <c r="T374" s="13">
        <v>-5.7119999999999997</v>
      </c>
    </row>
    <row r="375" spans="1:20" x14ac:dyDescent="0.3">
      <c r="A375" s="11">
        <v>374</v>
      </c>
      <c r="B375" s="10">
        <v>40747</v>
      </c>
      <c r="C375" s="11">
        <v>2011</v>
      </c>
      <c r="D375" s="12" t="s">
        <v>106</v>
      </c>
      <c r="E375" s="10">
        <v>40751</v>
      </c>
      <c r="F375" s="11">
        <f t="shared" si="5"/>
        <v>4</v>
      </c>
      <c r="G375" s="11" t="s">
        <v>44</v>
      </c>
      <c r="H375" s="11" t="s">
        <v>671</v>
      </c>
      <c r="I375" s="11" t="s">
        <v>24</v>
      </c>
      <c r="J375" s="11" t="s">
        <v>1097</v>
      </c>
      <c r="K375" s="11" t="s">
        <v>672</v>
      </c>
      <c r="L375" s="11" t="s">
        <v>197</v>
      </c>
      <c r="M375" s="11" t="s">
        <v>38</v>
      </c>
      <c r="N375" s="11" t="s">
        <v>58</v>
      </c>
      <c r="O375" s="11" t="s">
        <v>118</v>
      </c>
      <c r="P375" s="11" t="s">
        <v>673</v>
      </c>
      <c r="Q375" s="13">
        <v>1023.936</v>
      </c>
      <c r="R375" s="11">
        <v>8</v>
      </c>
      <c r="S375" s="28">
        <v>0.2</v>
      </c>
      <c r="T375" s="13">
        <v>179.18879999999999</v>
      </c>
    </row>
    <row r="376" spans="1:20" x14ac:dyDescent="0.3">
      <c r="A376" s="11">
        <v>375</v>
      </c>
      <c r="B376" s="10">
        <v>40747</v>
      </c>
      <c r="C376" s="11">
        <v>2011</v>
      </c>
      <c r="D376" s="12" t="s">
        <v>106</v>
      </c>
      <c r="E376" s="10">
        <v>40751</v>
      </c>
      <c r="F376" s="11">
        <f t="shared" si="5"/>
        <v>4</v>
      </c>
      <c r="G376" s="11" t="s">
        <v>44</v>
      </c>
      <c r="H376" s="11" t="s">
        <v>671</v>
      </c>
      <c r="I376" s="11" t="s">
        <v>24</v>
      </c>
      <c r="J376" s="11" t="s">
        <v>1097</v>
      </c>
      <c r="K376" s="11" t="s">
        <v>672</v>
      </c>
      <c r="L376" s="11" t="s">
        <v>197</v>
      </c>
      <c r="M376" s="11" t="s">
        <v>38</v>
      </c>
      <c r="N376" s="11" t="s">
        <v>39</v>
      </c>
      <c r="O376" s="11" t="s">
        <v>56</v>
      </c>
      <c r="P376" s="11" t="s">
        <v>674</v>
      </c>
      <c r="Q376" s="13">
        <v>9.24</v>
      </c>
      <c r="R376" s="11">
        <v>1</v>
      </c>
      <c r="S376" s="28">
        <v>0.2</v>
      </c>
      <c r="T376" s="13">
        <v>0.92400000000000004</v>
      </c>
    </row>
    <row r="377" spans="1:20" x14ac:dyDescent="0.3">
      <c r="A377" s="11">
        <v>376</v>
      </c>
      <c r="B377" s="10">
        <v>40747</v>
      </c>
      <c r="C377" s="11">
        <v>2011</v>
      </c>
      <c r="D377" s="12" t="s">
        <v>106</v>
      </c>
      <c r="E377" s="10">
        <v>40751</v>
      </c>
      <c r="F377" s="11">
        <f t="shared" si="5"/>
        <v>4</v>
      </c>
      <c r="G377" s="11" t="s">
        <v>44</v>
      </c>
      <c r="H377" s="11" t="s">
        <v>671</v>
      </c>
      <c r="I377" s="11" t="s">
        <v>24</v>
      </c>
      <c r="J377" s="11" t="s">
        <v>1097</v>
      </c>
      <c r="K377" s="11" t="s">
        <v>672</v>
      </c>
      <c r="L377" s="11" t="s">
        <v>197</v>
      </c>
      <c r="M377" s="11" t="s">
        <v>38</v>
      </c>
      <c r="N377" s="11" t="s">
        <v>58</v>
      </c>
      <c r="O377" s="11" t="s">
        <v>118</v>
      </c>
      <c r="P377" s="11" t="s">
        <v>675</v>
      </c>
      <c r="Q377" s="13">
        <v>479.04</v>
      </c>
      <c r="R377" s="11">
        <v>10</v>
      </c>
      <c r="S377" s="28">
        <v>0.2</v>
      </c>
      <c r="T377" s="13">
        <v>-29.94</v>
      </c>
    </row>
    <row r="378" spans="1:20" x14ac:dyDescent="0.3">
      <c r="A378" s="11">
        <v>377</v>
      </c>
      <c r="B378" s="10">
        <v>41546</v>
      </c>
      <c r="C378" s="11">
        <v>2013</v>
      </c>
      <c r="D378" s="12" t="s">
        <v>112</v>
      </c>
      <c r="E378" s="10">
        <v>41549</v>
      </c>
      <c r="F378" s="11">
        <f t="shared" si="5"/>
        <v>3</v>
      </c>
      <c r="G378" s="11" t="s">
        <v>132</v>
      </c>
      <c r="H378" s="11" t="s">
        <v>676</v>
      </c>
      <c r="I378" s="11" t="s">
        <v>35</v>
      </c>
      <c r="J378" s="11" t="s">
        <v>1097</v>
      </c>
      <c r="K378" s="11" t="s">
        <v>677</v>
      </c>
      <c r="L378" s="11" t="s">
        <v>144</v>
      </c>
      <c r="M378" s="11" t="s">
        <v>83</v>
      </c>
      <c r="N378" s="11" t="s">
        <v>39</v>
      </c>
      <c r="O378" s="11" t="s">
        <v>72</v>
      </c>
      <c r="P378" s="11" t="s">
        <v>678</v>
      </c>
      <c r="Q378" s="13">
        <v>99.135999999999996</v>
      </c>
      <c r="R378" s="11">
        <v>4</v>
      </c>
      <c r="S378" s="28">
        <v>0.2</v>
      </c>
      <c r="T378" s="13">
        <v>30.98</v>
      </c>
    </row>
    <row r="379" spans="1:20" x14ac:dyDescent="0.3">
      <c r="A379" s="11">
        <v>378</v>
      </c>
      <c r="B379" s="10">
        <v>41879</v>
      </c>
      <c r="C379" s="11">
        <v>2014</v>
      </c>
      <c r="D379" s="12" t="s">
        <v>95</v>
      </c>
      <c r="E379" s="10">
        <v>41884</v>
      </c>
      <c r="F379" s="11">
        <f t="shared" si="5"/>
        <v>5</v>
      </c>
      <c r="G379" s="11" t="s">
        <v>44</v>
      </c>
      <c r="H379" s="11" t="s">
        <v>679</v>
      </c>
      <c r="I379" s="11" t="s">
        <v>35</v>
      </c>
      <c r="J379" s="11" t="s">
        <v>1097</v>
      </c>
      <c r="K379" s="11" t="s">
        <v>345</v>
      </c>
      <c r="L379" s="11" t="s">
        <v>642</v>
      </c>
      <c r="M379" s="11" t="s">
        <v>110</v>
      </c>
      <c r="N379" s="11" t="s">
        <v>28</v>
      </c>
      <c r="O379" s="11" t="s">
        <v>48</v>
      </c>
      <c r="P379" s="11" t="s">
        <v>680</v>
      </c>
      <c r="Q379" s="13">
        <v>1488.424</v>
      </c>
      <c r="R379" s="11">
        <v>7</v>
      </c>
      <c r="S379" s="28">
        <v>0.3</v>
      </c>
      <c r="T379" s="13">
        <v>-297.6848</v>
      </c>
    </row>
    <row r="380" spans="1:20" x14ac:dyDescent="0.3">
      <c r="A380" s="11">
        <v>379</v>
      </c>
      <c r="B380" s="10">
        <v>41027</v>
      </c>
      <c r="C380" s="11">
        <v>2012</v>
      </c>
      <c r="D380" s="12" t="s">
        <v>68</v>
      </c>
      <c r="E380" s="10">
        <v>41034</v>
      </c>
      <c r="F380" s="11">
        <f t="shared" si="5"/>
        <v>7</v>
      </c>
      <c r="G380" s="11" t="s">
        <v>44</v>
      </c>
      <c r="H380" s="11" t="s">
        <v>681</v>
      </c>
      <c r="I380" s="11" t="s">
        <v>24</v>
      </c>
      <c r="J380" s="11" t="s">
        <v>1097</v>
      </c>
      <c r="K380" s="11" t="s">
        <v>130</v>
      </c>
      <c r="L380" s="11" t="s">
        <v>82</v>
      </c>
      <c r="M380" s="11" t="s">
        <v>83</v>
      </c>
      <c r="N380" s="11" t="s">
        <v>39</v>
      </c>
      <c r="O380" s="11" t="s">
        <v>63</v>
      </c>
      <c r="P380" s="11" t="s">
        <v>682</v>
      </c>
      <c r="Q380" s="13">
        <v>8.6519999999999992</v>
      </c>
      <c r="R380" s="11">
        <v>3</v>
      </c>
      <c r="S380" s="28">
        <v>0.8</v>
      </c>
      <c r="T380" s="13">
        <v>-20.3322</v>
      </c>
    </row>
    <row r="381" spans="1:20" x14ac:dyDescent="0.3">
      <c r="A381" s="11">
        <v>380</v>
      </c>
      <c r="B381" s="10">
        <v>41027</v>
      </c>
      <c r="C381" s="11">
        <v>2012</v>
      </c>
      <c r="D381" s="12" t="s">
        <v>68</v>
      </c>
      <c r="E381" s="10">
        <v>41034</v>
      </c>
      <c r="F381" s="11">
        <f t="shared" si="5"/>
        <v>7</v>
      </c>
      <c r="G381" s="11" t="s">
        <v>44</v>
      </c>
      <c r="H381" s="11" t="s">
        <v>681</v>
      </c>
      <c r="I381" s="11" t="s">
        <v>24</v>
      </c>
      <c r="J381" s="11" t="s">
        <v>1097</v>
      </c>
      <c r="K381" s="11" t="s">
        <v>130</v>
      </c>
      <c r="L381" s="11" t="s">
        <v>82</v>
      </c>
      <c r="M381" s="11" t="s">
        <v>83</v>
      </c>
      <c r="N381" s="11" t="s">
        <v>39</v>
      </c>
      <c r="O381" s="11" t="s">
        <v>50</v>
      </c>
      <c r="P381" s="11" t="s">
        <v>683</v>
      </c>
      <c r="Q381" s="13">
        <v>23.832000000000001</v>
      </c>
      <c r="R381" s="11">
        <v>3</v>
      </c>
      <c r="S381" s="28">
        <v>0.2</v>
      </c>
      <c r="T381" s="13">
        <v>2.6810999999999998</v>
      </c>
    </row>
    <row r="382" spans="1:20" x14ac:dyDescent="0.3">
      <c r="A382" s="11">
        <v>381</v>
      </c>
      <c r="B382" s="10">
        <v>41027</v>
      </c>
      <c r="C382" s="11">
        <v>2012</v>
      </c>
      <c r="D382" s="12" t="s">
        <v>68</v>
      </c>
      <c r="E382" s="10">
        <v>41034</v>
      </c>
      <c r="F382" s="11">
        <f t="shared" si="5"/>
        <v>7</v>
      </c>
      <c r="G382" s="11" t="s">
        <v>44</v>
      </c>
      <c r="H382" s="11" t="s">
        <v>681</v>
      </c>
      <c r="I382" s="11" t="s">
        <v>24</v>
      </c>
      <c r="J382" s="11" t="s">
        <v>1097</v>
      </c>
      <c r="K382" s="11" t="s">
        <v>130</v>
      </c>
      <c r="L382" s="11" t="s">
        <v>82</v>
      </c>
      <c r="M382" s="11" t="s">
        <v>83</v>
      </c>
      <c r="N382" s="11" t="s">
        <v>39</v>
      </c>
      <c r="O382" s="11" t="s">
        <v>61</v>
      </c>
      <c r="P382" s="11" t="s">
        <v>684</v>
      </c>
      <c r="Q382" s="13">
        <v>12.176</v>
      </c>
      <c r="R382" s="11">
        <v>4</v>
      </c>
      <c r="S382" s="28">
        <v>0.8</v>
      </c>
      <c r="T382" s="13">
        <v>-18.872800000000002</v>
      </c>
    </row>
    <row r="383" spans="1:20" x14ac:dyDescent="0.3">
      <c r="A383" s="11">
        <v>382</v>
      </c>
      <c r="B383" s="10">
        <v>41576</v>
      </c>
      <c r="C383" s="11">
        <v>2013</v>
      </c>
      <c r="D383" s="12" t="s">
        <v>43</v>
      </c>
      <c r="E383" s="10">
        <v>41577</v>
      </c>
      <c r="F383" s="11">
        <f t="shared" si="5"/>
        <v>1</v>
      </c>
      <c r="G383" s="11" t="s">
        <v>132</v>
      </c>
      <c r="H383" s="11" t="s">
        <v>685</v>
      </c>
      <c r="I383" s="11" t="s">
        <v>35</v>
      </c>
      <c r="J383" s="11" t="s">
        <v>1097</v>
      </c>
      <c r="K383" s="11" t="s">
        <v>97</v>
      </c>
      <c r="L383" s="11" t="s">
        <v>37</v>
      </c>
      <c r="M383" s="11" t="s">
        <v>38</v>
      </c>
      <c r="N383" s="11" t="s">
        <v>39</v>
      </c>
      <c r="O383" s="11" t="s">
        <v>72</v>
      </c>
      <c r="P383" s="11" t="s">
        <v>686</v>
      </c>
      <c r="Q383" s="13">
        <v>50.96</v>
      </c>
      <c r="R383" s="11">
        <v>7</v>
      </c>
      <c r="S383" s="28">
        <v>0</v>
      </c>
      <c r="T383" s="13">
        <v>25.48</v>
      </c>
    </row>
    <row r="384" spans="1:20" x14ac:dyDescent="0.3">
      <c r="A384" s="11">
        <v>383</v>
      </c>
      <c r="B384" s="10">
        <v>41576</v>
      </c>
      <c r="C384" s="11">
        <v>2013</v>
      </c>
      <c r="D384" s="12" t="s">
        <v>43</v>
      </c>
      <c r="E384" s="10">
        <v>41577</v>
      </c>
      <c r="F384" s="11">
        <f t="shared" si="5"/>
        <v>1</v>
      </c>
      <c r="G384" s="11" t="s">
        <v>132</v>
      </c>
      <c r="H384" s="11" t="s">
        <v>685</v>
      </c>
      <c r="I384" s="11" t="s">
        <v>35</v>
      </c>
      <c r="J384" s="11" t="s">
        <v>1097</v>
      </c>
      <c r="K384" s="11" t="s">
        <v>97</v>
      </c>
      <c r="L384" s="11" t="s">
        <v>37</v>
      </c>
      <c r="M384" s="11" t="s">
        <v>38</v>
      </c>
      <c r="N384" s="11" t="s">
        <v>39</v>
      </c>
      <c r="O384" s="11" t="s">
        <v>61</v>
      </c>
      <c r="P384" s="11" t="s">
        <v>687</v>
      </c>
      <c r="Q384" s="13">
        <v>49.536000000000001</v>
      </c>
      <c r="R384" s="11">
        <v>3</v>
      </c>
      <c r="S384" s="28">
        <v>0.2</v>
      </c>
      <c r="T384" s="13">
        <v>17.337599999999998</v>
      </c>
    </row>
    <row r="385" spans="1:20" x14ac:dyDescent="0.3">
      <c r="A385" s="11">
        <v>384</v>
      </c>
      <c r="B385" s="10">
        <v>41086</v>
      </c>
      <c r="C385" s="11">
        <v>2012</v>
      </c>
      <c r="D385" s="12" t="s">
        <v>33</v>
      </c>
      <c r="E385" s="10">
        <v>41089</v>
      </c>
      <c r="F385" s="11">
        <f t="shared" si="5"/>
        <v>3</v>
      </c>
      <c r="G385" s="11" t="s">
        <v>22</v>
      </c>
      <c r="H385" s="11" t="s">
        <v>688</v>
      </c>
      <c r="I385" s="11" t="s">
        <v>35</v>
      </c>
      <c r="J385" s="11" t="s">
        <v>1097</v>
      </c>
      <c r="K385" s="11" t="s">
        <v>579</v>
      </c>
      <c r="L385" s="11" t="s">
        <v>159</v>
      </c>
      <c r="M385" s="11" t="s">
        <v>83</v>
      </c>
      <c r="N385" s="11" t="s">
        <v>58</v>
      </c>
      <c r="O385" s="11" t="s">
        <v>118</v>
      </c>
      <c r="P385" s="11" t="s">
        <v>689</v>
      </c>
      <c r="Q385" s="13">
        <v>41.9</v>
      </c>
      <c r="R385" s="11">
        <v>2</v>
      </c>
      <c r="S385" s="28">
        <v>0</v>
      </c>
      <c r="T385" s="13">
        <v>8.7989999999999995</v>
      </c>
    </row>
    <row r="386" spans="1:20" x14ac:dyDescent="0.3">
      <c r="A386" s="11">
        <v>385</v>
      </c>
      <c r="B386" s="10">
        <v>41240</v>
      </c>
      <c r="C386" s="11">
        <v>2012</v>
      </c>
      <c r="D386" s="12" t="s">
        <v>21</v>
      </c>
      <c r="E386" s="10">
        <v>41245</v>
      </c>
      <c r="F386" s="11">
        <f t="shared" ref="F386:F449" si="6">_xlfn.DAYS(E386,B386)</f>
        <v>5</v>
      </c>
      <c r="G386" s="11" t="s">
        <v>44</v>
      </c>
      <c r="H386" s="11" t="s">
        <v>690</v>
      </c>
      <c r="I386" s="11" t="s">
        <v>24</v>
      </c>
      <c r="J386" s="11" t="s">
        <v>1097</v>
      </c>
      <c r="K386" s="11" t="s">
        <v>691</v>
      </c>
      <c r="L386" s="11" t="s">
        <v>47</v>
      </c>
      <c r="M386" s="11" t="s">
        <v>27</v>
      </c>
      <c r="N386" s="11" t="s">
        <v>28</v>
      </c>
      <c r="O386" s="11" t="s">
        <v>48</v>
      </c>
      <c r="P386" s="11" t="s">
        <v>692</v>
      </c>
      <c r="Q386" s="13">
        <v>375.45749999999998</v>
      </c>
      <c r="R386" s="11">
        <v>3</v>
      </c>
      <c r="S386" s="28">
        <v>0.45</v>
      </c>
      <c r="T386" s="13">
        <v>-157.0095</v>
      </c>
    </row>
    <row r="387" spans="1:20" x14ac:dyDescent="0.3">
      <c r="A387" s="11">
        <v>386</v>
      </c>
      <c r="B387" s="10">
        <v>41240</v>
      </c>
      <c r="C387" s="11">
        <v>2012</v>
      </c>
      <c r="D387" s="12" t="s">
        <v>21</v>
      </c>
      <c r="E387" s="10">
        <v>41245</v>
      </c>
      <c r="F387" s="11">
        <f t="shared" si="6"/>
        <v>5</v>
      </c>
      <c r="G387" s="11" t="s">
        <v>44</v>
      </c>
      <c r="H387" s="11" t="s">
        <v>690</v>
      </c>
      <c r="I387" s="11" t="s">
        <v>24</v>
      </c>
      <c r="J387" s="11" t="s">
        <v>1097</v>
      </c>
      <c r="K387" s="11" t="s">
        <v>691</v>
      </c>
      <c r="L387" s="11" t="s">
        <v>47</v>
      </c>
      <c r="M387" s="11" t="s">
        <v>27</v>
      </c>
      <c r="N387" s="11" t="s">
        <v>58</v>
      </c>
      <c r="O387" s="11" t="s">
        <v>118</v>
      </c>
      <c r="P387" s="11" t="s">
        <v>693</v>
      </c>
      <c r="Q387" s="13">
        <v>83.975999999999999</v>
      </c>
      <c r="R387" s="11">
        <v>3</v>
      </c>
      <c r="S387" s="28">
        <v>0.2</v>
      </c>
      <c r="T387" s="13">
        <v>-1.0497000000000001</v>
      </c>
    </row>
    <row r="388" spans="1:20" x14ac:dyDescent="0.3">
      <c r="A388" s="11">
        <v>387</v>
      </c>
      <c r="B388" s="10">
        <v>41246</v>
      </c>
      <c r="C388" s="11">
        <v>2012</v>
      </c>
      <c r="D388" s="12" t="s">
        <v>74</v>
      </c>
      <c r="E388" s="10">
        <v>41250</v>
      </c>
      <c r="F388" s="11">
        <f t="shared" si="6"/>
        <v>4</v>
      </c>
      <c r="G388" s="11" t="s">
        <v>44</v>
      </c>
      <c r="H388" s="11" t="s">
        <v>694</v>
      </c>
      <c r="I388" s="11" t="s">
        <v>35</v>
      </c>
      <c r="J388" s="11" t="s">
        <v>1097</v>
      </c>
      <c r="K388" s="11" t="s">
        <v>108</v>
      </c>
      <c r="L388" s="11" t="s">
        <v>109</v>
      </c>
      <c r="M388" s="11" t="s">
        <v>110</v>
      </c>
      <c r="N388" s="11" t="s">
        <v>58</v>
      </c>
      <c r="O388" s="11" t="s">
        <v>378</v>
      </c>
      <c r="P388" s="11" t="s">
        <v>695</v>
      </c>
      <c r="Q388" s="13">
        <v>482.34</v>
      </c>
      <c r="R388" s="11">
        <v>4</v>
      </c>
      <c r="S388" s="28">
        <v>0.7</v>
      </c>
      <c r="T388" s="13">
        <v>-337.63799999999998</v>
      </c>
    </row>
    <row r="389" spans="1:20" x14ac:dyDescent="0.3">
      <c r="A389" s="11">
        <v>388</v>
      </c>
      <c r="B389" s="10">
        <v>41246</v>
      </c>
      <c r="C389" s="11">
        <v>2012</v>
      </c>
      <c r="D389" s="12" t="s">
        <v>74</v>
      </c>
      <c r="E389" s="10">
        <v>41250</v>
      </c>
      <c r="F389" s="11">
        <f t="shared" si="6"/>
        <v>4</v>
      </c>
      <c r="G389" s="11" t="s">
        <v>44</v>
      </c>
      <c r="H389" s="11" t="s">
        <v>694</v>
      </c>
      <c r="I389" s="11" t="s">
        <v>35</v>
      </c>
      <c r="J389" s="11" t="s">
        <v>1097</v>
      </c>
      <c r="K389" s="11" t="s">
        <v>108</v>
      </c>
      <c r="L389" s="11" t="s">
        <v>109</v>
      </c>
      <c r="M389" s="11" t="s">
        <v>110</v>
      </c>
      <c r="N389" s="11" t="s">
        <v>28</v>
      </c>
      <c r="O389" s="11" t="s">
        <v>54</v>
      </c>
      <c r="P389" s="11" t="s">
        <v>696</v>
      </c>
      <c r="Q389" s="13">
        <v>2.96</v>
      </c>
      <c r="R389" s="11">
        <v>1</v>
      </c>
      <c r="S389" s="28">
        <v>0.2</v>
      </c>
      <c r="T389" s="13">
        <v>0.77700000000000002</v>
      </c>
    </row>
    <row r="390" spans="1:20" x14ac:dyDescent="0.3">
      <c r="A390" s="11">
        <v>389</v>
      </c>
      <c r="B390" s="10">
        <v>40871</v>
      </c>
      <c r="C390" s="11">
        <v>2011</v>
      </c>
      <c r="D390" s="12" t="s">
        <v>21</v>
      </c>
      <c r="E390" s="10">
        <v>40873</v>
      </c>
      <c r="F390" s="11">
        <f t="shared" si="6"/>
        <v>2</v>
      </c>
      <c r="G390" s="11" t="s">
        <v>132</v>
      </c>
      <c r="H390" s="11" t="s">
        <v>697</v>
      </c>
      <c r="I390" s="11" t="s">
        <v>24</v>
      </c>
      <c r="J390" s="11" t="s">
        <v>1097</v>
      </c>
      <c r="K390" s="11" t="s">
        <v>531</v>
      </c>
      <c r="L390" s="11" t="s">
        <v>289</v>
      </c>
      <c r="M390" s="11" t="s">
        <v>110</v>
      </c>
      <c r="N390" s="11" t="s">
        <v>39</v>
      </c>
      <c r="O390" s="11" t="s">
        <v>56</v>
      </c>
      <c r="P390" s="11" t="s">
        <v>698</v>
      </c>
      <c r="Q390" s="13">
        <v>2.6240000000000001</v>
      </c>
      <c r="R390" s="11">
        <v>1</v>
      </c>
      <c r="S390" s="28">
        <v>0.2</v>
      </c>
      <c r="T390" s="13">
        <v>0.4264</v>
      </c>
    </row>
    <row r="391" spans="1:20" x14ac:dyDescent="0.3">
      <c r="A391" s="11">
        <v>390</v>
      </c>
      <c r="B391" s="10">
        <v>41985</v>
      </c>
      <c r="C391" s="11">
        <v>2014</v>
      </c>
      <c r="D391" s="12" t="s">
        <v>74</v>
      </c>
      <c r="E391" s="10">
        <v>41989</v>
      </c>
      <c r="F391" s="11">
        <f t="shared" si="6"/>
        <v>4</v>
      </c>
      <c r="G391" s="11" t="s">
        <v>44</v>
      </c>
      <c r="H391" s="11" t="s">
        <v>699</v>
      </c>
      <c r="I391" s="11" t="s">
        <v>24</v>
      </c>
      <c r="J391" s="11" t="s">
        <v>1097</v>
      </c>
      <c r="K391" s="11" t="s">
        <v>174</v>
      </c>
      <c r="L391" s="11" t="s">
        <v>175</v>
      </c>
      <c r="M391" s="11" t="s">
        <v>110</v>
      </c>
      <c r="N391" s="11" t="s">
        <v>39</v>
      </c>
      <c r="O391" s="11" t="s">
        <v>61</v>
      </c>
      <c r="P391" s="11" t="s">
        <v>700</v>
      </c>
      <c r="Q391" s="13">
        <v>23.36</v>
      </c>
      <c r="R391" s="11">
        <v>4</v>
      </c>
      <c r="S391" s="28">
        <v>0.2</v>
      </c>
      <c r="T391" s="13">
        <v>7.8840000000000003</v>
      </c>
    </row>
    <row r="392" spans="1:20" x14ac:dyDescent="0.3">
      <c r="A392" s="11">
        <v>391</v>
      </c>
      <c r="B392" s="10">
        <v>41985</v>
      </c>
      <c r="C392" s="11">
        <v>2014</v>
      </c>
      <c r="D392" s="12" t="s">
        <v>74</v>
      </c>
      <c r="E392" s="10">
        <v>41989</v>
      </c>
      <c r="F392" s="11">
        <f t="shared" si="6"/>
        <v>4</v>
      </c>
      <c r="G392" s="11" t="s">
        <v>44</v>
      </c>
      <c r="H392" s="11" t="s">
        <v>699</v>
      </c>
      <c r="I392" s="11" t="s">
        <v>24</v>
      </c>
      <c r="J392" s="11" t="s">
        <v>1097</v>
      </c>
      <c r="K392" s="11" t="s">
        <v>174</v>
      </c>
      <c r="L392" s="11" t="s">
        <v>175</v>
      </c>
      <c r="M392" s="11" t="s">
        <v>110</v>
      </c>
      <c r="N392" s="11" t="s">
        <v>58</v>
      </c>
      <c r="O392" s="11" t="s">
        <v>118</v>
      </c>
      <c r="P392" s="11" t="s">
        <v>237</v>
      </c>
      <c r="Q392" s="13">
        <v>39.979999999999997</v>
      </c>
      <c r="R392" s="11">
        <v>2</v>
      </c>
      <c r="S392" s="28">
        <v>0</v>
      </c>
      <c r="T392" s="13">
        <v>13.5932</v>
      </c>
    </row>
    <row r="393" spans="1:20" x14ac:dyDescent="0.3">
      <c r="A393" s="11">
        <v>392</v>
      </c>
      <c r="B393" s="10">
        <v>40807</v>
      </c>
      <c r="C393" s="11">
        <v>2011</v>
      </c>
      <c r="D393" s="12" t="s">
        <v>112</v>
      </c>
      <c r="E393" s="10">
        <v>40809</v>
      </c>
      <c r="F393" s="11">
        <f t="shared" si="6"/>
        <v>2</v>
      </c>
      <c r="G393" s="11" t="s">
        <v>22</v>
      </c>
      <c r="H393" s="11" t="s">
        <v>701</v>
      </c>
      <c r="I393" s="11" t="s">
        <v>24</v>
      </c>
      <c r="J393" s="11" t="s">
        <v>1097</v>
      </c>
      <c r="K393" s="11" t="s">
        <v>702</v>
      </c>
      <c r="L393" s="11" t="s">
        <v>77</v>
      </c>
      <c r="M393" s="11" t="s">
        <v>38</v>
      </c>
      <c r="N393" s="11" t="s">
        <v>58</v>
      </c>
      <c r="O393" s="11" t="s">
        <v>59</v>
      </c>
      <c r="P393" s="11" t="s">
        <v>703</v>
      </c>
      <c r="Q393" s="13">
        <v>246.38399999999999</v>
      </c>
      <c r="R393" s="11">
        <v>2</v>
      </c>
      <c r="S393" s="28">
        <v>0.2</v>
      </c>
      <c r="T393" s="13">
        <v>27.7182</v>
      </c>
    </row>
    <row r="394" spans="1:20" x14ac:dyDescent="0.3">
      <c r="A394" s="11">
        <v>393</v>
      </c>
      <c r="B394" s="10">
        <v>40807</v>
      </c>
      <c r="C394" s="11">
        <v>2011</v>
      </c>
      <c r="D394" s="12" t="s">
        <v>112</v>
      </c>
      <c r="E394" s="10">
        <v>40809</v>
      </c>
      <c r="F394" s="11">
        <f t="shared" si="6"/>
        <v>2</v>
      </c>
      <c r="G394" s="11" t="s">
        <v>22</v>
      </c>
      <c r="H394" s="11" t="s">
        <v>701</v>
      </c>
      <c r="I394" s="11" t="s">
        <v>24</v>
      </c>
      <c r="J394" s="11" t="s">
        <v>1097</v>
      </c>
      <c r="K394" s="11" t="s">
        <v>702</v>
      </c>
      <c r="L394" s="11" t="s">
        <v>77</v>
      </c>
      <c r="M394" s="11" t="s">
        <v>38</v>
      </c>
      <c r="N394" s="11" t="s">
        <v>58</v>
      </c>
      <c r="O394" s="11" t="s">
        <v>628</v>
      </c>
      <c r="P394" s="11" t="s">
        <v>704</v>
      </c>
      <c r="Q394" s="13">
        <v>1799.97</v>
      </c>
      <c r="R394" s="11">
        <v>3</v>
      </c>
      <c r="S394" s="28">
        <v>0</v>
      </c>
      <c r="T394" s="13">
        <v>701.98829999999998</v>
      </c>
    </row>
    <row r="395" spans="1:20" x14ac:dyDescent="0.3">
      <c r="A395" s="11">
        <v>394</v>
      </c>
      <c r="B395" s="10">
        <v>40701</v>
      </c>
      <c r="C395" s="11">
        <v>2011</v>
      </c>
      <c r="D395" s="12" t="s">
        <v>33</v>
      </c>
      <c r="E395" s="10">
        <v>40704</v>
      </c>
      <c r="F395" s="11">
        <f t="shared" si="6"/>
        <v>3</v>
      </c>
      <c r="G395" s="11" t="s">
        <v>22</v>
      </c>
      <c r="H395" s="11" t="s">
        <v>705</v>
      </c>
      <c r="I395" s="11" t="s">
        <v>35</v>
      </c>
      <c r="J395" s="11" t="s">
        <v>1097</v>
      </c>
      <c r="K395" s="11" t="s">
        <v>706</v>
      </c>
      <c r="L395" s="11" t="s">
        <v>144</v>
      </c>
      <c r="M395" s="11" t="s">
        <v>83</v>
      </c>
      <c r="N395" s="11" t="s">
        <v>39</v>
      </c>
      <c r="O395" s="11" t="s">
        <v>61</v>
      </c>
      <c r="P395" s="11" t="s">
        <v>707</v>
      </c>
      <c r="Q395" s="13">
        <v>12.462</v>
      </c>
      <c r="R395" s="11">
        <v>3</v>
      </c>
      <c r="S395" s="28">
        <v>0.8</v>
      </c>
      <c r="T395" s="13">
        <v>-20.5623</v>
      </c>
    </row>
    <row r="396" spans="1:20" x14ac:dyDescent="0.3">
      <c r="A396" s="11">
        <v>395</v>
      </c>
      <c r="B396" s="10">
        <v>41821</v>
      </c>
      <c r="C396" s="11">
        <v>2014</v>
      </c>
      <c r="D396" s="12" t="s">
        <v>106</v>
      </c>
      <c r="E396" s="10">
        <v>41826</v>
      </c>
      <c r="F396" s="11">
        <f t="shared" si="6"/>
        <v>5</v>
      </c>
      <c r="G396" s="11" t="s">
        <v>44</v>
      </c>
      <c r="H396" s="11" t="s">
        <v>708</v>
      </c>
      <c r="I396" s="11" t="s">
        <v>80</v>
      </c>
      <c r="J396" s="11" t="s">
        <v>1097</v>
      </c>
      <c r="K396" s="11" t="s">
        <v>709</v>
      </c>
      <c r="L396" s="11" t="s">
        <v>710</v>
      </c>
      <c r="M396" s="11" t="s">
        <v>38</v>
      </c>
      <c r="N396" s="11" t="s">
        <v>39</v>
      </c>
      <c r="O396" s="11" t="s">
        <v>61</v>
      </c>
      <c r="P396" s="11" t="s">
        <v>711</v>
      </c>
      <c r="Q396" s="13">
        <v>75.792000000000002</v>
      </c>
      <c r="R396" s="11">
        <v>3</v>
      </c>
      <c r="S396" s="28">
        <v>0.2</v>
      </c>
      <c r="T396" s="13">
        <v>25.579799999999999</v>
      </c>
    </row>
    <row r="397" spans="1:20" x14ac:dyDescent="0.3">
      <c r="A397" s="11">
        <v>396</v>
      </c>
      <c r="B397" s="10">
        <v>41930</v>
      </c>
      <c r="C397" s="11">
        <v>2014</v>
      </c>
      <c r="D397" s="12" t="s">
        <v>43</v>
      </c>
      <c r="E397" s="10">
        <v>41932</v>
      </c>
      <c r="F397" s="11">
        <f t="shared" si="6"/>
        <v>2</v>
      </c>
      <c r="G397" s="11" t="s">
        <v>22</v>
      </c>
      <c r="H397" s="11" t="s">
        <v>712</v>
      </c>
      <c r="I397" s="11" t="s">
        <v>35</v>
      </c>
      <c r="J397" s="11" t="s">
        <v>1097</v>
      </c>
      <c r="K397" s="11" t="s">
        <v>713</v>
      </c>
      <c r="L397" s="11" t="s">
        <v>714</v>
      </c>
      <c r="M397" s="11" t="s">
        <v>110</v>
      </c>
      <c r="N397" s="11" t="s">
        <v>39</v>
      </c>
      <c r="O397" s="11" t="s">
        <v>50</v>
      </c>
      <c r="P397" s="11" t="s">
        <v>715</v>
      </c>
      <c r="Q397" s="13">
        <v>49.96</v>
      </c>
      <c r="R397" s="11">
        <v>2</v>
      </c>
      <c r="S397" s="28">
        <v>0</v>
      </c>
      <c r="T397" s="13">
        <v>9.4923999999999999</v>
      </c>
    </row>
    <row r="398" spans="1:20" x14ac:dyDescent="0.3">
      <c r="A398" s="11">
        <v>397</v>
      </c>
      <c r="B398" s="10">
        <v>41930</v>
      </c>
      <c r="C398" s="11">
        <v>2014</v>
      </c>
      <c r="D398" s="12" t="s">
        <v>43</v>
      </c>
      <c r="E398" s="10">
        <v>41932</v>
      </c>
      <c r="F398" s="11">
        <f t="shared" si="6"/>
        <v>2</v>
      </c>
      <c r="G398" s="11" t="s">
        <v>22</v>
      </c>
      <c r="H398" s="11" t="s">
        <v>712</v>
      </c>
      <c r="I398" s="11" t="s">
        <v>35</v>
      </c>
      <c r="J398" s="11" t="s">
        <v>1097</v>
      </c>
      <c r="K398" s="11" t="s">
        <v>713</v>
      </c>
      <c r="L398" s="11" t="s">
        <v>714</v>
      </c>
      <c r="M398" s="11" t="s">
        <v>110</v>
      </c>
      <c r="N398" s="11" t="s">
        <v>39</v>
      </c>
      <c r="O398" s="11" t="s">
        <v>72</v>
      </c>
      <c r="P398" s="11" t="s">
        <v>716</v>
      </c>
      <c r="Q398" s="13">
        <v>12.96</v>
      </c>
      <c r="R398" s="11">
        <v>2</v>
      </c>
      <c r="S398" s="28">
        <v>0</v>
      </c>
      <c r="T398" s="13">
        <v>6.2207999999999997</v>
      </c>
    </row>
    <row r="399" spans="1:20" x14ac:dyDescent="0.3">
      <c r="A399" s="11">
        <v>398</v>
      </c>
      <c r="B399" s="10">
        <v>41213</v>
      </c>
      <c r="C399" s="11">
        <v>2012</v>
      </c>
      <c r="D399" s="12" t="s">
        <v>43</v>
      </c>
      <c r="E399" s="10">
        <v>41217</v>
      </c>
      <c r="F399" s="11">
        <f t="shared" si="6"/>
        <v>4</v>
      </c>
      <c r="G399" s="11" t="s">
        <v>44</v>
      </c>
      <c r="H399" s="11" t="s">
        <v>79</v>
      </c>
      <c r="I399" s="11" t="s">
        <v>80</v>
      </c>
      <c r="J399" s="11" t="s">
        <v>1097</v>
      </c>
      <c r="K399" s="11" t="s">
        <v>206</v>
      </c>
      <c r="L399" s="11" t="s">
        <v>159</v>
      </c>
      <c r="M399" s="11" t="s">
        <v>83</v>
      </c>
      <c r="N399" s="11" t="s">
        <v>39</v>
      </c>
      <c r="O399" s="11" t="s">
        <v>328</v>
      </c>
      <c r="P399" s="11" t="s">
        <v>717</v>
      </c>
      <c r="Q399" s="13">
        <v>70.12</v>
      </c>
      <c r="R399" s="11">
        <v>4</v>
      </c>
      <c r="S399" s="28">
        <v>0</v>
      </c>
      <c r="T399" s="13">
        <v>21.036000000000001</v>
      </c>
    </row>
    <row r="400" spans="1:20" x14ac:dyDescent="0.3">
      <c r="A400" s="11">
        <v>399</v>
      </c>
      <c r="B400" s="10">
        <v>41526</v>
      </c>
      <c r="C400" s="11">
        <v>2013</v>
      </c>
      <c r="D400" s="12" t="s">
        <v>112</v>
      </c>
      <c r="E400" s="10">
        <v>41528</v>
      </c>
      <c r="F400" s="11">
        <f t="shared" si="6"/>
        <v>2</v>
      </c>
      <c r="G400" s="11" t="s">
        <v>22</v>
      </c>
      <c r="H400" s="11" t="s">
        <v>718</v>
      </c>
      <c r="I400" s="11" t="s">
        <v>24</v>
      </c>
      <c r="J400" s="11" t="s">
        <v>1097</v>
      </c>
      <c r="K400" s="11" t="s">
        <v>130</v>
      </c>
      <c r="L400" s="11" t="s">
        <v>82</v>
      </c>
      <c r="M400" s="11" t="s">
        <v>83</v>
      </c>
      <c r="N400" s="11" t="s">
        <v>39</v>
      </c>
      <c r="O400" s="11" t="s">
        <v>50</v>
      </c>
      <c r="P400" s="11" t="s">
        <v>719</v>
      </c>
      <c r="Q400" s="13">
        <v>35.951999999999998</v>
      </c>
      <c r="R400" s="11">
        <v>3</v>
      </c>
      <c r="S400" s="28">
        <v>0.2</v>
      </c>
      <c r="T400" s="13">
        <v>3.5952000000000002</v>
      </c>
    </row>
    <row r="401" spans="1:20" x14ac:dyDescent="0.3">
      <c r="A401" s="11">
        <v>400</v>
      </c>
      <c r="B401" s="10">
        <v>41526</v>
      </c>
      <c r="C401" s="11">
        <v>2013</v>
      </c>
      <c r="D401" s="12" t="s">
        <v>112</v>
      </c>
      <c r="E401" s="10">
        <v>41528</v>
      </c>
      <c r="F401" s="11">
        <f t="shared" si="6"/>
        <v>2</v>
      </c>
      <c r="G401" s="11" t="s">
        <v>22</v>
      </c>
      <c r="H401" s="11" t="s">
        <v>718</v>
      </c>
      <c r="I401" s="11" t="s">
        <v>24</v>
      </c>
      <c r="J401" s="11" t="s">
        <v>1097</v>
      </c>
      <c r="K401" s="11" t="s">
        <v>130</v>
      </c>
      <c r="L401" s="11" t="s">
        <v>82</v>
      </c>
      <c r="M401" s="11" t="s">
        <v>83</v>
      </c>
      <c r="N401" s="11" t="s">
        <v>28</v>
      </c>
      <c r="O401" s="11" t="s">
        <v>29</v>
      </c>
      <c r="P401" s="11" t="s">
        <v>121</v>
      </c>
      <c r="Q401" s="13">
        <v>2396.2656000000002</v>
      </c>
      <c r="R401" s="11">
        <v>4</v>
      </c>
      <c r="S401" s="28">
        <v>0.32</v>
      </c>
      <c r="T401" s="13">
        <v>-317.15280000000001</v>
      </c>
    </row>
    <row r="402" spans="1:20" x14ac:dyDescent="0.3">
      <c r="A402" s="11">
        <v>401</v>
      </c>
      <c r="B402" s="10">
        <v>41526</v>
      </c>
      <c r="C402" s="11">
        <v>2013</v>
      </c>
      <c r="D402" s="12" t="s">
        <v>112</v>
      </c>
      <c r="E402" s="10">
        <v>41528</v>
      </c>
      <c r="F402" s="11">
        <f t="shared" si="6"/>
        <v>2</v>
      </c>
      <c r="G402" s="11" t="s">
        <v>22</v>
      </c>
      <c r="H402" s="11" t="s">
        <v>718</v>
      </c>
      <c r="I402" s="11" t="s">
        <v>24</v>
      </c>
      <c r="J402" s="11" t="s">
        <v>1097</v>
      </c>
      <c r="K402" s="11" t="s">
        <v>130</v>
      </c>
      <c r="L402" s="11" t="s">
        <v>82</v>
      </c>
      <c r="M402" s="11" t="s">
        <v>83</v>
      </c>
      <c r="N402" s="11" t="s">
        <v>39</v>
      </c>
      <c r="O402" s="11" t="s">
        <v>50</v>
      </c>
      <c r="P402" s="11" t="s">
        <v>720</v>
      </c>
      <c r="Q402" s="13">
        <v>131.136</v>
      </c>
      <c r="R402" s="11">
        <v>4</v>
      </c>
      <c r="S402" s="28">
        <v>0.2</v>
      </c>
      <c r="T402" s="13">
        <v>-32.783999999999999</v>
      </c>
    </row>
    <row r="403" spans="1:20" x14ac:dyDescent="0.3">
      <c r="A403" s="11">
        <v>402</v>
      </c>
      <c r="B403" s="10">
        <v>41526</v>
      </c>
      <c r="C403" s="11">
        <v>2013</v>
      </c>
      <c r="D403" s="12" t="s">
        <v>112</v>
      </c>
      <c r="E403" s="10">
        <v>41528</v>
      </c>
      <c r="F403" s="11">
        <f t="shared" si="6"/>
        <v>2</v>
      </c>
      <c r="G403" s="11" t="s">
        <v>22</v>
      </c>
      <c r="H403" s="11" t="s">
        <v>718</v>
      </c>
      <c r="I403" s="11" t="s">
        <v>24</v>
      </c>
      <c r="J403" s="11" t="s">
        <v>1097</v>
      </c>
      <c r="K403" s="11" t="s">
        <v>130</v>
      </c>
      <c r="L403" s="11" t="s">
        <v>82</v>
      </c>
      <c r="M403" s="11" t="s">
        <v>83</v>
      </c>
      <c r="N403" s="11" t="s">
        <v>58</v>
      </c>
      <c r="O403" s="11" t="s">
        <v>118</v>
      </c>
      <c r="P403" s="11" t="s">
        <v>721</v>
      </c>
      <c r="Q403" s="13">
        <v>57.584000000000003</v>
      </c>
      <c r="R403" s="11">
        <v>2</v>
      </c>
      <c r="S403" s="28">
        <v>0.2</v>
      </c>
      <c r="T403" s="13">
        <v>0.7198</v>
      </c>
    </row>
    <row r="404" spans="1:20" x14ac:dyDescent="0.3">
      <c r="A404" s="11">
        <v>403</v>
      </c>
      <c r="B404" s="10">
        <v>40901</v>
      </c>
      <c r="C404" s="11">
        <v>2011</v>
      </c>
      <c r="D404" s="12" t="s">
        <v>74</v>
      </c>
      <c r="E404" s="10">
        <v>40903</v>
      </c>
      <c r="F404" s="11">
        <f t="shared" si="6"/>
        <v>2</v>
      </c>
      <c r="G404" s="11" t="s">
        <v>132</v>
      </c>
      <c r="H404" s="11" t="s">
        <v>722</v>
      </c>
      <c r="I404" s="11" t="s">
        <v>24</v>
      </c>
      <c r="J404" s="11" t="s">
        <v>1097</v>
      </c>
      <c r="K404" s="11" t="s">
        <v>723</v>
      </c>
      <c r="L404" s="11" t="s">
        <v>47</v>
      </c>
      <c r="M404" s="11" t="s">
        <v>27</v>
      </c>
      <c r="N404" s="11" t="s">
        <v>39</v>
      </c>
      <c r="O404" s="11" t="s">
        <v>72</v>
      </c>
      <c r="P404" s="11" t="s">
        <v>724</v>
      </c>
      <c r="Q404" s="13">
        <v>9.5679999999999996</v>
      </c>
      <c r="R404" s="11">
        <v>2</v>
      </c>
      <c r="S404" s="28">
        <v>0.2</v>
      </c>
      <c r="T404" s="13">
        <v>3.4683999999999999</v>
      </c>
    </row>
    <row r="405" spans="1:20" x14ac:dyDescent="0.3">
      <c r="A405" s="11">
        <v>404</v>
      </c>
      <c r="B405" s="10">
        <v>40649</v>
      </c>
      <c r="C405" s="11">
        <v>2011</v>
      </c>
      <c r="D405" s="12" t="s">
        <v>68</v>
      </c>
      <c r="E405" s="10">
        <v>40653</v>
      </c>
      <c r="F405" s="11">
        <f t="shared" si="6"/>
        <v>4</v>
      </c>
      <c r="G405" s="11" t="s">
        <v>44</v>
      </c>
      <c r="H405" s="11" t="s">
        <v>353</v>
      </c>
      <c r="I405" s="11" t="s">
        <v>35</v>
      </c>
      <c r="J405" s="11" t="s">
        <v>1097</v>
      </c>
      <c r="K405" s="11" t="s">
        <v>300</v>
      </c>
      <c r="L405" s="11" t="s">
        <v>71</v>
      </c>
      <c r="M405" s="11" t="s">
        <v>27</v>
      </c>
      <c r="N405" s="11" t="s">
        <v>39</v>
      </c>
      <c r="O405" s="11" t="s">
        <v>56</v>
      </c>
      <c r="P405" s="11" t="s">
        <v>725</v>
      </c>
      <c r="Q405" s="13">
        <v>39.072000000000003</v>
      </c>
      <c r="R405" s="11">
        <v>6</v>
      </c>
      <c r="S405" s="28">
        <v>0.2</v>
      </c>
      <c r="T405" s="13">
        <v>9.7680000000000007</v>
      </c>
    </row>
    <row r="406" spans="1:20" x14ac:dyDescent="0.3">
      <c r="A406" s="11">
        <v>405</v>
      </c>
      <c r="B406" s="10">
        <v>41998</v>
      </c>
      <c r="C406" s="11">
        <v>2014</v>
      </c>
      <c r="D406" s="12" t="s">
        <v>74</v>
      </c>
      <c r="E406" s="10">
        <v>42003</v>
      </c>
      <c r="F406" s="11">
        <f t="shared" si="6"/>
        <v>5</v>
      </c>
      <c r="G406" s="11" t="s">
        <v>44</v>
      </c>
      <c r="H406" s="11" t="s">
        <v>726</v>
      </c>
      <c r="I406" s="11" t="s">
        <v>24</v>
      </c>
      <c r="J406" s="11" t="s">
        <v>1097</v>
      </c>
      <c r="K406" s="11" t="s">
        <v>174</v>
      </c>
      <c r="L406" s="11" t="s">
        <v>175</v>
      </c>
      <c r="M406" s="11" t="s">
        <v>110</v>
      </c>
      <c r="N406" s="11" t="s">
        <v>39</v>
      </c>
      <c r="O406" s="11" t="s">
        <v>63</v>
      </c>
      <c r="P406" s="11" t="s">
        <v>131</v>
      </c>
      <c r="Q406" s="13">
        <v>35.909999999999997</v>
      </c>
      <c r="R406" s="11">
        <v>3</v>
      </c>
      <c r="S406" s="28">
        <v>0</v>
      </c>
      <c r="T406" s="13">
        <v>9.6957000000000004</v>
      </c>
    </row>
    <row r="407" spans="1:20" x14ac:dyDescent="0.3">
      <c r="A407" s="11">
        <v>406</v>
      </c>
      <c r="B407" s="10">
        <v>41982</v>
      </c>
      <c r="C407" s="11">
        <v>2014</v>
      </c>
      <c r="D407" s="12" t="s">
        <v>74</v>
      </c>
      <c r="E407" s="10">
        <v>41986</v>
      </c>
      <c r="F407" s="11">
        <f t="shared" si="6"/>
        <v>4</v>
      </c>
      <c r="G407" s="11" t="s">
        <v>44</v>
      </c>
      <c r="H407" s="11" t="s">
        <v>727</v>
      </c>
      <c r="I407" s="11" t="s">
        <v>24</v>
      </c>
      <c r="J407" s="11" t="s">
        <v>1097</v>
      </c>
      <c r="K407" s="11" t="s">
        <v>97</v>
      </c>
      <c r="L407" s="11" t="s">
        <v>37</v>
      </c>
      <c r="M407" s="11" t="s">
        <v>38</v>
      </c>
      <c r="N407" s="11" t="s">
        <v>58</v>
      </c>
      <c r="O407" s="11" t="s">
        <v>118</v>
      </c>
      <c r="P407" s="11" t="s">
        <v>721</v>
      </c>
      <c r="Q407" s="13">
        <v>179.95</v>
      </c>
      <c r="R407" s="11">
        <v>5</v>
      </c>
      <c r="S407" s="28">
        <v>0</v>
      </c>
      <c r="T407" s="13">
        <v>37.789499999999997</v>
      </c>
    </row>
    <row r="408" spans="1:20" x14ac:dyDescent="0.3">
      <c r="A408" s="11">
        <v>407</v>
      </c>
      <c r="B408" s="10">
        <v>41982</v>
      </c>
      <c r="C408" s="11">
        <v>2014</v>
      </c>
      <c r="D408" s="12" t="s">
        <v>74</v>
      </c>
      <c r="E408" s="10">
        <v>41986</v>
      </c>
      <c r="F408" s="11">
        <f t="shared" si="6"/>
        <v>4</v>
      </c>
      <c r="G408" s="11" t="s">
        <v>44</v>
      </c>
      <c r="H408" s="11" t="s">
        <v>727</v>
      </c>
      <c r="I408" s="11" t="s">
        <v>24</v>
      </c>
      <c r="J408" s="11" t="s">
        <v>1097</v>
      </c>
      <c r="K408" s="11" t="s">
        <v>97</v>
      </c>
      <c r="L408" s="11" t="s">
        <v>37</v>
      </c>
      <c r="M408" s="11" t="s">
        <v>38</v>
      </c>
      <c r="N408" s="11" t="s">
        <v>58</v>
      </c>
      <c r="O408" s="11" t="s">
        <v>628</v>
      </c>
      <c r="P408" s="11" t="s">
        <v>728</v>
      </c>
      <c r="Q408" s="13">
        <v>1199.9760000000001</v>
      </c>
      <c r="R408" s="11">
        <v>3</v>
      </c>
      <c r="S408" s="28">
        <v>0.2</v>
      </c>
      <c r="T408" s="13">
        <v>434.99130000000002</v>
      </c>
    </row>
    <row r="409" spans="1:20" x14ac:dyDescent="0.3">
      <c r="A409" s="11">
        <v>408</v>
      </c>
      <c r="B409" s="10">
        <v>41982</v>
      </c>
      <c r="C409" s="11">
        <v>2014</v>
      </c>
      <c r="D409" s="12" t="s">
        <v>74</v>
      </c>
      <c r="E409" s="10">
        <v>41986</v>
      </c>
      <c r="F409" s="11">
        <f t="shared" si="6"/>
        <v>4</v>
      </c>
      <c r="G409" s="11" t="s">
        <v>44</v>
      </c>
      <c r="H409" s="11" t="s">
        <v>727</v>
      </c>
      <c r="I409" s="11" t="s">
        <v>24</v>
      </c>
      <c r="J409" s="11" t="s">
        <v>1097</v>
      </c>
      <c r="K409" s="11" t="s">
        <v>97</v>
      </c>
      <c r="L409" s="11" t="s">
        <v>37</v>
      </c>
      <c r="M409" s="11" t="s">
        <v>38</v>
      </c>
      <c r="N409" s="11" t="s">
        <v>39</v>
      </c>
      <c r="O409" s="11" t="s">
        <v>72</v>
      </c>
      <c r="P409" s="11" t="s">
        <v>729</v>
      </c>
      <c r="Q409" s="13">
        <v>27.15</v>
      </c>
      <c r="R409" s="11">
        <v>5</v>
      </c>
      <c r="S409" s="28">
        <v>0</v>
      </c>
      <c r="T409" s="13">
        <v>13.3035</v>
      </c>
    </row>
    <row r="410" spans="1:20" x14ac:dyDescent="0.3">
      <c r="A410" s="11">
        <v>409</v>
      </c>
      <c r="B410" s="10">
        <v>41982</v>
      </c>
      <c r="C410" s="11">
        <v>2014</v>
      </c>
      <c r="D410" s="12" t="s">
        <v>74</v>
      </c>
      <c r="E410" s="10">
        <v>41986</v>
      </c>
      <c r="F410" s="11">
        <f t="shared" si="6"/>
        <v>4</v>
      </c>
      <c r="G410" s="11" t="s">
        <v>44</v>
      </c>
      <c r="H410" s="11" t="s">
        <v>727</v>
      </c>
      <c r="I410" s="11" t="s">
        <v>24</v>
      </c>
      <c r="J410" s="11" t="s">
        <v>1097</v>
      </c>
      <c r="K410" s="11" t="s">
        <v>97</v>
      </c>
      <c r="L410" s="11" t="s">
        <v>37</v>
      </c>
      <c r="M410" s="11" t="s">
        <v>38</v>
      </c>
      <c r="N410" s="11" t="s">
        <v>28</v>
      </c>
      <c r="O410" s="11" t="s">
        <v>48</v>
      </c>
      <c r="P410" s="11" t="s">
        <v>730</v>
      </c>
      <c r="Q410" s="13">
        <v>1004.024</v>
      </c>
      <c r="R410" s="11">
        <v>7</v>
      </c>
      <c r="S410" s="28">
        <v>0.2</v>
      </c>
      <c r="T410" s="13">
        <v>-112.95269999999999</v>
      </c>
    </row>
    <row r="411" spans="1:20" x14ac:dyDescent="0.3">
      <c r="A411" s="11">
        <v>410</v>
      </c>
      <c r="B411" s="10">
        <v>41982</v>
      </c>
      <c r="C411" s="11">
        <v>2014</v>
      </c>
      <c r="D411" s="12" t="s">
        <v>74</v>
      </c>
      <c r="E411" s="10">
        <v>41986</v>
      </c>
      <c r="F411" s="11">
        <f t="shared" si="6"/>
        <v>4</v>
      </c>
      <c r="G411" s="11" t="s">
        <v>44</v>
      </c>
      <c r="H411" s="11" t="s">
        <v>727</v>
      </c>
      <c r="I411" s="11" t="s">
        <v>24</v>
      </c>
      <c r="J411" s="11" t="s">
        <v>1097</v>
      </c>
      <c r="K411" s="11" t="s">
        <v>97</v>
      </c>
      <c r="L411" s="11" t="s">
        <v>37</v>
      </c>
      <c r="M411" s="11" t="s">
        <v>38</v>
      </c>
      <c r="N411" s="11" t="s">
        <v>39</v>
      </c>
      <c r="O411" s="11" t="s">
        <v>72</v>
      </c>
      <c r="P411" s="11" t="s">
        <v>731</v>
      </c>
      <c r="Q411" s="13">
        <v>9.68</v>
      </c>
      <c r="R411" s="11">
        <v>1</v>
      </c>
      <c r="S411" s="28">
        <v>0</v>
      </c>
      <c r="T411" s="13">
        <v>4.6463999999999999</v>
      </c>
    </row>
    <row r="412" spans="1:20" x14ac:dyDescent="0.3">
      <c r="A412" s="11">
        <v>411</v>
      </c>
      <c r="B412" s="10">
        <v>41982</v>
      </c>
      <c r="C412" s="11">
        <v>2014</v>
      </c>
      <c r="D412" s="12" t="s">
        <v>74</v>
      </c>
      <c r="E412" s="10">
        <v>41986</v>
      </c>
      <c r="F412" s="11">
        <f t="shared" si="6"/>
        <v>4</v>
      </c>
      <c r="G412" s="11" t="s">
        <v>44</v>
      </c>
      <c r="H412" s="11" t="s">
        <v>727</v>
      </c>
      <c r="I412" s="11" t="s">
        <v>24</v>
      </c>
      <c r="J412" s="11" t="s">
        <v>1097</v>
      </c>
      <c r="K412" s="11" t="s">
        <v>97</v>
      </c>
      <c r="L412" s="11" t="s">
        <v>37</v>
      </c>
      <c r="M412" s="11" t="s">
        <v>38</v>
      </c>
      <c r="N412" s="11" t="s">
        <v>39</v>
      </c>
      <c r="O412" s="11" t="s">
        <v>40</v>
      </c>
      <c r="P412" s="11" t="s">
        <v>732</v>
      </c>
      <c r="Q412" s="13">
        <v>28.35</v>
      </c>
      <c r="R412" s="11">
        <v>9</v>
      </c>
      <c r="S412" s="28">
        <v>0</v>
      </c>
      <c r="T412" s="13">
        <v>13.608000000000001</v>
      </c>
    </row>
    <row r="413" spans="1:20" x14ac:dyDescent="0.3">
      <c r="A413" s="11">
        <v>412</v>
      </c>
      <c r="B413" s="10">
        <v>41982</v>
      </c>
      <c r="C413" s="11">
        <v>2014</v>
      </c>
      <c r="D413" s="12" t="s">
        <v>74</v>
      </c>
      <c r="E413" s="10">
        <v>41986</v>
      </c>
      <c r="F413" s="11">
        <f t="shared" si="6"/>
        <v>4</v>
      </c>
      <c r="G413" s="11" t="s">
        <v>44</v>
      </c>
      <c r="H413" s="11" t="s">
        <v>727</v>
      </c>
      <c r="I413" s="11" t="s">
        <v>24</v>
      </c>
      <c r="J413" s="11" t="s">
        <v>1097</v>
      </c>
      <c r="K413" s="11" t="s">
        <v>97</v>
      </c>
      <c r="L413" s="11" t="s">
        <v>37</v>
      </c>
      <c r="M413" s="11" t="s">
        <v>38</v>
      </c>
      <c r="N413" s="11" t="s">
        <v>39</v>
      </c>
      <c r="O413" s="11" t="s">
        <v>72</v>
      </c>
      <c r="P413" s="11" t="s">
        <v>733</v>
      </c>
      <c r="Q413" s="13">
        <v>55.98</v>
      </c>
      <c r="R413" s="11">
        <v>1</v>
      </c>
      <c r="S413" s="28">
        <v>0</v>
      </c>
      <c r="T413" s="13">
        <v>27.430199999999999</v>
      </c>
    </row>
    <row r="414" spans="1:20" x14ac:dyDescent="0.3">
      <c r="A414" s="11">
        <v>413</v>
      </c>
      <c r="B414" s="10">
        <v>41982</v>
      </c>
      <c r="C414" s="11">
        <v>2014</v>
      </c>
      <c r="D414" s="12" t="s">
        <v>74</v>
      </c>
      <c r="E414" s="10">
        <v>41986</v>
      </c>
      <c r="F414" s="11">
        <f t="shared" si="6"/>
        <v>4</v>
      </c>
      <c r="G414" s="11" t="s">
        <v>44</v>
      </c>
      <c r="H414" s="11" t="s">
        <v>727</v>
      </c>
      <c r="I414" s="11" t="s">
        <v>24</v>
      </c>
      <c r="J414" s="11" t="s">
        <v>1097</v>
      </c>
      <c r="K414" s="11" t="s">
        <v>97</v>
      </c>
      <c r="L414" s="11" t="s">
        <v>37</v>
      </c>
      <c r="M414" s="11" t="s">
        <v>38</v>
      </c>
      <c r="N414" s="11" t="s">
        <v>28</v>
      </c>
      <c r="O414" s="11" t="s">
        <v>29</v>
      </c>
      <c r="P414" s="11" t="s">
        <v>734</v>
      </c>
      <c r="Q414" s="13">
        <v>1336.829</v>
      </c>
      <c r="R414" s="11">
        <v>13</v>
      </c>
      <c r="S414" s="28">
        <v>0.15</v>
      </c>
      <c r="T414" s="13">
        <v>31.454799999999999</v>
      </c>
    </row>
    <row r="415" spans="1:20" x14ac:dyDescent="0.3">
      <c r="A415" s="11">
        <v>414</v>
      </c>
      <c r="B415" s="10">
        <v>41982</v>
      </c>
      <c r="C415" s="11">
        <v>2014</v>
      </c>
      <c r="D415" s="12" t="s">
        <v>74</v>
      </c>
      <c r="E415" s="10">
        <v>41986</v>
      </c>
      <c r="F415" s="11">
        <f t="shared" si="6"/>
        <v>4</v>
      </c>
      <c r="G415" s="11" t="s">
        <v>44</v>
      </c>
      <c r="H415" s="11" t="s">
        <v>727</v>
      </c>
      <c r="I415" s="11" t="s">
        <v>24</v>
      </c>
      <c r="J415" s="11" t="s">
        <v>1097</v>
      </c>
      <c r="K415" s="11" t="s">
        <v>97</v>
      </c>
      <c r="L415" s="11" t="s">
        <v>37</v>
      </c>
      <c r="M415" s="11" t="s">
        <v>38</v>
      </c>
      <c r="N415" s="11" t="s">
        <v>28</v>
      </c>
      <c r="O415" s="11" t="s">
        <v>31</v>
      </c>
      <c r="P415" s="11" t="s">
        <v>735</v>
      </c>
      <c r="Q415" s="13">
        <v>113.568</v>
      </c>
      <c r="R415" s="11">
        <v>2</v>
      </c>
      <c r="S415" s="28">
        <v>0.2</v>
      </c>
      <c r="T415" s="13">
        <v>-18.454799999999999</v>
      </c>
    </row>
    <row r="416" spans="1:20" x14ac:dyDescent="0.3">
      <c r="A416" s="11">
        <v>415</v>
      </c>
      <c r="B416" s="10">
        <v>41947</v>
      </c>
      <c r="C416" s="11">
        <v>2014</v>
      </c>
      <c r="D416" s="12" t="s">
        <v>21</v>
      </c>
      <c r="E416" s="10">
        <v>41951</v>
      </c>
      <c r="F416" s="11">
        <f t="shared" si="6"/>
        <v>4</v>
      </c>
      <c r="G416" s="11" t="s">
        <v>44</v>
      </c>
      <c r="H416" s="11" t="s">
        <v>736</v>
      </c>
      <c r="I416" s="11" t="s">
        <v>35</v>
      </c>
      <c r="J416" s="11" t="s">
        <v>1097</v>
      </c>
      <c r="K416" s="11" t="s">
        <v>76</v>
      </c>
      <c r="L416" s="11" t="s">
        <v>77</v>
      </c>
      <c r="M416" s="11" t="s">
        <v>38</v>
      </c>
      <c r="N416" s="11" t="s">
        <v>39</v>
      </c>
      <c r="O416" s="11" t="s">
        <v>72</v>
      </c>
      <c r="P416" s="11" t="s">
        <v>737</v>
      </c>
      <c r="Q416" s="13">
        <v>139.86000000000001</v>
      </c>
      <c r="R416" s="11">
        <v>7</v>
      </c>
      <c r="S416" s="28">
        <v>0</v>
      </c>
      <c r="T416" s="13">
        <v>65.734200000000001</v>
      </c>
    </row>
    <row r="417" spans="1:20" x14ac:dyDescent="0.3">
      <c r="A417" s="11">
        <v>416</v>
      </c>
      <c r="B417" s="10">
        <v>41947</v>
      </c>
      <c r="C417" s="11">
        <v>2014</v>
      </c>
      <c r="D417" s="12" t="s">
        <v>21</v>
      </c>
      <c r="E417" s="10">
        <v>41951</v>
      </c>
      <c r="F417" s="11">
        <f t="shared" si="6"/>
        <v>4</v>
      </c>
      <c r="G417" s="11" t="s">
        <v>44</v>
      </c>
      <c r="H417" s="11" t="s">
        <v>736</v>
      </c>
      <c r="I417" s="11" t="s">
        <v>35</v>
      </c>
      <c r="J417" s="11" t="s">
        <v>1097</v>
      </c>
      <c r="K417" s="11" t="s">
        <v>76</v>
      </c>
      <c r="L417" s="11" t="s">
        <v>77</v>
      </c>
      <c r="M417" s="11" t="s">
        <v>38</v>
      </c>
      <c r="N417" s="11" t="s">
        <v>28</v>
      </c>
      <c r="O417" s="11" t="s">
        <v>31</v>
      </c>
      <c r="P417" s="11" t="s">
        <v>566</v>
      </c>
      <c r="Q417" s="13">
        <v>307.13600000000002</v>
      </c>
      <c r="R417" s="11">
        <v>4</v>
      </c>
      <c r="S417" s="28">
        <v>0.2</v>
      </c>
      <c r="T417" s="13">
        <v>26.874400000000001</v>
      </c>
    </row>
    <row r="418" spans="1:20" x14ac:dyDescent="0.3">
      <c r="A418" s="11">
        <v>417</v>
      </c>
      <c r="B418" s="10">
        <v>41815</v>
      </c>
      <c r="C418" s="11">
        <v>2014</v>
      </c>
      <c r="D418" s="12" t="s">
        <v>33</v>
      </c>
      <c r="E418" s="10">
        <v>41819</v>
      </c>
      <c r="F418" s="11">
        <f t="shared" si="6"/>
        <v>4</v>
      </c>
      <c r="G418" s="11" t="s">
        <v>44</v>
      </c>
      <c r="H418" s="11" t="s">
        <v>738</v>
      </c>
      <c r="I418" s="11" t="s">
        <v>24</v>
      </c>
      <c r="J418" s="11" t="s">
        <v>1097</v>
      </c>
      <c r="K418" s="11" t="s">
        <v>739</v>
      </c>
      <c r="L418" s="11" t="s">
        <v>37</v>
      </c>
      <c r="M418" s="11" t="s">
        <v>38</v>
      </c>
      <c r="N418" s="11" t="s">
        <v>39</v>
      </c>
      <c r="O418" s="11" t="s">
        <v>56</v>
      </c>
      <c r="P418" s="11" t="s">
        <v>740</v>
      </c>
      <c r="Q418" s="13">
        <v>95.92</v>
      </c>
      <c r="R418" s="11">
        <v>8</v>
      </c>
      <c r="S418" s="28">
        <v>0</v>
      </c>
      <c r="T418" s="13">
        <v>25.898399999999999</v>
      </c>
    </row>
    <row r="419" spans="1:20" x14ac:dyDescent="0.3">
      <c r="A419" s="11">
        <v>418</v>
      </c>
      <c r="B419" s="10">
        <v>41379</v>
      </c>
      <c r="C419" s="11">
        <v>2013</v>
      </c>
      <c r="D419" s="12" t="s">
        <v>68</v>
      </c>
      <c r="E419" s="10">
        <v>41383</v>
      </c>
      <c r="F419" s="11">
        <f t="shared" si="6"/>
        <v>4</v>
      </c>
      <c r="G419" s="11" t="s">
        <v>44</v>
      </c>
      <c r="H419" s="11" t="s">
        <v>741</v>
      </c>
      <c r="I419" s="11" t="s">
        <v>24</v>
      </c>
      <c r="J419" s="11" t="s">
        <v>1097</v>
      </c>
      <c r="K419" s="11" t="s">
        <v>36</v>
      </c>
      <c r="L419" s="11" t="s">
        <v>37</v>
      </c>
      <c r="M419" s="11" t="s">
        <v>38</v>
      </c>
      <c r="N419" s="11" t="s">
        <v>28</v>
      </c>
      <c r="O419" s="11" t="s">
        <v>31</v>
      </c>
      <c r="P419" s="11" t="s">
        <v>742</v>
      </c>
      <c r="Q419" s="13">
        <v>383.8</v>
      </c>
      <c r="R419" s="11">
        <v>5</v>
      </c>
      <c r="S419" s="28">
        <v>0.2</v>
      </c>
      <c r="T419" s="13">
        <v>38.380000000000003</v>
      </c>
    </row>
    <row r="420" spans="1:20" x14ac:dyDescent="0.3">
      <c r="A420" s="11">
        <v>419</v>
      </c>
      <c r="B420" s="10">
        <v>41950</v>
      </c>
      <c r="C420" s="11">
        <v>2014</v>
      </c>
      <c r="D420" s="12" t="s">
        <v>21</v>
      </c>
      <c r="E420" s="10">
        <v>41954</v>
      </c>
      <c r="F420" s="11">
        <f t="shared" si="6"/>
        <v>4</v>
      </c>
      <c r="G420" s="11" t="s">
        <v>44</v>
      </c>
      <c r="H420" s="11" t="s">
        <v>653</v>
      </c>
      <c r="I420" s="11" t="s">
        <v>35</v>
      </c>
      <c r="J420" s="11" t="s">
        <v>1097</v>
      </c>
      <c r="K420" s="11" t="s">
        <v>743</v>
      </c>
      <c r="L420" s="11" t="s">
        <v>26</v>
      </c>
      <c r="M420" s="11" t="s">
        <v>27</v>
      </c>
      <c r="N420" s="11" t="s">
        <v>39</v>
      </c>
      <c r="O420" s="11" t="s">
        <v>72</v>
      </c>
      <c r="P420" s="11" t="s">
        <v>744</v>
      </c>
      <c r="Q420" s="13">
        <v>5.78</v>
      </c>
      <c r="R420" s="11">
        <v>1</v>
      </c>
      <c r="S420" s="28">
        <v>0</v>
      </c>
      <c r="T420" s="13">
        <v>2.8321999999999998</v>
      </c>
    </row>
    <row r="421" spans="1:20" x14ac:dyDescent="0.3">
      <c r="A421" s="11">
        <v>420</v>
      </c>
      <c r="B421" s="10">
        <v>41703</v>
      </c>
      <c r="C421" s="11">
        <v>2014</v>
      </c>
      <c r="D421" s="12" t="s">
        <v>151</v>
      </c>
      <c r="E421" s="10">
        <v>41708</v>
      </c>
      <c r="F421" s="11">
        <f t="shared" si="6"/>
        <v>5</v>
      </c>
      <c r="G421" s="11" t="s">
        <v>44</v>
      </c>
      <c r="H421" s="11" t="s">
        <v>601</v>
      </c>
      <c r="I421" s="11" t="s">
        <v>35</v>
      </c>
      <c r="J421" s="11" t="s">
        <v>1097</v>
      </c>
      <c r="K421" s="11" t="s">
        <v>36</v>
      </c>
      <c r="L421" s="11" t="s">
        <v>37</v>
      </c>
      <c r="M421" s="11" t="s">
        <v>38</v>
      </c>
      <c r="N421" s="11" t="s">
        <v>39</v>
      </c>
      <c r="O421" s="11" t="s">
        <v>56</v>
      </c>
      <c r="P421" s="11" t="s">
        <v>745</v>
      </c>
      <c r="Q421" s="13">
        <v>9.32</v>
      </c>
      <c r="R421" s="11">
        <v>4</v>
      </c>
      <c r="S421" s="28">
        <v>0</v>
      </c>
      <c r="T421" s="13">
        <v>2.7027999999999999</v>
      </c>
    </row>
    <row r="422" spans="1:20" x14ac:dyDescent="0.3">
      <c r="A422" s="11">
        <v>421</v>
      </c>
      <c r="B422" s="10">
        <v>41703</v>
      </c>
      <c r="C422" s="11">
        <v>2014</v>
      </c>
      <c r="D422" s="12" t="s">
        <v>151</v>
      </c>
      <c r="E422" s="10">
        <v>41708</v>
      </c>
      <c r="F422" s="11">
        <f t="shared" si="6"/>
        <v>5</v>
      </c>
      <c r="G422" s="11" t="s">
        <v>44</v>
      </c>
      <c r="H422" s="11" t="s">
        <v>601</v>
      </c>
      <c r="I422" s="11" t="s">
        <v>35</v>
      </c>
      <c r="J422" s="11" t="s">
        <v>1097</v>
      </c>
      <c r="K422" s="11" t="s">
        <v>36</v>
      </c>
      <c r="L422" s="11" t="s">
        <v>37</v>
      </c>
      <c r="M422" s="11" t="s">
        <v>38</v>
      </c>
      <c r="N422" s="11" t="s">
        <v>39</v>
      </c>
      <c r="O422" s="11" t="s">
        <v>124</v>
      </c>
      <c r="P422" s="11" t="s">
        <v>746</v>
      </c>
      <c r="Q422" s="13">
        <v>15.25</v>
      </c>
      <c r="R422" s="11">
        <v>1</v>
      </c>
      <c r="S422" s="28">
        <v>0</v>
      </c>
      <c r="T422" s="13">
        <v>7.0149999999999997</v>
      </c>
    </row>
    <row r="423" spans="1:20" x14ac:dyDescent="0.3">
      <c r="A423" s="11">
        <v>422</v>
      </c>
      <c r="B423" s="10">
        <v>40716</v>
      </c>
      <c r="C423" s="11">
        <v>2011</v>
      </c>
      <c r="D423" s="12" t="s">
        <v>33</v>
      </c>
      <c r="E423" s="10">
        <v>40719</v>
      </c>
      <c r="F423" s="11">
        <f t="shared" si="6"/>
        <v>3</v>
      </c>
      <c r="G423" s="11" t="s">
        <v>132</v>
      </c>
      <c r="H423" s="11" t="s">
        <v>208</v>
      </c>
      <c r="I423" s="11" t="s">
        <v>24</v>
      </c>
      <c r="J423" s="11" t="s">
        <v>1097</v>
      </c>
      <c r="K423" s="11" t="s">
        <v>747</v>
      </c>
      <c r="L423" s="11" t="s">
        <v>268</v>
      </c>
      <c r="M423" s="11" t="s">
        <v>38</v>
      </c>
      <c r="N423" s="11" t="s">
        <v>58</v>
      </c>
      <c r="O423" s="11" t="s">
        <v>118</v>
      </c>
      <c r="P423" s="11" t="s">
        <v>748</v>
      </c>
      <c r="Q423" s="13">
        <v>196.75200000000001</v>
      </c>
      <c r="R423" s="11">
        <v>6</v>
      </c>
      <c r="S423" s="28">
        <v>0.2</v>
      </c>
      <c r="T423" s="13">
        <v>56.566200000000002</v>
      </c>
    </row>
    <row r="424" spans="1:20" x14ac:dyDescent="0.3">
      <c r="A424" s="11">
        <v>423</v>
      </c>
      <c r="B424" s="10">
        <v>41932</v>
      </c>
      <c r="C424" s="11">
        <v>2014</v>
      </c>
      <c r="D424" s="12" t="s">
        <v>43</v>
      </c>
      <c r="E424" s="10">
        <v>41936</v>
      </c>
      <c r="F424" s="11">
        <f t="shared" si="6"/>
        <v>4</v>
      </c>
      <c r="G424" s="11" t="s">
        <v>44</v>
      </c>
      <c r="H424" s="11" t="s">
        <v>749</v>
      </c>
      <c r="I424" s="11" t="s">
        <v>35</v>
      </c>
      <c r="J424" s="11" t="s">
        <v>1097</v>
      </c>
      <c r="K424" s="11" t="s">
        <v>750</v>
      </c>
      <c r="L424" s="11" t="s">
        <v>642</v>
      </c>
      <c r="M424" s="11" t="s">
        <v>110</v>
      </c>
      <c r="N424" s="11" t="s">
        <v>28</v>
      </c>
      <c r="O424" s="11" t="s">
        <v>54</v>
      </c>
      <c r="P424" s="11" t="s">
        <v>751</v>
      </c>
      <c r="Q424" s="13">
        <v>56.56</v>
      </c>
      <c r="R424" s="11">
        <v>4</v>
      </c>
      <c r="S424" s="28">
        <v>0</v>
      </c>
      <c r="T424" s="13">
        <v>14.7056</v>
      </c>
    </row>
    <row r="425" spans="1:20" x14ac:dyDescent="0.3">
      <c r="A425" s="11">
        <v>424</v>
      </c>
      <c r="B425" s="10">
        <v>41932</v>
      </c>
      <c r="C425" s="11">
        <v>2014</v>
      </c>
      <c r="D425" s="12" t="s">
        <v>43</v>
      </c>
      <c r="E425" s="10">
        <v>41936</v>
      </c>
      <c r="F425" s="11">
        <f t="shared" si="6"/>
        <v>4</v>
      </c>
      <c r="G425" s="11" t="s">
        <v>44</v>
      </c>
      <c r="H425" s="11" t="s">
        <v>749</v>
      </c>
      <c r="I425" s="11" t="s">
        <v>35</v>
      </c>
      <c r="J425" s="11" t="s">
        <v>1097</v>
      </c>
      <c r="K425" s="11" t="s">
        <v>750</v>
      </c>
      <c r="L425" s="11" t="s">
        <v>642</v>
      </c>
      <c r="M425" s="11" t="s">
        <v>110</v>
      </c>
      <c r="N425" s="11" t="s">
        <v>39</v>
      </c>
      <c r="O425" s="11" t="s">
        <v>50</v>
      </c>
      <c r="P425" s="11" t="s">
        <v>752</v>
      </c>
      <c r="Q425" s="13">
        <v>32.700000000000003</v>
      </c>
      <c r="R425" s="11">
        <v>3</v>
      </c>
      <c r="S425" s="28">
        <v>0</v>
      </c>
      <c r="T425" s="13">
        <v>8.5020000000000007</v>
      </c>
    </row>
    <row r="426" spans="1:20" x14ac:dyDescent="0.3">
      <c r="A426" s="11">
        <v>425</v>
      </c>
      <c r="B426" s="10">
        <v>41873</v>
      </c>
      <c r="C426" s="11">
        <v>2014</v>
      </c>
      <c r="D426" s="12" t="s">
        <v>95</v>
      </c>
      <c r="E426" s="10">
        <v>41875</v>
      </c>
      <c r="F426" s="11">
        <f t="shared" si="6"/>
        <v>2</v>
      </c>
      <c r="G426" s="11" t="s">
        <v>22</v>
      </c>
      <c r="H426" s="11" t="s">
        <v>753</v>
      </c>
      <c r="I426" s="11" t="s">
        <v>24</v>
      </c>
      <c r="J426" s="11" t="s">
        <v>1097</v>
      </c>
      <c r="K426" s="11" t="s">
        <v>206</v>
      </c>
      <c r="L426" s="11" t="s">
        <v>754</v>
      </c>
      <c r="M426" s="11" t="s">
        <v>27</v>
      </c>
      <c r="N426" s="11" t="s">
        <v>28</v>
      </c>
      <c r="O426" s="11" t="s">
        <v>31</v>
      </c>
      <c r="P426" s="11" t="s">
        <v>755</v>
      </c>
      <c r="Q426" s="13">
        <v>866.4</v>
      </c>
      <c r="R426" s="11">
        <v>4</v>
      </c>
      <c r="S426" s="28">
        <v>0</v>
      </c>
      <c r="T426" s="13">
        <v>225.26400000000001</v>
      </c>
    </row>
    <row r="427" spans="1:20" x14ac:dyDescent="0.3">
      <c r="A427" s="11">
        <v>426</v>
      </c>
      <c r="B427" s="10">
        <v>41967</v>
      </c>
      <c r="C427" s="11">
        <v>2014</v>
      </c>
      <c r="D427" s="12" t="s">
        <v>21</v>
      </c>
      <c r="E427" s="10">
        <v>41970</v>
      </c>
      <c r="F427" s="11">
        <f t="shared" si="6"/>
        <v>3</v>
      </c>
      <c r="G427" s="11" t="s">
        <v>22</v>
      </c>
      <c r="H427" s="11" t="s">
        <v>173</v>
      </c>
      <c r="I427" s="11" t="s">
        <v>35</v>
      </c>
      <c r="J427" s="11" t="s">
        <v>1097</v>
      </c>
      <c r="K427" s="11" t="s">
        <v>756</v>
      </c>
      <c r="L427" s="11" t="s">
        <v>159</v>
      </c>
      <c r="M427" s="11" t="s">
        <v>83</v>
      </c>
      <c r="N427" s="11" t="s">
        <v>28</v>
      </c>
      <c r="O427" s="11" t="s">
        <v>54</v>
      </c>
      <c r="P427" s="11" t="s">
        <v>757</v>
      </c>
      <c r="Q427" s="13">
        <v>28.4</v>
      </c>
      <c r="R427" s="11">
        <v>2</v>
      </c>
      <c r="S427" s="28">
        <v>0</v>
      </c>
      <c r="T427" s="13">
        <v>11.076000000000001</v>
      </c>
    </row>
    <row r="428" spans="1:20" x14ac:dyDescent="0.3">
      <c r="A428" s="11">
        <v>427</v>
      </c>
      <c r="B428" s="10">
        <v>41967</v>
      </c>
      <c r="C428" s="11">
        <v>2014</v>
      </c>
      <c r="D428" s="12" t="s">
        <v>21</v>
      </c>
      <c r="E428" s="10">
        <v>41970</v>
      </c>
      <c r="F428" s="11">
        <f t="shared" si="6"/>
        <v>3</v>
      </c>
      <c r="G428" s="11" t="s">
        <v>22</v>
      </c>
      <c r="H428" s="11" t="s">
        <v>173</v>
      </c>
      <c r="I428" s="11" t="s">
        <v>35</v>
      </c>
      <c r="J428" s="11" t="s">
        <v>1097</v>
      </c>
      <c r="K428" s="11" t="s">
        <v>756</v>
      </c>
      <c r="L428" s="11" t="s">
        <v>159</v>
      </c>
      <c r="M428" s="11" t="s">
        <v>83</v>
      </c>
      <c r="N428" s="11" t="s">
        <v>39</v>
      </c>
      <c r="O428" s="11" t="s">
        <v>61</v>
      </c>
      <c r="P428" s="11" t="s">
        <v>758</v>
      </c>
      <c r="Q428" s="13">
        <v>287.92</v>
      </c>
      <c r="R428" s="11">
        <v>8</v>
      </c>
      <c r="S428" s="28">
        <v>0</v>
      </c>
      <c r="T428" s="13">
        <v>138.20160000000001</v>
      </c>
    </row>
    <row r="429" spans="1:20" x14ac:dyDescent="0.3">
      <c r="A429" s="11">
        <v>428</v>
      </c>
      <c r="B429" s="10">
        <v>40798</v>
      </c>
      <c r="C429" s="11">
        <v>2011</v>
      </c>
      <c r="D429" s="12" t="s">
        <v>112</v>
      </c>
      <c r="E429" s="10">
        <v>40799</v>
      </c>
      <c r="F429" s="11">
        <f t="shared" si="6"/>
        <v>1</v>
      </c>
      <c r="G429" s="11" t="s">
        <v>132</v>
      </c>
      <c r="H429" s="11" t="s">
        <v>759</v>
      </c>
      <c r="I429" s="11" t="s">
        <v>80</v>
      </c>
      <c r="J429" s="11" t="s">
        <v>1097</v>
      </c>
      <c r="K429" s="11" t="s">
        <v>760</v>
      </c>
      <c r="L429" s="11" t="s">
        <v>175</v>
      </c>
      <c r="M429" s="11" t="s">
        <v>110</v>
      </c>
      <c r="N429" s="11" t="s">
        <v>58</v>
      </c>
      <c r="O429" s="11" t="s">
        <v>378</v>
      </c>
      <c r="P429" s="11" t="s">
        <v>761</v>
      </c>
      <c r="Q429" s="13">
        <v>69.989999999999995</v>
      </c>
      <c r="R429" s="11">
        <v>1</v>
      </c>
      <c r="S429" s="28">
        <v>0</v>
      </c>
      <c r="T429" s="13">
        <v>30.095700000000001</v>
      </c>
    </row>
    <row r="430" spans="1:20" x14ac:dyDescent="0.3">
      <c r="A430" s="11">
        <v>429</v>
      </c>
      <c r="B430" s="10">
        <v>41914</v>
      </c>
      <c r="C430" s="11">
        <v>2014</v>
      </c>
      <c r="D430" s="12" t="s">
        <v>43</v>
      </c>
      <c r="E430" s="10">
        <v>41921</v>
      </c>
      <c r="F430" s="11">
        <f t="shared" si="6"/>
        <v>7</v>
      </c>
      <c r="G430" s="11" t="s">
        <v>44</v>
      </c>
      <c r="H430" s="11" t="s">
        <v>762</v>
      </c>
      <c r="I430" s="11" t="s">
        <v>35</v>
      </c>
      <c r="J430" s="11" t="s">
        <v>1097</v>
      </c>
      <c r="K430" s="11" t="s">
        <v>376</v>
      </c>
      <c r="L430" s="11" t="s">
        <v>82</v>
      </c>
      <c r="M430" s="11" t="s">
        <v>83</v>
      </c>
      <c r="N430" s="11" t="s">
        <v>39</v>
      </c>
      <c r="O430" s="11" t="s">
        <v>56</v>
      </c>
      <c r="P430" s="11" t="s">
        <v>763</v>
      </c>
      <c r="Q430" s="13">
        <v>6.6719999999999997</v>
      </c>
      <c r="R430" s="11">
        <v>6</v>
      </c>
      <c r="S430" s="28">
        <v>0.2</v>
      </c>
      <c r="T430" s="13">
        <v>0.50039999999999996</v>
      </c>
    </row>
    <row r="431" spans="1:20" x14ac:dyDescent="0.3">
      <c r="A431" s="11">
        <v>430</v>
      </c>
      <c r="B431" s="10">
        <v>41380</v>
      </c>
      <c r="C431" s="11">
        <v>2013</v>
      </c>
      <c r="D431" s="12" t="s">
        <v>68</v>
      </c>
      <c r="E431" s="10">
        <v>41386</v>
      </c>
      <c r="F431" s="11">
        <f t="shared" si="6"/>
        <v>6</v>
      </c>
      <c r="G431" s="11" t="s">
        <v>44</v>
      </c>
      <c r="H431" s="11" t="s">
        <v>764</v>
      </c>
      <c r="I431" s="11" t="s">
        <v>80</v>
      </c>
      <c r="J431" s="11" t="s">
        <v>1097</v>
      </c>
      <c r="K431" s="11" t="s">
        <v>765</v>
      </c>
      <c r="L431" s="11" t="s">
        <v>71</v>
      </c>
      <c r="M431" s="11" t="s">
        <v>27</v>
      </c>
      <c r="N431" s="11" t="s">
        <v>39</v>
      </c>
      <c r="O431" s="11" t="s">
        <v>61</v>
      </c>
      <c r="P431" s="11" t="s">
        <v>766</v>
      </c>
      <c r="Q431" s="13">
        <v>189.58799999999999</v>
      </c>
      <c r="R431" s="11">
        <v>2</v>
      </c>
      <c r="S431" s="28">
        <v>0.7</v>
      </c>
      <c r="T431" s="13">
        <v>-145.35079999999999</v>
      </c>
    </row>
    <row r="432" spans="1:20" x14ac:dyDescent="0.3">
      <c r="A432" s="11">
        <v>431</v>
      </c>
      <c r="B432" s="10">
        <v>41380</v>
      </c>
      <c r="C432" s="11">
        <v>2013</v>
      </c>
      <c r="D432" s="12" t="s">
        <v>68</v>
      </c>
      <c r="E432" s="10">
        <v>41386</v>
      </c>
      <c r="F432" s="11">
        <f t="shared" si="6"/>
        <v>6</v>
      </c>
      <c r="G432" s="11" t="s">
        <v>44</v>
      </c>
      <c r="H432" s="11" t="s">
        <v>764</v>
      </c>
      <c r="I432" s="11" t="s">
        <v>80</v>
      </c>
      <c r="J432" s="11" t="s">
        <v>1097</v>
      </c>
      <c r="K432" s="11" t="s">
        <v>765</v>
      </c>
      <c r="L432" s="11" t="s">
        <v>71</v>
      </c>
      <c r="M432" s="11" t="s">
        <v>27</v>
      </c>
      <c r="N432" s="11" t="s">
        <v>58</v>
      </c>
      <c r="O432" s="11" t="s">
        <v>118</v>
      </c>
      <c r="P432" s="11" t="s">
        <v>400</v>
      </c>
      <c r="Q432" s="13">
        <v>408.74400000000003</v>
      </c>
      <c r="R432" s="11">
        <v>7</v>
      </c>
      <c r="S432" s="28">
        <v>0.2</v>
      </c>
      <c r="T432" s="13">
        <v>76.639499999999998</v>
      </c>
    </row>
    <row r="433" spans="1:20" x14ac:dyDescent="0.3">
      <c r="A433" s="11">
        <v>432</v>
      </c>
      <c r="B433" s="10">
        <v>41380</v>
      </c>
      <c r="C433" s="11">
        <v>2013</v>
      </c>
      <c r="D433" s="12" t="s">
        <v>68</v>
      </c>
      <c r="E433" s="10">
        <v>41386</v>
      </c>
      <c r="F433" s="11">
        <f t="shared" si="6"/>
        <v>6</v>
      </c>
      <c r="G433" s="11" t="s">
        <v>44</v>
      </c>
      <c r="H433" s="11" t="s">
        <v>764</v>
      </c>
      <c r="I433" s="11" t="s">
        <v>80</v>
      </c>
      <c r="J433" s="11" t="s">
        <v>1097</v>
      </c>
      <c r="K433" s="11" t="s">
        <v>765</v>
      </c>
      <c r="L433" s="11" t="s">
        <v>71</v>
      </c>
      <c r="M433" s="11" t="s">
        <v>27</v>
      </c>
      <c r="N433" s="11" t="s">
        <v>58</v>
      </c>
      <c r="O433" s="11" t="s">
        <v>118</v>
      </c>
      <c r="P433" s="11" t="s">
        <v>400</v>
      </c>
      <c r="Q433" s="13">
        <v>291.95999999999998</v>
      </c>
      <c r="R433" s="11">
        <v>5</v>
      </c>
      <c r="S433" s="28">
        <v>0.2</v>
      </c>
      <c r="T433" s="13">
        <v>54.7425</v>
      </c>
    </row>
    <row r="434" spans="1:20" x14ac:dyDescent="0.3">
      <c r="A434" s="11">
        <v>433</v>
      </c>
      <c r="B434" s="10">
        <v>41380</v>
      </c>
      <c r="C434" s="11">
        <v>2013</v>
      </c>
      <c r="D434" s="12" t="s">
        <v>68</v>
      </c>
      <c r="E434" s="10">
        <v>41386</v>
      </c>
      <c r="F434" s="11">
        <f t="shared" si="6"/>
        <v>6</v>
      </c>
      <c r="G434" s="11" t="s">
        <v>44</v>
      </c>
      <c r="H434" s="11" t="s">
        <v>764</v>
      </c>
      <c r="I434" s="11" t="s">
        <v>80</v>
      </c>
      <c r="J434" s="11" t="s">
        <v>1097</v>
      </c>
      <c r="K434" s="11" t="s">
        <v>765</v>
      </c>
      <c r="L434" s="11" t="s">
        <v>71</v>
      </c>
      <c r="M434" s="11" t="s">
        <v>27</v>
      </c>
      <c r="N434" s="11" t="s">
        <v>39</v>
      </c>
      <c r="O434" s="11" t="s">
        <v>50</v>
      </c>
      <c r="P434" s="11" t="s">
        <v>767</v>
      </c>
      <c r="Q434" s="13">
        <v>4.7679999999999998</v>
      </c>
      <c r="R434" s="11">
        <v>2</v>
      </c>
      <c r="S434" s="28">
        <v>0.2</v>
      </c>
      <c r="T434" s="13">
        <v>-0.77480000000000004</v>
      </c>
    </row>
    <row r="435" spans="1:20" x14ac:dyDescent="0.3">
      <c r="A435" s="11">
        <v>434</v>
      </c>
      <c r="B435" s="10">
        <v>41432</v>
      </c>
      <c r="C435" s="11">
        <v>2013</v>
      </c>
      <c r="D435" s="12" t="s">
        <v>33</v>
      </c>
      <c r="E435" s="10">
        <v>41433</v>
      </c>
      <c r="F435" s="11">
        <f t="shared" si="6"/>
        <v>1</v>
      </c>
      <c r="G435" s="11" t="s">
        <v>132</v>
      </c>
      <c r="H435" s="11" t="s">
        <v>360</v>
      </c>
      <c r="I435" s="11" t="s">
        <v>24</v>
      </c>
      <c r="J435" s="11" t="s">
        <v>1097</v>
      </c>
      <c r="K435" s="11" t="s">
        <v>641</v>
      </c>
      <c r="L435" s="11" t="s">
        <v>642</v>
      </c>
      <c r="M435" s="11" t="s">
        <v>110</v>
      </c>
      <c r="N435" s="11" t="s">
        <v>39</v>
      </c>
      <c r="O435" s="11" t="s">
        <v>50</v>
      </c>
      <c r="P435" s="11" t="s">
        <v>768</v>
      </c>
      <c r="Q435" s="13">
        <v>714.3</v>
      </c>
      <c r="R435" s="11">
        <v>5</v>
      </c>
      <c r="S435" s="28">
        <v>0</v>
      </c>
      <c r="T435" s="13">
        <v>207.14699999999999</v>
      </c>
    </row>
    <row r="436" spans="1:20" x14ac:dyDescent="0.3">
      <c r="A436" s="11">
        <v>435</v>
      </c>
      <c r="B436" s="10">
        <v>40896</v>
      </c>
      <c r="C436" s="11">
        <v>2011</v>
      </c>
      <c r="D436" s="12" t="s">
        <v>74</v>
      </c>
      <c r="E436" s="10">
        <v>40902</v>
      </c>
      <c r="F436" s="11">
        <f t="shared" si="6"/>
        <v>6</v>
      </c>
      <c r="G436" s="11" t="s">
        <v>44</v>
      </c>
      <c r="H436" s="11" t="s">
        <v>769</v>
      </c>
      <c r="I436" s="11" t="s">
        <v>24</v>
      </c>
      <c r="J436" s="11" t="s">
        <v>1097</v>
      </c>
      <c r="K436" s="11" t="s">
        <v>770</v>
      </c>
      <c r="L436" s="11" t="s">
        <v>47</v>
      </c>
      <c r="M436" s="11" t="s">
        <v>27</v>
      </c>
      <c r="N436" s="11" t="s">
        <v>39</v>
      </c>
      <c r="O436" s="11" t="s">
        <v>61</v>
      </c>
      <c r="P436" s="11" t="s">
        <v>771</v>
      </c>
      <c r="Q436" s="13">
        <v>4.8120000000000003</v>
      </c>
      <c r="R436" s="11">
        <v>2</v>
      </c>
      <c r="S436" s="28">
        <v>0.7</v>
      </c>
      <c r="T436" s="13">
        <v>-3.6892</v>
      </c>
    </row>
    <row r="437" spans="1:20" x14ac:dyDescent="0.3">
      <c r="A437" s="11">
        <v>436</v>
      </c>
      <c r="B437" s="10">
        <v>40896</v>
      </c>
      <c r="C437" s="11">
        <v>2011</v>
      </c>
      <c r="D437" s="12" t="s">
        <v>74</v>
      </c>
      <c r="E437" s="10">
        <v>40902</v>
      </c>
      <c r="F437" s="11">
        <f t="shared" si="6"/>
        <v>6</v>
      </c>
      <c r="G437" s="11" t="s">
        <v>44</v>
      </c>
      <c r="H437" s="11" t="s">
        <v>769</v>
      </c>
      <c r="I437" s="11" t="s">
        <v>24</v>
      </c>
      <c r="J437" s="11" t="s">
        <v>1097</v>
      </c>
      <c r="K437" s="11" t="s">
        <v>770</v>
      </c>
      <c r="L437" s="11" t="s">
        <v>47</v>
      </c>
      <c r="M437" s="11" t="s">
        <v>27</v>
      </c>
      <c r="N437" s="11" t="s">
        <v>58</v>
      </c>
      <c r="O437" s="11" t="s">
        <v>118</v>
      </c>
      <c r="P437" s="11" t="s">
        <v>772</v>
      </c>
      <c r="Q437" s="13">
        <v>247.8</v>
      </c>
      <c r="R437" s="11">
        <v>5</v>
      </c>
      <c r="S437" s="28">
        <v>0.2</v>
      </c>
      <c r="T437" s="13">
        <v>-18.585000000000001</v>
      </c>
    </row>
    <row r="438" spans="1:20" x14ac:dyDescent="0.3">
      <c r="A438" s="11">
        <v>437</v>
      </c>
      <c r="B438" s="10">
        <v>41438</v>
      </c>
      <c r="C438" s="11">
        <v>2013</v>
      </c>
      <c r="D438" s="12" t="s">
        <v>33</v>
      </c>
      <c r="E438" s="10">
        <v>41440</v>
      </c>
      <c r="F438" s="11">
        <f t="shared" si="6"/>
        <v>2</v>
      </c>
      <c r="G438" s="11" t="s">
        <v>22</v>
      </c>
      <c r="H438" s="11" t="s">
        <v>773</v>
      </c>
      <c r="I438" s="11" t="s">
        <v>80</v>
      </c>
      <c r="J438" s="11" t="s">
        <v>1097</v>
      </c>
      <c r="K438" s="11" t="s">
        <v>193</v>
      </c>
      <c r="L438" s="11" t="s">
        <v>144</v>
      </c>
      <c r="M438" s="11" t="s">
        <v>83</v>
      </c>
      <c r="N438" s="11" t="s">
        <v>58</v>
      </c>
      <c r="O438" s="11" t="s">
        <v>378</v>
      </c>
      <c r="P438" s="11" t="s">
        <v>774</v>
      </c>
      <c r="Q438" s="13">
        <v>1007.979</v>
      </c>
      <c r="R438" s="11">
        <v>3</v>
      </c>
      <c r="S438" s="28">
        <v>0.3</v>
      </c>
      <c r="T438" s="13">
        <v>43.199100000000001</v>
      </c>
    </row>
    <row r="439" spans="1:20" x14ac:dyDescent="0.3">
      <c r="A439" s="11">
        <v>438</v>
      </c>
      <c r="B439" s="10">
        <v>41438</v>
      </c>
      <c r="C439" s="11">
        <v>2013</v>
      </c>
      <c r="D439" s="12" t="s">
        <v>33</v>
      </c>
      <c r="E439" s="10">
        <v>41440</v>
      </c>
      <c r="F439" s="11">
        <f t="shared" si="6"/>
        <v>2</v>
      </c>
      <c r="G439" s="11" t="s">
        <v>22</v>
      </c>
      <c r="H439" s="11" t="s">
        <v>773</v>
      </c>
      <c r="I439" s="11" t="s">
        <v>80</v>
      </c>
      <c r="J439" s="11" t="s">
        <v>1097</v>
      </c>
      <c r="K439" s="11" t="s">
        <v>193</v>
      </c>
      <c r="L439" s="11" t="s">
        <v>144</v>
      </c>
      <c r="M439" s="11" t="s">
        <v>83</v>
      </c>
      <c r="N439" s="11" t="s">
        <v>39</v>
      </c>
      <c r="O439" s="11" t="s">
        <v>72</v>
      </c>
      <c r="P439" s="11" t="s">
        <v>733</v>
      </c>
      <c r="Q439" s="13">
        <v>313.488</v>
      </c>
      <c r="R439" s="11">
        <v>7</v>
      </c>
      <c r="S439" s="28">
        <v>0.2</v>
      </c>
      <c r="T439" s="13">
        <v>113.63939999999999</v>
      </c>
    </row>
    <row r="440" spans="1:20" x14ac:dyDescent="0.3">
      <c r="A440" s="11">
        <v>439</v>
      </c>
      <c r="B440" s="10">
        <v>41898</v>
      </c>
      <c r="C440" s="11">
        <v>2014</v>
      </c>
      <c r="D440" s="12" t="s">
        <v>112</v>
      </c>
      <c r="E440" s="10">
        <v>41902</v>
      </c>
      <c r="F440" s="11">
        <f t="shared" si="6"/>
        <v>4</v>
      </c>
      <c r="G440" s="11" t="s">
        <v>44</v>
      </c>
      <c r="H440" s="11" t="s">
        <v>775</v>
      </c>
      <c r="I440" s="11" t="s">
        <v>35</v>
      </c>
      <c r="J440" s="11" t="s">
        <v>1097</v>
      </c>
      <c r="K440" s="11" t="s">
        <v>130</v>
      </c>
      <c r="L440" s="11" t="s">
        <v>82</v>
      </c>
      <c r="M440" s="11" t="s">
        <v>83</v>
      </c>
      <c r="N440" s="11" t="s">
        <v>39</v>
      </c>
      <c r="O440" s="11" t="s">
        <v>72</v>
      </c>
      <c r="P440" s="11" t="s">
        <v>776</v>
      </c>
      <c r="Q440" s="13">
        <v>31.872</v>
      </c>
      <c r="R440" s="11">
        <v>8</v>
      </c>
      <c r="S440" s="28">
        <v>0.2</v>
      </c>
      <c r="T440" s="13">
        <v>11.553599999999999</v>
      </c>
    </row>
    <row r="441" spans="1:20" x14ac:dyDescent="0.3">
      <c r="A441" s="11">
        <v>440</v>
      </c>
      <c r="B441" s="10">
        <v>41660</v>
      </c>
      <c r="C441" s="11">
        <v>2014</v>
      </c>
      <c r="D441" s="12" t="s">
        <v>115</v>
      </c>
      <c r="E441" s="10">
        <v>41663</v>
      </c>
      <c r="F441" s="11">
        <f t="shared" si="6"/>
        <v>3</v>
      </c>
      <c r="G441" s="11" t="s">
        <v>22</v>
      </c>
      <c r="H441" s="11" t="s">
        <v>280</v>
      </c>
      <c r="I441" s="11" t="s">
        <v>35</v>
      </c>
      <c r="J441" s="11" t="s">
        <v>1097</v>
      </c>
      <c r="K441" s="11" t="s">
        <v>174</v>
      </c>
      <c r="L441" s="11" t="s">
        <v>175</v>
      </c>
      <c r="M441" s="11" t="s">
        <v>110</v>
      </c>
      <c r="N441" s="11" t="s">
        <v>28</v>
      </c>
      <c r="O441" s="11" t="s">
        <v>31</v>
      </c>
      <c r="P441" s="11" t="s">
        <v>777</v>
      </c>
      <c r="Q441" s="13">
        <v>207.846</v>
      </c>
      <c r="R441" s="11">
        <v>3</v>
      </c>
      <c r="S441" s="28">
        <v>0.1</v>
      </c>
      <c r="T441" s="13">
        <v>2.3094000000000001</v>
      </c>
    </row>
    <row r="442" spans="1:20" x14ac:dyDescent="0.3">
      <c r="A442" s="11">
        <v>441</v>
      </c>
      <c r="B442" s="10">
        <v>41523</v>
      </c>
      <c r="C442" s="11">
        <v>2013</v>
      </c>
      <c r="D442" s="12" t="s">
        <v>112</v>
      </c>
      <c r="E442" s="10">
        <v>41525</v>
      </c>
      <c r="F442" s="11">
        <f t="shared" si="6"/>
        <v>2</v>
      </c>
      <c r="G442" s="11" t="s">
        <v>22</v>
      </c>
      <c r="H442" s="11" t="s">
        <v>86</v>
      </c>
      <c r="I442" s="11" t="s">
        <v>24</v>
      </c>
      <c r="J442" s="11" t="s">
        <v>1097</v>
      </c>
      <c r="K442" s="11" t="s">
        <v>473</v>
      </c>
      <c r="L442" s="11" t="s">
        <v>159</v>
      </c>
      <c r="M442" s="11" t="s">
        <v>83</v>
      </c>
      <c r="N442" s="11" t="s">
        <v>28</v>
      </c>
      <c r="O442" s="11" t="s">
        <v>54</v>
      </c>
      <c r="P442" s="11" t="s">
        <v>778</v>
      </c>
      <c r="Q442" s="13">
        <v>12.22</v>
      </c>
      <c r="R442" s="11">
        <v>1</v>
      </c>
      <c r="S442" s="28">
        <v>0</v>
      </c>
      <c r="T442" s="13">
        <v>3.6659999999999999</v>
      </c>
    </row>
    <row r="443" spans="1:20" x14ac:dyDescent="0.3">
      <c r="A443" s="11">
        <v>442</v>
      </c>
      <c r="B443" s="10">
        <v>41523</v>
      </c>
      <c r="C443" s="11">
        <v>2013</v>
      </c>
      <c r="D443" s="12" t="s">
        <v>112</v>
      </c>
      <c r="E443" s="10">
        <v>41525</v>
      </c>
      <c r="F443" s="11">
        <f t="shared" si="6"/>
        <v>2</v>
      </c>
      <c r="G443" s="11" t="s">
        <v>22</v>
      </c>
      <c r="H443" s="11" t="s">
        <v>86</v>
      </c>
      <c r="I443" s="11" t="s">
        <v>24</v>
      </c>
      <c r="J443" s="11" t="s">
        <v>1097</v>
      </c>
      <c r="K443" s="11" t="s">
        <v>473</v>
      </c>
      <c r="L443" s="11" t="s">
        <v>159</v>
      </c>
      <c r="M443" s="11" t="s">
        <v>83</v>
      </c>
      <c r="N443" s="11" t="s">
        <v>39</v>
      </c>
      <c r="O443" s="11" t="s">
        <v>50</v>
      </c>
      <c r="P443" s="11" t="s">
        <v>779</v>
      </c>
      <c r="Q443" s="13">
        <v>194.94</v>
      </c>
      <c r="R443" s="11">
        <v>3</v>
      </c>
      <c r="S443" s="28">
        <v>0</v>
      </c>
      <c r="T443" s="13">
        <v>23.392800000000001</v>
      </c>
    </row>
    <row r="444" spans="1:20" x14ac:dyDescent="0.3">
      <c r="A444" s="11">
        <v>443</v>
      </c>
      <c r="B444" s="10">
        <v>41523</v>
      </c>
      <c r="C444" s="11">
        <v>2013</v>
      </c>
      <c r="D444" s="12" t="s">
        <v>112</v>
      </c>
      <c r="E444" s="10">
        <v>41525</v>
      </c>
      <c r="F444" s="11">
        <f t="shared" si="6"/>
        <v>2</v>
      </c>
      <c r="G444" s="11" t="s">
        <v>22</v>
      </c>
      <c r="H444" s="11" t="s">
        <v>86</v>
      </c>
      <c r="I444" s="11" t="s">
        <v>24</v>
      </c>
      <c r="J444" s="11" t="s">
        <v>1097</v>
      </c>
      <c r="K444" s="11" t="s">
        <v>473</v>
      </c>
      <c r="L444" s="11" t="s">
        <v>159</v>
      </c>
      <c r="M444" s="11" t="s">
        <v>83</v>
      </c>
      <c r="N444" s="11" t="s">
        <v>39</v>
      </c>
      <c r="O444" s="11" t="s">
        <v>50</v>
      </c>
      <c r="P444" s="11" t="s">
        <v>780</v>
      </c>
      <c r="Q444" s="13">
        <v>70.95</v>
      </c>
      <c r="R444" s="11">
        <v>3</v>
      </c>
      <c r="S444" s="28">
        <v>0</v>
      </c>
      <c r="T444" s="13">
        <v>20.575500000000002</v>
      </c>
    </row>
    <row r="445" spans="1:20" x14ac:dyDescent="0.3">
      <c r="A445" s="11">
        <v>444</v>
      </c>
      <c r="B445" s="10">
        <v>41523</v>
      </c>
      <c r="C445" s="11">
        <v>2013</v>
      </c>
      <c r="D445" s="12" t="s">
        <v>112</v>
      </c>
      <c r="E445" s="10">
        <v>41525</v>
      </c>
      <c r="F445" s="11">
        <f t="shared" si="6"/>
        <v>2</v>
      </c>
      <c r="G445" s="11" t="s">
        <v>22</v>
      </c>
      <c r="H445" s="11" t="s">
        <v>86</v>
      </c>
      <c r="I445" s="11" t="s">
        <v>24</v>
      </c>
      <c r="J445" s="11" t="s">
        <v>1097</v>
      </c>
      <c r="K445" s="11" t="s">
        <v>473</v>
      </c>
      <c r="L445" s="11" t="s">
        <v>159</v>
      </c>
      <c r="M445" s="11" t="s">
        <v>83</v>
      </c>
      <c r="N445" s="11" t="s">
        <v>39</v>
      </c>
      <c r="O445" s="11" t="s">
        <v>72</v>
      </c>
      <c r="P445" s="11" t="s">
        <v>781</v>
      </c>
      <c r="Q445" s="13">
        <v>91.36</v>
      </c>
      <c r="R445" s="11">
        <v>4</v>
      </c>
      <c r="S445" s="28">
        <v>0</v>
      </c>
      <c r="T445" s="13">
        <v>42.025599999999997</v>
      </c>
    </row>
    <row r="446" spans="1:20" x14ac:dyDescent="0.3">
      <c r="A446" s="11">
        <v>445</v>
      </c>
      <c r="B446" s="10">
        <v>41523</v>
      </c>
      <c r="C446" s="11">
        <v>2013</v>
      </c>
      <c r="D446" s="12" t="s">
        <v>112</v>
      </c>
      <c r="E446" s="10">
        <v>41525</v>
      </c>
      <c r="F446" s="11">
        <f t="shared" si="6"/>
        <v>2</v>
      </c>
      <c r="G446" s="11" t="s">
        <v>22</v>
      </c>
      <c r="H446" s="11" t="s">
        <v>86</v>
      </c>
      <c r="I446" s="11" t="s">
        <v>24</v>
      </c>
      <c r="J446" s="11" t="s">
        <v>1097</v>
      </c>
      <c r="K446" s="11" t="s">
        <v>473</v>
      </c>
      <c r="L446" s="11" t="s">
        <v>159</v>
      </c>
      <c r="M446" s="11" t="s">
        <v>83</v>
      </c>
      <c r="N446" s="11" t="s">
        <v>28</v>
      </c>
      <c r="O446" s="11" t="s">
        <v>31</v>
      </c>
      <c r="P446" s="11" t="s">
        <v>782</v>
      </c>
      <c r="Q446" s="13">
        <v>242.94</v>
      </c>
      <c r="R446" s="11">
        <v>3</v>
      </c>
      <c r="S446" s="28">
        <v>0</v>
      </c>
      <c r="T446" s="13">
        <v>29.152799999999999</v>
      </c>
    </row>
    <row r="447" spans="1:20" x14ac:dyDescent="0.3">
      <c r="A447" s="11">
        <v>446</v>
      </c>
      <c r="B447" s="10">
        <v>41523</v>
      </c>
      <c r="C447" s="11">
        <v>2013</v>
      </c>
      <c r="D447" s="12" t="s">
        <v>112</v>
      </c>
      <c r="E447" s="10">
        <v>41525</v>
      </c>
      <c r="F447" s="11">
        <f t="shared" si="6"/>
        <v>2</v>
      </c>
      <c r="G447" s="11" t="s">
        <v>22</v>
      </c>
      <c r="H447" s="11" t="s">
        <v>86</v>
      </c>
      <c r="I447" s="11" t="s">
        <v>24</v>
      </c>
      <c r="J447" s="11" t="s">
        <v>1097</v>
      </c>
      <c r="K447" s="11" t="s">
        <v>473</v>
      </c>
      <c r="L447" s="11" t="s">
        <v>159</v>
      </c>
      <c r="M447" s="11" t="s">
        <v>83</v>
      </c>
      <c r="N447" s="11" t="s">
        <v>39</v>
      </c>
      <c r="O447" s="11" t="s">
        <v>40</v>
      </c>
      <c r="P447" s="11" t="s">
        <v>783</v>
      </c>
      <c r="Q447" s="13">
        <v>22.05</v>
      </c>
      <c r="R447" s="11">
        <v>7</v>
      </c>
      <c r="S447" s="28">
        <v>0</v>
      </c>
      <c r="T447" s="13">
        <v>10.584</v>
      </c>
    </row>
    <row r="448" spans="1:20" x14ac:dyDescent="0.3">
      <c r="A448" s="11">
        <v>447</v>
      </c>
      <c r="B448" s="10">
        <v>41719</v>
      </c>
      <c r="C448" s="11">
        <v>2014</v>
      </c>
      <c r="D448" s="12" t="s">
        <v>151</v>
      </c>
      <c r="E448" s="10">
        <v>41724</v>
      </c>
      <c r="F448" s="11">
        <f t="shared" si="6"/>
        <v>5</v>
      </c>
      <c r="G448" s="11" t="s">
        <v>22</v>
      </c>
      <c r="H448" s="11" t="s">
        <v>784</v>
      </c>
      <c r="I448" s="11" t="s">
        <v>24</v>
      </c>
      <c r="J448" s="11" t="s">
        <v>1097</v>
      </c>
      <c r="K448" s="11" t="s">
        <v>288</v>
      </c>
      <c r="L448" s="11" t="s">
        <v>168</v>
      </c>
      <c r="M448" s="11" t="s">
        <v>83</v>
      </c>
      <c r="N448" s="11" t="s">
        <v>28</v>
      </c>
      <c r="O448" s="11" t="s">
        <v>54</v>
      </c>
      <c r="P448" s="11" t="s">
        <v>785</v>
      </c>
      <c r="Q448" s="13">
        <v>2.91</v>
      </c>
      <c r="R448" s="11">
        <v>1</v>
      </c>
      <c r="S448" s="28">
        <v>0</v>
      </c>
      <c r="T448" s="13">
        <v>1.3676999999999999</v>
      </c>
    </row>
    <row r="449" spans="1:20" x14ac:dyDescent="0.3">
      <c r="A449" s="11">
        <v>448</v>
      </c>
      <c r="B449" s="10">
        <v>41366</v>
      </c>
      <c r="C449" s="11">
        <v>2013</v>
      </c>
      <c r="D449" s="12" t="s">
        <v>68</v>
      </c>
      <c r="E449" s="10">
        <v>41368</v>
      </c>
      <c r="F449" s="11">
        <f t="shared" si="6"/>
        <v>2</v>
      </c>
      <c r="G449" s="11" t="s">
        <v>22</v>
      </c>
      <c r="H449" s="11" t="s">
        <v>786</v>
      </c>
      <c r="I449" s="11" t="s">
        <v>24</v>
      </c>
      <c r="J449" s="11" t="s">
        <v>1097</v>
      </c>
      <c r="K449" s="11" t="s">
        <v>787</v>
      </c>
      <c r="L449" s="11" t="s">
        <v>175</v>
      </c>
      <c r="M449" s="11" t="s">
        <v>110</v>
      </c>
      <c r="N449" s="11" t="s">
        <v>39</v>
      </c>
      <c r="O449" s="11" t="s">
        <v>56</v>
      </c>
      <c r="P449" s="11" t="s">
        <v>788</v>
      </c>
      <c r="Q449" s="13">
        <v>59.52</v>
      </c>
      <c r="R449" s="11">
        <v>3</v>
      </c>
      <c r="S449" s="28">
        <v>0</v>
      </c>
      <c r="T449" s="13">
        <v>15.475199999999999</v>
      </c>
    </row>
    <row r="450" spans="1:20" x14ac:dyDescent="0.3">
      <c r="A450" s="11">
        <v>449</v>
      </c>
      <c r="B450" s="10">
        <v>41366</v>
      </c>
      <c r="C450" s="11">
        <v>2013</v>
      </c>
      <c r="D450" s="12" t="s">
        <v>68</v>
      </c>
      <c r="E450" s="10">
        <v>41368</v>
      </c>
      <c r="F450" s="11">
        <f t="shared" ref="F450:F513" si="7">_xlfn.DAYS(E450,B450)</f>
        <v>2</v>
      </c>
      <c r="G450" s="11" t="s">
        <v>22</v>
      </c>
      <c r="H450" s="11" t="s">
        <v>786</v>
      </c>
      <c r="I450" s="11" t="s">
        <v>24</v>
      </c>
      <c r="J450" s="11" t="s">
        <v>1097</v>
      </c>
      <c r="K450" s="11" t="s">
        <v>787</v>
      </c>
      <c r="L450" s="11" t="s">
        <v>175</v>
      </c>
      <c r="M450" s="11" t="s">
        <v>110</v>
      </c>
      <c r="N450" s="11" t="s">
        <v>39</v>
      </c>
      <c r="O450" s="11" t="s">
        <v>50</v>
      </c>
      <c r="P450" s="11" t="s">
        <v>789</v>
      </c>
      <c r="Q450" s="13">
        <v>161.94</v>
      </c>
      <c r="R450" s="11">
        <v>3</v>
      </c>
      <c r="S450" s="28">
        <v>0</v>
      </c>
      <c r="T450" s="13">
        <v>9.7164000000000001</v>
      </c>
    </row>
    <row r="451" spans="1:20" x14ac:dyDescent="0.3">
      <c r="A451" s="11">
        <v>450</v>
      </c>
      <c r="B451" s="10">
        <v>41366</v>
      </c>
      <c r="C451" s="11">
        <v>2013</v>
      </c>
      <c r="D451" s="12" t="s">
        <v>68</v>
      </c>
      <c r="E451" s="10">
        <v>41368</v>
      </c>
      <c r="F451" s="11">
        <f t="shared" si="7"/>
        <v>2</v>
      </c>
      <c r="G451" s="11" t="s">
        <v>22</v>
      </c>
      <c r="H451" s="11" t="s">
        <v>786</v>
      </c>
      <c r="I451" s="11" t="s">
        <v>24</v>
      </c>
      <c r="J451" s="11" t="s">
        <v>1097</v>
      </c>
      <c r="K451" s="11" t="s">
        <v>787</v>
      </c>
      <c r="L451" s="11" t="s">
        <v>175</v>
      </c>
      <c r="M451" s="11" t="s">
        <v>110</v>
      </c>
      <c r="N451" s="11" t="s">
        <v>39</v>
      </c>
      <c r="O451" s="11" t="s">
        <v>56</v>
      </c>
      <c r="P451" s="11" t="s">
        <v>790</v>
      </c>
      <c r="Q451" s="13">
        <v>263.88</v>
      </c>
      <c r="R451" s="11">
        <v>6</v>
      </c>
      <c r="S451" s="28">
        <v>0</v>
      </c>
      <c r="T451" s="13">
        <v>71.247600000000006</v>
      </c>
    </row>
    <row r="452" spans="1:20" x14ac:dyDescent="0.3">
      <c r="A452" s="11">
        <v>451</v>
      </c>
      <c r="B452" s="10">
        <v>41366</v>
      </c>
      <c r="C452" s="11">
        <v>2013</v>
      </c>
      <c r="D452" s="12" t="s">
        <v>68</v>
      </c>
      <c r="E452" s="10">
        <v>41368</v>
      </c>
      <c r="F452" s="11">
        <f t="shared" si="7"/>
        <v>2</v>
      </c>
      <c r="G452" s="11" t="s">
        <v>22</v>
      </c>
      <c r="H452" s="11" t="s">
        <v>786</v>
      </c>
      <c r="I452" s="11" t="s">
        <v>24</v>
      </c>
      <c r="J452" s="11" t="s">
        <v>1097</v>
      </c>
      <c r="K452" s="11" t="s">
        <v>787</v>
      </c>
      <c r="L452" s="11" t="s">
        <v>175</v>
      </c>
      <c r="M452" s="11" t="s">
        <v>110</v>
      </c>
      <c r="N452" s="11" t="s">
        <v>39</v>
      </c>
      <c r="O452" s="11" t="s">
        <v>56</v>
      </c>
      <c r="P452" s="11" t="s">
        <v>791</v>
      </c>
      <c r="Q452" s="13">
        <v>30.48</v>
      </c>
      <c r="R452" s="11">
        <v>3</v>
      </c>
      <c r="S452" s="28">
        <v>0</v>
      </c>
      <c r="T452" s="13">
        <v>7.9248000000000003</v>
      </c>
    </row>
    <row r="453" spans="1:20" x14ac:dyDescent="0.3">
      <c r="A453" s="11">
        <v>452</v>
      </c>
      <c r="B453" s="10">
        <v>41366</v>
      </c>
      <c r="C453" s="11">
        <v>2013</v>
      </c>
      <c r="D453" s="12" t="s">
        <v>68</v>
      </c>
      <c r="E453" s="10">
        <v>41368</v>
      </c>
      <c r="F453" s="11">
        <f t="shared" si="7"/>
        <v>2</v>
      </c>
      <c r="G453" s="11" t="s">
        <v>22</v>
      </c>
      <c r="H453" s="11" t="s">
        <v>786</v>
      </c>
      <c r="I453" s="11" t="s">
        <v>24</v>
      </c>
      <c r="J453" s="11" t="s">
        <v>1097</v>
      </c>
      <c r="K453" s="11" t="s">
        <v>787</v>
      </c>
      <c r="L453" s="11" t="s">
        <v>175</v>
      </c>
      <c r="M453" s="11" t="s">
        <v>110</v>
      </c>
      <c r="N453" s="11" t="s">
        <v>39</v>
      </c>
      <c r="O453" s="11" t="s">
        <v>56</v>
      </c>
      <c r="P453" s="11" t="s">
        <v>792</v>
      </c>
      <c r="Q453" s="13">
        <v>9.84</v>
      </c>
      <c r="R453" s="11">
        <v>3</v>
      </c>
      <c r="S453" s="28">
        <v>0</v>
      </c>
      <c r="T453" s="13">
        <v>2.8536000000000001</v>
      </c>
    </row>
    <row r="454" spans="1:20" x14ac:dyDescent="0.3">
      <c r="A454" s="11">
        <v>453</v>
      </c>
      <c r="B454" s="10">
        <v>41366</v>
      </c>
      <c r="C454" s="11">
        <v>2013</v>
      </c>
      <c r="D454" s="12" t="s">
        <v>68</v>
      </c>
      <c r="E454" s="10">
        <v>41368</v>
      </c>
      <c r="F454" s="11">
        <f t="shared" si="7"/>
        <v>2</v>
      </c>
      <c r="G454" s="11" t="s">
        <v>22</v>
      </c>
      <c r="H454" s="11" t="s">
        <v>786</v>
      </c>
      <c r="I454" s="11" t="s">
        <v>24</v>
      </c>
      <c r="J454" s="11" t="s">
        <v>1097</v>
      </c>
      <c r="K454" s="11" t="s">
        <v>787</v>
      </c>
      <c r="L454" s="11" t="s">
        <v>175</v>
      </c>
      <c r="M454" s="11" t="s">
        <v>110</v>
      </c>
      <c r="N454" s="11" t="s">
        <v>58</v>
      </c>
      <c r="O454" s="11" t="s">
        <v>59</v>
      </c>
      <c r="P454" s="11" t="s">
        <v>793</v>
      </c>
      <c r="Q454" s="13">
        <v>35.119999999999997</v>
      </c>
      <c r="R454" s="11">
        <v>4</v>
      </c>
      <c r="S454" s="28">
        <v>0</v>
      </c>
      <c r="T454" s="13">
        <v>9.1311999999999998</v>
      </c>
    </row>
    <row r="455" spans="1:20" x14ac:dyDescent="0.3">
      <c r="A455" s="11">
        <v>454</v>
      </c>
      <c r="B455" s="10">
        <v>41933</v>
      </c>
      <c r="C455" s="11">
        <v>2014</v>
      </c>
      <c r="D455" s="12" t="s">
        <v>43</v>
      </c>
      <c r="E455" s="10">
        <v>41937</v>
      </c>
      <c r="F455" s="11">
        <f t="shared" si="7"/>
        <v>4</v>
      </c>
      <c r="G455" s="11" t="s">
        <v>44</v>
      </c>
      <c r="H455" s="11" t="s">
        <v>794</v>
      </c>
      <c r="I455" s="11" t="s">
        <v>35</v>
      </c>
      <c r="J455" s="11" t="s">
        <v>1097</v>
      </c>
      <c r="K455" s="11" t="s">
        <v>435</v>
      </c>
      <c r="L455" s="11" t="s">
        <v>289</v>
      </c>
      <c r="M455" s="11" t="s">
        <v>110</v>
      </c>
      <c r="N455" s="11" t="s">
        <v>28</v>
      </c>
      <c r="O455" s="11" t="s">
        <v>48</v>
      </c>
      <c r="P455" s="11" t="s">
        <v>65</v>
      </c>
      <c r="Q455" s="13">
        <v>284.36399999999998</v>
      </c>
      <c r="R455" s="11">
        <v>2</v>
      </c>
      <c r="S455" s="28">
        <v>0.4</v>
      </c>
      <c r="T455" s="13">
        <v>-75.830399999999997</v>
      </c>
    </row>
    <row r="456" spans="1:20" x14ac:dyDescent="0.3">
      <c r="A456" s="11">
        <v>455</v>
      </c>
      <c r="B456" s="10">
        <v>41933</v>
      </c>
      <c r="C456" s="11">
        <v>2014</v>
      </c>
      <c r="D456" s="12" t="s">
        <v>43</v>
      </c>
      <c r="E456" s="10">
        <v>41937</v>
      </c>
      <c r="F456" s="11">
        <f t="shared" si="7"/>
        <v>4</v>
      </c>
      <c r="G456" s="11" t="s">
        <v>44</v>
      </c>
      <c r="H456" s="11" t="s">
        <v>794</v>
      </c>
      <c r="I456" s="11" t="s">
        <v>35</v>
      </c>
      <c r="J456" s="11" t="s">
        <v>1097</v>
      </c>
      <c r="K456" s="11" t="s">
        <v>435</v>
      </c>
      <c r="L456" s="11" t="s">
        <v>289</v>
      </c>
      <c r="M456" s="11" t="s">
        <v>110</v>
      </c>
      <c r="N456" s="11" t="s">
        <v>39</v>
      </c>
      <c r="O456" s="11" t="s">
        <v>50</v>
      </c>
      <c r="P456" s="11" t="s">
        <v>795</v>
      </c>
      <c r="Q456" s="13">
        <v>665.40800000000002</v>
      </c>
      <c r="R456" s="11">
        <v>2</v>
      </c>
      <c r="S456" s="28">
        <v>0.2</v>
      </c>
      <c r="T456" s="13">
        <v>66.540800000000004</v>
      </c>
    </row>
    <row r="457" spans="1:20" x14ac:dyDescent="0.3">
      <c r="A457" s="11">
        <v>456</v>
      </c>
      <c r="B457" s="10">
        <v>41622</v>
      </c>
      <c r="C457" s="11">
        <v>2013</v>
      </c>
      <c r="D457" s="12" t="s">
        <v>74</v>
      </c>
      <c r="E457" s="10">
        <v>41626</v>
      </c>
      <c r="F457" s="11">
        <f t="shared" si="7"/>
        <v>4</v>
      </c>
      <c r="G457" s="11" t="s">
        <v>44</v>
      </c>
      <c r="H457" s="11" t="s">
        <v>762</v>
      </c>
      <c r="I457" s="11" t="s">
        <v>35</v>
      </c>
      <c r="J457" s="11" t="s">
        <v>1097</v>
      </c>
      <c r="K457" s="11" t="s">
        <v>796</v>
      </c>
      <c r="L457" s="11" t="s">
        <v>363</v>
      </c>
      <c r="M457" s="11" t="s">
        <v>83</v>
      </c>
      <c r="N457" s="11" t="s">
        <v>58</v>
      </c>
      <c r="O457" s="11" t="s">
        <v>118</v>
      </c>
      <c r="P457" s="11" t="s">
        <v>797</v>
      </c>
      <c r="Q457" s="13">
        <v>63.88</v>
      </c>
      <c r="R457" s="11">
        <v>4</v>
      </c>
      <c r="S457" s="28">
        <v>0</v>
      </c>
      <c r="T457" s="13">
        <v>24.9132</v>
      </c>
    </row>
    <row r="458" spans="1:20" x14ac:dyDescent="0.3">
      <c r="A458" s="11">
        <v>457</v>
      </c>
      <c r="B458" s="10">
        <v>40587</v>
      </c>
      <c r="C458" s="11">
        <v>2011</v>
      </c>
      <c r="D458" s="12" t="s">
        <v>317</v>
      </c>
      <c r="E458" s="10">
        <v>40593</v>
      </c>
      <c r="F458" s="11">
        <f t="shared" si="7"/>
        <v>6</v>
      </c>
      <c r="G458" s="11" t="s">
        <v>44</v>
      </c>
      <c r="H458" s="11" t="s">
        <v>798</v>
      </c>
      <c r="I458" s="11" t="s">
        <v>24</v>
      </c>
      <c r="J458" s="11" t="s">
        <v>1097</v>
      </c>
      <c r="K458" s="11" t="s">
        <v>70</v>
      </c>
      <c r="L458" s="11" t="s">
        <v>37</v>
      </c>
      <c r="M458" s="11" t="s">
        <v>38</v>
      </c>
      <c r="N458" s="11" t="s">
        <v>28</v>
      </c>
      <c r="O458" s="11" t="s">
        <v>31</v>
      </c>
      <c r="P458" s="11" t="s">
        <v>799</v>
      </c>
      <c r="Q458" s="13">
        <v>129.56800000000001</v>
      </c>
      <c r="R458" s="11">
        <v>2</v>
      </c>
      <c r="S458" s="28">
        <v>0.2</v>
      </c>
      <c r="T458" s="13">
        <v>-24.294</v>
      </c>
    </row>
    <row r="459" spans="1:20" x14ac:dyDescent="0.3">
      <c r="A459" s="11">
        <v>458</v>
      </c>
      <c r="B459" s="10">
        <v>41544</v>
      </c>
      <c r="C459" s="11">
        <v>2013</v>
      </c>
      <c r="D459" s="12" t="s">
        <v>112</v>
      </c>
      <c r="E459" s="10">
        <v>41549</v>
      </c>
      <c r="F459" s="11">
        <f t="shared" si="7"/>
        <v>5</v>
      </c>
      <c r="G459" s="11" t="s">
        <v>44</v>
      </c>
      <c r="H459" s="11" t="s">
        <v>753</v>
      </c>
      <c r="I459" s="11" t="s">
        <v>24</v>
      </c>
      <c r="J459" s="11" t="s">
        <v>1097</v>
      </c>
      <c r="K459" s="11" t="s">
        <v>220</v>
      </c>
      <c r="L459" s="11" t="s">
        <v>144</v>
      </c>
      <c r="M459" s="11" t="s">
        <v>83</v>
      </c>
      <c r="N459" s="11" t="s">
        <v>28</v>
      </c>
      <c r="O459" s="11" t="s">
        <v>31</v>
      </c>
      <c r="P459" s="11" t="s">
        <v>800</v>
      </c>
      <c r="Q459" s="13">
        <v>747.55799999999999</v>
      </c>
      <c r="R459" s="11">
        <v>3</v>
      </c>
      <c r="S459" s="28">
        <v>0.3</v>
      </c>
      <c r="T459" s="13">
        <v>-96.114599999999996</v>
      </c>
    </row>
    <row r="460" spans="1:20" x14ac:dyDescent="0.3">
      <c r="A460" s="11">
        <v>459</v>
      </c>
      <c r="B460" s="10">
        <v>41544</v>
      </c>
      <c r="C460" s="11">
        <v>2013</v>
      </c>
      <c r="D460" s="12" t="s">
        <v>112</v>
      </c>
      <c r="E460" s="10">
        <v>41549</v>
      </c>
      <c r="F460" s="11">
        <f t="shared" si="7"/>
        <v>5</v>
      </c>
      <c r="G460" s="11" t="s">
        <v>44</v>
      </c>
      <c r="H460" s="11" t="s">
        <v>753</v>
      </c>
      <c r="I460" s="11" t="s">
        <v>24</v>
      </c>
      <c r="J460" s="11" t="s">
        <v>1097</v>
      </c>
      <c r="K460" s="11" t="s">
        <v>220</v>
      </c>
      <c r="L460" s="11" t="s">
        <v>144</v>
      </c>
      <c r="M460" s="11" t="s">
        <v>83</v>
      </c>
      <c r="N460" s="11" t="s">
        <v>39</v>
      </c>
      <c r="O460" s="11" t="s">
        <v>124</v>
      </c>
      <c r="P460" s="11" t="s">
        <v>131</v>
      </c>
      <c r="Q460" s="13">
        <v>8.9280000000000008</v>
      </c>
      <c r="R460" s="11">
        <v>2</v>
      </c>
      <c r="S460" s="28">
        <v>0.2</v>
      </c>
      <c r="T460" s="13">
        <v>3.3479999999999999</v>
      </c>
    </row>
    <row r="461" spans="1:20" x14ac:dyDescent="0.3">
      <c r="A461" s="11">
        <v>460</v>
      </c>
      <c r="B461" s="10">
        <v>41258</v>
      </c>
      <c r="C461" s="11">
        <v>2012</v>
      </c>
      <c r="D461" s="12" t="s">
        <v>74</v>
      </c>
      <c r="E461" s="10">
        <v>41265</v>
      </c>
      <c r="F461" s="11">
        <f t="shared" si="7"/>
        <v>7</v>
      </c>
      <c r="G461" s="11" t="s">
        <v>44</v>
      </c>
      <c r="H461" s="11" t="s">
        <v>449</v>
      </c>
      <c r="I461" s="11" t="s">
        <v>24</v>
      </c>
      <c r="J461" s="11" t="s">
        <v>1097</v>
      </c>
      <c r="K461" s="11" t="s">
        <v>76</v>
      </c>
      <c r="L461" s="11" t="s">
        <v>77</v>
      </c>
      <c r="M461" s="11" t="s">
        <v>38</v>
      </c>
      <c r="N461" s="11" t="s">
        <v>39</v>
      </c>
      <c r="O461" s="11" t="s">
        <v>63</v>
      </c>
      <c r="P461" s="11" t="s">
        <v>801</v>
      </c>
      <c r="Q461" s="13">
        <v>103.92</v>
      </c>
      <c r="R461" s="11">
        <v>4</v>
      </c>
      <c r="S461" s="28">
        <v>0</v>
      </c>
      <c r="T461" s="13">
        <v>36.372</v>
      </c>
    </row>
    <row r="462" spans="1:20" x14ac:dyDescent="0.3">
      <c r="A462" s="11">
        <v>461</v>
      </c>
      <c r="B462" s="10">
        <v>41258</v>
      </c>
      <c r="C462" s="11">
        <v>2012</v>
      </c>
      <c r="D462" s="12" t="s">
        <v>74</v>
      </c>
      <c r="E462" s="10">
        <v>41265</v>
      </c>
      <c r="F462" s="11">
        <f t="shared" si="7"/>
        <v>7</v>
      </c>
      <c r="G462" s="11" t="s">
        <v>44</v>
      </c>
      <c r="H462" s="11" t="s">
        <v>449</v>
      </c>
      <c r="I462" s="11" t="s">
        <v>24</v>
      </c>
      <c r="J462" s="11" t="s">
        <v>1097</v>
      </c>
      <c r="K462" s="11" t="s">
        <v>76</v>
      </c>
      <c r="L462" s="11" t="s">
        <v>77</v>
      </c>
      <c r="M462" s="11" t="s">
        <v>38</v>
      </c>
      <c r="N462" s="11" t="s">
        <v>58</v>
      </c>
      <c r="O462" s="11" t="s">
        <v>118</v>
      </c>
      <c r="P462" s="11" t="s">
        <v>802</v>
      </c>
      <c r="Q462" s="13">
        <v>899.91</v>
      </c>
      <c r="R462" s="11">
        <v>9</v>
      </c>
      <c r="S462" s="28">
        <v>0</v>
      </c>
      <c r="T462" s="13">
        <v>377.9622</v>
      </c>
    </row>
    <row r="463" spans="1:20" x14ac:dyDescent="0.3">
      <c r="A463" s="11">
        <v>462</v>
      </c>
      <c r="B463" s="10">
        <v>41258</v>
      </c>
      <c r="C463" s="11">
        <v>2012</v>
      </c>
      <c r="D463" s="12" t="s">
        <v>74</v>
      </c>
      <c r="E463" s="10">
        <v>41265</v>
      </c>
      <c r="F463" s="11">
        <f t="shared" si="7"/>
        <v>7</v>
      </c>
      <c r="G463" s="11" t="s">
        <v>44</v>
      </c>
      <c r="H463" s="11" t="s">
        <v>449</v>
      </c>
      <c r="I463" s="11" t="s">
        <v>24</v>
      </c>
      <c r="J463" s="11" t="s">
        <v>1097</v>
      </c>
      <c r="K463" s="11" t="s">
        <v>76</v>
      </c>
      <c r="L463" s="11" t="s">
        <v>77</v>
      </c>
      <c r="M463" s="11" t="s">
        <v>38</v>
      </c>
      <c r="N463" s="11" t="s">
        <v>39</v>
      </c>
      <c r="O463" s="11" t="s">
        <v>61</v>
      </c>
      <c r="P463" s="11" t="s">
        <v>803</v>
      </c>
      <c r="Q463" s="13">
        <v>51.311999999999998</v>
      </c>
      <c r="R463" s="11">
        <v>3</v>
      </c>
      <c r="S463" s="28">
        <v>0.2</v>
      </c>
      <c r="T463" s="13">
        <v>18.6006</v>
      </c>
    </row>
    <row r="464" spans="1:20" x14ac:dyDescent="0.3">
      <c r="A464" s="11">
        <v>463</v>
      </c>
      <c r="B464" s="10">
        <v>41387</v>
      </c>
      <c r="C464" s="11">
        <v>2013</v>
      </c>
      <c r="D464" s="12" t="s">
        <v>68</v>
      </c>
      <c r="E464" s="10">
        <v>41394</v>
      </c>
      <c r="F464" s="11">
        <f t="shared" si="7"/>
        <v>7</v>
      </c>
      <c r="G464" s="11" t="s">
        <v>44</v>
      </c>
      <c r="H464" s="11" t="s">
        <v>804</v>
      </c>
      <c r="I464" s="11" t="s">
        <v>80</v>
      </c>
      <c r="J464" s="11" t="s">
        <v>1097</v>
      </c>
      <c r="K464" s="11" t="s">
        <v>311</v>
      </c>
      <c r="L464" s="11" t="s">
        <v>197</v>
      </c>
      <c r="M464" s="11" t="s">
        <v>38</v>
      </c>
      <c r="N464" s="11" t="s">
        <v>28</v>
      </c>
      <c r="O464" s="11" t="s">
        <v>54</v>
      </c>
      <c r="P464" s="11" t="s">
        <v>660</v>
      </c>
      <c r="Q464" s="13">
        <v>23.56</v>
      </c>
      <c r="R464" s="11">
        <v>5</v>
      </c>
      <c r="S464" s="28">
        <v>0.2</v>
      </c>
      <c r="T464" s="13">
        <v>7.0679999999999996</v>
      </c>
    </row>
    <row r="465" spans="1:20" x14ac:dyDescent="0.3">
      <c r="A465" s="11">
        <v>464</v>
      </c>
      <c r="B465" s="10">
        <v>41387</v>
      </c>
      <c r="C465" s="11">
        <v>2013</v>
      </c>
      <c r="D465" s="12" t="s">
        <v>68</v>
      </c>
      <c r="E465" s="10">
        <v>41394</v>
      </c>
      <c r="F465" s="11">
        <f t="shared" si="7"/>
        <v>7</v>
      </c>
      <c r="G465" s="11" t="s">
        <v>44</v>
      </c>
      <c r="H465" s="11" t="s">
        <v>804</v>
      </c>
      <c r="I465" s="11" t="s">
        <v>80</v>
      </c>
      <c r="J465" s="11" t="s">
        <v>1097</v>
      </c>
      <c r="K465" s="11" t="s">
        <v>311</v>
      </c>
      <c r="L465" s="11" t="s">
        <v>197</v>
      </c>
      <c r="M465" s="11" t="s">
        <v>38</v>
      </c>
      <c r="N465" s="11" t="s">
        <v>28</v>
      </c>
      <c r="O465" s="11" t="s">
        <v>48</v>
      </c>
      <c r="P465" s="11" t="s">
        <v>805</v>
      </c>
      <c r="Q465" s="13">
        <v>1272.6300000000001</v>
      </c>
      <c r="R465" s="11">
        <v>6</v>
      </c>
      <c r="S465" s="28">
        <v>0.5</v>
      </c>
      <c r="T465" s="13">
        <v>-814.48320000000001</v>
      </c>
    </row>
    <row r="466" spans="1:20" x14ac:dyDescent="0.3">
      <c r="A466" s="11">
        <v>465</v>
      </c>
      <c r="B466" s="10">
        <v>41387</v>
      </c>
      <c r="C466" s="11">
        <v>2013</v>
      </c>
      <c r="D466" s="12" t="s">
        <v>68</v>
      </c>
      <c r="E466" s="10">
        <v>41394</v>
      </c>
      <c r="F466" s="11">
        <f t="shared" si="7"/>
        <v>7</v>
      </c>
      <c r="G466" s="11" t="s">
        <v>44</v>
      </c>
      <c r="H466" s="11" t="s">
        <v>804</v>
      </c>
      <c r="I466" s="11" t="s">
        <v>80</v>
      </c>
      <c r="J466" s="11" t="s">
        <v>1097</v>
      </c>
      <c r="K466" s="11" t="s">
        <v>311</v>
      </c>
      <c r="L466" s="11" t="s">
        <v>197</v>
      </c>
      <c r="M466" s="11" t="s">
        <v>38</v>
      </c>
      <c r="N466" s="11" t="s">
        <v>39</v>
      </c>
      <c r="O466" s="11" t="s">
        <v>61</v>
      </c>
      <c r="P466" s="11" t="s">
        <v>806</v>
      </c>
      <c r="Q466" s="13">
        <v>28.484999999999999</v>
      </c>
      <c r="R466" s="11">
        <v>5</v>
      </c>
      <c r="S466" s="28">
        <v>0.7</v>
      </c>
      <c r="T466" s="13">
        <v>-20.888999999999999</v>
      </c>
    </row>
    <row r="467" spans="1:20" x14ac:dyDescent="0.3">
      <c r="A467" s="11">
        <v>466</v>
      </c>
      <c r="B467" s="10">
        <v>41387</v>
      </c>
      <c r="C467" s="11">
        <v>2013</v>
      </c>
      <c r="D467" s="12" t="s">
        <v>68</v>
      </c>
      <c r="E467" s="10">
        <v>41394</v>
      </c>
      <c r="F467" s="11">
        <f t="shared" si="7"/>
        <v>7</v>
      </c>
      <c r="G467" s="11" t="s">
        <v>44</v>
      </c>
      <c r="H467" s="11" t="s">
        <v>804</v>
      </c>
      <c r="I467" s="11" t="s">
        <v>80</v>
      </c>
      <c r="J467" s="11" t="s">
        <v>1097</v>
      </c>
      <c r="K467" s="11" t="s">
        <v>311</v>
      </c>
      <c r="L467" s="11" t="s">
        <v>197</v>
      </c>
      <c r="M467" s="11" t="s">
        <v>38</v>
      </c>
      <c r="N467" s="11" t="s">
        <v>39</v>
      </c>
      <c r="O467" s="11" t="s">
        <v>328</v>
      </c>
      <c r="P467" s="11" t="s">
        <v>807</v>
      </c>
      <c r="Q467" s="13">
        <v>185.376</v>
      </c>
      <c r="R467" s="11">
        <v>2</v>
      </c>
      <c r="S467" s="28">
        <v>0.2</v>
      </c>
      <c r="T467" s="13">
        <v>-34.758000000000003</v>
      </c>
    </row>
    <row r="468" spans="1:20" x14ac:dyDescent="0.3">
      <c r="A468" s="11">
        <v>467</v>
      </c>
      <c r="B468" s="10">
        <v>41387</v>
      </c>
      <c r="C468" s="11">
        <v>2013</v>
      </c>
      <c r="D468" s="12" t="s">
        <v>68</v>
      </c>
      <c r="E468" s="10">
        <v>41394</v>
      </c>
      <c r="F468" s="11">
        <f t="shared" si="7"/>
        <v>7</v>
      </c>
      <c r="G468" s="11" t="s">
        <v>44</v>
      </c>
      <c r="H468" s="11" t="s">
        <v>804</v>
      </c>
      <c r="I468" s="11" t="s">
        <v>80</v>
      </c>
      <c r="J468" s="11" t="s">
        <v>1097</v>
      </c>
      <c r="K468" s="11" t="s">
        <v>311</v>
      </c>
      <c r="L468" s="11" t="s">
        <v>197</v>
      </c>
      <c r="M468" s="11" t="s">
        <v>38</v>
      </c>
      <c r="N468" s="11" t="s">
        <v>39</v>
      </c>
      <c r="O468" s="11" t="s">
        <v>63</v>
      </c>
      <c r="P468" s="11" t="s">
        <v>808</v>
      </c>
      <c r="Q468" s="13">
        <v>78.272000000000006</v>
      </c>
      <c r="R468" s="11">
        <v>2</v>
      </c>
      <c r="S468" s="28">
        <v>0.2</v>
      </c>
      <c r="T468" s="13">
        <v>5.8704000000000001</v>
      </c>
    </row>
    <row r="469" spans="1:20" x14ac:dyDescent="0.3">
      <c r="A469" s="11">
        <v>468</v>
      </c>
      <c r="B469" s="10">
        <v>40925</v>
      </c>
      <c r="C469" s="11">
        <v>2012</v>
      </c>
      <c r="D469" s="12" t="s">
        <v>115</v>
      </c>
      <c r="E469" s="10">
        <v>40932</v>
      </c>
      <c r="F469" s="11">
        <f t="shared" si="7"/>
        <v>7</v>
      </c>
      <c r="G469" s="11" t="s">
        <v>44</v>
      </c>
      <c r="H469" s="11" t="s">
        <v>809</v>
      </c>
      <c r="I469" s="11" t="s">
        <v>80</v>
      </c>
      <c r="J469" s="11" t="s">
        <v>1097</v>
      </c>
      <c r="K469" s="11" t="s">
        <v>810</v>
      </c>
      <c r="L469" s="11" t="s">
        <v>144</v>
      </c>
      <c r="M469" s="11" t="s">
        <v>83</v>
      </c>
      <c r="N469" s="11" t="s">
        <v>28</v>
      </c>
      <c r="O469" s="11" t="s">
        <v>54</v>
      </c>
      <c r="P469" s="11" t="s">
        <v>567</v>
      </c>
      <c r="Q469" s="13">
        <v>254.744</v>
      </c>
      <c r="R469" s="11">
        <v>7</v>
      </c>
      <c r="S469" s="28">
        <v>0.6</v>
      </c>
      <c r="T469" s="13">
        <v>-312.06139999999999</v>
      </c>
    </row>
    <row r="470" spans="1:20" x14ac:dyDescent="0.3">
      <c r="A470" s="11">
        <v>469</v>
      </c>
      <c r="B470" s="10">
        <v>41730</v>
      </c>
      <c r="C470" s="11">
        <v>2014</v>
      </c>
      <c r="D470" s="12" t="s">
        <v>68</v>
      </c>
      <c r="E470" s="10">
        <v>41734</v>
      </c>
      <c r="F470" s="11">
        <f t="shared" si="7"/>
        <v>4</v>
      </c>
      <c r="G470" s="11" t="s">
        <v>44</v>
      </c>
      <c r="H470" s="11" t="s">
        <v>472</v>
      </c>
      <c r="I470" s="11" t="s">
        <v>35</v>
      </c>
      <c r="J470" s="11" t="s">
        <v>1097</v>
      </c>
      <c r="K470" s="11" t="s">
        <v>811</v>
      </c>
      <c r="L470" s="11" t="s">
        <v>82</v>
      </c>
      <c r="M470" s="11" t="s">
        <v>83</v>
      </c>
      <c r="N470" s="11" t="s">
        <v>28</v>
      </c>
      <c r="O470" s="11" t="s">
        <v>29</v>
      </c>
      <c r="P470" s="11" t="s">
        <v>812</v>
      </c>
      <c r="Q470" s="13">
        <v>205.33279999999999</v>
      </c>
      <c r="R470" s="11">
        <v>2</v>
      </c>
      <c r="S470" s="28">
        <v>0.32</v>
      </c>
      <c r="T470" s="13">
        <v>-36.235199999999999</v>
      </c>
    </row>
    <row r="471" spans="1:20" x14ac:dyDescent="0.3">
      <c r="A471" s="11">
        <v>470</v>
      </c>
      <c r="B471" s="10">
        <v>41625</v>
      </c>
      <c r="C471" s="11">
        <v>2013</v>
      </c>
      <c r="D471" s="12" t="s">
        <v>74</v>
      </c>
      <c r="E471" s="10">
        <v>41629</v>
      </c>
      <c r="F471" s="11">
        <f t="shared" si="7"/>
        <v>4</v>
      </c>
      <c r="G471" s="11" t="s">
        <v>22</v>
      </c>
      <c r="H471" s="11" t="s">
        <v>512</v>
      </c>
      <c r="I471" s="11" t="s">
        <v>24</v>
      </c>
      <c r="J471" s="11" t="s">
        <v>1097</v>
      </c>
      <c r="K471" s="11" t="s">
        <v>193</v>
      </c>
      <c r="L471" s="11" t="s">
        <v>144</v>
      </c>
      <c r="M471" s="11" t="s">
        <v>83</v>
      </c>
      <c r="N471" s="11" t="s">
        <v>39</v>
      </c>
      <c r="O471" s="11" t="s">
        <v>61</v>
      </c>
      <c r="P471" s="11" t="s">
        <v>813</v>
      </c>
      <c r="Q471" s="13">
        <v>4.7880000000000003</v>
      </c>
      <c r="R471" s="11">
        <v>3</v>
      </c>
      <c r="S471" s="28">
        <v>0.8</v>
      </c>
      <c r="T471" s="13">
        <v>-7.9001999999999999</v>
      </c>
    </row>
    <row r="472" spans="1:20" x14ac:dyDescent="0.3">
      <c r="A472" s="11">
        <v>471</v>
      </c>
      <c r="B472" s="10">
        <v>41263</v>
      </c>
      <c r="C472" s="11">
        <v>2012</v>
      </c>
      <c r="D472" s="12" t="s">
        <v>74</v>
      </c>
      <c r="E472" s="10">
        <v>41267</v>
      </c>
      <c r="F472" s="11">
        <f t="shared" si="7"/>
        <v>4</v>
      </c>
      <c r="G472" s="11" t="s">
        <v>44</v>
      </c>
      <c r="H472" s="11" t="s">
        <v>814</v>
      </c>
      <c r="I472" s="11" t="s">
        <v>35</v>
      </c>
      <c r="J472" s="11" t="s">
        <v>1097</v>
      </c>
      <c r="K472" s="11" t="s">
        <v>815</v>
      </c>
      <c r="L472" s="11" t="s">
        <v>175</v>
      </c>
      <c r="M472" s="11" t="s">
        <v>110</v>
      </c>
      <c r="N472" s="11" t="s">
        <v>39</v>
      </c>
      <c r="O472" s="11" t="s">
        <v>72</v>
      </c>
      <c r="P472" s="11" t="s">
        <v>816</v>
      </c>
      <c r="Q472" s="13">
        <v>55.48</v>
      </c>
      <c r="R472" s="11">
        <v>1</v>
      </c>
      <c r="S472" s="28">
        <v>0</v>
      </c>
      <c r="T472" s="13">
        <v>26.630400000000002</v>
      </c>
    </row>
    <row r="473" spans="1:20" x14ac:dyDescent="0.3">
      <c r="A473" s="11">
        <v>472</v>
      </c>
      <c r="B473" s="10">
        <v>40856</v>
      </c>
      <c r="C473" s="11">
        <v>2011</v>
      </c>
      <c r="D473" s="12" t="s">
        <v>21</v>
      </c>
      <c r="E473" s="10">
        <v>40858</v>
      </c>
      <c r="F473" s="11">
        <f t="shared" si="7"/>
        <v>2</v>
      </c>
      <c r="G473" s="11" t="s">
        <v>22</v>
      </c>
      <c r="H473" s="11" t="s">
        <v>817</v>
      </c>
      <c r="I473" s="11" t="s">
        <v>24</v>
      </c>
      <c r="J473" s="11" t="s">
        <v>1097</v>
      </c>
      <c r="K473" s="11" t="s">
        <v>97</v>
      </c>
      <c r="L473" s="11" t="s">
        <v>37</v>
      </c>
      <c r="M473" s="11" t="s">
        <v>38</v>
      </c>
      <c r="N473" s="11" t="s">
        <v>39</v>
      </c>
      <c r="O473" s="11" t="s">
        <v>50</v>
      </c>
      <c r="P473" s="11" t="s">
        <v>818</v>
      </c>
      <c r="Q473" s="13">
        <v>340.92</v>
      </c>
      <c r="R473" s="11">
        <v>3</v>
      </c>
      <c r="S473" s="28">
        <v>0</v>
      </c>
      <c r="T473" s="13">
        <v>3.4091999999999998</v>
      </c>
    </row>
    <row r="474" spans="1:20" x14ac:dyDescent="0.3">
      <c r="A474" s="11">
        <v>473</v>
      </c>
      <c r="B474" s="10">
        <v>40856</v>
      </c>
      <c r="C474" s="11">
        <v>2011</v>
      </c>
      <c r="D474" s="12" t="s">
        <v>21</v>
      </c>
      <c r="E474" s="10">
        <v>40858</v>
      </c>
      <c r="F474" s="11">
        <f t="shared" si="7"/>
        <v>2</v>
      </c>
      <c r="G474" s="11" t="s">
        <v>22</v>
      </c>
      <c r="H474" s="11" t="s">
        <v>817</v>
      </c>
      <c r="I474" s="11" t="s">
        <v>24</v>
      </c>
      <c r="J474" s="11" t="s">
        <v>1097</v>
      </c>
      <c r="K474" s="11" t="s">
        <v>97</v>
      </c>
      <c r="L474" s="11" t="s">
        <v>37</v>
      </c>
      <c r="M474" s="11" t="s">
        <v>38</v>
      </c>
      <c r="N474" s="11" t="s">
        <v>28</v>
      </c>
      <c r="O474" s="11" t="s">
        <v>29</v>
      </c>
      <c r="P474" s="11" t="s">
        <v>819</v>
      </c>
      <c r="Q474" s="13">
        <v>222.666</v>
      </c>
      <c r="R474" s="11">
        <v>2</v>
      </c>
      <c r="S474" s="28">
        <v>0.15</v>
      </c>
      <c r="T474" s="13">
        <v>10.478400000000001</v>
      </c>
    </row>
    <row r="475" spans="1:20" x14ac:dyDescent="0.3">
      <c r="A475" s="11">
        <v>474</v>
      </c>
      <c r="B475" s="10">
        <v>40856</v>
      </c>
      <c r="C475" s="11">
        <v>2011</v>
      </c>
      <c r="D475" s="12" t="s">
        <v>21</v>
      </c>
      <c r="E475" s="10">
        <v>40858</v>
      </c>
      <c r="F475" s="11">
        <f t="shared" si="7"/>
        <v>2</v>
      </c>
      <c r="G475" s="11" t="s">
        <v>22</v>
      </c>
      <c r="H475" s="11" t="s">
        <v>817</v>
      </c>
      <c r="I475" s="11" t="s">
        <v>24</v>
      </c>
      <c r="J475" s="11" t="s">
        <v>1097</v>
      </c>
      <c r="K475" s="11" t="s">
        <v>97</v>
      </c>
      <c r="L475" s="11" t="s">
        <v>37</v>
      </c>
      <c r="M475" s="11" t="s">
        <v>38</v>
      </c>
      <c r="N475" s="11" t="s">
        <v>58</v>
      </c>
      <c r="O475" s="11" t="s">
        <v>59</v>
      </c>
      <c r="P475" s="11" t="s">
        <v>820</v>
      </c>
      <c r="Q475" s="13">
        <v>703.96799999999996</v>
      </c>
      <c r="R475" s="11">
        <v>4</v>
      </c>
      <c r="S475" s="28">
        <v>0.2</v>
      </c>
      <c r="T475" s="13">
        <v>87.995999999999995</v>
      </c>
    </row>
    <row r="476" spans="1:20" x14ac:dyDescent="0.3">
      <c r="A476" s="11">
        <v>475</v>
      </c>
      <c r="B476" s="10">
        <v>40856</v>
      </c>
      <c r="C476" s="11">
        <v>2011</v>
      </c>
      <c r="D476" s="12" t="s">
        <v>21</v>
      </c>
      <c r="E476" s="10">
        <v>40858</v>
      </c>
      <c r="F476" s="11">
        <f t="shared" si="7"/>
        <v>2</v>
      </c>
      <c r="G476" s="11" t="s">
        <v>22</v>
      </c>
      <c r="H476" s="11" t="s">
        <v>817</v>
      </c>
      <c r="I476" s="11" t="s">
        <v>24</v>
      </c>
      <c r="J476" s="11" t="s">
        <v>1097</v>
      </c>
      <c r="K476" s="11" t="s">
        <v>97</v>
      </c>
      <c r="L476" s="11" t="s">
        <v>37</v>
      </c>
      <c r="M476" s="11" t="s">
        <v>38</v>
      </c>
      <c r="N476" s="11" t="s">
        <v>39</v>
      </c>
      <c r="O476" s="11" t="s">
        <v>50</v>
      </c>
      <c r="P476" s="11" t="s">
        <v>821</v>
      </c>
      <c r="Q476" s="13">
        <v>92.52</v>
      </c>
      <c r="R476" s="11">
        <v>6</v>
      </c>
      <c r="S476" s="28">
        <v>0</v>
      </c>
      <c r="T476" s="13">
        <v>24.980399999999999</v>
      </c>
    </row>
    <row r="477" spans="1:20" x14ac:dyDescent="0.3">
      <c r="A477" s="11">
        <v>476</v>
      </c>
      <c r="B477" s="10">
        <v>40856</v>
      </c>
      <c r="C477" s="11">
        <v>2011</v>
      </c>
      <c r="D477" s="12" t="s">
        <v>21</v>
      </c>
      <c r="E477" s="10">
        <v>40858</v>
      </c>
      <c r="F477" s="11">
        <f t="shared" si="7"/>
        <v>2</v>
      </c>
      <c r="G477" s="11" t="s">
        <v>22</v>
      </c>
      <c r="H477" s="11" t="s">
        <v>817</v>
      </c>
      <c r="I477" s="11" t="s">
        <v>24</v>
      </c>
      <c r="J477" s="11" t="s">
        <v>1097</v>
      </c>
      <c r="K477" s="11" t="s">
        <v>97</v>
      </c>
      <c r="L477" s="11" t="s">
        <v>37</v>
      </c>
      <c r="M477" s="11" t="s">
        <v>38</v>
      </c>
      <c r="N477" s="11" t="s">
        <v>39</v>
      </c>
      <c r="O477" s="11" t="s">
        <v>72</v>
      </c>
      <c r="P477" s="11" t="s">
        <v>822</v>
      </c>
      <c r="Q477" s="13">
        <v>62.65</v>
      </c>
      <c r="R477" s="11">
        <v>7</v>
      </c>
      <c r="S477" s="28">
        <v>0</v>
      </c>
      <c r="T477" s="13">
        <v>28.818999999999999</v>
      </c>
    </row>
    <row r="478" spans="1:20" x14ac:dyDescent="0.3">
      <c r="A478" s="11">
        <v>477</v>
      </c>
      <c r="B478" s="10">
        <v>40856</v>
      </c>
      <c r="C478" s="11">
        <v>2011</v>
      </c>
      <c r="D478" s="12" t="s">
        <v>21</v>
      </c>
      <c r="E478" s="10">
        <v>40858</v>
      </c>
      <c r="F478" s="11">
        <f t="shared" si="7"/>
        <v>2</v>
      </c>
      <c r="G478" s="11" t="s">
        <v>22</v>
      </c>
      <c r="H478" s="11" t="s">
        <v>817</v>
      </c>
      <c r="I478" s="11" t="s">
        <v>24</v>
      </c>
      <c r="J478" s="11" t="s">
        <v>1097</v>
      </c>
      <c r="K478" s="11" t="s">
        <v>97</v>
      </c>
      <c r="L478" s="11" t="s">
        <v>37</v>
      </c>
      <c r="M478" s="11" t="s">
        <v>38</v>
      </c>
      <c r="N478" s="11" t="s">
        <v>39</v>
      </c>
      <c r="O478" s="11" t="s">
        <v>72</v>
      </c>
      <c r="P478" s="11" t="s">
        <v>823</v>
      </c>
      <c r="Q478" s="13">
        <v>94.85</v>
      </c>
      <c r="R478" s="11">
        <v>5</v>
      </c>
      <c r="S478" s="28">
        <v>0</v>
      </c>
      <c r="T478" s="13">
        <v>45.527999999999999</v>
      </c>
    </row>
    <row r="479" spans="1:20" x14ac:dyDescent="0.3">
      <c r="A479" s="11">
        <v>478</v>
      </c>
      <c r="B479" s="10">
        <v>41468</v>
      </c>
      <c r="C479" s="11">
        <v>2013</v>
      </c>
      <c r="D479" s="12" t="s">
        <v>106</v>
      </c>
      <c r="E479" s="10">
        <v>41475</v>
      </c>
      <c r="F479" s="11">
        <f t="shared" si="7"/>
        <v>7</v>
      </c>
      <c r="G479" s="11" t="s">
        <v>44</v>
      </c>
      <c r="H479" s="11" t="s">
        <v>534</v>
      </c>
      <c r="I479" s="11" t="s">
        <v>35</v>
      </c>
      <c r="J479" s="11" t="s">
        <v>1097</v>
      </c>
      <c r="K479" s="11" t="s">
        <v>36</v>
      </c>
      <c r="L479" s="11" t="s">
        <v>37</v>
      </c>
      <c r="M479" s="11" t="s">
        <v>38</v>
      </c>
      <c r="N479" s="11" t="s">
        <v>58</v>
      </c>
      <c r="O479" s="11" t="s">
        <v>59</v>
      </c>
      <c r="P479" s="11" t="s">
        <v>824</v>
      </c>
      <c r="Q479" s="13">
        <v>95.76</v>
      </c>
      <c r="R479" s="11">
        <v>6</v>
      </c>
      <c r="S479" s="28">
        <v>0.2</v>
      </c>
      <c r="T479" s="13">
        <v>7.1820000000000004</v>
      </c>
    </row>
    <row r="480" spans="1:20" x14ac:dyDescent="0.3">
      <c r="A480" s="11">
        <v>479</v>
      </c>
      <c r="B480" s="10">
        <v>41575</v>
      </c>
      <c r="C480" s="11">
        <v>2013</v>
      </c>
      <c r="D480" s="12" t="s">
        <v>43</v>
      </c>
      <c r="E480" s="10">
        <v>41581</v>
      </c>
      <c r="F480" s="11">
        <f t="shared" si="7"/>
        <v>6</v>
      </c>
      <c r="G480" s="11" t="s">
        <v>44</v>
      </c>
      <c r="H480" s="11" t="s">
        <v>825</v>
      </c>
      <c r="I480" s="11" t="s">
        <v>24</v>
      </c>
      <c r="J480" s="11" t="s">
        <v>1097</v>
      </c>
      <c r="K480" s="11" t="s">
        <v>180</v>
      </c>
      <c r="L480" s="11" t="s">
        <v>175</v>
      </c>
      <c r="M480" s="11" t="s">
        <v>110</v>
      </c>
      <c r="N480" s="11" t="s">
        <v>28</v>
      </c>
      <c r="O480" s="11" t="s">
        <v>54</v>
      </c>
      <c r="P480" s="11" t="s">
        <v>578</v>
      </c>
      <c r="Q480" s="13">
        <v>40.200000000000003</v>
      </c>
      <c r="R480" s="11">
        <v>3</v>
      </c>
      <c r="S480" s="28">
        <v>0</v>
      </c>
      <c r="T480" s="13">
        <v>19.295999999999999</v>
      </c>
    </row>
    <row r="481" spans="1:20" x14ac:dyDescent="0.3">
      <c r="A481" s="11">
        <v>480</v>
      </c>
      <c r="B481" s="10">
        <v>41452</v>
      </c>
      <c r="C481" s="11">
        <v>2013</v>
      </c>
      <c r="D481" s="12" t="s">
        <v>33</v>
      </c>
      <c r="E481" s="10">
        <v>41458</v>
      </c>
      <c r="F481" s="11">
        <f t="shared" si="7"/>
        <v>6</v>
      </c>
      <c r="G481" s="11" t="s">
        <v>44</v>
      </c>
      <c r="H481" s="11" t="s">
        <v>826</v>
      </c>
      <c r="I481" s="11" t="s">
        <v>35</v>
      </c>
      <c r="J481" s="11" t="s">
        <v>1097</v>
      </c>
      <c r="K481" s="11" t="s">
        <v>174</v>
      </c>
      <c r="L481" s="11" t="s">
        <v>175</v>
      </c>
      <c r="M481" s="11" t="s">
        <v>110</v>
      </c>
      <c r="N481" s="11" t="s">
        <v>39</v>
      </c>
      <c r="O481" s="11" t="s">
        <v>56</v>
      </c>
      <c r="P481" s="11" t="s">
        <v>827</v>
      </c>
      <c r="Q481" s="13">
        <v>14.7</v>
      </c>
      <c r="R481" s="11">
        <v>5</v>
      </c>
      <c r="S481" s="28">
        <v>0</v>
      </c>
      <c r="T481" s="13">
        <v>6.6150000000000002</v>
      </c>
    </row>
    <row r="482" spans="1:20" x14ac:dyDescent="0.3">
      <c r="A482" s="11">
        <v>481</v>
      </c>
      <c r="B482" s="10">
        <v>41452</v>
      </c>
      <c r="C482" s="11">
        <v>2013</v>
      </c>
      <c r="D482" s="12" t="s">
        <v>33</v>
      </c>
      <c r="E482" s="10">
        <v>41458</v>
      </c>
      <c r="F482" s="11">
        <f t="shared" si="7"/>
        <v>6</v>
      </c>
      <c r="G482" s="11" t="s">
        <v>44</v>
      </c>
      <c r="H482" s="11" t="s">
        <v>826</v>
      </c>
      <c r="I482" s="11" t="s">
        <v>35</v>
      </c>
      <c r="J482" s="11" t="s">
        <v>1097</v>
      </c>
      <c r="K482" s="11" t="s">
        <v>174</v>
      </c>
      <c r="L482" s="11" t="s">
        <v>175</v>
      </c>
      <c r="M482" s="11" t="s">
        <v>110</v>
      </c>
      <c r="N482" s="11" t="s">
        <v>39</v>
      </c>
      <c r="O482" s="11" t="s">
        <v>50</v>
      </c>
      <c r="P482" s="11" t="s">
        <v>828</v>
      </c>
      <c r="Q482" s="13">
        <v>704.25</v>
      </c>
      <c r="R482" s="11">
        <v>5</v>
      </c>
      <c r="S482" s="28">
        <v>0</v>
      </c>
      <c r="T482" s="13">
        <v>84.51</v>
      </c>
    </row>
    <row r="483" spans="1:20" x14ac:dyDescent="0.3">
      <c r="A483" s="11">
        <v>482</v>
      </c>
      <c r="B483" s="10">
        <v>40822</v>
      </c>
      <c r="C483" s="11">
        <v>2011</v>
      </c>
      <c r="D483" s="12" t="s">
        <v>43</v>
      </c>
      <c r="E483" s="10">
        <v>40826</v>
      </c>
      <c r="F483" s="11">
        <f t="shared" si="7"/>
        <v>4</v>
      </c>
      <c r="G483" s="11" t="s">
        <v>44</v>
      </c>
      <c r="H483" s="11" t="s">
        <v>829</v>
      </c>
      <c r="I483" s="11" t="s">
        <v>24</v>
      </c>
      <c r="J483" s="11" t="s">
        <v>1097</v>
      </c>
      <c r="K483" s="11" t="s">
        <v>504</v>
      </c>
      <c r="L483" s="11" t="s">
        <v>37</v>
      </c>
      <c r="M483" s="11" t="s">
        <v>38</v>
      </c>
      <c r="N483" s="11" t="s">
        <v>58</v>
      </c>
      <c r="O483" s="11" t="s">
        <v>118</v>
      </c>
      <c r="P483" s="11" t="s">
        <v>830</v>
      </c>
      <c r="Q483" s="13">
        <v>9.09</v>
      </c>
      <c r="R483" s="11">
        <v>3</v>
      </c>
      <c r="S483" s="28">
        <v>0</v>
      </c>
      <c r="T483" s="13">
        <v>1.9089</v>
      </c>
    </row>
    <row r="484" spans="1:20" x14ac:dyDescent="0.3">
      <c r="A484" s="11">
        <v>483</v>
      </c>
      <c r="B484" s="10">
        <v>40746</v>
      </c>
      <c r="C484" s="11">
        <v>2011</v>
      </c>
      <c r="D484" s="12" t="s">
        <v>106</v>
      </c>
      <c r="E484" s="10">
        <v>40751</v>
      </c>
      <c r="F484" s="11">
        <f t="shared" si="7"/>
        <v>5</v>
      </c>
      <c r="G484" s="11" t="s">
        <v>44</v>
      </c>
      <c r="H484" s="11" t="s">
        <v>831</v>
      </c>
      <c r="I484" s="11" t="s">
        <v>24</v>
      </c>
      <c r="J484" s="11" t="s">
        <v>1097</v>
      </c>
      <c r="K484" s="11" t="s">
        <v>174</v>
      </c>
      <c r="L484" s="11" t="s">
        <v>175</v>
      </c>
      <c r="M484" s="11" t="s">
        <v>110</v>
      </c>
      <c r="N484" s="11" t="s">
        <v>39</v>
      </c>
      <c r="O484" s="11" t="s">
        <v>56</v>
      </c>
      <c r="P484" s="11" t="s">
        <v>225</v>
      </c>
      <c r="Q484" s="13">
        <v>5.96</v>
      </c>
      <c r="R484" s="11">
        <v>2</v>
      </c>
      <c r="S484" s="28">
        <v>0</v>
      </c>
      <c r="T484" s="13">
        <v>1.6688000000000001</v>
      </c>
    </row>
    <row r="485" spans="1:20" x14ac:dyDescent="0.3">
      <c r="A485" s="11">
        <v>484</v>
      </c>
      <c r="B485" s="10">
        <v>40746</v>
      </c>
      <c r="C485" s="11">
        <v>2011</v>
      </c>
      <c r="D485" s="12" t="s">
        <v>106</v>
      </c>
      <c r="E485" s="10">
        <v>40751</v>
      </c>
      <c r="F485" s="11">
        <f t="shared" si="7"/>
        <v>5</v>
      </c>
      <c r="G485" s="11" t="s">
        <v>44</v>
      </c>
      <c r="H485" s="11" t="s">
        <v>831</v>
      </c>
      <c r="I485" s="11" t="s">
        <v>24</v>
      </c>
      <c r="J485" s="11" t="s">
        <v>1097</v>
      </c>
      <c r="K485" s="11" t="s">
        <v>174</v>
      </c>
      <c r="L485" s="11" t="s">
        <v>175</v>
      </c>
      <c r="M485" s="11" t="s">
        <v>110</v>
      </c>
      <c r="N485" s="11" t="s">
        <v>58</v>
      </c>
      <c r="O485" s="11" t="s">
        <v>118</v>
      </c>
      <c r="P485" s="11" t="s">
        <v>832</v>
      </c>
      <c r="Q485" s="13">
        <v>159.97999999999999</v>
      </c>
      <c r="R485" s="11">
        <v>2</v>
      </c>
      <c r="S485" s="28">
        <v>0</v>
      </c>
      <c r="T485" s="13">
        <v>57.592799999999997</v>
      </c>
    </row>
    <row r="486" spans="1:20" x14ac:dyDescent="0.3">
      <c r="A486" s="11">
        <v>485</v>
      </c>
      <c r="B486" s="10">
        <v>41801</v>
      </c>
      <c r="C486" s="11">
        <v>2014</v>
      </c>
      <c r="D486" s="12" t="s">
        <v>33</v>
      </c>
      <c r="E486" s="10">
        <v>41804</v>
      </c>
      <c r="F486" s="11">
        <f t="shared" si="7"/>
        <v>3</v>
      </c>
      <c r="G486" s="11" t="s">
        <v>132</v>
      </c>
      <c r="H486" s="11" t="s">
        <v>833</v>
      </c>
      <c r="I486" s="11" t="s">
        <v>80</v>
      </c>
      <c r="J486" s="11" t="s">
        <v>1097</v>
      </c>
      <c r="K486" s="11" t="s">
        <v>36</v>
      </c>
      <c r="L486" s="11" t="s">
        <v>37</v>
      </c>
      <c r="M486" s="11" t="s">
        <v>38</v>
      </c>
      <c r="N486" s="11" t="s">
        <v>39</v>
      </c>
      <c r="O486" s="11" t="s">
        <v>40</v>
      </c>
      <c r="P486" s="11" t="s">
        <v>834</v>
      </c>
      <c r="Q486" s="13">
        <v>29.6</v>
      </c>
      <c r="R486" s="11">
        <v>2</v>
      </c>
      <c r="S486" s="28">
        <v>0</v>
      </c>
      <c r="T486" s="13">
        <v>14.8</v>
      </c>
    </row>
    <row r="487" spans="1:20" x14ac:dyDescent="0.3">
      <c r="A487" s="11">
        <v>486</v>
      </c>
      <c r="B487" s="10">
        <v>41801</v>
      </c>
      <c r="C487" s="11">
        <v>2014</v>
      </c>
      <c r="D487" s="12" t="s">
        <v>33</v>
      </c>
      <c r="E487" s="10">
        <v>41804</v>
      </c>
      <c r="F487" s="11">
        <f t="shared" si="7"/>
        <v>3</v>
      </c>
      <c r="G487" s="11" t="s">
        <v>132</v>
      </c>
      <c r="H487" s="11" t="s">
        <v>833</v>
      </c>
      <c r="I487" s="11" t="s">
        <v>80</v>
      </c>
      <c r="J487" s="11" t="s">
        <v>1097</v>
      </c>
      <c r="K487" s="11" t="s">
        <v>36</v>
      </c>
      <c r="L487" s="11" t="s">
        <v>37</v>
      </c>
      <c r="M487" s="11" t="s">
        <v>38</v>
      </c>
      <c r="N487" s="11" t="s">
        <v>28</v>
      </c>
      <c r="O487" s="11" t="s">
        <v>29</v>
      </c>
      <c r="P487" s="11" t="s">
        <v>835</v>
      </c>
      <c r="Q487" s="13">
        <v>514.16499999999996</v>
      </c>
      <c r="R487" s="11">
        <v>5</v>
      </c>
      <c r="S487" s="28">
        <v>0.15</v>
      </c>
      <c r="T487" s="13">
        <v>-30.245000000000001</v>
      </c>
    </row>
    <row r="488" spans="1:20" x14ac:dyDescent="0.3">
      <c r="A488" s="11">
        <v>487</v>
      </c>
      <c r="B488" s="10">
        <v>41801</v>
      </c>
      <c r="C488" s="11">
        <v>2014</v>
      </c>
      <c r="D488" s="12" t="s">
        <v>33</v>
      </c>
      <c r="E488" s="10">
        <v>41804</v>
      </c>
      <c r="F488" s="11">
        <f t="shared" si="7"/>
        <v>3</v>
      </c>
      <c r="G488" s="11" t="s">
        <v>132</v>
      </c>
      <c r="H488" s="11" t="s">
        <v>833</v>
      </c>
      <c r="I488" s="11" t="s">
        <v>80</v>
      </c>
      <c r="J488" s="11" t="s">
        <v>1097</v>
      </c>
      <c r="K488" s="11" t="s">
        <v>36</v>
      </c>
      <c r="L488" s="11" t="s">
        <v>37</v>
      </c>
      <c r="M488" s="11" t="s">
        <v>38</v>
      </c>
      <c r="N488" s="11" t="s">
        <v>58</v>
      </c>
      <c r="O488" s="11" t="s">
        <v>59</v>
      </c>
      <c r="P488" s="11" t="s">
        <v>836</v>
      </c>
      <c r="Q488" s="13">
        <v>279.95999999999998</v>
      </c>
      <c r="R488" s="11">
        <v>5</v>
      </c>
      <c r="S488" s="28">
        <v>0.2</v>
      </c>
      <c r="T488" s="13">
        <v>17.497499999999999</v>
      </c>
    </row>
    <row r="489" spans="1:20" x14ac:dyDescent="0.3">
      <c r="A489" s="11">
        <v>488</v>
      </c>
      <c r="B489" s="10">
        <v>40845</v>
      </c>
      <c r="C489" s="11">
        <v>2011</v>
      </c>
      <c r="D489" s="12" t="s">
        <v>43</v>
      </c>
      <c r="E489" s="10">
        <v>40847</v>
      </c>
      <c r="F489" s="11">
        <f t="shared" si="7"/>
        <v>2</v>
      </c>
      <c r="G489" s="11" t="s">
        <v>132</v>
      </c>
      <c r="H489" s="11" t="s">
        <v>837</v>
      </c>
      <c r="I489" s="11" t="s">
        <v>24</v>
      </c>
      <c r="J489" s="11" t="s">
        <v>1097</v>
      </c>
      <c r="K489" s="11" t="s">
        <v>193</v>
      </c>
      <c r="L489" s="11" t="s">
        <v>144</v>
      </c>
      <c r="M489" s="11" t="s">
        <v>83</v>
      </c>
      <c r="N489" s="11" t="s">
        <v>58</v>
      </c>
      <c r="O489" s="11" t="s">
        <v>59</v>
      </c>
      <c r="P489" s="11" t="s">
        <v>838</v>
      </c>
      <c r="Q489" s="13">
        <v>2735.9520000000002</v>
      </c>
      <c r="R489" s="11">
        <v>6</v>
      </c>
      <c r="S489" s="28">
        <v>0.2</v>
      </c>
      <c r="T489" s="13">
        <v>341.99400000000003</v>
      </c>
    </row>
    <row r="490" spans="1:20" x14ac:dyDescent="0.3">
      <c r="A490" s="11">
        <v>489</v>
      </c>
      <c r="B490" s="10">
        <v>40703</v>
      </c>
      <c r="C490" s="11">
        <v>2011</v>
      </c>
      <c r="D490" s="12" t="s">
        <v>33</v>
      </c>
      <c r="E490" s="10">
        <v>40707</v>
      </c>
      <c r="F490" s="11">
        <f t="shared" si="7"/>
        <v>4</v>
      </c>
      <c r="G490" s="11" t="s">
        <v>22</v>
      </c>
      <c r="H490" s="11" t="s">
        <v>839</v>
      </c>
      <c r="I490" s="11" t="s">
        <v>80</v>
      </c>
      <c r="J490" s="11" t="s">
        <v>1097</v>
      </c>
      <c r="K490" s="11" t="s">
        <v>840</v>
      </c>
      <c r="L490" s="11" t="s">
        <v>82</v>
      </c>
      <c r="M490" s="11" t="s">
        <v>83</v>
      </c>
      <c r="N490" s="11" t="s">
        <v>58</v>
      </c>
      <c r="O490" s="11" t="s">
        <v>59</v>
      </c>
      <c r="P490" s="11" t="s">
        <v>841</v>
      </c>
      <c r="Q490" s="13">
        <v>7.992</v>
      </c>
      <c r="R490" s="11">
        <v>1</v>
      </c>
      <c r="S490" s="28">
        <v>0.2</v>
      </c>
      <c r="T490" s="13">
        <v>0.59940000000000004</v>
      </c>
    </row>
    <row r="491" spans="1:20" x14ac:dyDescent="0.3">
      <c r="A491" s="11">
        <v>490</v>
      </c>
      <c r="B491" s="10">
        <v>40703</v>
      </c>
      <c r="C491" s="11">
        <v>2011</v>
      </c>
      <c r="D491" s="12" t="s">
        <v>33</v>
      </c>
      <c r="E491" s="10">
        <v>40707</v>
      </c>
      <c r="F491" s="11">
        <f t="shared" si="7"/>
        <v>4</v>
      </c>
      <c r="G491" s="11" t="s">
        <v>22</v>
      </c>
      <c r="H491" s="11" t="s">
        <v>839</v>
      </c>
      <c r="I491" s="11" t="s">
        <v>80</v>
      </c>
      <c r="J491" s="11" t="s">
        <v>1097</v>
      </c>
      <c r="K491" s="11" t="s">
        <v>840</v>
      </c>
      <c r="L491" s="11" t="s">
        <v>82</v>
      </c>
      <c r="M491" s="11" t="s">
        <v>83</v>
      </c>
      <c r="N491" s="11" t="s">
        <v>58</v>
      </c>
      <c r="O491" s="11" t="s">
        <v>118</v>
      </c>
      <c r="P491" s="11" t="s">
        <v>842</v>
      </c>
      <c r="Q491" s="13">
        <v>63.984000000000002</v>
      </c>
      <c r="R491" s="11">
        <v>2</v>
      </c>
      <c r="S491" s="28">
        <v>0.2</v>
      </c>
      <c r="T491" s="13">
        <v>10.397399999999999</v>
      </c>
    </row>
    <row r="492" spans="1:20" x14ac:dyDescent="0.3">
      <c r="A492" s="11">
        <v>491</v>
      </c>
      <c r="B492" s="10">
        <v>40703</v>
      </c>
      <c r="C492" s="11">
        <v>2011</v>
      </c>
      <c r="D492" s="12" t="s">
        <v>33</v>
      </c>
      <c r="E492" s="10">
        <v>40707</v>
      </c>
      <c r="F492" s="11">
        <f t="shared" si="7"/>
        <v>4</v>
      </c>
      <c r="G492" s="11" t="s">
        <v>22</v>
      </c>
      <c r="H492" s="11" t="s">
        <v>839</v>
      </c>
      <c r="I492" s="11" t="s">
        <v>80</v>
      </c>
      <c r="J492" s="11" t="s">
        <v>1097</v>
      </c>
      <c r="K492" s="11" t="s">
        <v>840</v>
      </c>
      <c r="L492" s="11" t="s">
        <v>82</v>
      </c>
      <c r="M492" s="11" t="s">
        <v>83</v>
      </c>
      <c r="N492" s="11" t="s">
        <v>39</v>
      </c>
      <c r="O492" s="11" t="s">
        <v>56</v>
      </c>
      <c r="P492" s="11" t="s">
        <v>790</v>
      </c>
      <c r="Q492" s="13">
        <v>70.367999999999995</v>
      </c>
      <c r="R492" s="11">
        <v>2</v>
      </c>
      <c r="S492" s="28">
        <v>0.2</v>
      </c>
      <c r="T492" s="13">
        <v>6.1571999999999996</v>
      </c>
    </row>
    <row r="493" spans="1:20" x14ac:dyDescent="0.3">
      <c r="A493" s="11">
        <v>492</v>
      </c>
      <c r="B493" s="10">
        <v>40800</v>
      </c>
      <c r="C493" s="11">
        <v>2011</v>
      </c>
      <c r="D493" s="12" t="s">
        <v>112</v>
      </c>
      <c r="E493" s="10">
        <v>40805</v>
      </c>
      <c r="F493" s="11">
        <f t="shared" si="7"/>
        <v>5</v>
      </c>
      <c r="G493" s="11" t="s">
        <v>44</v>
      </c>
      <c r="H493" s="11" t="s">
        <v>843</v>
      </c>
      <c r="I493" s="11" t="s">
        <v>24</v>
      </c>
      <c r="J493" s="11" t="s">
        <v>1097</v>
      </c>
      <c r="K493" s="11" t="s">
        <v>236</v>
      </c>
      <c r="L493" s="11" t="s">
        <v>175</v>
      </c>
      <c r="M493" s="11" t="s">
        <v>110</v>
      </c>
      <c r="N493" s="11" t="s">
        <v>39</v>
      </c>
      <c r="O493" s="11" t="s">
        <v>50</v>
      </c>
      <c r="P493" s="11" t="s">
        <v>844</v>
      </c>
      <c r="Q493" s="13">
        <v>449.15</v>
      </c>
      <c r="R493" s="11">
        <v>5</v>
      </c>
      <c r="S493" s="28">
        <v>0</v>
      </c>
      <c r="T493" s="13">
        <v>8.9830000000000005</v>
      </c>
    </row>
    <row r="494" spans="1:20" x14ac:dyDescent="0.3">
      <c r="A494" s="11">
        <v>493</v>
      </c>
      <c r="B494" s="10">
        <v>40800</v>
      </c>
      <c r="C494" s="11">
        <v>2011</v>
      </c>
      <c r="D494" s="12" t="s">
        <v>112</v>
      </c>
      <c r="E494" s="10">
        <v>40805</v>
      </c>
      <c r="F494" s="11">
        <f t="shared" si="7"/>
        <v>5</v>
      </c>
      <c r="G494" s="11" t="s">
        <v>44</v>
      </c>
      <c r="H494" s="11" t="s">
        <v>843</v>
      </c>
      <c r="I494" s="11" t="s">
        <v>24</v>
      </c>
      <c r="J494" s="11" t="s">
        <v>1097</v>
      </c>
      <c r="K494" s="11" t="s">
        <v>236</v>
      </c>
      <c r="L494" s="11" t="s">
        <v>175</v>
      </c>
      <c r="M494" s="11" t="s">
        <v>110</v>
      </c>
      <c r="N494" s="11" t="s">
        <v>39</v>
      </c>
      <c r="O494" s="11" t="s">
        <v>124</v>
      </c>
      <c r="P494" s="11" t="s">
        <v>845</v>
      </c>
      <c r="Q494" s="13">
        <v>11.07</v>
      </c>
      <c r="R494" s="11">
        <v>3</v>
      </c>
      <c r="S494" s="28">
        <v>0</v>
      </c>
      <c r="T494" s="13">
        <v>5.0922000000000001</v>
      </c>
    </row>
    <row r="495" spans="1:20" x14ac:dyDescent="0.3">
      <c r="A495" s="11">
        <v>494</v>
      </c>
      <c r="B495" s="10">
        <v>41404</v>
      </c>
      <c r="C495" s="11">
        <v>2013</v>
      </c>
      <c r="D495" s="12" t="s">
        <v>90</v>
      </c>
      <c r="E495" s="10">
        <v>41409</v>
      </c>
      <c r="F495" s="11">
        <f t="shared" si="7"/>
        <v>5</v>
      </c>
      <c r="G495" s="11" t="s">
        <v>44</v>
      </c>
      <c r="H495" s="11" t="s">
        <v>846</v>
      </c>
      <c r="I495" s="11" t="s">
        <v>24</v>
      </c>
      <c r="J495" s="11" t="s">
        <v>1097</v>
      </c>
      <c r="K495" s="11" t="s">
        <v>76</v>
      </c>
      <c r="L495" s="11" t="s">
        <v>77</v>
      </c>
      <c r="M495" s="11" t="s">
        <v>38</v>
      </c>
      <c r="N495" s="11" t="s">
        <v>58</v>
      </c>
      <c r="O495" s="11" t="s">
        <v>118</v>
      </c>
      <c r="P495" s="11" t="s">
        <v>847</v>
      </c>
      <c r="Q495" s="13">
        <v>93.98</v>
      </c>
      <c r="R495" s="11">
        <v>2</v>
      </c>
      <c r="S495" s="28">
        <v>0</v>
      </c>
      <c r="T495" s="13">
        <v>13.1572</v>
      </c>
    </row>
    <row r="496" spans="1:20" x14ac:dyDescent="0.3">
      <c r="A496" s="11">
        <v>495</v>
      </c>
      <c r="B496" s="10">
        <v>41352</v>
      </c>
      <c r="C496" s="11">
        <v>2013</v>
      </c>
      <c r="D496" s="12" t="s">
        <v>151</v>
      </c>
      <c r="E496" s="10">
        <v>41355</v>
      </c>
      <c r="F496" s="11">
        <f t="shared" si="7"/>
        <v>3</v>
      </c>
      <c r="G496" s="11" t="s">
        <v>22</v>
      </c>
      <c r="H496" s="11" t="s">
        <v>848</v>
      </c>
      <c r="I496" s="11" t="s">
        <v>24</v>
      </c>
      <c r="J496" s="11" t="s">
        <v>1097</v>
      </c>
      <c r="K496" s="11" t="s">
        <v>209</v>
      </c>
      <c r="L496" s="11" t="s">
        <v>210</v>
      </c>
      <c r="M496" s="11" t="s">
        <v>27</v>
      </c>
      <c r="N496" s="11" t="s">
        <v>28</v>
      </c>
      <c r="O496" s="11" t="s">
        <v>48</v>
      </c>
      <c r="P496" s="11" t="s">
        <v>849</v>
      </c>
      <c r="Q496" s="13">
        <v>189.88200000000001</v>
      </c>
      <c r="R496" s="11">
        <v>3</v>
      </c>
      <c r="S496" s="28">
        <v>0.4</v>
      </c>
      <c r="T496" s="13">
        <v>-94.941000000000003</v>
      </c>
    </row>
    <row r="497" spans="1:20" x14ac:dyDescent="0.3">
      <c r="A497" s="11">
        <v>496</v>
      </c>
      <c r="B497" s="10">
        <v>41270</v>
      </c>
      <c r="C497" s="11">
        <v>2012</v>
      </c>
      <c r="D497" s="12" t="s">
        <v>74</v>
      </c>
      <c r="E497" s="10">
        <v>41274</v>
      </c>
      <c r="F497" s="11">
        <f t="shared" si="7"/>
        <v>4</v>
      </c>
      <c r="G497" s="11" t="s">
        <v>44</v>
      </c>
      <c r="H497" s="11" t="s">
        <v>850</v>
      </c>
      <c r="I497" s="11" t="s">
        <v>24</v>
      </c>
      <c r="J497" s="11" t="s">
        <v>1097</v>
      </c>
      <c r="K497" s="11" t="s">
        <v>851</v>
      </c>
      <c r="L497" s="11" t="s">
        <v>852</v>
      </c>
      <c r="M497" s="11" t="s">
        <v>27</v>
      </c>
      <c r="N497" s="11" t="s">
        <v>39</v>
      </c>
      <c r="O497" s="11" t="s">
        <v>124</v>
      </c>
      <c r="P497" s="11" t="s">
        <v>853</v>
      </c>
      <c r="Q497" s="13">
        <v>105.42</v>
      </c>
      <c r="R497" s="11">
        <v>2</v>
      </c>
      <c r="S497" s="28">
        <v>0</v>
      </c>
      <c r="T497" s="13">
        <v>51.655799999999999</v>
      </c>
    </row>
    <row r="498" spans="1:20" x14ac:dyDescent="0.3">
      <c r="A498" s="11">
        <v>497</v>
      </c>
      <c r="B498" s="10">
        <v>41481</v>
      </c>
      <c r="C498" s="11">
        <v>2013</v>
      </c>
      <c r="D498" s="12" t="s">
        <v>106</v>
      </c>
      <c r="E498" s="10">
        <v>41487</v>
      </c>
      <c r="F498" s="11">
        <f t="shared" si="7"/>
        <v>6</v>
      </c>
      <c r="G498" s="11" t="s">
        <v>44</v>
      </c>
      <c r="H498" s="11" t="s">
        <v>798</v>
      </c>
      <c r="I498" s="11" t="s">
        <v>24</v>
      </c>
      <c r="J498" s="11" t="s">
        <v>1097</v>
      </c>
      <c r="K498" s="11" t="s">
        <v>854</v>
      </c>
      <c r="L498" s="11" t="s">
        <v>37</v>
      </c>
      <c r="M498" s="11" t="s">
        <v>38</v>
      </c>
      <c r="N498" s="11" t="s">
        <v>39</v>
      </c>
      <c r="O498" s="11" t="s">
        <v>61</v>
      </c>
      <c r="P498" s="11" t="s">
        <v>855</v>
      </c>
      <c r="Q498" s="13">
        <v>119.616</v>
      </c>
      <c r="R498" s="11">
        <v>8</v>
      </c>
      <c r="S498" s="28">
        <v>0.2</v>
      </c>
      <c r="T498" s="13">
        <v>40.370399999999997</v>
      </c>
    </row>
    <row r="499" spans="1:20" x14ac:dyDescent="0.3">
      <c r="A499" s="11">
        <v>498</v>
      </c>
      <c r="B499" s="10">
        <v>41481</v>
      </c>
      <c r="C499" s="11">
        <v>2013</v>
      </c>
      <c r="D499" s="12" t="s">
        <v>106</v>
      </c>
      <c r="E499" s="10">
        <v>41487</v>
      </c>
      <c r="F499" s="11">
        <f t="shared" si="7"/>
        <v>6</v>
      </c>
      <c r="G499" s="11" t="s">
        <v>44</v>
      </c>
      <c r="H499" s="11" t="s">
        <v>798</v>
      </c>
      <c r="I499" s="11" t="s">
        <v>24</v>
      </c>
      <c r="J499" s="11" t="s">
        <v>1097</v>
      </c>
      <c r="K499" s="11" t="s">
        <v>854</v>
      </c>
      <c r="L499" s="11" t="s">
        <v>37</v>
      </c>
      <c r="M499" s="11" t="s">
        <v>38</v>
      </c>
      <c r="N499" s="11" t="s">
        <v>28</v>
      </c>
      <c r="O499" s="11" t="s">
        <v>54</v>
      </c>
      <c r="P499" s="11" t="s">
        <v>856</v>
      </c>
      <c r="Q499" s="13">
        <v>255.76</v>
      </c>
      <c r="R499" s="11">
        <v>4</v>
      </c>
      <c r="S499" s="28">
        <v>0</v>
      </c>
      <c r="T499" s="13">
        <v>81.843199999999996</v>
      </c>
    </row>
    <row r="500" spans="1:20" x14ac:dyDescent="0.3">
      <c r="A500" s="11">
        <v>499</v>
      </c>
      <c r="B500" s="10">
        <v>41481</v>
      </c>
      <c r="C500" s="11">
        <v>2013</v>
      </c>
      <c r="D500" s="12" t="s">
        <v>106</v>
      </c>
      <c r="E500" s="10">
        <v>41487</v>
      </c>
      <c r="F500" s="11">
        <f t="shared" si="7"/>
        <v>6</v>
      </c>
      <c r="G500" s="11" t="s">
        <v>44</v>
      </c>
      <c r="H500" s="11" t="s">
        <v>798</v>
      </c>
      <c r="I500" s="11" t="s">
        <v>24</v>
      </c>
      <c r="J500" s="11" t="s">
        <v>1097</v>
      </c>
      <c r="K500" s="11" t="s">
        <v>854</v>
      </c>
      <c r="L500" s="11" t="s">
        <v>37</v>
      </c>
      <c r="M500" s="11" t="s">
        <v>38</v>
      </c>
      <c r="N500" s="11" t="s">
        <v>28</v>
      </c>
      <c r="O500" s="11" t="s">
        <v>31</v>
      </c>
      <c r="P500" s="11" t="s">
        <v>604</v>
      </c>
      <c r="Q500" s="13">
        <v>241.56800000000001</v>
      </c>
      <c r="R500" s="11">
        <v>2</v>
      </c>
      <c r="S500" s="28">
        <v>0.2</v>
      </c>
      <c r="T500" s="13">
        <v>18.117599999999999</v>
      </c>
    </row>
    <row r="501" spans="1:20" x14ac:dyDescent="0.3">
      <c r="A501" s="11">
        <v>500</v>
      </c>
      <c r="B501" s="10">
        <v>41481</v>
      </c>
      <c r="C501" s="11">
        <v>2013</v>
      </c>
      <c r="D501" s="12" t="s">
        <v>106</v>
      </c>
      <c r="E501" s="10">
        <v>41487</v>
      </c>
      <c r="F501" s="11">
        <f t="shared" si="7"/>
        <v>6</v>
      </c>
      <c r="G501" s="11" t="s">
        <v>44</v>
      </c>
      <c r="H501" s="11" t="s">
        <v>798</v>
      </c>
      <c r="I501" s="11" t="s">
        <v>24</v>
      </c>
      <c r="J501" s="11" t="s">
        <v>1097</v>
      </c>
      <c r="K501" s="11" t="s">
        <v>854</v>
      </c>
      <c r="L501" s="11" t="s">
        <v>37</v>
      </c>
      <c r="M501" s="11" t="s">
        <v>38</v>
      </c>
      <c r="N501" s="11" t="s">
        <v>28</v>
      </c>
      <c r="O501" s="11" t="s">
        <v>54</v>
      </c>
      <c r="P501" s="11" t="s">
        <v>857</v>
      </c>
      <c r="Q501" s="13">
        <v>69.3</v>
      </c>
      <c r="R501" s="11">
        <v>9</v>
      </c>
      <c r="S501" s="28">
        <v>0</v>
      </c>
      <c r="T501" s="13">
        <v>22.869</v>
      </c>
    </row>
    <row r="502" spans="1:20" x14ac:dyDescent="0.3">
      <c r="A502" s="11">
        <v>501</v>
      </c>
      <c r="B502" s="10">
        <v>41425</v>
      </c>
      <c r="C502" s="11">
        <v>2013</v>
      </c>
      <c r="D502" s="12" t="s">
        <v>90</v>
      </c>
      <c r="E502" s="10">
        <v>41430</v>
      </c>
      <c r="F502" s="11">
        <f t="shared" si="7"/>
        <v>5</v>
      </c>
      <c r="G502" s="11" t="s">
        <v>44</v>
      </c>
      <c r="H502" s="11" t="s">
        <v>858</v>
      </c>
      <c r="I502" s="11" t="s">
        <v>35</v>
      </c>
      <c r="J502" s="11" t="s">
        <v>1097</v>
      </c>
      <c r="K502" s="11" t="s">
        <v>859</v>
      </c>
      <c r="L502" s="11" t="s">
        <v>268</v>
      </c>
      <c r="M502" s="11" t="s">
        <v>38</v>
      </c>
      <c r="N502" s="11" t="s">
        <v>39</v>
      </c>
      <c r="O502" s="11" t="s">
        <v>61</v>
      </c>
      <c r="P502" s="11" t="s">
        <v>860</v>
      </c>
      <c r="Q502" s="13">
        <v>22.62</v>
      </c>
      <c r="R502" s="11">
        <v>2</v>
      </c>
      <c r="S502" s="28">
        <v>0.7</v>
      </c>
      <c r="T502" s="13">
        <v>-15.08</v>
      </c>
    </row>
    <row r="503" spans="1:20" x14ac:dyDescent="0.3">
      <c r="A503" s="11">
        <v>502</v>
      </c>
      <c r="B503" s="10">
        <v>41425</v>
      </c>
      <c r="C503" s="11">
        <v>2013</v>
      </c>
      <c r="D503" s="12" t="s">
        <v>90</v>
      </c>
      <c r="E503" s="10">
        <v>41430</v>
      </c>
      <c r="F503" s="11">
        <f t="shared" si="7"/>
        <v>5</v>
      </c>
      <c r="G503" s="11" t="s">
        <v>44</v>
      </c>
      <c r="H503" s="11" t="s">
        <v>858</v>
      </c>
      <c r="I503" s="11" t="s">
        <v>35</v>
      </c>
      <c r="J503" s="11" t="s">
        <v>1097</v>
      </c>
      <c r="K503" s="11" t="s">
        <v>859</v>
      </c>
      <c r="L503" s="11" t="s">
        <v>268</v>
      </c>
      <c r="M503" s="11" t="s">
        <v>38</v>
      </c>
      <c r="N503" s="11" t="s">
        <v>39</v>
      </c>
      <c r="O503" s="11" t="s">
        <v>61</v>
      </c>
      <c r="P503" s="11" t="s">
        <v>861</v>
      </c>
      <c r="Q503" s="13">
        <v>14.952</v>
      </c>
      <c r="R503" s="11">
        <v>2</v>
      </c>
      <c r="S503" s="28">
        <v>0.7</v>
      </c>
      <c r="T503" s="13">
        <v>-11.961600000000001</v>
      </c>
    </row>
    <row r="504" spans="1:20" x14ac:dyDescent="0.3">
      <c r="A504" s="11">
        <v>503</v>
      </c>
      <c r="B504" s="10">
        <v>41425</v>
      </c>
      <c r="C504" s="11">
        <v>2013</v>
      </c>
      <c r="D504" s="12" t="s">
        <v>90</v>
      </c>
      <c r="E504" s="10">
        <v>41430</v>
      </c>
      <c r="F504" s="11">
        <f t="shared" si="7"/>
        <v>5</v>
      </c>
      <c r="G504" s="11" t="s">
        <v>44</v>
      </c>
      <c r="H504" s="11" t="s">
        <v>858</v>
      </c>
      <c r="I504" s="11" t="s">
        <v>35</v>
      </c>
      <c r="J504" s="11" t="s">
        <v>1097</v>
      </c>
      <c r="K504" s="11" t="s">
        <v>859</v>
      </c>
      <c r="L504" s="11" t="s">
        <v>268</v>
      </c>
      <c r="M504" s="11" t="s">
        <v>38</v>
      </c>
      <c r="N504" s="11" t="s">
        <v>28</v>
      </c>
      <c r="O504" s="11" t="s">
        <v>31</v>
      </c>
      <c r="P504" s="11" t="s">
        <v>862</v>
      </c>
      <c r="Q504" s="13">
        <v>801.56799999999998</v>
      </c>
      <c r="R504" s="11">
        <v>2</v>
      </c>
      <c r="S504" s="28">
        <v>0.2</v>
      </c>
      <c r="T504" s="13">
        <v>50.097999999999999</v>
      </c>
    </row>
    <row r="505" spans="1:20" x14ac:dyDescent="0.3">
      <c r="A505" s="11">
        <v>504</v>
      </c>
      <c r="B505" s="10">
        <v>41425</v>
      </c>
      <c r="C505" s="11">
        <v>2013</v>
      </c>
      <c r="D505" s="12" t="s">
        <v>90</v>
      </c>
      <c r="E505" s="10">
        <v>41430</v>
      </c>
      <c r="F505" s="11">
        <f t="shared" si="7"/>
        <v>5</v>
      </c>
      <c r="G505" s="11" t="s">
        <v>44</v>
      </c>
      <c r="H505" s="11" t="s">
        <v>858</v>
      </c>
      <c r="I505" s="11" t="s">
        <v>35</v>
      </c>
      <c r="J505" s="11" t="s">
        <v>1097</v>
      </c>
      <c r="K505" s="11" t="s">
        <v>859</v>
      </c>
      <c r="L505" s="11" t="s">
        <v>268</v>
      </c>
      <c r="M505" s="11" t="s">
        <v>38</v>
      </c>
      <c r="N505" s="11" t="s">
        <v>39</v>
      </c>
      <c r="O505" s="11" t="s">
        <v>61</v>
      </c>
      <c r="P505" s="11" t="s">
        <v>863</v>
      </c>
      <c r="Q505" s="13">
        <v>2.3759999999999999</v>
      </c>
      <c r="R505" s="11">
        <v>3</v>
      </c>
      <c r="S505" s="28">
        <v>0.7</v>
      </c>
      <c r="T505" s="13">
        <v>-1.9008</v>
      </c>
    </row>
    <row r="506" spans="1:20" x14ac:dyDescent="0.3">
      <c r="A506" s="11">
        <v>505</v>
      </c>
      <c r="B506" s="10">
        <v>41425</v>
      </c>
      <c r="C506" s="11">
        <v>2013</v>
      </c>
      <c r="D506" s="12" t="s">
        <v>90</v>
      </c>
      <c r="E506" s="10">
        <v>41430</v>
      </c>
      <c r="F506" s="11">
        <f t="shared" si="7"/>
        <v>5</v>
      </c>
      <c r="G506" s="11" t="s">
        <v>44</v>
      </c>
      <c r="H506" s="11" t="s">
        <v>858</v>
      </c>
      <c r="I506" s="11" t="s">
        <v>35</v>
      </c>
      <c r="J506" s="11" t="s">
        <v>1097</v>
      </c>
      <c r="K506" s="11" t="s">
        <v>859</v>
      </c>
      <c r="L506" s="11" t="s">
        <v>268</v>
      </c>
      <c r="M506" s="11" t="s">
        <v>38</v>
      </c>
      <c r="N506" s="11" t="s">
        <v>39</v>
      </c>
      <c r="O506" s="11" t="s">
        <v>72</v>
      </c>
      <c r="P506" s="11" t="s">
        <v>864</v>
      </c>
      <c r="Q506" s="13">
        <v>32.792000000000002</v>
      </c>
      <c r="R506" s="11">
        <v>1</v>
      </c>
      <c r="S506" s="28">
        <v>0.2</v>
      </c>
      <c r="T506" s="13">
        <v>11.8871</v>
      </c>
    </row>
    <row r="507" spans="1:20" x14ac:dyDescent="0.3">
      <c r="A507" s="11">
        <v>506</v>
      </c>
      <c r="B507" s="10">
        <v>41956</v>
      </c>
      <c r="C507" s="11">
        <v>2014</v>
      </c>
      <c r="D507" s="12" t="s">
        <v>21</v>
      </c>
      <c r="E507" s="10">
        <v>41959</v>
      </c>
      <c r="F507" s="11">
        <f t="shared" si="7"/>
        <v>3</v>
      </c>
      <c r="G507" s="11" t="s">
        <v>22</v>
      </c>
      <c r="H507" s="11" t="s">
        <v>794</v>
      </c>
      <c r="I507" s="11" t="s">
        <v>35</v>
      </c>
      <c r="J507" s="11" t="s">
        <v>1097</v>
      </c>
      <c r="K507" s="11" t="s">
        <v>174</v>
      </c>
      <c r="L507" s="11" t="s">
        <v>175</v>
      </c>
      <c r="M507" s="11" t="s">
        <v>110</v>
      </c>
      <c r="N507" s="11" t="s">
        <v>39</v>
      </c>
      <c r="O507" s="11" t="s">
        <v>61</v>
      </c>
      <c r="P507" s="11" t="s">
        <v>312</v>
      </c>
      <c r="Q507" s="13">
        <v>15.92</v>
      </c>
      <c r="R507" s="11">
        <v>5</v>
      </c>
      <c r="S507" s="28">
        <v>0.2</v>
      </c>
      <c r="T507" s="13">
        <v>5.3730000000000002</v>
      </c>
    </row>
    <row r="508" spans="1:20" x14ac:dyDescent="0.3">
      <c r="A508" s="11">
        <v>507</v>
      </c>
      <c r="B508" s="10">
        <v>40984</v>
      </c>
      <c r="C508" s="11">
        <v>2012</v>
      </c>
      <c r="D508" s="12" t="s">
        <v>151</v>
      </c>
      <c r="E508" s="10">
        <v>40990</v>
      </c>
      <c r="F508" s="11">
        <f t="shared" si="7"/>
        <v>6</v>
      </c>
      <c r="G508" s="11" t="s">
        <v>44</v>
      </c>
      <c r="H508" s="11" t="s">
        <v>865</v>
      </c>
      <c r="I508" s="11" t="s">
        <v>24</v>
      </c>
      <c r="J508" s="11" t="s">
        <v>1097</v>
      </c>
      <c r="K508" s="11" t="s">
        <v>866</v>
      </c>
      <c r="L508" s="11" t="s">
        <v>654</v>
      </c>
      <c r="M508" s="11" t="s">
        <v>27</v>
      </c>
      <c r="N508" s="11" t="s">
        <v>39</v>
      </c>
      <c r="O508" s="11" t="s">
        <v>56</v>
      </c>
      <c r="P508" s="11" t="s">
        <v>867</v>
      </c>
      <c r="Q508" s="13">
        <v>2.74</v>
      </c>
      <c r="R508" s="11">
        <v>1</v>
      </c>
      <c r="S508" s="28">
        <v>0</v>
      </c>
      <c r="T508" s="13">
        <v>0.73980000000000001</v>
      </c>
    </row>
    <row r="509" spans="1:20" x14ac:dyDescent="0.3">
      <c r="A509" s="11">
        <v>508</v>
      </c>
      <c r="B509" s="10">
        <v>40984</v>
      </c>
      <c r="C509" s="11">
        <v>2012</v>
      </c>
      <c r="D509" s="12" t="s">
        <v>151</v>
      </c>
      <c r="E509" s="10">
        <v>40990</v>
      </c>
      <c r="F509" s="11">
        <f t="shared" si="7"/>
        <v>6</v>
      </c>
      <c r="G509" s="11" t="s">
        <v>44</v>
      </c>
      <c r="H509" s="11" t="s">
        <v>865</v>
      </c>
      <c r="I509" s="11" t="s">
        <v>24</v>
      </c>
      <c r="J509" s="11" t="s">
        <v>1097</v>
      </c>
      <c r="K509" s="11" t="s">
        <v>866</v>
      </c>
      <c r="L509" s="11" t="s">
        <v>654</v>
      </c>
      <c r="M509" s="11" t="s">
        <v>27</v>
      </c>
      <c r="N509" s="11" t="s">
        <v>39</v>
      </c>
      <c r="O509" s="11" t="s">
        <v>56</v>
      </c>
      <c r="P509" s="11" t="s">
        <v>868</v>
      </c>
      <c r="Q509" s="13">
        <v>8.34</v>
      </c>
      <c r="R509" s="11">
        <v>3</v>
      </c>
      <c r="S509" s="28">
        <v>0</v>
      </c>
      <c r="T509" s="13">
        <v>2.1684000000000001</v>
      </c>
    </row>
    <row r="510" spans="1:20" x14ac:dyDescent="0.3">
      <c r="A510" s="11">
        <v>509</v>
      </c>
      <c r="B510" s="10">
        <v>40984</v>
      </c>
      <c r="C510" s="11">
        <v>2012</v>
      </c>
      <c r="D510" s="12" t="s">
        <v>151</v>
      </c>
      <c r="E510" s="10">
        <v>40990</v>
      </c>
      <c r="F510" s="11">
        <f t="shared" si="7"/>
        <v>6</v>
      </c>
      <c r="G510" s="11" t="s">
        <v>44</v>
      </c>
      <c r="H510" s="11" t="s">
        <v>865</v>
      </c>
      <c r="I510" s="11" t="s">
        <v>24</v>
      </c>
      <c r="J510" s="11" t="s">
        <v>1097</v>
      </c>
      <c r="K510" s="11" t="s">
        <v>866</v>
      </c>
      <c r="L510" s="11" t="s">
        <v>654</v>
      </c>
      <c r="M510" s="11" t="s">
        <v>27</v>
      </c>
      <c r="N510" s="11" t="s">
        <v>39</v>
      </c>
      <c r="O510" s="11" t="s">
        <v>50</v>
      </c>
      <c r="P510" s="11" t="s">
        <v>869</v>
      </c>
      <c r="Q510" s="13">
        <v>46.74</v>
      </c>
      <c r="R510" s="11">
        <v>3</v>
      </c>
      <c r="S510" s="28">
        <v>0</v>
      </c>
      <c r="T510" s="13">
        <v>11.685</v>
      </c>
    </row>
    <row r="511" spans="1:20" x14ac:dyDescent="0.3">
      <c r="A511" s="11">
        <v>510</v>
      </c>
      <c r="B511" s="10">
        <v>40984</v>
      </c>
      <c r="C511" s="11">
        <v>2012</v>
      </c>
      <c r="D511" s="12" t="s">
        <v>151</v>
      </c>
      <c r="E511" s="10">
        <v>40990</v>
      </c>
      <c r="F511" s="11">
        <f t="shared" si="7"/>
        <v>6</v>
      </c>
      <c r="G511" s="11" t="s">
        <v>44</v>
      </c>
      <c r="H511" s="11" t="s">
        <v>865</v>
      </c>
      <c r="I511" s="11" t="s">
        <v>24</v>
      </c>
      <c r="J511" s="11" t="s">
        <v>1097</v>
      </c>
      <c r="K511" s="11" t="s">
        <v>866</v>
      </c>
      <c r="L511" s="11" t="s">
        <v>654</v>
      </c>
      <c r="M511" s="11" t="s">
        <v>27</v>
      </c>
      <c r="N511" s="11" t="s">
        <v>39</v>
      </c>
      <c r="O511" s="11" t="s">
        <v>61</v>
      </c>
      <c r="P511" s="11" t="s">
        <v>870</v>
      </c>
      <c r="Q511" s="13">
        <v>6354.95</v>
      </c>
      <c r="R511" s="11">
        <v>5</v>
      </c>
      <c r="S511" s="28">
        <v>0</v>
      </c>
      <c r="T511" s="13">
        <v>3177.4749999999999</v>
      </c>
    </row>
    <row r="512" spans="1:20" x14ac:dyDescent="0.3">
      <c r="A512" s="11">
        <v>511</v>
      </c>
      <c r="B512" s="10">
        <v>41970</v>
      </c>
      <c r="C512" s="11">
        <v>2014</v>
      </c>
      <c r="D512" s="12" t="s">
        <v>21</v>
      </c>
      <c r="E512" s="10">
        <v>41971</v>
      </c>
      <c r="F512" s="11">
        <f t="shared" si="7"/>
        <v>1</v>
      </c>
      <c r="G512" s="11" t="s">
        <v>132</v>
      </c>
      <c r="H512" s="11" t="s">
        <v>871</v>
      </c>
      <c r="I512" s="11" t="s">
        <v>24</v>
      </c>
      <c r="J512" s="11" t="s">
        <v>1097</v>
      </c>
      <c r="K512" s="11" t="s">
        <v>872</v>
      </c>
      <c r="L512" s="11" t="s">
        <v>337</v>
      </c>
      <c r="M512" s="11" t="s">
        <v>83</v>
      </c>
      <c r="N512" s="11" t="s">
        <v>28</v>
      </c>
      <c r="O512" s="11" t="s">
        <v>54</v>
      </c>
      <c r="P512" s="11" t="s">
        <v>873</v>
      </c>
      <c r="Q512" s="13">
        <v>126.3</v>
      </c>
      <c r="R512" s="11">
        <v>3</v>
      </c>
      <c r="S512" s="28">
        <v>0</v>
      </c>
      <c r="T512" s="13">
        <v>40.415999999999997</v>
      </c>
    </row>
    <row r="513" spans="1:20" x14ac:dyDescent="0.3">
      <c r="A513" s="11">
        <v>512</v>
      </c>
      <c r="B513" s="10">
        <v>41970</v>
      </c>
      <c r="C513" s="11">
        <v>2014</v>
      </c>
      <c r="D513" s="12" t="s">
        <v>21</v>
      </c>
      <c r="E513" s="10">
        <v>41971</v>
      </c>
      <c r="F513" s="11">
        <f t="shared" si="7"/>
        <v>1</v>
      </c>
      <c r="G513" s="11" t="s">
        <v>132</v>
      </c>
      <c r="H513" s="11" t="s">
        <v>871</v>
      </c>
      <c r="I513" s="11" t="s">
        <v>24</v>
      </c>
      <c r="J513" s="11" t="s">
        <v>1097</v>
      </c>
      <c r="K513" s="11" t="s">
        <v>872</v>
      </c>
      <c r="L513" s="11" t="s">
        <v>337</v>
      </c>
      <c r="M513" s="11" t="s">
        <v>83</v>
      </c>
      <c r="N513" s="11" t="s">
        <v>58</v>
      </c>
      <c r="O513" s="11" t="s">
        <v>118</v>
      </c>
      <c r="P513" s="11" t="s">
        <v>874</v>
      </c>
      <c r="Q513" s="13">
        <v>38.04</v>
      </c>
      <c r="R513" s="11">
        <v>2</v>
      </c>
      <c r="S513" s="28">
        <v>0</v>
      </c>
      <c r="T513" s="13">
        <v>12.172800000000001</v>
      </c>
    </row>
    <row r="514" spans="1:20" x14ac:dyDescent="0.3">
      <c r="A514" s="11">
        <v>513</v>
      </c>
      <c r="B514" s="10">
        <v>41568</v>
      </c>
      <c r="C514" s="11">
        <v>2013</v>
      </c>
      <c r="D514" s="12" t="s">
        <v>43</v>
      </c>
      <c r="E514" s="10">
        <v>41571</v>
      </c>
      <c r="F514" s="11">
        <f t="shared" ref="F514:F577" si="8">_xlfn.DAYS(E514,B514)</f>
        <v>3</v>
      </c>
      <c r="G514" s="11" t="s">
        <v>132</v>
      </c>
      <c r="H514" s="11" t="s">
        <v>722</v>
      </c>
      <c r="I514" s="11" t="s">
        <v>24</v>
      </c>
      <c r="J514" s="11" t="s">
        <v>1097</v>
      </c>
      <c r="K514" s="11" t="s">
        <v>342</v>
      </c>
      <c r="L514" s="11" t="s">
        <v>289</v>
      </c>
      <c r="M514" s="11" t="s">
        <v>110</v>
      </c>
      <c r="N514" s="11" t="s">
        <v>39</v>
      </c>
      <c r="O514" s="11" t="s">
        <v>56</v>
      </c>
      <c r="P514" s="11" t="s">
        <v>225</v>
      </c>
      <c r="Q514" s="13">
        <v>7.1520000000000001</v>
      </c>
      <c r="R514" s="11">
        <v>3</v>
      </c>
      <c r="S514" s="28">
        <v>0.2</v>
      </c>
      <c r="T514" s="13">
        <v>0.71519999999999995</v>
      </c>
    </row>
    <row r="515" spans="1:20" x14ac:dyDescent="0.3">
      <c r="A515" s="11">
        <v>514</v>
      </c>
      <c r="B515" s="10">
        <v>41995</v>
      </c>
      <c r="C515" s="11">
        <v>2014</v>
      </c>
      <c r="D515" s="12" t="s">
        <v>74</v>
      </c>
      <c r="E515" s="10">
        <v>41999</v>
      </c>
      <c r="F515" s="11">
        <f t="shared" si="8"/>
        <v>4</v>
      </c>
      <c r="G515" s="11" t="s">
        <v>44</v>
      </c>
      <c r="H515" s="11" t="s">
        <v>875</v>
      </c>
      <c r="I515" s="11" t="s">
        <v>24</v>
      </c>
      <c r="J515" s="11" t="s">
        <v>1097</v>
      </c>
      <c r="K515" s="11" t="s">
        <v>36</v>
      </c>
      <c r="L515" s="11" t="s">
        <v>37</v>
      </c>
      <c r="M515" s="11" t="s">
        <v>38</v>
      </c>
      <c r="N515" s="11" t="s">
        <v>39</v>
      </c>
      <c r="O515" s="11" t="s">
        <v>56</v>
      </c>
      <c r="P515" s="11" t="s">
        <v>876</v>
      </c>
      <c r="Q515" s="13">
        <v>6.63</v>
      </c>
      <c r="R515" s="11">
        <v>3</v>
      </c>
      <c r="S515" s="28">
        <v>0</v>
      </c>
      <c r="T515" s="13">
        <v>1.7901</v>
      </c>
    </row>
    <row r="516" spans="1:20" x14ac:dyDescent="0.3">
      <c r="A516" s="11">
        <v>515</v>
      </c>
      <c r="B516" s="10">
        <v>41995</v>
      </c>
      <c r="C516" s="11">
        <v>2014</v>
      </c>
      <c r="D516" s="12" t="s">
        <v>74</v>
      </c>
      <c r="E516" s="10">
        <v>41999</v>
      </c>
      <c r="F516" s="11">
        <f t="shared" si="8"/>
        <v>4</v>
      </c>
      <c r="G516" s="11" t="s">
        <v>44</v>
      </c>
      <c r="H516" s="11" t="s">
        <v>875</v>
      </c>
      <c r="I516" s="11" t="s">
        <v>24</v>
      </c>
      <c r="J516" s="11" t="s">
        <v>1097</v>
      </c>
      <c r="K516" s="11" t="s">
        <v>36</v>
      </c>
      <c r="L516" s="11" t="s">
        <v>37</v>
      </c>
      <c r="M516" s="11" t="s">
        <v>38</v>
      </c>
      <c r="N516" s="11" t="s">
        <v>39</v>
      </c>
      <c r="O516" s="11" t="s">
        <v>56</v>
      </c>
      <c r="P516" s="11" t="s">
        <v>877</v>
      </c>
      <c r="Q516" s="13">
        <v>5.88</v>
      </c>
      <c r="R516" s="11">
        <v>2</v>
      </c>
      <c r="S516" s="28">
        <v>0</v>
      </c>
      <c r="T516" s="13">
        <v>1.7052</v>
      </c>
    </row>
    <row r="517" spans="1:20" x14ac:dyDescent="0.3">
      <c r="A517" s="11">
        <v>516</v>
      </c>
      <c r="B517" s="10">
        <v>41662</v>
      </c>
      <c r="C517" s="11">
        <v>2014</v>
      </c>
      <c r="D517" s="12" t="s">
        <v>115</v>
      </c>
      <c r="E517" s="10">
        <v>41667</v>
      </c>
      <c r="F517" s="11">
        <f t="shared" si="8"/>
        <v>5</v>
      </c>
      <c r="G517" s="11" t="s">
        <v>44</v>
      </c>
      <c r="H517" s="11" t="s">
        <v>305</v>
      </c>
      <c r="I517" s="11" t="s">
        <v>80</v>
      </c>
      <c r="J517" s="11" t="s">
        <v>1097</v>
      </c>
      <c r="K517" s="11" t="s">
        <v>878</v>
      </c>
      <c r="L517" s="11" t="s">
        <v>879</v>
      </c>
      <c r="M517" s="11" t="s">
        <v>38</v>
      </c>
      <c r="N517" s="11" t="s">
        <v>58</v>
      </c>
      <c r="O517" s="11" t="s">
        <v>628</v>
      </c>
      <c r="P517" s="11" t="s">
        <v>880</v>
      </c>
      <c r="Q517" s="13">
        <v>2999.95</v>
      </c>
      <c r="R517" s="11">
        <v>5</v>
      </c>
      <c r="S517" s="28">
        <v>0</v>
      </c>
      <c r="T517" s="13">
        <v>1379.9770000000001</v>
      </c>
    </row>
    <row r="518" spans="1:20" x14ac:dyDescent="0.3">
      <c r="A518" s="11">
        <v>517</v>
      </c>
      <c r="B518" s="10">
        <v>41662</v>
      </c>
      <c r="C518" s="11">
        <v>2014</v>
      </c>
      <c r="D518" s="12" t="s">
        <v>115</v>
      </c>
      <c r="E518" s="10">
        <v>41667</v>
      </c>
      <c r="F518" s="11">
        <f t="shared" si="8"/>
        <v>5</v>
      </c>
      <c r="G518" s="11" t="s">
        <v>44</v>
      </c>
      <c r="H518" s="11" t="s">
        <v>305</v>
      </c>
      <c r="I518" s="11" t="s">
        <v>80</v>
      </c>
      <c r="J518" s="11" t="s">
        <v>1097</v>
      </c>
      <c r="K518" s="11" t="s">
        <v>878</v>
      </c>
      <c r="L518" s="11" t="s">
        <v>879</v>
      </c>
      <c r="M518" s="11" t="s">
        <v>38</v>
      </c>
      <c r="N518" s="11" t="s">
        <v>39</v>
      </c>
      <c r="O518" s="11" t="s">
        <v>50</v>
      </c>
      <c r="P518" s="11" t="s">
        <v>881</v>
      </c>
      <c r="Q518" s="13">
        <v>51.45</v>
      </c>
      <c r="R518" s="11">
        <v>3</v>
      </c>
      <c r="S518" s="28">
        <v>0</v>
      </c>
      <c r="T518" s="13">
        <v>13.891500000000001</v>
      </c>
    </row>
    <row r="519" spans="1:20" x14ac:dyDescent="0.3">
      <c r="A519" s="11">
        <v>518</v>
      </c>
      <c r="B519" s="10">
        <v>41662</v>
      </c>
      <c r="C519" s="11">
        <v>2014</v>
      </c>
      <c r="D519" s="12" t="s">
        <v>115</v>
      </c>
      <c r="E519" s="10">
        <v>41667</v>
      </c>
      <c r="F519" s="11">
        <f t="shared" si="8"/>
        <v>5</v>
      </c>
      <c r="G519" s="11" t="s">
        <v>44</v>
      </c>
      <c r="H519" s="11" t="s">
        <v>305</v>
      </c>
      <c r="I519" s="11" t="s">
        <v>80</v>
      </c>
      <c r="J519" s="11" t="s">
        <v>1097</v>
      </c>
      <c r="K519" s="11" t="s">
        <v>878</v>
      </c>
      <c r="L519" s="11" t="s">
        <v>879</v>
      </c>
      <c r="M519" s="11" t="s">
        <v>38</v>
      </c>
      <c r="N519" s="11" t="s">
        <v>39</v>
      </c>
      <c r="O519" s="11" t="s">
        <v>72</v>
      </c>
      <c r="P519" s="11" t="s">
        <v>882</v>
      </c>
      <c r="Q519" s="13">
        <v>11.96</v>
      </c>
      <c r="R519" s="11">
        <v>2</v>
      </c>
      <c r="S519" s="28">
        <v>0</v>
      </c>
      <c r="T519" s="13">
        <v>5.3819999999999997</v>
      </c>
    </row>
    <row r="520" spans="1:20" x14ac:dyDescent="0.3">
      <c r="A520" s="11">
        <v>519</v>
      </c>
      <c r="B520" s="10">
        <v>41662</v>
      </c>
      <c r="C520" s="11">
        <v>2014</v>
      </c>
      <c r="D520" s="12" t="s">
        <v>115</v>
      </c>
      <c r="E520" s="10">
        <v>41667</v>
      </c>
      <c r="F520" s="11">
        <f t="shared" si="8"/>
        <v>5</v>
      </c>
      <c r="G520" s="11" t="s">
        <v>44</v>
      </c>
      <c r="H520" s="11" t="s">
        <v>305</v>
      </c>
      <c r="I520" s="11" t="s">
        <v>80</v>
      </c>
      <c r="J520" s="11" t="s">
        <v>1097</v>
      </c>
      <c r="K520" s="11" t="s">
        <v>878</v>
      </c>
      <c r="L520" s="11" t="s">
        <v>879</v>
      </c>
      <c r="M520" s="11" t="s">
        <v>38</v>
      </c>
      <c r="N520" s="11" t="s">
        <v>39</v>
      </c>
      <c r="O520" s="11" t="s">
        <v>50</v>
      </c>
      <c r="P520" s="11" t="s">
        <v>883</v>
      </c>
      <c r="Q520" s="13">
        <v>1126.02</v>
      </c>
      <c r="R520" s="11">
        <v>3</v>
      </c>
      <c r="S520" s="28">
        <v>0</v>
      </c>
      <c r="T520" s="13">
        <v>56.301000000000002</v>
      </c>
    </row>
    <row r="521" spans="1:20" x14ac:dyDescent="0.3">
      <c r="A521" s="11">
        <v>520</v>
      </c>
      <c r="B521" s="10">
        <v>40990</v>
      </c>
      <c r="C521" s="11">
        <v>2012</v>
      </c>
      <c r="D521" s="12" t="s">
        <v>151</v>
      </c>
      <c r="E521" s="10">
        <v>40994</v>
      </c>
      <c r="F521" s="11">
        <f t="shared" si="8"/>
        <v>4</v>
      </c>
      <c r="G521" s="11" t="s">
        <v>44</v>
      </c>
      <c r="H521" s="11" t="s">
        <v>884</v>
      </c>
      <c r="I521" s="11" t="s">
        <v>24</v>
      </c>
      <c r="J521" s="11" t="s">
        <v>1097</v>
      </c>
      <c r="K521" s="11" t="s">
        <v>130</v>
      </c>
      <c r="L521" s="11" t="s">
        <v>82</v>
      </c>
      <c r="M521" s="11" t="s">
        <v>83</v>
      </c>
      <c r="N521" s="11" t="s">
        <v>58</v>
      </c>
      <c r="O521" s="11" t="s">
        <v>118</v>
      </c>
      <c r="P521" s="11" t="s">
        <v>155</v>
      </c>
      <c r="Q521" s="13">
        <v>18.391999999999999</v>
      </c>
      <c r="R521" s="11">
        <v>1</v>
      </c>
      <c r="S521" s="28">
        <v>0.2</v>
      </c>
      <c r="T521" s="13">
        <v>5.2877000000000001</v>
      </c>
    </row>
    <row r="522" spans="1:20" x14ac:dyDescent="0.3">
      <c r="A522" s="11">
        <v>521</v>
      </c>
      <c r="B522" s="10">
        <v>40990</v>
      </c>
      <c r="C522" s="11">
        <v>2012</v>
      </c>
      <c r="D522" s="12" t="s">
        <v>151</v>
      </c>
      <c r="E522" s="10">
        <v>40994</v>
      </c>
      <c r="F522" s="11">
        <f t="shared" si="8"/>
        <v>4</v>
      </c>
      <c r="G522" s="11" t="s">
        <v>44</v>
      </c>
      <c r="H522" s="11" t="s">
        <v>884</v>
      </c>
      <c r="I522" s="11" t="s">
        <v>24</v>
      </c>
      <c r="J522" s="11" t="s">
        <v>1097</v>
      </c>
      <c r="K522" s="11" t="s">
        <v>130</v>
      </c>
      <c r="L522" s="11" t="s">
        <v>82</v>
      </c>
      <c r="M522" s="11" t="s">
        <v>83</v>
      </c>
      <c r="N522" s="11" t="s">
        <v>39</v>
      </c>
      <c r="O522" s="11" t="s">
        <v>50</v>
      </c>
      <c r="P522" s="11" t="s">
        <v>885</v>
      </c>
      <c r="Q522" s="13">
        <v>129.56800000000001</v>
      </c>
      <c r="R522" s="11">
        <v>2</v>
      </c>
      <c r="S522" s="28">
        <v>0.2</v>
      </c>
      <c r="T522" s="13">
        <v>-25.913599999999999</v>
      </c>
    </row>
    <row r="523" spans="1:20" x14ac:dyDescent="0.3">
      <c r="A523" s="11">
        <v>522</v>
      </c>
      <c r="B523" s="10">
        <v>40990</v>
      </c>
      <c r="C523" s="11">
        <v>2012</v>
      </c>
      <c r="D523" s="12" t="s">
        <v>151</v>
      </c>
      <c r="E523" s="10">
        <v>40994</v>
      </c>
      <c r="F523" s="11">
        <f t="shared" si="8"/>
        <v>4</v>
      </c>
      <c r="G523" s="11" t="s">
        <v>44</v>
      </c>
      <c r="H523" s="11" t="s">
        <v>884</v>
      </c>
      <c r="I523" s="11" t="s">
        <v>24</v>
      </c>
      <c r="J523" s="11" t="s">
        <v>1097</v>
      </c>
      <c r="K523" s="11" t="s">
        <v>130</v>
      </c>
      <c r="L523" s="11" t="s">
        <v>82</v>
      </c>
      <c r="M523" s="11" t="s">
        <v>83</v>
      </c>
      <c r="N523" s="11" t="s">
        <v>39</v>
      </c>
      <c r="O523" s="11" t="s">
        <v>61</v>
      </c>
      <c r="P523" s="11" t="s">
        <v>886</v>
      </c>
      <c r="Q523" s="13">
        <v>14.112</v>
      </c>
      <c r="R523" s="11">
        <v>9</v>
      </c>
      <c r="S523" s="28">
        <v>0.8</v>
      </c>
      <c r="T523" s="13">
        <v>-21.167999999999999</v>
      </c>
    </row>
    <row r="524" spans="1:20" x14ac:dyDescent="0.3">
      <c r="A524" s="11">
        <v>523</v>
      </c>
      <c r="B524" s="10">
        <v>41663</v>
      </c>
      <c r="C524" s="11">
        <v>2014</v>
      </c>
      <c r="D524" s="12" t="s">
        <v>115</v>
      </c>
      <c r="E524" s="10">
        <v>41665</v>
      </c>
      <c r="F524" s="11">
        <f t="shared" si="8"/>
        <v>2</v>
      </c>
      <c r="G524" s="11" t="s">
        <v>132</v>
      </c>
      <c r="H524" s="11" t="s">
        <v>887</v>
      </c>
      <c r="I524" s="11" t="s">
        <v>35</v>
      </c>
      <c r="J524" s="11" t="s">
        <v>1097</v>
      </c>
      <c r="K524" s="11" t="s">
        <v>473</v>
      </c>
      <c r="L524" s="11" t="s">
        <v>159</v>
      </c>
      <c r="M524" s="11" t="s">
        <v>83</v>
      </c>
      <c r="N524" s="11" t="s">
        <v>28</v>
      </c>
      <c r="O524" s="11" t="s">
        <v>48</v>
      </c>
      <c r="P524" s="11" t="s">
        <v>849</v>
      </c>
      <c r="Q524" s="13">
        <v>210.98</v>
      </c>
      <c r="R524" s="11">
        <v>2</v>
      </c>
      <c r="S524" s="28">
        <v>0</v>
      </c>
      <c r="T524" s="13">
        <v>21.097999999999999</v>
      </c>
    </row>
    <row r="525" spans="1:20" x14ac:dyDescent="0.3">
      <c r="A525" s="11">
        <v>524</v>
      </c>
      <c r="B525" s="10">
        <v>41416</v>
      </c>
      <c r="C525" s="11">
        <v>2013</v>
      </c>
      <c r="D525" s="12" t="s">
        <v>90</v>
      </c>
      <c r="E525" s="10">
        <v>41418</v>
      </c>
      <c r="F525" s="11">
        <f t="shared" si="8"/>
        <v>2</v>
      </c>
      <c r="G525" s="11" t="s">
        <v>132</v>
      </c>
      <c r="H525" s="11" t="s">
        <v>501</v>
      </c>
      <c r="I525" s="11" t="s">
        <v>24</v>
      </c>
      <c r="J525" s="11" t="s">
        <v>1097</v>
      </c>
      <c r="K525" s="11" t="s">
        <v>36</v>
      </c>
      <c r="L525" s="11" t="s">
        <v>37</v>
      </c>
      <c r="M525" s="11" t="s">
        <v>38</v>
      </c>
      <c r="N525" s="11" t="s">
        <v>58</v>
      </c>
      <c r="O525" s="11" t="s">
        <v>59</v>
      </c>
      <c r="P525" s="11" t="s">
        <v>888</v>
      </c>
      <c r="Q525" s="13">
        <v>55.176000000000002</v>
      </c>
      <c r="R525" s="11">
        <v>3</v>
      </c>
      <c r="S525" s="28">
        <v>0.2</v>
      </c>
      <c r="T525" s="13">
        <v>-12.4146</v>
      </c>
    </row>
    <row r="526" spans="1:20" x14ac:dyDescent="0.3">
      <c r="A526" s="11">
        <v>525</v>
      </c>
      <c r="B526" s="10">
        <v>41416</v>
      </c>
      <c r="C526" s="11">
        <v>2013</v>
      </c>
      <c r="D526" s="12" t="s">
        <v>90</v>
      </c>
      <c r="E526" s="10">
        <v>41418</v>
      </c>
      <c r="F526" s="11">
        <f t="shared" si="8"/>
        <v>2</v>
      </c>
      <c r="G526" s="11" t="s">
        <v>132</v>
      </c>
      <c r="H526" s="11" t="s">
        <v>501</v>
      </c>
      <c r="I526" s="11" t="s">
        <v>24</v>
      </c>
      <c r="J526" s="11" t="s">
        <v>1097</v>
      </c>
      <c r="K526" s="11" t="s">
        <v>36</v>
      </c>
      <c r="L526" s="11" t="s">
        <v>37</v>
      </c>
      <c r="M526" s="11" t="s">
        <v>38</v>
      </c>
      <c r="N526" s="11" t="s">
        <v>58</v>
      </c>
      <c r="O526" s="11" t="s">
        <v>118</v>
      </c>
      <c r="P526" s="11" t="s">
        <v>889</v>
      </c>
      <c r="Q526" s="13">
        <v>66.260000000000005</v>
      </c>
      <c r="R526" s="11">
        <v>2</v>
      </c>
      <c r="S526" s="28">
        <v>0</v>
      </c>
      <c r="T526" s="13">
        <v>27.166599999999999</v>
      </c>
    </row>
    <row r="527" spans="1:20" x14ac:dyDescent="0.3">
      <c r="A527" s="11">
        <v>526</v>
      </c>
      <c r="B527" s="10">
        <v>41269</v>
      </c>
      <c r="C527" s="11">
        <v>2012</v>
      </c>
      <c r="D527" s="12" t="s">
        <v>74</v>
      </c>
      <c r="E527" s="10">
        <v>41276</v>
      </c>
      <c r="F527" s="11">
        <f t="shared" si="8"/>
        <v>7</v>
      </c>
      <c r="G527" s="11" t="s">
        <v>44</v>
      </c>
      <c r="H527" s="11" t="s">
        <v>890</v>
      </c>
      <c r="I527" s="11" t="s">
        <v>24</v>
      </c>
      <c r="J527" s="11" t="s">
        <v>1097</v>
      </c>
      <c r="K527" s="11" t="s">
        <v>750</v>
      </c>
      <c r="L527" s="11" t="s">
        <v>642</v>
      </c>
      <c r="M527" s="11" t="s">
        <v>110</v>
      </c>
      <c r="N527" s="11" t="s">
        <v>39</v>
      </c>
      <c r="O527" s="11" t="s">
        <v>176</v>
      </c>
      <c r="P527" s="11" t="s">
        <v>131</v>
      </c>
      <c r="Q527" s="13">
        <v>22.2</v>
      </c>
      <c r="R527" s="11">
        <v>5</v>
      </c>
      <c r="S527" s="28">
        <v>0</v>
      </c>
      <c r="T527" s="13">
        <v>10.433999999999999</v>
      </c>
    </row>
    <row r="528" spans="1:20" x14ac:dyDescent="0.3">
      <c r="A528" s="11">
        <v>527</v>
      </c>
      <c r="B528" s="10">
        <v>41934</v>
      </c>
      <c r="C528" s="11">
        <v>2014</v>
      </c>
      <c r="D528" s="12" t="s">
        <v>43</v>
      </c>
      <c r="E528" s="10">
        <v>41939</v>
      </c>
      <c r="F528" s="11">
        <f t="shared" si="8"/>
        <v>5</v>
      </c>
      <c r="G528" s="11" t="s">
        <v>44</v>
      </c>
      <c r="H528" s="11" t="s">
        <v>891</v>
      </c>
      <c r="I528" s="11" t="s">
        <v>80</v>
      </c>
      <c r="J528" s="11" t="s">
        <v>1097</v>
      </c>
      <c r="K528" s="11" t="s">
        <v>892</v>
      </c>
      <c r="L528" s="11" t="s">
        <v>47</v>
      </c>
      <c r="M528" s="11" t="s">
        <v>27</v>
      </c>
      <c r="N528" s="11" t="s">
        <v>28</v>
      </c>
      <c r="O528" s="11" t="s">
        <v>31</v>
      </c>
      <c r="P528" s="11" t="s">
        <v>893</v>
      </c>
      <c r="Q528" s="13">
        <v>683.952</v>
      </c>
      <c r="R528" s="11">
        <v>3</v>
      </c>
      <c r="S528" s="28">
        <v>0.2</v>
      </c>
      <c r="T528" s="13">
        <v>42.747</v>
      </c>
    </row>
    <row r="529" spans="1:20" x14ac:dyDescent="0.3">
      <c r="A529" s="11">
        <v>528</v>
      </c>
      <c r="B529" s="10">
        <v>41934</v>
      </c>
      <c r="C529" s="11">
        <v>2014</v>
      </c>
      <c r="D529" s="12" t="s">
        <v>43</v>
      </c>
      <c r="E529" s="10">
        <v>41939</v>
      </c>
      <c r="F529" s="11">
        <f t="shared" si="8"/>
        <v>5</v>
      </c>
      <c r="G529" s="11" t="s">
        <v>44</v>
      </c>
      <c r="H529" s="11" t="s">
        <v>891</v>
      </c>
      <c r="I529" s="11" t="s">
        <v>80</v>
      </c>
      <c r="J529" s="11" t="s">
        <v>1097</v>
      </c>
      <c r="K529" s="11" t="s">
        <v>892</v>
      </c>
      <c r="L529" s="11" t="s">
        <v>47</v>
      </c>
      <c r="M529" s="11" t="s">
        <v>27</v>
      </c>
      <c r="N529" s="11" t="s">
        <v>28</v>
      </c>
      <c r="O529" s="11" t="s">
        <v>54</v>
      </c>
      <c r="P529" s="11" t="s">
        <v>592</v>
      </c>
      <c r="Q529" s="13">
        <v>45.695999999999998</v>
      </c>
      <c r="R529" s="11">
        <v>3</v>
      </c>
      <c r="S529" s="28">
        <v>0.2</v>
      </c>
      <c r="T529" s="13">
        <v>5.1407999999999996</v>
      </c>
    </row>
    <row r="530" spans="1:20" x14ac:dyDescent="0.3">
      <c r="A530" s="11">
        <v>529</v>
      </c>
      <c r="B530" s="10">
        <v>41155</v>
      </c>
      <c r="C530" s="11">
        <v>2012</v>
      </c>
      <c r="D530" s="12" t="s">
        <v>112</v>
      </c>
      <c r="E530" s="10">
        <v>41159</v>
      </c>
      <c r="F530" s="11">
        <f t="shared" si="8"/>
        <v>4</v>
      </c>
      <c r="G530" s="11" t="s">
        <v>44</v>
      </c>
      <c r="H530" s="11" t="s">
        <v>894</v>
      </c>
      <c r="I530" s="11" t="s">
        <v>24</v>
      </c>
      <c r="J530" s="11" t="s">
        <v>1097</v>
      </c>
      <c r="K530" s="11" t="s">
        <v>108</v>
      </c>
      <c r="L530" s="11" t="s">
        <v>109</v>
      </c>
      <c r="M530" s="11" t="s">
        <v>110</v>
      </c>
      <c r="N530" s="11" t="s">
        <v>39</v>
      </c>
      <c r="O530" s="11" t="s">
        <v>50</v>
      </c>
      <c r="P530" s="11" t="s">
        <v>895</v>
      </c>
      <c r="Q530" s="13">
        <v>36.335999999999999</v>
      </c>
      <c r="R530" s="11">
        <v>3</v>
      </c>
      <c r="S530" s="28">
        <v>0.2</v>
      </c>
      <c r="T530" s="13">
        <v>-7.2671999999999999</v>
      </c>
    </row>
    <row r="531" spans="1:20" x14ac:dyDescent="0.3">
      <c r="A531" s="11">
        <v>530</v>
      </c>
      <c r="B531" s="10">
        <v>41155</v>
      </c>
      <c r="C531" s="11">
        <v>2012</v>
      </c>
      <c r="D531" s="12" t="s">
        <v>112</v>
      </c>
      <c r="E531" s="10">
        <v>41159</v>
      </c>
      <c r="F531" s="11">
        <f t="shared" si="8"/>
        <v>4</v>
      </c>
      <c r="G531" s="11" t="s">
        <v>44</v>
      </c>
      <c r="H531" s="11" t="s">
        <v>894</v>
      </c>
      <c r="I531" s="11" t="s">
        <v>24</v>
      </c>
      <c r="J531" s="11" t="s">
        <v>1097</v>
      </c>
      <c r="K531" s="11" t="s">
        <v>108</v>
      </c>
      <c r="L531" s="11" t="s">
        <v>109</v>
      </c>
      <c r="M531" s="11" t="s">
        <v>110</v>
      </c>
      <c r="N531" s="11" t="s">
        <v>39</v>
      </c>
      <c r="O531" s="11" t="s">
        <v>328</v>
      </c>
      <c r="P531" s="11" t="s">
        <v>896</v>
      </c>
      <c r="Q531" s="13">
        <v>666.24800000000005</v>
      </c>
      <c r="R531" s="11">
        <v>1</v>
      </c>
      <c r="S531" s="28">
        <v>0.2</v>
      </c>
      <c r="T531" s="13">
        <v>-149.9058</v>
      </c>
    </row>
    <row r="532" spans="1:20" x14ac:dyDescent="0.3">
      <c r="A532" s="11">
        <v>531</v>
      </c>
      <c r="B532" s="10">
        <v>41155</v>
      </c>
      <c r="C532" s="11">
        <v>2012</v>
      </c>
      <c r="D532" s="12" t="s">
        <v>112</v>
      </c>
      <c r="E532" s="10">
        <v>41159</v>
      </c>
      <c r="F532" s="11">
        <f t="shared" si="8"/>
        <v>4</v>
      </c>
      <c r="G532" s="11" t="s">
        <v>44</v>
      </c>
      <c r="H532" s="11" t="s">
        <v>894</v>
      </c>
      <c r="I532" s="11" t="s">
        <v>24</v>
      </c>
      <c r="J532" s="11" t="s">
        <v>1097</v>
      </c>
      <c r="K532" s="11" t="s">
        <v>108</v>
      </c>
      <c r="L532" s="11" t="s">
        <v>109</v>
      </c>
      <c r="M532" s="11" t="s">
        <v>110</v>
      </c>
      <c r="N532" s="11" t="s">
        <v>39</v>
      </c>
      <c r="O532" s="11" t="s">
        <v>124</v>
      </c>
      <c r="P532" s="11" t="s">
        <v>897</v>
      </c>
      <c r="Q532" s="13">
        <v>52.512</v>
      </c>
      <c r="R532" s="11">
        <v>6</v>
      </c>
      <c r="S532" s="28">
        <v>0.2</v>
      </c>
      <c r="T532" s="13">
        <v>19.692</v>
      </c>
    </row>
    <row r="533" spans="1:20" x14ac:dyDescent="0.3">
      <c r="A533" s="11">
        <v>532</v>
      </c>
      <c r="B533" s="10">
        <v>41220</v>
      </c>
      <c r="C533" s="11">
        <v>2012</v>
      </c>
      <c r="D533" s="12" t="s">
        <v>21</v>
      </c>
      <c r="E533" s="10">
        <v>41222</v>
      </c>
      <c r="F533" s="11">
        <f t="shared" si="8"/>
        <v>2</v>
      </c>
      <c r="G533" s="11" t="s">
        <v>22</v>
      </c>
      <c r="H533" s="11" t="s">
        <v>898</v>
      </c>
      <c r="I533" s="11" t="s">
        <v>35</v>
      </c>
      <c r="J533" s="11" t="s">
        <v>1097</v>
      </c>
      <c r="K533" s="11" t="s">
        <v>36</v>
      </c>
      <c r="L533" s="11" t="s">
        <v>37</v>
      </c>
      <c r="M533" s="11" t="s">
        <v>38</v>
      </c>
      <c r="N533" s="11" t="s">
        <v>28</v>
      </c>
      <c r="O533" s="11" t="s">
        <v>31</v>
      </c>
      <c r="P533" s="11" t="s">
        <v>899</v>
      </c>
      <c r="Q533" s="13">
        <v>190.72</v>
      </c>
      <c r="R533" s="11">
        <v>1</v>
      </c>
      <c r="S533" s="28">
        <v>0.2</v>
      </c>
      <c r="T533" s="13">
        <v>11.92</v>
      </c>
    </row>
    <row r="534" spans="1:20" x14ac:dyDescent="0.3">
      <c r="A534" s="11">
        <v>533</v>
      </c>
      <c r="B534" s="10">
        <v>41890</v>
      </c>
      <c r="C534" s="11">
        <v>2014</v>
      </c>
      <c r="D534" s="12" t="s">
        <v>112</v>
      </c>
      <c r="E534" s="10">
        <v>41894</v>
      </c>
      <c r="F534" s="11">
        <f t="shared" si="8"/>
        <v>4</v>
      </c>
      <c r="G534" s="11" t="s">
        <v>44</v>
      </c>
      <c r="H534" s="11" t="s">
        <v>900</v>
      </c>
      <c r="I534" s="11" t="s">
        <v>24</v>
      </c>
      <c r="J534" s="11" t="s">
        <v>1097</v>
      </c>
      <c r="K534" s="11" t="s">
        <v>36</v>
      </c>
      <c r="L534" s="11" t="s">
        <v>37</v>
      </c>
      <c r="M534" s="11" t="s">
        <v>38</v>
      </c>
      <c r="N534" s="11" t="s">
        <v>28</v>
      </c>
      <c r="O534" s="11" t="s">
        <v>54</v>
      </c>
      <c r="P534" s="11" t="s">
        <v>901</v>
      </c>
      <c r="Q534" s="13">
        <v>47.94</v>
      </c>
      <c r="R534" s="11">
        <v>3</v>
      </c>
      <c r="S534" s="28">
        <v>0</v>
      </c>
      <c r="T534" s="13">
        <v>2.3969999999999998</v>
      </c>
    </row>
    <row r="535" spans="1:20" x14ac:dyDescent="0.3">
      <c r="A535" s="11">
        <v>534</v>
      </c>
      <c r="B535" s="10">
        <v>41424</v>
      </c>
      <c r="C535" s="11">
        <v>2013</v>
      </c>
      <c r="D535" s="12" t="s">
        <v>90</v>
      </c>
      <c r="E535" s="10">
        <v>41427</v>
      </c>
      <c r="F535" s="11">
        <f t="shared" si="8"/>
        <v>3</v>
      </c>
      <c r="G535" s="11" t="s">
        <v>22</v>
      </c>
      <c r="H535" s="11" t="s">
        <v>902</v>
      </c>
      <c r="I535" s="11" t="s">
        <v>24</v>
      </c>
      <c r="J535" s="11" t="s">
        <v>1097</v>
      </c>
      <c r="K535" s="11" t="s">
        <v>903</v>
      </c>
      <c r="L535" s="11" t="s">
        <v>221</v>
      </c>
      <c r="M535" s="11" t="s">
        <v>27</v>
      </c>
      <c r="N535" s="11" t="s">
        <v>58</v>
      </c>
      <c r="O535" s="11" t="s">
        <v>59</v>
      </c>
      <c r="P535" s="11" t="s">
        <v>904</v>
      </c>
      <c r="Q535" s="13">
        <v>979.95</v>
      </c>
      <c r="R535" s="11">
        <v>5</v>
      </c>
      <c r="S535" s="28">
        <v>0</v>
      </c>
      <c r="T535" s="13">
        <v>274.38600000000002</v>
      </c>
    </row>
    <row r="536" spans="1:20" x14ac:dyDescent="0.3">
      <c r="A536" s="11">
        <v>535</v>
      </c>
      <c r="B536" s="10">
        <v>41424</v>
      </c>
      <c r="C536" s="11">
        <v>2013</v>
      </c>
      <c r="D536" s="12" t="s">
        <v>90</v>
      </c>
      <c r="E536" s="10">
        <v>41427</v>
      </c>
      <c r="F536" s="11">
        <f t="shared" si="8"/>
        <v>3</v>
      </c>
      <c r="G536" s="11" t="s">
        <v>22</v>
      </c>
      <c r="H536" s="11" t="s">
        <v>902</v>
      </c>
      <c r="I536" s="11" t="s">
        <v>24</v>
      </c>
      <c r="J536" s="11" t="s">
        <v>1097</v>
      </c>
      <c r="K536" s="11" t="s">
        <v>903</v>
      </c>
      <c r="L536" s="11" t="s">
        <v>221</v>
      </c>
      <c r="M536" s="11" t="s">
        <v>27</v>
      </c>
      <c r="N536" s="11" t="s">
        <v>39</v>
      </c>
      <c r="O536" s="11" t="s">
        <v>61</v>
      </c>
      <c r="P536" s="11" t="s">
        <v>538</v>
      </c>
      <c r="Q536" s="13">
        <v>22.75</v>
      </c>
      <c r="R536" s="11">
        <v>5</v>
      </c>
      <c r="S536" s="28">
        <v>0</v>
      </c>
      <c r="T536" s="13">
        <v>11.375</v>
      </c>
    </row>
    <row r="537" spans="1:20" x14ac:dyDescent="0.3">
      <c r="A537" s="11">
        <v>536</v>
      </c>
      <c r="B537" s="10">
        <v>41466</v>
      </c>
      <c r="C537" s="11">
        <v>2013</v>
      </c>
      <c r="D537" s="12" t="s">
        <v>106</v>
      </c>
      <c r="E537" s="10">
        <v>41472</v>
      </c>
      <c r="F537" s="11">
        <f t="shared" si="8"/>
        <v>6</v>
      </c>
      <c r="G537" s="11" t="s">
        <v>44</v>
      </c>
      <c r="H537" s="11" t="s">
        <v>905</v>
      </c>
      <c r="I537" s="11" t="s">
        <v>24</v>
      </c>
      <c r="J537" s="11" t="s">
        <v>1097</v>
      </c>
      <c r="K537" s="11" t="s">
        <v>906</v>
      </c>
      <c r="L537" s="11" t="s">
        <v>197</v>
      </c>
      <c r="M537" s="11" t="s">
        <v>38</v>
      </c>
      <c r="N537" s="11" t="s">
        <v>39</v>
      </c>
      <c r="O537" s="11" t="s">
        <v>50</v>
      </c>
      <c r="P537" s="11" t="s">
        <v>907</v>
      </c>
      <c r="Q537" s="13">
        <v>16.768000000000001</v>
      </c>
      <c r="R537" s="11">
        <v>2</v>
      </c>
      <c r="S537" s="28">
        <v>0.2</v>
      </c>
      <c r="T537" s="13">
        <v>1.4672000000000001</v>
      </c>
    </row>
    <row r="538" spans="1:20" x14ac:dyDescent="0.3">
      <c r="A538" s="11">
        <v>537</v>
      </c>
      <c r="B538" s="10">
        <v>41886</v>
      </c>
      <c r="C538" s="11">
        <v>2014</v>
      </c>
      <c r="D538" s="12" t="s">
        <v>112</v>
      </c>
      <c r="E538" s="10">
        <v>41891</v>
      </c>
      <c r="F538" s="11">
        <f t="shared" si="8"/>
        <v>5</v>
      </c>
      <c r="G538" s="11" t="s">
        <v>22</v>
      </c>
      <c r="H538" s="11" t="s">
        <v>908</v>
      </c>
      <c r="I538" s="11" t="s">
        <v>24</v>
      </c>
      <c r="J538" s="11" t="s">
        <v>1097</v>
      </c>
      <c r="K538" s="11" t="s">
        <v>193</v>
      </c>
      <c r="L538" s="11" t="s">
        <v>144</v>
      </c>
      <c r="M538" s="11" t="s">
        <v>83</v>
      </c>
      <c r="N538" s="11" t="s">
        <v>39</v>
      </c>
      <c r="O538" s="11" t="s">
        <v>61</v>
      </c>
      <c r="P538" s="11" t="s">
        <v>909</v>
      </c>
      <c r="Q538" s="13">
        <v>42.616</v>
      </c>
      <c r="R538" s="11">
        <v>7</v>
      </c>
      <c r="S538" s="28">
        <v>0.8</v>
      </c>
      <c r="T538" s="13">
        <v>-68.185599999999994</v>
      </c>
    </row>
    <row r="539" spans="1:20" x14ac:dyDescent="0.3">
      <c r="A539" s="11">
        <v>538</v>
      </c>
      <c r="B539" s="10">
        <v>41246</v>
      </c>
      <c r="C539" s="11">
        <v>2012</v>
      </c>
      <c r="D539" s="12" t="s">
        <v>74</v>
      </c>
      <c r="E539" s="10">
        <v>41251</v>
      </c>
      <c r="F539" s="11">
        <f t="shared" si="8"/>
        <v>5</v>
      </c>
      <c r="G539" s="11" t="s">
        <v>44</v>
      </c>
      <c r="H539" s="11" t="s">
        <v>416</v>
      </c>
      <c r="I539" s="11" t="s">
        <v>80</v>
      </c>
      <c r="J539" s="11" t="s">
        <v>1097</v>
      </c>
      <c r="K539" s="11" t="s">
        <v>174</v>
      </c>
      <c r="L539" s="11" t="s">
        <v>175</v>
      </c>
      <c r="M539" s="11" t="s">
        <v>110</v>
      </c>
      <c r="N539" s="11" t="s">
        <v>39</v>
      </c>
      <c r="O539" s="11" t="s">
        <v>61</v>
      </c>
      <c r="P539" s="11" t="s">
        <v>910</v>
      </c>
      <c r="Q539" s="13">
        <v>10.752000000000001</v>
      </c>
      <c r="R539" s="11">
        <v>4</v>
      </c>
      <c r="S539" s="28">
        <v>0.2</v>
      </c>
      <c r="T539" s="13">
        <v>3.36</v>
      </c>
    </row>
    <row r="540" spans="1:20" x14ac:dyDescent="0.3">
      <c r="A540" s="11">
        <v>539</v>
      </c>
      <c r="B540" s="10">
        <v>41250</v>
      </c>
      <c r="C540" s="11">
        <v>2012</v>
      </c>
      <c r="D540" s="12" t="s">
        <v>74</v>
      </c>
      <c r="E540" s="10">
        <v>41254</v>
      </c>
      <c r="F540" s="11">
        <f t="shared" si="8"/>
        <v>4</v>
      </c>
      <c r="G540" s="11" t="s">
        <v>44</v>
      </c>
      <c r="H540" s="11" t="s">
        <v>911</v>
      </c>
      <c r="I540" s="11" t="s">
        <v>24</v>
      </c>
      <c r="J540" s="11" t="s">
        <v>1097</v>
      </c>
      <c r="K540" s="11" t="s">
        <v>25</v>
      </c>
      <c r="L540" s="11" t="s">
        <v>26</v>
      </c>
      <c r="M540" s="11" t="s">
        <v>27</v>
      </c>
      <c r="N540" s="11" t="s">
        <v>39</v>
      </c>
      <c r="O540" s="11" t="s">
        <v>63</v>
      </c>
      <c r="P540" s="11" t="s">
        <v>912</v>
      </c>
      <c r="Q540" s="13">
        <v>152.94</v>
      </c>
      <c r="R540" s="11">
        <v>3</v>
      </c>
      <c r="S540" s="28">
        <v>0</v>
      </c>
      <c r="T540" s="13">
        <v>41.293799999999997</v>
      </c>
    </row>
    <row r="541" spans="1:20" x14ac:dyDescent="0.3">
      <c r="A541" s="11">
        <v>540</v>
      </c>
      <c r="B541" s="10">
        <v>41250</v>
      </c>
      <c r="C541" s="11">
        <v>2012</v>
      </c>
      <c r="D541" s="12" t="s">
        <v>74</v>
      </c>
      <c r="E541" s="10">
        <v>41254</v>
      </c>
      <c r="F541" s="11">
        <f t="shared" si="8"/>
        <v>4</v>
      </c>
      <c r="G541" s="11" t="s">
        <v>44</v>
      </c>
      <c r="H541" s="11" t="s">
        <v>911</v>
      </c>
      <c r="I541" s="11" t="s">
        <v>24</v>
      </c>
      <c r="J541" s="11" t="s">
        <v>1097</v>
      </c>
      <c r="K541" s="11" t="s">
        <v>25</v>
      </c>
      <c r="L541" s="11" t="s">
        <v>26</v>
      </c>
      <c r="M541" s="11" t="s">
        <v>27</v>
      </c>
      <c r="N541" s="11" t="s">
        <v>28</v>
      </c>
      <c r="O541" s="11" t="s">
        <v>31</v>
      </c>
      <c r="P541" s="11" t="s">
        <v>913</v>
      </c>
      <c r="Q541" s="13">
        <v>283.92</v>
      </c>
      <c r="R541" s="11">
        <v>4</v>
      </c>
      <c r="S541" s="28">
        <v>0</v>
      </c>
      <c r="T541" s="13">
        <v>70.98</v>
      </c>
    </row>
    <row r="542" spans="1:20" x14ac:dyDescent="0.3">
      <c r="A542" s="11">
        <v>541</v>
      </c>
      <c r="B542" s="10">
        <v>40576</v>
      </c>
      <c r="C542" s="11">
        <v>2011</v>
      </c>
      <c r="D542" s="12" t="s">
        <v>317</v>
      </c>
      <c r="E542" s="10">
        <v>40578</v>
      </c>
      <c r="F542" s="11">
        <f t="shared" si="8"/>
        <v>2</v>
      </c>
      <c r="G542" s="11" t="s">
        <v>132</v>
      </c>
      <c r="H542" s="11" t="s">
        <v>914</v>
      </c>
      <c r="I542" s="11" t="s">
        <v>24</v>
      </c>
      <c r="J542" s="11" t="s">
        <v>1097</v>
      </c>
      <c r="K542" s="11" t="s">
        <v>915</v>
      </c>
      <c r="L542" s="11" t="s">
        <v>88</v>
      </c>
      <c r="M542" s="11" t="s">
        <v>83</v>
      </c>
      <c r="N542" s="11" t="s">
        <v>58</v>
      </c>
      <c r="O542" s="11" t="s">
        <v>118</v>
      </c>
      <c r="P542" s="11" t="s">
        <v>916</v>
      </c>
      <c r="Q542" s="13">
        <v>468.9</v>
      </c>
      <c r="R542" s="11">
        <v>6</v>
      </c>
      <c r="S542" s="28">
        <v>0</v>
      </c>
      <c r="T542" s="13">
        <v>206.316</v>
      </c>
    </row>
    <row r="543" spans="1:20" x14ac:dyDescent="0.3">
      <c r="A543" s="11">
        <v>542</v>
      </c>
      <c r="B543" s="10">
        <v>41470</v>
      </c>
      <c r="C543" s="11">
        <v>2013</v>
      </c>
      <c r="D543" s="12" t="s">
        <v>106</v>
      </c>
      <c r="E543" s="10">
        <v>41473</v>
      </c>
      <c r="F543" s="11">
        <f t="shared" si="8"/>
        <v>3</v>
      </c>
      <c r="G543" s="11" t="s">
        <v>132</v>
      </c>
      <c r="H543" s="11" t="s">
        <v>148</v>
      </c>
      <c r="I543" s="11" t="s">
        <v>35</v>
      </c>
      <c r="J543" s="11" t="s">
        <v>1097</v>
      </c>
      <c r="K543" s="11" t="s">
        <v>672</v>
      </c>
      <c r="L543" s="11" t="s">
        <v>197</v>
      </c>
      <c r="M543" s="11" t="s">
        <v>38</v>
      </c>
      <c r="N543" s="11" t="s">
        <v>58</v>
      </c>
      <c r="O543" s="11" t="s">
        <v>59</v>
      </c>
      <c r="P543" s="11" t="s">
        <v>917</v>
      </c>
      <c r="Q543" s="13">
        <v>380.86399999999998</v>
      </c>
      <c r="R543" s="11">
        <v>8</v>
      </c>
      <c r="S543" s="28">
        <v>0.2</v>
      </c>
      <c r="T543" s="13">
        <v>38.086399999999998</v>
      </c>
    </row>
    <row r="544" spans="1:20" x14ac:dyDescent="0.3">
      <c r="A544" s="11">
        <v>543</v>
      </c>
      <c r="B544" s="10">
        <v>41261</v>
      </c>
      <c r="C544" s="11">
        <v>2012</v>
      </c>
      <c r="D544" s="12" t="s">
        <v>74</v>
      </c>
      <c r="E544" s="10">
        <v>41266</v>
      </c>
      <c r="F544" s="11">
        <f t="shared" si="8"/>
        <v>5</v>
      </c>
      <c r="G544" s="11" t="s">
        <v>44</v>
      </c>
      <c r="H544" s="11" t="s">
        <v>918</v>
      </c>
      <c r="I544" s="11" t="s">
        <v>24</v>
      </c>
      <c r="J544" s="11" t="s">
        <v>1097</v>
      </c>
      <c r="K544" s="11" t="s">
        <v>201</v>
      </c>
      <c r="L544" s="11" t="s">
        <v>289</v>
      </c>
      <c r="M544" s="11" t="s">
        <v>110</v>
      </c>
      <c r="N544" s="11" t="s">
        <v>39</v>
      </c>
      <c r="O544" s="11" t="s">
        <v>50</v>
      </c>
      <c r="P544" s="11" t="s">
        <v>844</v>
      </c>
      <c r="Q544" s="13">
        <v>646.77599999999995</v>
      </c>
      <c r="R544" s="11">
        <v>9</v>
      </c>
      <c r="S544" s="28">
        <v>0.2</v>
      </c>
      <c r="T544" s="13">
        <v>-145.52459999999999</v>
      </c>
    </row>
    <row r="545" spans="1:20" x14ac:dyDescent="0.3">
      <c r="A545" s="11">
        <v>544</v>
      </c>
      <c r="B545" s="10">
        <v>40674</v>
      </c>
      <c r="C545" s="11">
        <v>2011</v>
      </c>
      <c r="D545" s="12" t="s">
        <v>90</v>
      </c>
      <c r="E545" s="10">
        <v>40679</v>
      </c>
      <c r="F545" s="11">
        <f t="shared" si="8"/>
        <v>5</v>
      </c>
      <c r="G545" s="11" t="s">
        <v>44</v>
      </c>
      <c r="H545" s="11" t="s">
        <v>235</v>
      </c>
      <c r="I545" s="11" t="s">
        <v>24</v>
      </c>
      <c r="J545" s="11" t="s">
        <v>1097</v>
      </c>
      <c r="K545" s="11" t="s">
        <v>81</v>
      </c>
      <c r="L545" s="11" t="s">
        <v>82</v>
      </c>
      <c r="M545" s="11" t="s">
        <v>83</v>
      </c>
      <c r="N545" s="11" t="s">
        <v>58</v>
      </c>
      <c r="O545" s="11" t="s">
        <v>118</v>
      </c>
      <c r="P545" s="11" t="s">
        <v>919</v>
      </c>
      <c r="Q545" s="13">
        <v>58.112000000000002</v>
      </c>
      <c r="R545" s="11">
        <v>2</v>
      </c>
      <c r="S545" s="28">
        <v>0.2</v>
      </c>
      <c r="T545" s="13">
        <v>7.2640000000000002</v>
      </c>
    </row>
    <row r="546" spans="1:20" x14ac:dyDescent="0.3">
      <c r="A546" s="11">
        <v>545</v>
      </c>
      <c r="B546" s="10">
        <v>40674</v>
      </c>
      <c r="C546" s="11">
        <v>2011</v>
      </c>
      <c r="D546" s="12" t="s">
        <v>90</v>
      </c>
      <c r="E546" s="10">
        <v>40679</v>
      </c>
      <c r="F546" s="11">
        <f t="shared" si="8"/>
        <v>5</v>
      </c>
      <c r="G546" s="11" t="s">
        <v>44</v>
      </c>
      <c r="H546" s="11" t="s">
        <v>235</v>
      </c>
      <c r="I546" s="11" t="s">
        <v>24</v>
      </c>
      <c r="J546" s="11" t="s">
        <v>1097</v>
      </c>
      <c r="K546" s="11" t="s">
        <v>81</v>
      </c>
      <c r="L546" s="11" t="s">
        <v>82</v>
      </c>
      <c r="M546" s="11" t="s">
        <v>83</v>
      </c>
      <c r="N546" s="11" t="s">
        <v>58</v>
      </c>
      <c r="O546" s="11" t="s">
        <v>59</v>
      </c>
      <c r="P546" s="11" t="s">
        <v>920</v>
      </c>
      <c r="Q546" s="13">
        <v>100.792</v>
      </c>
      <c r="R546" s="11">
        <v>1</v>
      </c>
      <c r="S546" s="28">
        <v>0.2</v>
      </c>
      <c r="T546" s="13">
        <v>6.2995000000000001</v>
      </c>
    </row>
    <row r="547" spans="1:20" x14ac:dyDescent="0.3">
      <c r="A547" s="11">
        <v>546</v>
      </c>
      <c r="B547" s="10">
        <v>40674</v>
      </c>
      <c r="C547" s="11">
        <v>2011</v>
      </c>
      <c r="D547" s="12" t="s">
        <v>90</v>
      </c>
      <c r="E547" s="10">
        <v>40679</v>
      </c>
      <c r="F547" s="11">
        <f t="shared" si="8"/>
        <v>5</v>
      </c>
      <c r="G547" s="11" t="s">
        <v>44</v>
      </c>
      <c r="H547" s="11" t="s">
        <v>235</v>
      </c>
      <c r="I547" s="11" t="s">
        <v>24</v>
      </c>
      <c r="J547" s="11" t="s">
        <v>1097</v>
      </c>
      <c r="K547" s="11" t="s">
        <v>81</v>
      </c>
      <c r="L547" s="11" t="s">
        <v>82</v>
      </c>
      <c r="M547" s="11" t="s">
        <v>83</v>
      </c>
      <c r="N547" s="11" t="s">
        <v>28</v>
      </c>
      <c r="O547" s="11" t="s">
        <v>54</v>
      </c>
      <c r="P547" s="11" t="s">
        <v>921</v>
      </c>
      <c r="Q547" s="13">
        <v>66.111999999999995</v>
      </c>
      <c r="R547" s="11">
        <v>4</v>
      </c>
      <c r="S547" s="28">
        <v>0.6</v>
      </c>
      <c r="T547" s="13">
        <v>-84.2928</v>
      </c>
    </row>
    <row r="548" spans="1:20" x14ac:dyDescent="0.3">
      <c r="A548" s="11">
        <v>547</v>
      </c>
      <c r="B548" s="10">
        <v>41963</v>
      </c>
      <c r="C548" s="11">
        <v>2014</v>
      </c>
      <c r="D548" s="12" t="s">
        <v>21</v>
      </c>
      <c r="E548" s="10">
        <v>41966</v>
      </c>
      <c r="F548" s="11">
        <f t="shared" si="8"/>
        <v>3</v>
      </c>
      <c r="G548" s="11" t="s">
        <v>132</v>
      </c>
      <c r="H548" s="11" t="s">
        <v>922</v>
      </c>
      <c r="I548" s="11" t="s">
        <v>80</v>
      </c>
      <c r="J548" s="11" t="s">
        <v>1097</v>
      </c>
      <c r="K548" s="11" t="s">
        <v>174</v>
      </c>
      <c r="L548" s="11" t="s">
        <v>175</v>
      </c>
      <c r="M548" s="11" t="s">
        <v>110</v>
      </c>
      <c r="N548" s="11" t="s">
        <v>39</v>
      </c>
      <c r="O548" s="11" t="s">
        <v>61</v>
      </c>
      <c r="P548" s="11" t="s">
        <v>923</v>
      </c>
      <c r="Q548" s="13">
        <v>41.28</v>
      </c>
      <c r="R548" s="11">
        <v>6</v>
      </c>
      <c r="S548" s="28">
        <v>0.2</v>
      </c>
      <c r="T548" s="13">
        <v>13.932</v>
      </c>
    </row>
    <row r="549" spans="1:20" x14ac:dyDescent="0.3">
      <c r="A549" s="11">
        <v>548</v>
      </c>
      <c r="B549" s="10">
        <v>41963</v>
      </c>
      <c r="C549" s="11">
        <v>2014</v>
      </c>
      <c r="D549" s="12" t="s">
        <v>21</v>
      </c>
      <c r="E549" s="10">
        <v>41966</v>
      </c>
      <c r="F549" s="11">
        <f t="shared" si="8"/>
        <v>3</v>
      </c>
      <c r="G549" s="11" t="s">
        <v>132</v>
      </c>
      <c r="H549" s="11" t="s">
        <v>922</v>
      </c>
      <c r="I549" s="11" t="s">
        <v>80</v>
      </c>
      <c r="J549" s="11" t="s">
        <v>1097</v>
      </c>
      <c r="K549" s="11" t="s">
        <v>174</v>
      </c>
      <c r="L549" s="11" t="s">
        <v>175</v>
      </c>
      <c r="M549" s="11" t="s">
        <v>110</v>
      </c>
      <c r="N549" s="11" t="s">
        <v>39</v>
      </c>
      <c r="O549" s="11" t="s">
        <v>72</v>
      </c>
      <c r="P549" s="11" t="s">
        <v>924</v>
      </c>
      <c r="Q549" s="13">
        <v>13.36</v>
      </c>
      <c r="R549" s="11">
        <v>2</v>
      </c>
      <c r="S549" s="28">
        <v>0</v>
      </c>
      <c r="T549" s="13">
        <v>6.4127999999999998</v>
      </c>
    </row>
    <row r="550" spans="1:20" x14ac:dyDescent="0.3">
      <c r="A550" s="11">
        <v>549</v>
      </c>
      <c r="B550" s="10">
        <v>41228</v>
      </c>
      <c r="C550" s="11">
        <v>2012</v>
      </c>
      <c r="D550" s="12" t="s">
        <v>21</v>
      </c>
      <c r="E550" s="10">
        <v>41230</v>
      </c>
      <c r="F550" s="11">
        <f t="shared" si="8"/>
        <v>2</v>
      </c>
      <c r="G550" s="11" t="s">
        <v>22</v>
      </c>
      <c r="H550" s="11" t="s">
        <v>694</v>
      </c>
      <c r="I550" s="11" t="s">
        <v>35</v>
      </c>
      <c r="J550" s="11" t="s">
        <v>1097</v>
      </c>
      <c r="K550" s="11" t="s">
        <v>193</v>
      </c>
      <c r="L550" s="11" t="s">
        <v>144</v>
      </c>
      <c r="M550" s="11" t="s">
        <v>83</v>
      </c>
      <c r="N550" s="11" t="s">
        <v>39</v>
      </c>
      <c r="O550" s="11" t="s">
        <v>50</v>
      </c>
      <c r="P550" s="11" t="s">
        <v>181</v>
      </c>
      <c r="Q550" s="13">
        <v>250.27199999999999</v>
      </c>
      <c r="R550" s="11">
        <v>9</v>
      </c>
      <c r="S550" s="28">
        <v>0.2</v>
      </c>
      <c r="T550" s="13">
        <v>15.641999999999999</v>
      </c>
    </row>
    <row r="551" spans="1:20" x14ac:dyDescent="0.3">
      <c r="A551" s="11">
        <v>550</v>
      </c>
      <c r="B551" s="10">
        <v>41228</v>
      </c>
      <c r="C551" s="11">
        <v>2012</v>
      </c>
      <c r="D551" s="12" t="s">
        <v>21</v>
      </c>
      <c r="E551" s="10">
        <v>41230</v>
      </c>
      <c r="F551" s="11">
        <f t="shared" si="8"/>
        <v>2</v>
      </c>
      <c r="G551" s="11" t="s">
        <v>22</v>
      </c>
      <c r="H551" s="11" t="s">
        <v>694</v>
      </c>
      <c r="I551" s="11" t="s">
        <v>35</v>
      </c>
      <c r="J551" s="11" t="s">
        <v>1097</v>
      </c>
      <c r="K551" s="11" t="s">
        <v>193</v>
      </c>
      <c r="L551" s="11" t="s">
        <v>144</v>
      </c>
      <c r="M551" s="11" t="s">
        <v>83</v>
      </c>
      <c r="N551" s="11" t="s">
        <v>39</v>
      </c>
      <c r="O551" s="11" t="s">
        <v>61</v>
      </c>
      <c r="P551" s="11" t="s">
        <v>252</v>
      </c>
      <c r="Q551" s="13">
        <v>11.364000000000001</v>
      </c>
      <c r="R551" s="11">
        <v>3</v>
      </c>
      <c r="S551" s="28">
        <v>0.8</v>
      </c>
      <c r="T551" s="13">
        <v>-17.045999999999999</v>
      </c>
    </row>
    <row r="552" spans="1:20" x14ac:dyDescent="0.3">
      <c r="A552" s="11">
        <v>551</v>
      </c>
      <c r="B552" s="10">
        <v>41228</v>
      </c>
      <c r="C552" s="11">
        <v>2012</v>
      </c>
      <c r="D552" s="12" t="s">
        <v>21</v>
      </c>
      <c r="E552" s="10">
        <v>41230</v>
      </c>
      <c r="F552" s="11">
        <f t="shared" si="8"/>
        <v>2</v>
      </c>
      <c r="G552" s="11" t="s">
        <v>22</v>
      </c>
      <c r="H552" s="11" t="s">
        <v>694</v>
      </c>
      <c r="I552" s="11" t="s">
        <v>35</v>
      </c>
      <c r="J552" s="11" t="s">
        <v>1097</v>
      </c>
      <c r="K552" s="11" t="s">
        <v>193</v>
      </c>
      <c r="L552" s="11" t="s">
        <v>144</v>
      </c>
      <c r="M552" s="11" t="s">
        <v>83</v>
      </c>
      <c r="N552" s="11" t="s">
        <v>39</v>
      </c>
      <c r="O552" s="11" t="s">
        <v>328</v>
      </c>
      <c r="P552" s="11" t="s">
        <v>131</v>
      </c>
      <c r="Q552" s="13">
        <v>8.7200000000000006</v>
      </c>
      <c r="R552" s="11">
        <v>5</v>
      </c>
      <c r="S552" s="28">
        <v>0.2</v>
      </c>
      <c r="T552" s="13">
        <v>-1.744</v>
      </c>
    </row>
    <row r="553" spans="1:20" x14ac:dyDescent="0.3">
      <c r="A553" s="11">
        <v>552</v>
      </c>
      <c r="B553" s="10">
        <v>41380</v>
      </c>
      <c r="C553" s="11">
        <v>2013</v>
      </c>
      <c r="D553" s="12" t="s">
        <v>68</v>
      </c>
      <c r="E553" s="10">
        <v>41382</v>
      </c>
      <c r="F553" s="11">
        <f t="shared" si="8"/>
        <v>2</v>
      </c>
      <c r="G553" s="11" t="s">
        <v>22</v>
      </c>
      <c r="H553" s="11" t="s">
        <v>925</v>
      </c>
      <c r="I553" s="11" t="s">
        <v>24</v>
      </c>
      <c r="J553" s="11" t="s">
        <v>1097</v>
      </c>
      <c r="K553" s="11" t="s">
        <v>97</v>
      </c>
      <c r="L553" s="11" t="s">
        <v>37</v>
      </c>
      <c r="M553" s="11" t="s">
        <v>38</v>
      </c>
      <c r="N553" s="11" t="s">
        <v>28</v>
      </c>
      <c r="O553" s="11" t="s">
        <v>31</v>
      </c>
      <c r="P553" s="11" t="s">
        <v>926</v>
      </c>
      <c r="Q553" s="13">
        <v>1121.568</v>
      </c>
      <c r="R553" s="11">
        <v>2</v>
      </c>
      <c r="S553" s="28">
        <v>0.2</v>
      </c>
      <c r="T553" s="13">
        <v>0</v>
      </c>
    </row>
    <row r="554" spans="1:20" x14ac:dyDescent="0.3">
      <c r="A554" s="11">
        <v>553</v>
      </c>
      <c r="B554" s="10">
        <v>41894</v>
      </c>
      <c r="C554" s="11">
        <v>2014</v>
      </c>
      <c r="D554" s="12" t="s">
        <v>112</v>
      </c>
      <c r="E554" s="10">
        <v>41895</v>
      </c>
      <c r="F554" s="11">
        <f t="shared" si="8"/>
        <v>1</v>
      </c>
      <c r="G554" s="11" t="s">
        <v>132</v>
      </c>
      <c r="H554" s="11" t="s">
        <v>287</v>
      </c>
      <c r="I554" s="11" t="s">
        <v>24</v>
      </c>
      <c r="J554" s="11" t="s">
        <v>1097</v>
      </c>
      <c r="K554" s="11" t="s">
        <v>770</v>
      </c>
      <c r="L554" s="11" t="s">
        <v>47</v>
      </c>
      <c r="M554" s="11" t="s">
        <v>27</v>
      </c>
      <c r="N554" s="11" t="s">
        <v>28</v>
      </c>
      <c r="O554" s="11" t="s">
        <v>54</v>
      </c>
      <c r="P554" s="11" t="s">
        <v>927</v>
      </c>
      <c r="Q554" s="13">
        <v>34.503999999999998</v>
      </c>
      <c r="R554" s="11">
        <v>1</v>
      </c>
      <c r="S554" s="28">
        <v>0.2</v>
      </c>
      <c r="T554" s="13">
        <v>6.0381999999999998</v>
      </c>
    </row>
    <row r="555" spans="1:20" x14ac:dyDescent="0.3">
      <c r="A555" s="11">
        <v>554</v>
      </c>
      <c r="B555" s="10">
        <v>41968</v>
      </c>
      <c r="C555" s="11">
        <v>2014</v>
      </c>
      <c r="D555" s="12" t="s">
        <v>21</v>
      </c>
      <c r="E555" s="10">
        <v>41972</v>
      </c>
      <c r="F555" s="11">
        <f t="shared" si="8"/>
        <v>4</v>
      </c>
      <c r="G555" s="11" t="s">
        <v>44</v>
      </c>
      <c r="H555" s="11" t="s">
        <v>928</v>
      </c>
      <c r="I555" s="11" t="s">
        <v>24</v>
      </c>
      <c r="J555" s="11" t="s">
        <v>1097</v>
      </c>
      <c r="K555" s="11" t="s">
        <v>130</v>
      </c>
      <c r="L555" s="11" t="s">
        <v>82</v>
      </c>
      <c r="M555" s="11" t="s">
        <v>83</v>
      </c>
      <c r="N555" s="11" t="s">
        <v>39</v>
      </c>
      <c r="O555" s="11" t="s">
        <v>176</v>
      </c>
      <c r="P555" s="11" t="s">
        <v>929</v>
      </c>
      <c r="Q555" s="13">
        <v>10.824</v>
      </c>
      <c r="R555" s="11">
        <v>3</v>
      </c>
      <c r="S555" s="28">
        <v>0.2</v>
      </c>
      <c r="T555" s="13">
        <v>2.5707</v>
      </c>
    </row>
    <row r="556" spans="1:20" x14ac:dyDescent="0.3">
      <c r="A556" s="11">
        <v>555</v>
      </c>
      <c r="B556" s="10">
        <v>41820</v>
      </c>
      <c r="C556" s="11">
        <v>2014</v>
      </c>
      <c r="D556" s="12" t="s">
        <v>33</v>
      </c>
      <c r="E556" s="10">
        <v>41824</v>
      </c>
      <c r="F556" s="11">
        <f t="shared" si="8"/>
        <v>4</v>
      </c>
      <c r="G556" s="11" t="s">
        <v>22</v>
      </c>
      <c r="H556" s="11" t="s">
        <v>694</v>
      </c>
      <c r="I556" s="11" t="s">
        <v>35</v>
      </c>
      <c r="J556" s="11" t="s">
        <v>1097</v>
      </c>
      <c r="K556" s="11" t="s">
        <v>930</v>
      </c>
      <c r="L556" s="11" t="s">
        <v>37</v>
      </c>
      <c r="M556" s="11" t="s">
        <v>38</v>
      </c>
      <c r="N556" s="11" t="s">
        <v>39</v>
      </c>
      <c r="O556" s="11" t="s">
        <v>50</v>
      </c>
      <c r="P556" s="11" t="s">
        <v>931</v>
      </c>
      <c r="Q556" s="13">
        <v>1295.78</v>
      </c>
      <c r="R556" s="11">
        <v>2</v>
      </c>
      <c r="S556" s="28">
        <v>0</v>
      </c>
      <c r="T556" s="13">
        <v>310.98719999999997</v>
      </c>
    </row>
    <row r="557" spans="1:20" x14ac:dyDescent="0.3">
      <c r="A557" s="11">
        <v>556</v>
      </c>
      <c r="B557" s="10">
        <v>40605</v>
      </c>
      <c r="C557" s="11">
        <v>2011</v>
      </c>
      <c r="D557" s="12" t="s">
        <v>151</v>
      </c>
      <c r="E557" s="10">
        <v>40609</v>
      </c>
      <c r="F557" s="11">
        <f t="shared" si="8"/>
        <v>4</v>
      </c>
      <c r="G557" s="11" t="s">
        <v>22</v>
      </c>
      <c r="H557" s="11" t="s">
        <v>932</v>
      </c>
      <c r="I557" s="11" t="s">
        <v>24</v>
      </c>
      <c r="J557" s="11" t="s">
        <v>1097</v>
      </c>
      <c r="K557" s="11" t="s">
        <v>300</v>
      </c>
      <c r="L557" s="11" t="s">
        <v>71</v>
      </c>
      <c r="M557" s="11" t="s">
        <v>27</v>
      </c>
      <c r="N557" s="11" t="s">
        <v>39</v>
      </c>
      <c r="O557" s="11" t="s">
        <v>56</v>
      </c>
      <c r="P557" s="11" t="s">
        <v>933</v>
      </c>
      <c r="Q557" s="13">
        <v>19.456</v>
      </c>
      <c r="R557" s="11">
        <v>4</v>
      </c>
      <c r="S557" s="28">
        <v>0.2</v>
      </c>
      <c r="T557" s="13">
        <v>3.4047999999999998</v>
      </c>
    </row>
    <row r="558" spans="1:20" x14ac:dyDescent="0.3">
      <c r="A558" s="11">
        <v>557</v>
      </c>
      <c r="B558" s="10">
        <v>41436</v>
      </c>
      <c r="C558" s="11">
        <v>2013</v>
      </c>
      <c r="D558" s="12" t="s">
        <v>33</v>
      </c>
      <c r="E558" s="10">
        <v>41441</v>
      </c>
      <c r="F558" s="11">
        <f t="shared" si="8"/>
        <v>5</v>
      </c>
      <c r="G558" s="11" t="s">
        <v>44</v>
      </c>
      <c r="H558" s="11" t="s">
        <v>934</v>
      </c>
      <c r="I558" s="11" t="s">
        <v>24</v>
      </c>
      <c r="J558" s="11" t="s">
        <v>1097</v>
      </c>
      <c r="K558" s="11" t="s">
        <v>36</v>
      </c>
      <c r="L558" s="11" t="s">
        <v>37</v>
      </c>
      <c r="M558" s="11" t="s">
        <v>38</v>
      </c>
      <c r="N558" s="11" t="s">
        <v>39</v>
      </c>
      <c r="O558" s="11" t="s">
        <v>40</v>
      </c>
      <c r="P558" s="11" t="s">
        <v>935</v>
      </c>
      <c r="Q558" s="13">
        <v>20.7</v>
      </c>
      <c r="R558" s="11">
        <v>2</v>
      </c>
      <c r="S558" s="28">
        <v>0</v>
      </c>
      <c r="T558" s="13">
        <v>9.9359999999999999</v>
      </c>
    </row>
    <row r="559" spans="1:20" x14ac:dyDescent="0.3">
      <c r="A559" s="11">
        <v>558</v>
      </c>
      <c r="B559" s="10">
        <v>41436</v>
      </c>
      <c r="C559" s="11">
        <v>2013</v>
      </c>
      <c r="D559" s="12" t="s">
        <v>33</v>
      </c>
      <c r="E559" s="10">
        <v>41441</v>
      </c>
      <c r="F559" s="11">
        <f t="shared" si="8"/>
        <v>5</v>
      </c>
      <c r="G559" s="11" t="s">
        <v>44</v>
      </c>
      <c r="H559" s="11" t="s">
        <v>934</v>
      </c>
      <c r="I559" s="11" t="s">
        <v>24</v>
      </c>
      <c r="J559" s="11" t="s">
        <v>1097</v>
      </c>
      <c r="K559" s="11" t="s">
        <v>36</v>
      </c>
      <c r="L559" s="11" t="s">
        <v>37</v>
      </c>
      <c r="M559" s="11" t="s">
        <v>38</v>
      </c>
      <c r="N559" s="11" t="s">
        <v>28</v>
      </c>
      <c r="O559" s="11" t="s">
        <v>48</v>
      </c>
      <c r="P559" s="11" t="s">
        <v>936</v>
      </c>
      <c r="Q559" s="13">
        <v>1335.68</v>
      </c>
      <c r="R559" s="11">
        <v>4</v>
      </c>
      <c r="S559" s="28">
        <v>0.2</v>
      </c>
      <c r="T559" s="13">
        <v>-217.048</v>
      </c>
    </row>
    <row r="560" spans="1:20" x14ac:dyDescent="0.3">
      <c r="A560" s="11">
        <v>559</v>
      </c>
      <c r="B560" s="10">
        <v>41436</v>
      </c>
      <c r="C560" s="11">
        <v>2013</v>
      </c>
      <c r="D560" s="12" t="s">
        <v>33</v>
      </c>
      <c r="E560" s="10">
        <v>41441</v>
      </c>
      <c r="F560" s="11">
        <f t="shared" si="8"/>
        <v>5</v>
      </c>
      <c r="G560" s="11" t="s">
        <v>44</v>
      </c>
      <c r="H560" s="11" t="s">
        <v>934</v>
      </c>
      <c r="I560" s="11" t="s">
        <v>24</v>
      </c>
      <c r="J560" s="11" t="s">
        <v>1097</v>
      </c>
      <c r="K560" s="11" t="s">
        <v>36</v>
      </c>
      <c r="L560" s="11" t="s">
        <v>37</v>
      </c>
      <c r="M560" s="11" t="s">
        <v>38</v>
      </c>
      <c r="N560" s="11" t="s">
        <v>39</v>
      </c>
      <c r="O560" s="11" t="s">
        <v>72</v>
      </c>
      <c r="P560" s="11" t="s">
        <v>937</v>
      </c>
      <c r="Q560" s="13">
        <v>32.4</v>
      </c>
      <c r="R560" s="11">
        <v>5</v>
      </c>
      <c r="S560" s="28">
        <v>0</v>
      </c>
      <c r="T560" s="13">
        <v>15.552</v>
      </c>
    </row>
    <row r="561" spans="1:20" x14ac:dyDescent="0.3">
      <c r="A561" s="11">
        <v>560</v>
      </c>
      <c r="B561" s="10">
        <v>41964</v>
      </c>
      <c r="C561" s="11">
        <v>2014</v>
      </c>
      <c r="D561" s="12" t="s">
        <v>21</v>
      </c>
      <c r="E561" s="10">
        <v>41966</v>
      </c>
      <c r="F561" s="11">
        <f t="shared" si="8"/>
        <v>2</v>
      </c>
      <c r="G561" s="11" t="s">
        <v>22</v>
      </c>
      <c r="H561" s="11" t="s">
        <v>938</v>
      </c>
      <c r="I561" s="11" t="s">
        <v>24</v>
      </c>
      <c r="J561" s="11" t="s">
        <v>1097</v>
      </c>
      <c r="K561" s="11" t="s">
        <v>97</v>
      </c>
      <c r="L561" s="11" t="s">
        <v>37</v>
      </c>
      <c r="M561" s="11" t="s">
        <v>38</v>
      </c>
      <c r="N561" s="11" t="s">
        <v>28</v>
      </c>
      <c r="O561" s="11" t="s">
        <v>54</v>
      </c>
      <c r="P561" s="11" t="s">
        <v>757</v>
      </c>
      <c r="Q561" s="13">
        <v>42.6</v>
      </c>
      <c r="R561" s="11">
        <v>3</v>
      </c>
      <c r="S561" s="28">
        <v>0</v>
      </c>
      <c r="T561" s="13">
        <v>16.614000000000001</v>
      </c>
    </row>
    <row r="562" spans="1:20" x14ac:dyDescent="0.3">
      <c r="A562" s="11">
        <v>561</v>
      </c>
      <c r="B562" s="10">
        <v>41964</v>
      </c>
      <c r="C562" s="11">
        <v>2014</v>
      </c>
      <c r="D562" s="12" t="s">
        <v>21</v>
      </c>
      <c r="E562" s="10">
        <v>41966</v>
      </c>
      <c r="F562" s="11">
        <f t="shared" si="8"/>
        <v>2</v>
      </c>
      <c r="G562" s="11" t="s">
        <v>22</v>
      </c>
      <c r="H562" s="11" t="s">
        <v>938</v>
      </c>
      <c r="I562" s="11" t="s">
        <v>24</v>
      </c>
      <c r="J562" s="11" t="s">
        <v>1097</v>
      </c>
      <c r="K562" s="11" t="s">
        <v>97</v>
      </c>
      <c r="L562" s="11" t="s">
        <v>37</v>
      </c>
      <c r="M562" s="11" t="s">
        <v>38</v>
      </c>
      <c r="N562" s="11" t="s">
        <v>39</v>
      </c>
      <c r="O562" s="11" t="s">
        <v>61</v>
      </c>
      <c r="P562" s="11" t="s">
        <v>939</v>
      </c>
      <c r="Q562" s="13">
        <v>84.055999999999997</v>
      </c>
      <c r="R562" s="11">
        <v>7</v>
      </c>
      <c r="S562" s="28">
        <v>0.2</v>
      </c>
      <c r="T562" s="13">
        <v>27.318200000000001</v>
      </c>
    </row>
    <row r="563" spans="1:20" x14ac:dyDescent="0.3">
      <c r="A563" s="11">
        <v>562</v>
      </c>
      <c r="B563" s="10">
        <v>40800</v>
      </c>
      <c r="C563" s="11">
        <v>2011</v>
      </c>
      <c r="D563" s="12" t="s">
        <v>112</v>
      </c>
      <c r="E563" s="10">
        <v>40804</v>
      </c>
      <c r="F563" s="11">
        <f t="shared" si="8"/>
        <v>4</v>
      </c>
      <c r="G563" s="11" t="s">
        <v>22</v>
      </c>
      <c r="H563" s="11" t="s">
        <v>940</v>
      </c>
      <c r="I563" s="11" t="s">
        <v>24</v>
      </c>
      <c r="J563" s="11" t="s">
        <v>1097</v>
      </c>
      <c r="K563" s="11" t="s">
        <v>482</v>
      </c>
      <c r="L563" s="11" t="s">
        <v>47</v>
      </c>
      <c r="M563" s="11" t="s">
        <v>27</v>
      </c>
      <c r="N563" s="11" t="s">
        <v>39</v>
      </c>
      <c r="O563" s="11" t="s">
        <v>63</v>
      </c>
      <c r="P563" s="11" t="s">
        <v>941</v>
      </c>
      <c r="Q563" s="13">
        <v>13</v>
      </c>
      <c r="R563" s="11">
        <v>5</v>
      </c>
      <c r="S563" s="28">
        <v>0.2</v>
      </c>
      <c r="T563" s="13">
        <v>1.3</v>
      </c>
    </row>
    <row r="564" spans="1:20" x14ac:dyDescent="0.3">
      <c r="A564" s="11">
        <v>563</v>
      </c>
      <c r="B564" s="10">
        <v>40800</v>
      </c>
      <c r="C564" s="11">
        <v>2011</v>
      </c>
      <c r="D564" s="12" t="s">
        <v>112</v>
      </c>
      <c r="E564" s="10">
        <v>40804</v>
      </c>
      <c r="F564" s="11">
        <f t="shared" si="8"/>
        <v>4</v>
      </c>
      <c r="G564" s="11" t="s">
        <v>22</v>
      </c>
      <c r="H564" s="11" t="s">
        <v>940</v>
      </c>
      <c r="I564" s="11" t="s">
        <v>24</v>
      </c>
      <c r="J564" s="11" t="s">
        <v>1097</v>
      </c>
      <c r="K564" s="11" t="s">
        <v>482</v>
      </c>
      <c r="L564" s="11" t="s">
        <v>47</v>
      </c>
      <c r="M564" s="11" t="s">
        <v>27</v>
      </c>
      <c r="N564" s="11" t="s">
        <v>28</v>
      </c>
      <c r="O564" s="11" t="s">
        <v>54</v>
      </c>
      <c r="P564" s="11" t="s">
        <v>942</v>
      </c>
      <c r="Q564" s="13">
        <v>13.128</v>
      </c>
      <c r="R564" s="11">
        <v>3</v>
      </c>
      <c r="S564" s="28">
        <v>0.2</v>
      </c>
      <c r="T564" s="13">
        <v>3.7743000000000002</v>
      </c>
    </row>
    <row r="565" spans="1:20" x14ac:dyDescent="0.3">
      <c r="A565" s="11">
        <v>564</v>
      </c>
      <c r="B565" s="10">
        <v>41250</v>
      </c>
      <c r="C565" s="11">
        <v>2012</v>
      </c>
      <c r="D565" s="12" t="s">
        <v>74</v>
      </c>
      <c r="E565" s="10">
        <v>41252</v>
      </c>
      <c r="F565" s="11">
        <f t="shared" si="8"/>
        <v>2</v>
      </c>
      <c r="G565" s="11" t="s">
        <v>132</v>
      </c>
      <c r="H565" s="11" t="s">
        <v>943</v>
      </c>
      <c r="I565" s="11" t="s">
        <v>24</v>
      </c>
      <c r="J565" s="11" t="s">
        <v>1097</v>
      </c>
      <c r="K565" s="11" t="s">
        <v>76</v>
      </c>
      <c r="L565" s="11" t="s">
        <v>77</v>
      </c>
      <c r="M565" s="11" t="s">
        <v>38</v>
      </c>
      <c r="N565" s="11" t="s">
        <v>39</v>
      </c>
      <c r="O565" s="11" t="s">
        <v>176</v>
      </c>
      <c r="P565" s="11" t="s">
        <v>944</v>
      </c>
      <c r="Q565" s="13">
        <v>3.96</v>
      </c>
      <c r="R565" s="11">
        <v>2</v>
      </c>
      <c r="S565" s="28">
        <v>0</v>
      </c>
      <c r="T565" s="13">
        <v>0</v>
      </c>
    </row>
    <row r="566" spans="1:20" x14ac:dyDescent="0.3">
      <c r="A566" s="11">
        <v>565</v>
      </c>
      <c r="B566" s="10">
        <v>41250</v>
      </c>
      <c r="C566" s="11">
        <v>2012</v>
      </c>
      <c r="D566" s="12" t="s">
        <v>74</v>
      </c>
      <c r="E566" s="10">
        <v>41252</v>
      </c>
      <c r="F566" s="11">
        <f t="shared" si="8"/>
        <v>2</v>
      </c>
      <c r="G566" s="11" t="s">
        <v>132</v>
      </c>
      <c r="H566" s="11" t="s">
        <v>943</v>
      </c>
      <c r="I566" s="11" t="s">
        <v>24</v>
      </c>
      <c r="J566" s="11" t="s">
        <v>1097</v>
      </c>
      <c r="K566" s="11" t="s">
        <v>76</v>
      </c>
      <c r="L566" s="11" t="s">
        <v>77</v>
      </c>
      <c r="M566" s="11" t="s">
        <v>38</v>
      </c>
      <c r="N566" s="11" t="s">
        <v>39</v>
      </c>
      <c r="O566" s="11" t="s">
        <v>40</v>
      </c>
      <c r="P566" s="11" t="s">
        <v>593</v>
      </c>
      <c r="Q566" s="13">
        <v>2.61</v>
      </c>
      <c r="R566" s="11">
        <v>1</v>
      </c>
      <c r="S566" s="28">
        <v>0</v>
      </c>
      <c r="T566" s="13">
        <v>1.2005999999999999</v>
      </c>
    </row>
    <row r="567" spans="1:20" x14ac:dyDescent="0.3">
      <c r="A567" s="11">
        <v>566</v>
      </c>
      <c r="B567" s="10">
        <v>41981</v>
      </c>
      <c r="C567" s="11">
        <v>2014</v>
      </c>
      <c r="D567" s="12" t="s">
        <v>74</v>
      </c>
      <c r="E567" s="10">
        <v>41984</v>
      </c>
      <c r="F567" s="11">
        <f t="shared" si="8"/>
        <v>3</v>
      </c>
      <c r="G567" s="11" t="s">
        <v>132</v>
      </c>
      <c r="H567" s="11" t="s">
        <v>945</v>
      </c>
      <c r="I567" s="11" t="s">
        <v>24</v>
      </c>
      <c r="J567" s="11" t="s">
        <v>1097</v>
      </c>
      <c r="K567" s="11" t="s">
        <v>36</v>
      </c>
      <c r="L567" s="11" t="s">
        <v>37</v>
      </c>
      <c r="M567" s="11" t="s">
        <v>38</v>
      </c>
      <c r="N567" s="11" t="s">
        <v>58</v>
      </c>
      <c r="O567" s="11" t="s">
        <v>59</v>
      </c>
      <c r="P567" s="11" t="s">
        <v>946</v>
      </c>
      <c r="Q567" s="13">
        <v>374.37599999999998</v>
      </c>
      <c r="R567" s="11">
        <v>3</v>
      </c>
      <c r="S567" s="28">
        <v>0.2</v>
      </c>
      <c r="T567" s="13">
        <v>46.796999999999997</v>
      </c>
    </row>
    <row r="568" spans="1:20" x14ac:dyDescent="0.3">
      <c r="A568" s="11">
        <v>567</v>
      </c>
      <c r="B568" s="10">
        <v>41914</v>
      </c>
      <c r="C568" s="11">
        <v>2014</v>
      </c>
      <c r="D568" s="12" t="s">
        <v>43</v>
      </c>
      <c r="E568" s="10">
        <v>41921</v>
      </c>
      <c r="F568" s="11">
        <f t="shared" si="8"/>
        <v>7</v>
      </c>
      <c r="G568" s="11" t="s">
        <v>44</v>
      </c>
      <c r="H568" s="11" t="s">
        <v>947</v>
      </c>
      <c r="I568" s="11" t="s">
        <v>35</v>
      </c>
      <c r="J568" s="11" t="s">
        <v>1097</v>
      </c>
      <c r="K568" s="11" t="s">
        <v>76</v>
      </c>
      <c r="L568" s="11" t="s">
        <v>77</v>
      </c>
      <c r="M568" s="11" t="s">
        <v>38</v>
      </c>
      <c r="N568" s="11" t="s">
        <v>39</v>
      </c>
      <c r="O568" s="11" t="s">
        <v>72</v>
      </c>
      <c r="P568" s="11" t="s">
        <v>948</v>
      </c>
      <c r="Q568" s="13">
        <v>91.84</v>
      </c>
      <c r="R568" s="11">
        <v>8</v>
      </c>
      <c r="S568" s="28">
        <v>0</v>
      </c>
      <c r="T568" s="13">
        <v>45.001600000000003</v>
      </c>
    </row>
    <row r="569" spans="1:20" x14ac:dyDescent="0.3">
      <c r="A569" s="11">
        <v>568</v>
      </c>
      <c r="B569" s="10">
        <v>41914</v>
      </c>
      <c r="C569" s="11">
        <v>2014</v>
      </c>
      <c r="D569" s="12" t="s">
        <v>43</v>
      </c>
      <c r="E569" s="10">
        <v>41921</v>
      </c>
      <c r="F569" s="11">
        <f t="shared" si="8"/>
        <v>7</v>
      </c>
      <c r="G569" s="11" t="s">
        <v>44</v>
      </c>
      <c r="H569" s="11" t="s">
        <v>947</v>
      </c>
      <c r="I569" s="11" t="s">
        <v>35</v>
      </c>
      <c r="J569" s="11" t="s">
        <v>1097</v>
      </c>
      <c r="K569" s="11" t="s">
        <v>76</v>
      </c>
      <c r="L569" s="11" t="s">
        <v>77</v>
      </c>
      <c r="M569" s="11" t="s">
        <v>38</v>
      </c>
      <c r="N569" s="11" t="s">
        <v>39</v>
      </c>
      <c r="O569" s="11" t="s">
        <v>61</v>
      </c>
      <c r="P569" s="11" t="s">
        <v>949</v>
      </c>
      <c r="Q569" s="13">
        <v>81.087999999999994</v>
      </c>
      <c r="R569" s="11">
        <v>7</v>
      </c>
      <c r="S569" s="28">
        <v>0.2</v>
      </c>
      <c r="T569" s="13">
        <v>27.3672</v>
      </c>
    </row>
    <row r="570" spans="1:20" x14ac:dyDescent="0.3">
      <c r="A570" s="11">
        <v>569</v>
      </c>
      <c r="B570" s="10">
        <v>41914</v>
      </c>
      <c r="C570" s="11">
        <v>2014</v>
      </c>
      <c r="D570" s="12" t="s">
        <v>43</v>
      </c>
      <c r="E570" s="10">
        <v>41921</v>
      </c>
      <c r="F570" s="11">
        <f t="shared" si="8"/>
        <v>7</v>
      </c>
      <c r="G570" s="11" t="s">
        <v>44</v>
      </c>
      <c r="H570" s="11" t="s">
        <v>947</v>
      </c>
      <c r="I570" s="11" t="s">
        <v>35</v>
      </c>
      <c r="J570" s="11" t="s">
        <v>1097</v>
      </c>
      <c r="K570" s="11" t="s">
        <v>76</v>
      </c>
      <c r="L570" s="11" t="s">
        <v>77</v>
      </c>
      <c r="M570" s="11" t="s">
        <v>38</v>
      </c>
      <c r="N570" s="11" t="s">
        <v>39</v>
      </c>
      <c r="O570" s="11" t="s">
        <v>72</v>
      </c>
      <c r="P570" s="11" t="s">
        <v>950</v>
      </c>
      <c r="Q570" s="13">
        <v>19.440000000000001</v>
      </c>
      <c r="R570" s="11">
        <v>3</v>
      </c>
      <c r="S570" s="28">
        <v>0</v>
      </c>
      <c r="T570" s="13">
        <v>9.3312000000000008</v>
      </c>
    </row>
    <row r="571" spans="1:20" x14ac:dyDescent="0.3">
      <c r="A571" s="11">
        <v>570</v>
      </c>
      <c r="B571" s="10">
        <v>41914</v>
      </c>
      <c r="C571" s="11">
        <v>2014</v>
      </c>
      <c r="D571" s="12" t="s">
        <v>43</v>
      </c>
      <c r="E571" s="10">
        <v>41921</v>
      </c>
      <c r="F571" s="11">
        <f t="shared" si="8"/>
        <v>7</v>
      </c>
      <c r="G571" s="11" t="s">
        <v>44</v>
      </c>
      <c r="H571" s="11" t="s">
        <v>947</v>
      </c>
      <c r="I571" s="11" t="s">
        <v>35</v>
      </c>
      <c r="J571" s="11" t="s">
        <v>1097</v>
      </c>
      <c r="K571" s="11" t="s">
        <v>76</v>
      </c>
      <c r="L571" s="11" t="s">
        <v>77</v>
      </c>
      <c r="M571" s="11" t="s">
        <v>38</v>
      </c>
      <c r="N571" s="11" t="s">
        <v>28</v>
      </c>
      <c r="O571" s="11" t="s">
        <v>31</v>
      </c>
      <c r="P571" s="11" t="s">
        <v>951</v>
      </c>
      <c r="Q571" s="13">
        <v>451.15199999999999</v>
      </c>
      <c r="R571" s="11">
        <v>3</v>
      </c>
      <c r="S571" s="28">
        <v>0.2</v>
      </c>
      <c r="T571" s="13">
        <v>0</v>
      </c>
    </row>
    <row r="572" spans="1:20" x14ac:dyDescent="0.3">
      <c r="A572" s="11">
        <v>571</v>
      </c>
      <c r="B572" s="10">
        <v>42002</v>
      </c>
      <c r="C572" s="11">
        <v>2014</v>
      </c>
      <c r="D572" s="12" t="s">
        <v>74</v>
      </c>
      <c r="E572" s="10">
        <v>42009</v>
      </c>
      <c r="F572" s="11">
        <f t="shared" si="8"/>
        <v>7</v>
      </c>
      <c r="G572" s="11" t="s">
        <v>44</v>
      </c>
      <c r="H572" s="11" t="s">
        <v>952</v>
      </c>
      <c r="I572" s="11" t="s">
        <v>24</v>
      </c>
      <c r="J572" s="11" t="s">
        <v>1097</v>
      </c>
      <c r="K572" s="11" t="s">
        <v>174</v>
      </c>
      <c r="L572" s="11" t="s">
        <v>175</v>
      </c>
      <c r="M572" s="11" t="s">
        <v>110</v>
      </c>
      <c r="N572" s="11" t="s">
        <v>39</v>
      </c>
      <c r="O572" s="11" t="s">
        <v>40</v>
      </c>
      <c r="P572" s="11" t="s">
        <v>935</v>
      </c>
      <c r="Q572" s="13">
        <v>72.45</v>
      </c>
      <c r="R572" s="11">
        <v>7</v>
      </c>
      <c r="S572" s="28">
        <v>0</v>
      </c>
      <c r="T572" s="13">
        <v>34.776000000000003</v>
      </c>
    </row>
    <row r="573" spans="1:20" x14ac:dyDescent="0.3">
      <c r="A573" s="11">
        <v>572</v>
      </c>
      <c r="B573" s="10">
        <v>42002</v>
      </c>
      <c r="C573" s="11">
        <v>2014</v>
      </c>
      <c r="D573" s="12" t="s">
        <v>74</v>
      </c>
      <c r="E573" s="10">
        <v>42009</v>
      </c>
      <c r="F573" s="11">
        <f t="shared" si="8"/>
        <v>7</v>
      </c>
      <c r="G573" s="11" t="s">
        <v>44</v>
      </c>
      <c r="H573" s="11" t="s">
        <v>952</v>
      </c>
      <c r="I573" s="11" t="s">
        <v>24</v>
      </c>
      <c r="J573" s="11" t="s">
        <v>1097</v>
      </c>
      <c r="K573" s="11" t="s">
        <v>174</v>
      </c>
      <c r="L573" s="11" t="s">
        <v>175</v>
      </c>
      <c r="M573" s="11" t="s">
        <v>110</v>
      </c>
      <c r="N573" s="11" t="s">
        <v>39</v>
      </c>
      <c r="O573" s="11" t="s">
        <v>176</v>
      </c>
      <c r="P573" s="11" t="s">
        <v>467</v>
      </c>
      <c r="Q573" s="13">
        <v>13.96</v>
      </c>
      <c r="R573" s="11">
        <v>4</v>
      </c>
      <c r="S573" s="28">
        <v>0</v>
      </c>
      <c r="T573" s="13">
        <v>6.4215999999999998</v>
      </c>
    </row>
    <row r="574" spans="1:20" x14ac:dyDescent="0.3">
      <c r="A574" s="11">
        <v>573</v>
      </c>
      <c r="B574" s="10">
        <v>42002</v>
      </c>
      <c r="C574" s="11">
        <v>2014</v>
      </c>
      <c r="D574" s="12" t="s">
        <v>74</v>
      </c>
      <c r="E574" s="10">
        <v>42009</v>
      </c>
      <c r="F574" s="11">
        <f t="shared" si="8"/>
        <v>7</v>
      </c>
      <c r="G574" s="11" t="s">
        <v>44</v>
      </c>
      <c r="H574" s="11" t="s">
        <v>952</v>
      </c>
      <c r="I574" s="11" t="s">
        <v>24</v>
      </c>
      <c r="J574" s="11" t="s">
        <v>1097</v>
      </c>
      <c r="K574" s="11" t="s">
        <v>174</v>
      </c>
      <c r="L574" s="11" t="s">
        <v>175</v>
      </c>
      <c r="M574" s="11" t="s">
        <v>110</v>
      </c>
      <c r="N574" s="11" t="s">
        <v>39</v>
      </c>
      <c r="O574" s="11" t="s">
        <v>61</v>
      </c>
      <c r="P574" s="11" t="s">
        <v>627</v>
      </c>
      <c r="Q574" s="13">
        <v>33.264000000000003</v>
      </c>
      <c r="R574" s="11">
        <v>7</v>
      </c>
      <c r="S574" s="28">
        <v>0.2</v>
      </c>
      <c r="T574" s="13">
        <v>11.226599999999999</v>
      </c>
    </row>
    <row r="575" spans="1:20" x14ac:dyDescent="0.3">
      <c r="A575" s="11">
        <v>574</v>
      </c>
      <c r="B575" s="10">
        <v>42002</v>
      </c>
      <c r="C575" s="11">
        <v>2014</v>
      </c>
      <c r="D575" s="12" t="s">
        <v>74</v>
      </c>
      <c r="E575" s="10">
        <v>42009</v>
      </c>
      <c r="F575" s="11">
        <f t="shared" si="8"/>
        <v>7</v>
      </c>
      <c r="G575" s="11" t="s">
        <v>44</v>
      </c>
      <c r="H575" s="11" t="s">
        <v>952</v>
      </c>
      <c r="I575" s="11" t="s">
        <v>24</v>
      </c>
      <c r="J575" s="11" t="s">
        <v>1097</v>
      </c>
      <c r="K575" s="11" t="s">
        <v>174</v>
      </c>
      <c r="L575" s="11" t="s">
        <v>175</v>
      </c>
      <c r="M575" s="11" t="s">
        <v>110</v>
      </c>
      <c r="N575" s="11" t="s">
        <v>58</v>
      </c>
      <c r="O575" s="11" t="s">
        <v>59</v>
      </c>
      <c r="P575" s="11" t="s">
        <v>953</v>
      </c>
      <c r="Q575" s="13">
        <v>14.85</v>
      </c>
      <c r="R575" s="11">
        <v>3</v>
      </c>
      <c r="S575" s="28">
        <v>0</v>
      </c>
      <c r="T575" s="13">
        <v>4.0095000000000001</v>
      </c>
    </row>
    <row r="576" spans="1:20" x14ac:dyDescent="0.3">
      <c r="A576" s="11">
        <v>575</v>
      </c>
      <c r="B576" s="10">
        <v>41582</v>
      </c>
      <c r="C576" s="11">
        <v>2013</v>
      </c>
      <c r="D576" s="12" t="s">
        <v>21</v>
      </c>
      <c r="E576" s="10">
        <v>41586</v>
      </c>
      <c r="F576" s="11">
        <f t="shared" si="8"/>
        <v>4</v>
      </c>
      <c r="G576" s="11" t="s">
        <v>44</v>
      </c>
      <c r="H576" s="11" t="s">
        <v>954</v>
      </c>
      <c r="I576" s="11" t="s">
        <v>24</v>
      </c>
      <c r="J576" s="11" t="s">
        <v>1097</v>
      </c>
      <c r="K576" s="11" t="s">
        <v>955</v>
      </c>
      <c r="L576" s="11" t="s">
        <v>77</v>
      </c>
      <c r="M576" s="11" t="s">
        <v>38</v>
      </c>
      <c r="N576" s="11" t="s">
        <v>39</v>
      </c>
      <c r="O576" s="11" t="s">
        <v>56</v>
      </c>
      <c r="P576" s="11" t="s">
        <v>956</v>
      </c>
      <c r="Q576" s="13">
        <v>8.82</v>
      </c>
      <c r="R576" s="11">
        <v>3</v>
      </c>
      <c r="S576" s="28">
        <v>0</v>
      </c>
      <c r="T576" s="13">
        <v>2.3814000000000002</v>
      </c>
    </row>
    <row r="577" spans="1:20" x14ac:dyDescent="0.3">
      <c r="A577" s="11">
        <v>576</v>
      </c>
      <c r="B577" s="10">
        <v>41170</v>
      </c>
      <c r="C577" s="11">
        <v>2012</v>
      </c>
      <c r="D577" s="12" t="s">
        <v>112</v>
      </c>
      <c r="E577" s="10">
        <v>41174</v>
      </c>
      <c r="F577" s="11">
        <f t="shared" si="8"/>
        <v>4</v>
      </c>
      <c r="G577" s="11" t="s">
        <v>22</v>
      </c>
      <c r="H577" s="11" t="s">
        <v>957</v>
      </c>
      <c r="I577" s="11" t="s">
        <v>24</v>
      </c>
      <c r="J577" s="11" t="s">
        <v>1097</v>
      </c>
      <c r="K577" s="11" t="s">
        <v>608</v>
      </c>
      <c r="L577" s="11" t="s">
        <v>37</v>
      </c>
      <c r="M577" s="11" t="s">
        <v>38</v>
      </c>
      <c r="N577" s="11" t="s">
        <v>39</v>
      </c>
      <c r="O577" s="11" t="s">
        <v>72</v>
      </c>
      <c r="P577" s="11" t="s">
        <v>948</v>
      </c>
      <c r="Q577" s="13">
        <v>160.72</v>
      </c>
      <c r="R577" s="11">
        <v>14</v>
      </c>
      <c r="S577" s="28">
        <v>0</v>
      </c>
      <c r="T577" s="13">
        <v>78.752799999999993</v>
      </c>
    </row>
    <row r="578" spans="1:20" x14ac:dyDescent="0.3">
      <c r="A578" s="11">
        <v>577</v>
      </c>
      <c r="B578" s="10">
        <v>41170</v>
      </c>
      <c r="C578" s="11">
        <v>2012</v>
      </c>
      <c r="D578" s="12" t="s">
        <v>112</v>
      </c>
      <c r="E578" s="10">
        <v>41174</v>
      </c>
      <c r="F578" s="11">
        <f t="shared" ref="F578:F641" si="9">_xlfn.DAYS(E578,B578)</f>
        <v>4</v>
      </c>
      <c r="G578" s="11" t="s">
        <v>22</v>
      </c>
      <c r="H578" s="11" t="s">
        <v>957</v>
      </c>
      <c r="I578" s="11" t="s">
        <v>24</v>
      </c>
      <c r="J578" s="11" t="s">
        <v>1097</v>
      </c>
      <c r="K578" s="11" t="s">
        <v>608</v>
      </c>
      <c r="L578" s="11" t="s">
        <v>37</v>
      </c>
      <c r="M578" s="11" t="s">
        <v>38</v>
      </c>
      <c r="N578" s="11" t="s">
        <v>39</v>
      </c>
      <c r="O578" s="11" t="s">
        <v>72</v>
      </c>
      <c r="P578" s="11" t="s">
        <v>958</v>
      </c>
      <c r="Q578" s="13">
        <v>19.920000000000002</v>
      </c>
      <c r="R578" s="11">
        <v>4</v>
      </c>
      <c r="S578" s="28">
        <v>0</v>
      </c>
      <c r="T578" s="13">
        <v>9.7607999999999997</v>
      </c>
    </row>
    <row r="579" spans="1:20" x14ac:dyDescent="0.3">
      <c r="A579" s="11">
        <v>578</v>
      </c>
      <c r="B579" s="10">
        <v>41170</v>
      </c>
      <c r="C579" s="11">
        <v>2012</v>
      </c>
      <c r="D579" s="12" t="s">
        <v>112</v>
      </c>
      <c r="E579" s="10">
        <v>41174</v>
      </c>
      <c r="F579" s="11">
        <f t="shared" si="9"/>
        <v>4</v>
      </c>
      <c r="G579" s="11" t="s">
        <v>22</v>
      </c>
      <c r="H579" s="11" t="s">
        <v>957</v>
      </c>
      <c r="I579" s="11" t="s">
        <v>24</v>
      </c>
      <c r="J579" s="11" t="s">
        <v>1097</v>
      </c>
      <c r="K579" s="11" t="s">
        <v>608</v>
      </c>
      <c r="L579" s="11" t="s">
        <v>37</v>
      </c>
      <c r="M579" s="11" t="s">
        <v>38</v>
      </c>
      <c r="N579" s="11" t="s">
        <v>39</v>
      </c>
      <c r="O579" s="11" t="s">
        <v>328</v>
      </c>
      <c r="P579" s="11" t="s">
        <v>959</v>
      </c>
      <c r="Q579" s="13">
        <v>7.3</v>
      </c>
      <c r="R579" s="11">
        <v>2</v>
      </c>
      <c r="S579" s="28">
        <v>0</v>
      </c>
      <c r="T579" s="13">
        <v>2.19</v>
      </c>
    </row>
    <row r="580" spans="1:20" x14ac:dyDescent="0.3">
      <c r="A580" s="11">
        <v>579</v>
      </c>
      <c r="B580" s="10">
        <v>41841</v>
      </c>
      <c r="C580" s="11">
        <v>2014</v>
      </c>
      <c r="D580" s="12" t="s">
        <v>106</v>
      </c>
      <c r="E580" s="10">
        <v>41847</v>
      </c>
      <c r="F580" s="11">
        <f t="shared" si="9"/>
        <v>6</v>
      </c>
      <c r="G580" s="11" t="s">
        <v>44</v>
      </c>
      <c r="H580" s="11" t="s">
        <v>960</v>
      </c>
      <c r="I580" s="11" t="s">
        <v>24</v>
      </c>
      <c r="J580" s="11" t="s">
        <v>1097</v>
      </c>
      <c r="K580" s="11" t="s">
        <v>193</v>
      </c>
      <c r="L580" s="11" t="s">
        <v>144</v>
      </c>
      <c r="M580" s="11" t="s">
        <v>83</v>
      </c>
      <c r="N580" s="11" t="s">
        <v>39</v>
      </c>
      <c r="O580" s="11" t="s">
        <v>50</v>
      </c>
      <c r="P580" s="11" t="s">
        <v>313</v>
      </c>
      <c r="Q580" s="13">
        <v>69.712000000000003</v>
      </c>
      <c r="R580" s="11">
        <v>2</v>
      </c>
      <c r="S580" s="28">
        <v>0.2</v>
      </c>
      <c r="T580" s="13">
        <v>8.7140000000000004</v>
      </c>
    </row>
    <row r="581" spans="1:20" x14ac:dyDescent="0.3">
      <c r="A581" s="11">
        <v>580</v>
      </c>
      <c r="B581" s="10">
        <v>41841</v>
      </c>
      <c r="C581" s="11">
        <v>2014</v>
      </c>
      <c r="D581" s="12" t="s">
        <v>106</v>
      </c>
      <c r="E581" s="10">
        <v>41847</v>
      </c>
      <c r="F581" s="11">
        <f t="shared" si="9"/>
        <v>6</v>
      </c>
      <c r="G581" s="11" t="s">
        <v>44</v>
      </c>
      <c r="H581" s="11" t="s">
        <v>960</v>
      </c>
      <c r="I581" s="11" t="s">
        <v>24</v>
      </c>
      <c r="J581" s="11" t="s">
        <v>1097</v>
      </c>
      <c r="K581" s="11" t="s">
        <v>193</v>
      </c>
      <c r="L581" s="11" t="s">
        <v>144</v>
      </c>
      <c r="M581" s="11" t="s">
        <v>83</v>
      </c>
      <c r="N581" s="11" t="s">
        <v>28</v>
      </c>
      <c r="O581" s="11" t="s">
        <v>54</v>
      </c>
      <c r="P581" s="11" t="s">
        <v>961</v>
      </c>
      <c r="Q581" s="13">
        <v>8.7919999999999998</v>
      </c>
      <c r="R581" s="11">
        <v>1</v>
      </c>
      <c r="S581" s="28">
        <v>0.6</v>
      </c>
      <c r="T581" s="13">
        <v>-5.7148000000000003</v>
      </c>
    </row>
    <row r="582" spans="1:20" x14ac:dyDescent="0.3">
      <c r="A582" s="11">
        <v>581</v>
      </c>
      <c r="B582" s="10">
        <v>41162</v>
      </c>
      <c r="C582" s="11">
        <v>2012</v>
      </c>
      <c r="D582" s="12" t="s">
        <v>112</v>
      </c>
      <c r="E582" s="10">
        <v>41166</v>
      </c>
      <c r="F582" s="11">
        <f t="shared" si="9"/>
        <v>4</v>
      </c>
      <c r="G582" s="11" t="s">
        <v>44</v>
      </c>
      <c r="H582" s="11" t="s">
        <v>962</v>
      </c>
      <c r="I582" s="11" t="s">
        <v>24</v>
      </c>
      <c r="J582" s="11" t="s">
        <v>1097</v>
      </c>
      <c r="K582" s="11" t="s">
        <v>36</v>
      </c>
      <c r="L582" s="11" t="s">
        <v>37</v>
      </c>
      <c r="M582" s="11" t="s">
        <v>38</v>
      </c>
      <c r="N582" s="11" t="s">
        <v>39</v>
      </c>
      <c r="O582" s="11" t="s">
        <v>328</v>
      </c>
      <c r="P582" s="11" t="s">
        <v>963</v>
      </c>
      <c r="Q582" s="13">
        <v>51.52</v>
      </c>
      <c r="R582" s="11">
        <v>4</v>
      </c>
      <c r="S582" s="28">
        <v>0</v>
      </c>
      <c r="T582" s="13">
        <v>1.5456000000000001</v>
      </c>
    </row>
    <row r="583" spans="1:20" x14ac:dyDescent="0.3">
      <c r="A583" s="11">
        <v>582</v>
      </c>
      <c r="B583" s="10">
        <v>41975</v>
      </c>
      <c r="C583" s="11">
        <v>2014</v>
      </c>
      <c r="D583" s="12" t="s">
        <v>74</v>
      </c>
      <c r="E583" s="10">
        <v>41979</v>
      </c>
      <c r="F583" s="11">
        <f t="shared" si="9"/>
        <v>4</v>
      </c>
      <c r="G583" s="11" t="s">
        <v>44</v>
      </c>
      <c r="H583" s="11" t="s">
        <v>964</v>
      </c>
      <c r="I583" s="11" t="s">
        <v>24</v>
      </c>
      <c r="J583" s="11" t="s">
        <v>1097</v>
      </c>
      <c r="K583" s="11" t="s">
        <v>438</v>
      </c>
      <c r="L583" s="11" t="s">
        <v>268</v>
      </c>
      <c r="M583" s="11" t="s">
        <v>38</v>
      </c>
      <c r="N583" s="11" t="s">
        <v>58</v>
      </c>
      <c r="O583" s="11" t="s">
        <v>59</v>
      </c>
      <c r="P583" s="11" t="s">
        <v>135</v>
      </c>
      <c r="Q583" s="13">
        <v>470.37599999999998</v>
      </c>
      <c r="R583" s="11">
        <v>3</v>
      </c>
      <c r="S583" s="28">
        <v>0.2</v>
      </c>
      <c r="T583" s="13">
        <v>52.917299999999997</v>
      </c>
    </row>
    <row r="584" spans="1:20" x14ac:dyDescent="0.3">
      <c r="A584" s="11">
        <v>583</v>
      </c>
      <c r="B584" s="10">
        <v>41975</v>
      </c>
      <c r="C584" s="11">
        <v>2014</v>
      </c>
      <c r="D584" s="12" t="s">
        <v>74</v>
      </c>
      <c r="E584" s="10">
        <v>41979</v>
      </c>
      <c r="F584" s="11">
        <f t="shared" si="9"/>
        <v>4</v>
      </c>
      <c r="G584" s="11" t="s">
        <v>44</v>
      </c>
      <c r="H584" s="11" t="s">
        <v>964</v>
      </c>
      <c r="I584" s="11" t="s">
        <v>24</v>
      </c>
      <c r="J584" s="11" t="s">
        <v>1097</v>
      </c>
      <c r="K584" s="11" t="s">
        <v>438</v>
      </c>
      <c r="L584" s="11" t="s">
        <v>268</v>
      </c>
      <c r="M584" s="11" t="s">
        <v>38</v>
      </c>
      <c r="N584" s="11" t="s">
        <v>58</v>
      </c>
      <c r="O584" s="11" t="s">
        <v>59</v>
      </c>
      <c r="P584" s="11" t="s">
        <v>965</v>
      </c>
      <c r="Q584" s="13">
        <v>105.584</v>
      </c>
      <c r="R584" s="11">
        <v>2</v>
      </c>
      <c r="S584" s="28">
        <v>0.2</v>
      </c>
      <c r="T584" s="13">
        <v>9.2385999999999999</v>
      </c>
    </row>
    <row r="585" spans="1:20" x14ac:dyDescent="0.3">
      <c r="A585" s="11">
        <v>584</v>
      </c>
      <c r="B585" s="10">
        <v>41975</v>
      </c>
      <c r="C585" s="11">
        <v>2014</v>
      </c>
      <c r="D585" s="12" t="s">
        <v>74</v>
      </c>
      <c r="E585" s="10">
        <v>41979</v>
      </c>
      <c r="F585" s="11">
        <f t="shared" si="9"/>
        <v>4</v>
      </c>
      <c r="G585" s="11" t="s">
        <v>44</v>
      </c>
      <c r="H585" s="11" t="s">
        <v>964</v>
      </c>
      <c r="I585" s="11" t="s">
        <v>24</v>
      </c>
      <c r="J585" s="11" t="s">
        <v>1097</v>
      </c>
      <c r="K585" s="11" t="s">
        <v>438</v>
      </c>
      <c r="L585" s="11" t="s">
        <v>268</v>
      </c>
      <c r="M585" s="11" t="s">
        <v>38</v>
      </c>
      <c r="N585" s="11" t="s">
        <v>39</v>
      </c>
      <c r="O585" s="11" t="s">
        <v>63</v>
      </c>
      <c r="P585" s="11" t="s">
        <v>259</v>
      </c>
      <c r="Q585" s="13">
        <v>31.152000000000001</v>
      </c>
      <c r="R585" s="11">
        <v>3</v>
      </c>
      <c r="S585" s="28">
        <v>0.2</v>
      </c>
      <c r="T585" s="13">
        <v>3.5045999999999999</v>
      </c>
    </row>
    <row r="586" spans="1:20" x14ac:dyDescent="0.3">
      <c r="A586" s="11">
        <v>585</v>
      </c>
      <c r="B586" s="10">
        <v>41975</v>
      </c>
      <c r="C586" s="11">
        <v>2014</v>
      </c>
      <c r="D586" s="12" t="s">
        <v>74</v>
      </c>
      <c r="E586" s="10">
        <v>41979</v>
      </c>
      <c r="F586" s="11">
        <f t="shared" si="9"/>
        <v>4</v>
      </c>
      <c r="G586" s="11" t="s">
        <v>44</v>
      </c>
      <c r="H586" s="11" t="s">
        <v>964</v>
      </c>
      <c r="I586" s="11" t="s">
        <v>24</v>
      </c>
      <c r="J586" s="11" t="s">
        <v>1097</v>
      </c>
      <c r="K586" s="11" t="s">
        <v>438</v>
      </c>
      <c r="L586" s="11" t="s">
        <v>268</v>
      </c>
      <c r="M586" s="11" t="s">
        <v>38</v>
      </c>
      <c r="N586" s="11" t="s">
        <v>39</v>
      </c>
      <c r="O586" s="11" t="s">
        <v>61</v>
      </c>
      <c r="P586" s="11" t="s">
        <v>966</v>
      </c>
      <c r="Q586" s="13">
        <v>6.7830000000000004</v>
      </c>
      <c r="R586" s="11">
        <v>7</v>
      </c>
      <c r="S586" s="28">
        <v>0.7</v>
      </c>
      <c r="T586" s="13">
        <v>-4.7481</v>
      </c>
    </row>
    <row r="587" spans="1:20" x14ac:dyDescent="0.3">
      <c r="A587" s="11">
        <v>586</v>
      </c>
      <c r="B587" s="10">
        <v>41975</v>
      </c>
      <c r="C587" s="11">
        <v>2014</v>
      </c>
      <c r="D587" s="12" t="s">
        <v>74</v>
      </c>
      <c r="E587" s="10">
        <v>41979</v>
      </c>
      <c r="F587" s="11">
        <f t="shared" si="9"/>
        <v>4</v>
      </c>
      <c r="G587" s="11" t="s">
        <v>44</v>
      </c>
      <c r="H587" s="11" t="s">
        <v>964</v>
      </c>
      <c r="I587" s="11" t="s">
        <v>24</v>
      </c>
      <c r="J587" s="11" t="s">
        <v>1097</v>
      </c>
      <c r="K587" s="11" t="s">
        <v>438</v>
      </c>
      <c r="L587" s="11" t="s">
        <v>268</v>
      </c>
      <c r="M587" s="11" t="s">
        <v>38</v>
      </c>
      <c r="N587" s="11" t="s">
        <v>58</v>
      </c>
      <c r="O587" s="11" t="s">
        <v>59</v>
      </c>
      <c r="P587" s="11" t="s">
        <v>352</v>
      </c>
      <c r="Q587" s="13">
        <v>406.36799999999999</v>
      </c>
      <c r="R587" s="11">
        <v>4</v>
      </c>
      <c r="S587" s="28">
        <v>0.2</v>
      </c>
      <c r="T587" s="13">
        <v>30.477599999999999</v>
      </c>
    </row>
    <row r="588" spans="1:20" x14ac:dyDescent="0.3">
      <c r="A588" s="11">
        <v>587</v>
      </c>
      <c r="B588" s="10">
        <v>41093</v>
      </c>
      <c r="C588" s="11">
        <v>2012</v>
      </c>
      <c r="D588" s="12" t="s">
        <v>106</v>
      </c>
      <c r="E588" s="10">
        <v>41099</v>
      </c>
      <c r="F588" s="11">
        <f t="shared" si="9"/>
        <v>6</v>
      </c>
      <c r="G588" s="11" t="s">
        <v>44</v>
      </c>
      <c r="H588" s="11" t="s">
        <v>967</v>
      </c>
      <c r="I588" s="11" t="s">
        <v>24</v>
      </c>
      <c r="J588" s="11" t="s">
        <v>1097</v>
      </c>
      <c r="K588" s="11" t="s">
        <v>743</v>
      </c>
      <c r="L588" s="11" t="s">
        <v>26</v>
      </c>
      <c r="M588" s="11" t="s">
        <v>27</v>
      </c>
      <c r="N588" s="11" t="s">
        <v>28</v>
      </c>
      <c r="O588" s="11" t="s">
        <v>31</v>
      </c>
      <c r="P588" s="11" t="s">
        <v>735</v>
      </c>
      <c r="Q588" s="13">
        <v>70.98</v>
      </c>
      <c r="R588" s="11">
        <v>1</v>
      </c>
      <c r="S588" s="28">
        <v>0</v>
      </c>
      <c r="T588" s="13">
        <v>4.9686000000000003</v>
      </c>
    </row>
    <row r="589" spans="1:20" x14ac:dyDescent="0.3">
      <c r="A589" s="11">
        <v>588</v>
      </c>
      <c r="B589" s="10">
        <v>41093</v>
      </c>
      <c r="C589" s="11">
        <v>2012</v>
      </c>
      <c r="D589" s="12" t="s">
        <v>106</v>
      </c>
      <c r="E589" s="10">
        <v>41099</v>
      </c>
      <c r="F589" s="11">
        <f t="shared" si="9"/>
        <v>6</v>
      </c>
      <c r="G589" s="11" t="s">
        <v>44</v>
      </c>
      <c r="H589" s="11" t="s">
        <v>967</v>
      </c>
      <c r="I589" s="11" t="s">
        <v>24</v>
      </c>
      <c r="J589" s="11" t="s">
        <v>1097</v>
      </c>
      <c r="K589" s="11" t="s">
        <v>743</v>
      </c>
      <c r="L589" s="11" t="s">
        <v>26</v>
      </c>
      <c r="M589" s="11" t="s">
        <v>27</v>
      </c>
      <c r="N589" s="11" t="s">
        <v>39</v>
      </c>
      <c r="O589" s="11" t="s">
        <v>40</v>
      </c>
      <c r="P589" s="11" t="s">
        <v>968</v>
      </c>
      <c r="Q589" s="13">
        <v>294.93</v>
      </c>
      <c r="R589" s="11">
        <v>3</v>
      </c>
      <c r="S589" s="28">
        <v>0</v>
      </c>
      <c r="T589" s="13">
        <v>144.51570000000001</v>
      </c>
    </row>
    <row r="590" spans="1:20" x14ac:dyDescent="0.3">
      <c r="A590" s="11">
        <v>589</v>
      </c>
      <c r="B590" s="10">
        <v>41354</v>
      </c>
      <c r="C590" s="11">
        <v>2013</v>
      </c>
      <c r="D590" s="12" t="s">
        <v>151</v>
      </c>
      <c r="E590" s="10">
        <v>41358</v>
      </c>
      <c r="F590" s="11">
        <f t="shared" si="9"/>
        <v>4</v>
      </c>
      <c r="G590" s="11" t="s">
        <v>44</v>
      </c>
      <c r="H590" s="11" t="s">
        <v>969</v>
      </c>
      <c r="I590" s="11" t="s">
        <v>24</v>
      </c>
      <c r="J590" s="11" t="s">
        <v>1097</v>
      </c>
      <c r="K590" s="11" t="s">
        <v>970</v>
      </c>
      <c r="L590" s="11" t="s">
        <v>251</v>
      </c>
      <c r="M590" s="11" t="s">
        <v>38</v>
      </c>
      <c r="N590" s="11" t="s">
        <v>58</v>
      </c>
      <c r="O590" s="11" t="s">
        <v>59</v>
      </c>
      <c r="P590" s="11" t="s">
        <v>971</v>
      </c>
      <c r="Q590" s="13">
        <v>84.784000000000006</v>
      </c>
      <c r="R590" s="11">
        <v>2</v>
      </c>
      <c r="S590" s="28">
        <v>0.2</v>
      </c>
      <c r="T590" s="13">
        <v>-20.136199999999999</v>
      </c>
    </row>
    <row r="591" spans="1:20" x14ac:dyDescent="0.3">
      <c r="A591" s="11">
        <v>590</v>
      </c>
      <c r="B591" s="10">
        <v>41354</v>
      </c>
      <c r="C591" s="11">
        <v>2013</v>
      </c>
      <c r="D591" s="12" t="s">
        <v>151</v>
      </c>
      <c r="E591" s="10">
        <v>41358</v>
      </c>
      <c r="F591" s="11">
        <f t="shared" si="9"/>
        <v>4</v>
      </c>
      <c r="G591" s="11" t="s">
        <v>44</v>
      </c>
      <c r="H591" s="11" t="s">
        <v>969</v>
      </c>
      <c r="I591" s="11" t="s">
        <v>24</v>
      </c>
      <c r="J591" s="11" t="s">
        <v>1097</v>
      </c>
      <c r="K591" s="11" t="s">
        <v>970</v>
      </c>
      <c r="L591" s="11" t="s">
        <v>251</v>
      </c>
      <c r="M591" s="11" t="s">
        <v>38</v>
      </c>
      <c r="N591" s="11" t="s">
        <v>39</v>
      </c>
      <c r="O591" s="11" t="s">
        <v>72</v>
      </c>
      <c r="P591" s="11" t="s">
        <v>972</v>
      </c>
      <c r="Q591" s="13">
        <v>20.736000000000001</v>
      </c>
      <c r="R591" s="11">
        <v>4</v>
      </c>
      <c r="S591" s="28">
        <v>0.2</v>
      </c>
      <c r="T591" s="13">
        <v>7.2576000000000001</v>
      </c>
    </row>
    <row r="592" spans="1:20" x14ac:dyDescent="0.3">
      <c r="A592" s="11">
        <v>591</v>
      </c>
      <c r="B592" s="10">
        <v>41354</v>
      </c>
      <c r="C592" s="11">
        <v>2013</v>
      </c>
      <c r="D592" s="12" t="s">
        <v>151</v>
      </c>
      <c r="E592" s="10">
        <v>41358</v>
      </c>
      <c r="F592" s="11">
        <f t="shared" si="9"/>
        <v>4</v>
      </c>
      <c r="G592" s="11" t="s">
        <v>44</v>
      </c>
      <c r="H592" s="11" t="s">
        <v>969</v>
      </c>
      <c r="I592" s="11" t="s">
        <v>24</v>
      </c>
      <c r="J592" s="11" t="s">
        <v>1097</v>
      </c>
      <c r="K592" s="11" t="s">
        <v>970</v>
      </c>
      <c r="L592" s="11" t="s">
        <v>251</v>
      </c>
      <c r="M592" s="11" t="s">
        <v>38</v>
      </c>
      <c r="N592" s="11" t="s">
        <v>39</v>
      </c>
      <c r="O592" s="11" t="s">
        <v>61</v>
      </c>
      <c r="P592" s="11" t="s">
        <v>855</v>
      </c>
      <c r="Q592" s="13">
        <v>16.821000000000002</v>
      </c>
      <c r="R592" s="11">
        <v>3</v>
      </c>
      <c r="S592" s="28">
        <v>0.7</v>
      </c>
      <c r="T592" s="13">
        <v>-12.896100000000001</v>
      </c>
    </row>
    <row r="593" spans="1:20" x14ac:dyDescent="0.3">
      <c r="A593" s="11">
        <v>592</v>
      </c>
      <c r="B593" s="10">
        <v>41354</v>
      </c>
      <c r="C593" s="11">
        <v>2013</v>
      </c>
      <c r="D593" s="12" t="s">
        <v>151</v>
      </c>
      <c r="E593" s="10">
        <v>41358</v>
      </c>
      <c r="F593" s="11">
        <f t="shared" si="9"/>
        <v>4</v>
      </c>
      <c r="G593" s="11" t="s">
        <v>44</v>
      </c>
      <c r="H593" s="11" t="s">
        <v>969</v>
      </c>
      <c r="I593" s="11" t="s">
        <v>24</v>
      </c>
      <c r="J593" s="11" t="s">
        <v>1097</v>
      </c>
      <c r="K593" s="11" t="s">
        <v>970</v>
      </c>
      <c r="L593" s="11" t="s">
        <v>251</v>
      </c>
      <c r="M593" s="11" t="s">
        <v>38</v>
      </c>
      <c r="N593" s="11" t="s">
        <v>39</v>
      </c>
      <c r="O593" s="11" t="s">
        <v>72</v>
      </c>
      <c r="P593" s="11" t="s">
        <v>973</v>
      </c>
      <c r="Q593" s="13">
        <v>10.368</v>
      </c>
      <c r="R593" s="11">
        <v>2</v>
      </c>
      <c r="S593" s="28">
        <v>0.2</v>
      </c>
      <c r="T593" s="13">
        <v>3.6288</v>
      </c>
    </row>
    <row r="594" spans="1:20" x14ac:dyDescent="0.3">
      <c r="A594" s="11">
        <v>593</v>
      </c>
      <c r="B594" s="10">
        <v>40553</v>
      </c>
      <c r="C594" s="11">
        <v>2011</v>
      </c>
      <c r="D594" s="12" t="s">
        <v>115</v>
      </c>
      <c r="E594" s="10">
        <v>40557</v>
      </c>
      <c r="F594" s="11">
        <f t="shared" si="9"/>
        <v>4</v>
      </c>
      <c r="G594" s="11" t="s">
        <v>44</v>
      </c>
      <c r="H594" s="11" t="s">
        <v>974</v>
      </c>
      <c r="I594" s="11" t="s">
        <v>24</v>
      </c>
      <c r="J594" s="11" t="s">
        <v>1097</v>
      </c>
      <c r="K594" s="11" t="s">
        <v>975</v>
      </c>
      <c r="L594" s="11" t="s">
        <v>82</v>
      </c>
      <c r="M594" s="11" t="s">
        <v>83</v>
      </c>
      <c r="N594" s="11" t="s">
        <v>39</v>
      </c>
      <c r="O594" s="11" t="s">
        <v>56</v>
      </c>
      <c r="P594" s="11" t="s">
        <v>976</v>
      </c>
      <c r="Q594" s="13">
        <v>9.3439999999999994</v>
      </c>
      <c r="R594" s="11">
        <v>2</v>
      </c>
      <c r="S594" s="28">
        <v>0.2</v>
      </c>
      <c r="T594" s="13">
        <v>1.1679999999999999</v>
      </c>
    </row>
    <row r="595" spans="1:20" x14ac:dyDescent="0.3">
      <c r="A595" s="11">
        <v>594</v>
      </c>
      <c r="B595" s="10">
        <v>40553</v>
      </c>
      <c r="C595" s="11">
        <v>2011</v>
      </c>
      <c r="D595" s="12" t="s">
        <v>115</v>
      </c>
      <c r="E595" s="10">
        <v>40557</v>
      </c>
      <c r="F595" s="11">
        <f t="shared" si="9"/>
        <v>4</v>
      </c>
      <c r="G595" s="11" t="s">
        <v>44</v>
      </c>
      <c r="H595" s="11" t="s">
        <v>974</v>
      </c>
      <c r="I595" s="11" t="s">
        <v>24</v>
      </c>
      <c r="J595" s="11" t="s">
        <v>1097</v>
      </c>
      <c r="K595" s="11" t="s">
        <v>975</v>
      </c>
      <c r="L595" s="11" t="s">
        <v>82</v>
      </c>
      <c r="M595" s="11" t="s">
        <v>83</v>
      </c>
      <c r="N595" s="11" t="s">
        <v>58</v>
      </c>
      <c r="O595" s="11" t="s">
        <v>118</v>
      </c>
      <c r="P595" s="11" t="s">
        <v>456</v>
      </c>
      <c r="Q595" s="13">
        <v>31.2</v>
      </c>
      <c r="R595" s="11">
        <v>3</v>
      </c>
      <c r="S595" s="28">
        <v>0.2</v>
      </c>
      <c r="T595" s="13">
        <v>9.75</v>
      </c>
    </row>
    <row r="596" spans="1:20" x14ac:dyDescent="0.3">
      <c r="A596" s="11">
        <v>595</v>
      </c>
      <c r="B596" s="10">
        <v>40763</v>
      </c>
      <c r="C596" s="11">
        <v>2011</v>
      </c>
      <c r="D596" s="12" t="s">
        <v>95</v>
      </c>
      <c r="E596" s="10">
        <v>40770</v>
      </c>
      <c r="F596" s="11">
        <f t="shared" si="9"/>
        <v>7</v>
      </c>
      <c r="G596" s="11" t="s">
        <v>44</v>
      </c>
      <c r="H596" s="11" t="s">
        <v>977</v>
      </c>
      <c r="I596" s="11" t="s">
        <v>24</v>
      </c>
      <c r="J596" s="11" t="s">
        <v>1097</v>
      </c>
      <c r="K596" s="11" t="s">
        <v>504</v>
      </c>
      <c r="L596" s="11" t="s">
        <v>37</v>
      </c>
      <c r="M596" s="11" t="s">
        <v>38</v>
      </c>
      <c r="N596" s="11" t="s">
        <v>39</v>
      </c>
      <c r="O596" s="11" t="s">
        <v>63</v>
      </c>
      <c r="P596" s="11" t="s">
        <v>978</v>
      </c>
      <c r="Q596" s="13">
        <v>76.12</v>
      </c>
      <c r="R596" s="11">
        <v>2</v>
      </c>
      <c r="S596" s="28">
        <v>0</v>
      </c>
      <c r="T596" s="13">
        <v>22.0748</v>
      </c>
    </row>
    <row r="597" spans="1:20" x14ac:dyDescent="0.3">
      <c r="A597" s="11">
        <v>596</v>
      </c>
      <c r="B597" s="10">
        <v>40763</v>
      </c>
      <c r="C597" s="11">
        <v>2011</v>
      </c>
      <c r="D597" s="12" t="s">
        <v>95</v>
      </c>
      <c r="E597" s="10">
        <v>40770</v>
      </c>
      <c r="F597" s="11">
        <f t="shared" si="9"/>
        <v>7</v>
      </c>
      <c r="G597" s="11" t="s">
        <v>44</v>
      </c>
      <c r="H597" s="11" t="s">
        <v>977</v>
      </c>
      <c r="I597" s="11" t="s">
        <v>24</v>
      </c>
      <c r="J597" s="11" t="s">
        <v>1097</v>
      </c>
      <c r="K597" s="11" t="s">
        <v>504</v>
      </c>
      <c r="L597" s="11" t="s">
        <v>37</v>
      </c>
      <c r="M597" s="11" t="s">
        <v>38</v>
      </c>
      <c r="N597" s="11" t="s">
        <v>58</v>
      </c>
      <c r="O597" s="11" t="s">
        <v>628</v>
      </c>
      <c r="P597" s="11" t="s">
        <v>728</v>
      </c>
      <c r="Q597" s="13">
        <v>1199.9760000000001</v>
      </c>
      <c r="R597" s="11">
        <v>3</v>
      </c>
      <c r="S597" s="28">
        <v>0.2</v>
      </c>
      <c r="T597" s="13">
        <v>434.99130000000002</v>
      </c>
    </row>
    <row r="598" spans="1:20" x14ac:dyDescent="0.3">
      <c r="A598" s="11">
        <v>597</v>
      </c>
      <c r="B598" s="10">
        <v>40763</v>
      </c>
      <c r="C598" s="11">
        <v>2011</v>
      </c>
      <c r="D598" s="12" t="s">
        <v>95</v>
      </c>
      <c r="E598" s="10">
        <v>40770</v>
      </c>
      <c r="F598" s="11">
        <f t="shared" si="9"/>
        <v>7</v>
      </c>
      <c r="G598" s="11" t="s">
        <v>44</v>
      </c>
      <c r="H598" s="11" t="s">
        <v>977</v>
      </c>
      <c r="I598" s="11" t="s">
        <v>24</v>
      </c>
      <c r="J598" s="11" t="s">
        <v>1097</v>
      </c>
      <c r="K598" s="11" t="s">
        <v>504</v>
      </c>
      <c r="L598" s="11" t="s">
        <v>37</v>
      </c>
      <c r="M598" s="11" t="s">
        <v>38</v>
      </c>
      <c r="N598" s="11" t="s">
        <v>58</v>
      </c>
      <c r="O598" s="11" t="s">
        <v>59</v>
      </c>
      <c r="P598" s="11" t="s">
        <v>599</v>
      </c>
      <c r="Q598" s="13">
        <v>445.96</v>
      </c>
      <c r="R598" s="11">
        <v>5</v>
      </c>
      <c r="S598" s="28">
        <v>0.2</v>
      </c>
      <c r="T598" s="13">
        <v>55.744999999999997</v>
      </c>
    </row>
    <row r="599" spans="1:20" x14ac:dyDescent="0.3">
      <c r="A599" s="11">
        <v>598</v>
      </c>
      <c r="B599" s="10">
        <v>40763</v>
      </c>
      <c r="C599" s="11">
        <v>2011</v>
      </c>
      <c r="D599" s="12" t="s">
        <v>95</v>
      </c>
      <c r="E599" s="10">
        <v>40770</v>
      </c>
      <c r="F599" s="11">
        <f t="shared" si="9"/>
        <v>7</v>
      </c>
      <c r="G599" s="11" t="s">
        <v>44</v>
      </c>
      <c r="H599" s="11" t="s">
        <v>977</v>
      </c>
      <c r="I599" s="11" t="s">
        <v>24</v>
      </c>
      <c r="J599" s="11" t="s">
        <v>1097</v>
      </c>
      <c r="K599" s="11" t="s">
        <v>504</v>
      </c>
      <c r="L599" s="11" t="s">
        <v>37</v>
      </c>
      <c r="M599" s="11" t="s">
        <v>38</v>
      </c>
      <c r="N599" s="11" t="s">
        <v>28</v>
      </c>
      <c r="O599" s="11" t="s">
        <v>54</v>
      </c>
      <c r="P599" s="11" t="s">
        <v>979</v>
      </c>
      <c r="Q599" s="13">
        <v>327.76</v>
      </c>
      <c r="R599" s="11">
        <v>8</v>
      </c>
      <c r="S599" s="28">
        <v>0</v>
      </c>
      <c r="T599" s="13">
        <v>91.772800000000004</v>
      </c>
    </row>
    <row r="600" spans="1:20" x14ac:dyDescent="0.3">
      <c r="A600" s="11">
        <v>599</v>
      </c>
      <c r="B600" s="10">
        <v>41470</v>
      </c>
      <c r="C600" s="11">
        <v>2013</v>
      </c>
      <c r="D600" s="12" t="s">
        <v>106</v>
      </c>
      <c r="E600" s="10">
        <v>41472</v>
      </c>
      <c r="F600" s="11">
        <f t="shared" si="9"/>
        <v>2</v>
      </c>
      <c r="G600" s="11" t="s">
        <v>132</v>
      </c>
      <c r="H600" s="11" t="s">
        <v>980</v>
      </c>
      <c r="I600" s="11" t="s">
        <v>24</v>
      </c>
      <c r="J600" s="11" t="s">
        <v>1097</v>
      </c>
      <c r="K600" s="11" t="s">
        <v>108</v>
      </c>
      <c r="L600" s="11" t="s">
        <v>109</v>
      </c>
      <c r="M600" s="11" t="s">
        <v>110</v>
      </c>
      <c r="N600" s="11" t="s">
        <v>39</v>
      </c>
      <c r="O600" s="11" t="s">
        <v>328</v>
      </c>
      <c r="P600" s="11" t="s">
        <v>981</v>
      </c>
      <c r="Q600" s="13">
        <v>11.632</v>
      </c>
      <c r="R600" s="11">
        <v>2</v>
      </c>
      <c r="S600" s="28">
        <v>0.2</v>
      </c>
      <c r="T600" s="13">
        <v>1.0178</v>
      </c>
    </row>
    <row r="601" spans="1:20" x14ac:dyDescent="0.3">
      <c r="A601" s="11">
        <v>600</v>
      </c>
      <c r="B601" s="10">
        <v>41472</v>
      </c>
      <c r="C601" s="11">
        <v>2013</v>
      </c>
      <c r="D601" s="12" t="s">
        <v>106</v>
      </c>
      <c r="E601" s="10">
        <v>41477</v>
      </c>
      <c r="F601" s="11">
        <f t="shared" si="9"/>
        <v>5</v>
      </c>
      <c r="G601" s="11" t="s">
        <v>44</v>
      </c>
      <c r="H601" s="11" t="s">
        <v>982</v>
      </c>
      <c r="I601" s="11" t="s">
        <v>24</v>
      </c>
      <c r="J601" s="11" t="s">
        <v>1097</v>
      </c>
      <c r="K601" s="11" t="s">
        <v>108</v>
      </c>
      <c r="L601" s="11" t="s">
        <v>109</v>
      </c>
      <c r="M601" s="11" t="s">
        <v>110</v>
      </c>
      <c r="N601" s="11" t="s">
        <v>58</v>
      </c>
      <c r="O601" s="11" t="s">
        <v>59</v>
      </c>
      <c r="P601" s="11" t="s">
        <v>983</v>
      </c>
      <c r="Q601" s="13">
        <v>143.982</v>
      </c>
      <c r="R601" s="11">
        <v>3</v>
      </c>
      <c r="S601" s="28">
        <v>0.4</v>
      </c>
      <c r="T601" s="13">
        <v>-28.796399999999998</v>
      </c>
    </row>
    <row r="602" spans="1:20" x14ac:dyDescent="0.3">
      <c r="A602" s="11">
        <v>601</v>
      </c>
      <c r="B602" s="10">
        <v>41472</v>
      </c>
      <c r="C602" s="11">
        <v>2013</v>
      </c>
      <c r="D602" s="12" t="s">
        <v>106</v>
      </c>
      <c r="E602" s="10">
        <v>41477</v>
      </c>
      <c r="F602" s="11">
        <f t="shared" si="9"/>
        <v>5</v>
      </c>
      <c r="G602" s="11" t="s">
        <v>44</v>
      </c>
      <c r="H602" s="11" t="s">
        <v>982</v>
      </c>
      <c r="I602" s="11" t="s">
        <v>24</v>
      </c>
      <c r="J602" s="11" t="s">
        <v>1097</v>
      </c>
      <c r="K602" s="11" t="s">
        <v>108</v>
      </c>
      <c r="L602" s="11" t="s">
        <v>109</v>
      </c>
      <c r="M602" s="11" t="s">
        <v>110</v>
      </c>
      <c r="N602" s="11" t="s">
        <v>58</v>
      </c>
      <c r="O602" s="11" t="s">
        <v>59</v>
      </c>
      <c r="P602" s="11" t="s">
        <v>984</v>
      </c>
      <c r="Q602" s="13">
        <v>494.37599999999998</v>
      </c>
      <c r="R602" s="11">
        <v>4</v>
      </c>
      <c r="S602" s="28">
        <v>0.4</v>
      </c>
      <c r="T602" s="13">
        <v>-115.3544</v>
      </c>
    </row>
    <row r="603" spans="1:20" x14ac:dyDescent="0.3">
      <c r="A603" s="11">
        <v>602</v>
      </c>
      <c r="B603" s="10">
        <v>41472</v>
      </c>
      <c r="C603" s="11">
        <v>2013</v>
      </c>
      <c r="D603" s="12" t="s">
        <v>106</v>
      </c>
      <c r="E603" s="10">
        <v>41477</v>
      </c>
      <c r="F603" s="11">
        <f t="shared" si="9"/>
        <v>5</v>
      </c>
      <c r="G603" s="11" t="s">
        <v>44</v>
      </c>
      <c r="H603" s="11" t="s">
        <v>982</v>
      </c>
      <c r="I603" s="11" t="s">
        <v>24</v>
      </c>
      <c r="J603" s="11" t="s">
        <v>1097</v>
      </c>
      <c r="K603" s="11" t="s">
        <v>108</v>
      </c>
      <c r="L603" s="11" t="s">
        <v>109</v>
      </c>
      <c r="M603" s="11" t="s">
        <v>110</v>
      </c>
      <c r="N603" s="11" t="s">
        <v>39</v>
      </c>
      <c r="O603" s="11" t="s">
        <v>328</v>
      </c>
      <c r="P603" s="11" t="s">
        <v>959</v>
      </c>
      <c r="Q603" s="13">
        <v>5.84</v>
      </c>
      <c r="R603" s="11">
        <v>2</v>
      </c>
      <c r="S603" s="28">
        <v>0.2</v>
      </c>
      <c r="T603" s="13">
        <v>0.73</v>
      </c>
    </row>
    <row r="604" spans="1:20" x14ac:dyDescent="0.3">
      <c r="A604" s="11">
        <v>603</v>
      </c>
      <c r="B604" s="10">
        <v>40617</v>
      </c>
      <c r="C604" s="11">
        <v>2011</v>
      </c>
      <c r="D604" s="12" t="s">
        <v>151</v>
      </c>
      <c r="E604" s="10">
        <v>40621</v>
      </c>
      <c r="F604" s="11">
        <f t="shared" si="9"/>
        <v>4</v>
      </c>
      <c r="G604" s="11" t="s">
        <v>44</v>
      </c>
      <c r="H604" s="11" t="s">
        <v>985</v>
      </c>
      <c r="I604" s="11" t="s">
        <v>24</v>
      </c>
      <c r="J604" s="11" t="s">
        <v>1097</v>
      </c>
      <c r="K604" s="11" t="s">
        <v>482</v>
      </c>
      <c r="L604" s="11" t="s">
        <v>47</v>
      </c>
      <c r="M604" s="11" t="s">
        <v>27</v>
      </c>
      <c r="N604" s="11" t="s">
        <v>39</v>
      </c>
      <c r="O604" s="11" t="s">
        <v>50</v>
      </c>
      <c r="P604" s="11" t="s">
        <v>986</v>
      </c>
      <c r="Q604" s="13">
        <v>142.77600000000001</v>
      </c>
      <c r="R604" s="11">
        <v>1</v>
      </c>
      <c r="S604" s="28">
        <v>0.2</v>
      </c>
      <c r="T604" s="13">
        <v>17.847000000000001</v>
      </c>
    </row>
    <row r="605" spans="1:20" x14ac:dyDescent="0.3">
      <c r="A605" s="11">
        <v>604</v>
      </c>
      <c r="B605" s="10">
        <v>40617</v>
      </c>
      <c r="C605" s="11">
        <v>2011</v>
      </c>
      <c r="D605" s="12" t="s">
        <v>151</v>
      </c>
      <c r="E605" s="10">
        <v>40621</v>
      </c>
      <c r="F605" s="11">
        <f t="shared" si="9"/>
        <v>4</v>
      </c>
      <c r="G605" s="11" t="s">
        <v>44</v>
      </c>
      <c r="H605" s="11" t="s">
        <v>985</v>
      </c>
      <c r="I605" s="11" t="s">
        <v>24</v>
      </c>
      <c r="J605" s="11" t="s">
        <v>1097</v>
      </c>
      <c r="K605" s="11" t="s">
        <v>482</v>
      </c>
      <c r="L605" s="11" t="s">
        <v>47</v>
      </c>
      <c r="M605" s="11" t="s">
        <v>27</v>
      </c>
      <c r="N605" s="11" t="s">
        <v>28</v>
      </c>
      <c r="O605" s="11" t="s">
        <v>54</v>
      </c>
      <c r="P605" s="11" t="s">
        <v>592</v>
      </c>
      <c r="Q605" s="13">
        <v>45.695999999999998</v>
      </c>
      <c r="R605" s="11">
        <v>3</v>
      </c>
      <c r="S605" s="28">
        <v>0.2</v>
      </c>
      <c r="T605" s="13">
        <v>5.1407999999999996</v>
      </c>
    </row>
    <row r="606" spans="1:20" x14ac:dyDescent="0.3">
      <c r="A606" s="11">
        <v>605</v>
      </c>
      <c r="B606" s="10">
        <v>40617</v>
      </c>
      <c r="C606" s="11">
        <v>2011</v>
      </c>
      <c r="D606" s="12" t="s">
        <v>151</v>
      </c>
      <c r="E606" s="10">
        <v>40621</v>
      </c>
      <c r="F606" s="11">
        <f t="shared" si="9"/>
        <v>4</v>
      </c>
      <c r="G606" s="11" t="s">
        <v>44</v>
      </c>
      <c r="H606" s="11" t="s">
        <v>985</v>
      </c>
      <c r="I606" s="11" t="s">
        <v>24</v>
      </c>
      <c r="J606" s="11" t="s">
        <v>1097</v>
      </c>
      <c r="K606" s="11" t="s">
        <v>482</v>
      </c>
      <c r="L606" s="11" t="s">
        <v>47</v>
      </c>
      <c r="M606" s="11" t="s">
        <v>27</v>
      </c>
      <c r="N606" s="11" t="s">
        <v>39</v>
      </c>
      <c r="O606" s="11" t="s">
        <v>61</v>
      </c>
      <c r="P606" s="11" t="s">
        <v>771</v>
      </c>
      <c r="Q606" s="13">
        <v>7.218</v>
      </c>
      <c r="R606" s="11">
        <v>3</v>
      </c>
      <c r="S606" s="28">
        <v>0.7</v>
      </c>
      <c r="T606" s="13">
        <v>-5.5338000000000003</v>
      </c>
    </row>
    <row r="607" spans="1:20" x14ac:dyDescent="0.3">
      <c r="A607" s="11">
        <v>606</v>
      </c>
      <c r="B607" s="10">
        <v>40617</v>
      </c>
      <c r="C607" s="11">
        <v>2011</v>
      </c>
      <c r="D607" s="12" t="s">
        <v>151</v>
      </c>
      <c r="E607" s="10">
        <v>40621</v>
      </c>
      <c r="F607" s="11">
        <f t="shared" si="9"/>
        <v>4</v>
      </c>
      <c r="G607" s="11" t="s">
        <v>44</v>
      </c>
      <c r="H607" s="11" t="s">
        <v>985</v>
      </c>
      <c r="I607" s="11" t="s">
        <v>24</v>
      </c>
      <c r="J607" s="11" t="s">
        <v>1097</v>
      </c>
      <c r="K607" s="11" t="s">
        <v>482</v>
      </c>
      <c r="L607" s="11" t="s">
        <v>47</v>
      </c>
      <c r="M607" s="11" t="s">
        <v>27</v>
      </c>
      <c r="N607" s="11" t="s">
        <v>39</v>
      </c>
      <c r="O607" s="11" t="s">
        <v>61</v>
      </c>
      <c r="P607" s="11" t="s">
        <v>758</v>
      </c>
      <c r="Q607" s="13">
        <v>43.188000000000002</v>
      </c>
      <c r="R607" s="11">
        <v>4</v>
      </c>
      <c r="S607" s="28">
        <v>0.7</v>
      </c>
      <c r="T607" s="13">
        <v>-31.671199999999999</v>
      </c>
    </row>
    <row r="608" spans="1:20" x14ac:dyDescent="0.3">
      <c r="A608" s="11">
        <v>607</v>
      </c>
      <c r="B608" s="10">
        <v>40617</v>
      </c>
      <c r="C608" s="11">
        <v>2011</v>
      </c>
      <c r="D608" s="12" t="s">
        <v>151</v>
      </c>
      <c r="E608" s="10">
        <v>40621</v>
      </c>
      <c r="F608" s="11">
        <f t="shared" si="9"/>
        <v>4</v>
      </c>
      <c r="G608" s="11" t="s">
        <v>44</v>
      </c>
      <c r="H608" s="11" t="s">
        <v>985</v>
      </c>
      <c r="I608" s="11" t="s">
        <v>24</v>
      </c>
      <c r="J608" s="11" t="s">
        <v>1097</v>
      </c>
      <c r="K608" s="11" t="s">
        <v>482</v>
      </c>
      <c r="L608" s="11" t="s">
        <v>47</v>
      </c>
      <c r="M608" s="11" t="s">
        <v>27</v>
      </c>
      <c r="N608" s="11" t="s">
        <v>39</v>
      </c>
      <c r="O608" s="11" t="s">
        <v>72</v>
      </c>
      <c r="P608" s="11" t="s">
        <v>987</v>
      </c>
      <c r="Q608" s="13">
        <v>131.904</v>
      </c>
      <c r="R608" s="11">
        <v>3</v>
      </c>
      <c r="S608" s="28">
        <v>0.2</v>
      </c>
      <c r="T608" s="13">
        <v>47.815199999999997</v>
      </c>
    </row>
    <row r="609" spans="1:20" x14ac:dyDescent="0.3">
      <c r="A609" s="11">
        <v>608</v>
      </c>
      <c r="B609" s="10">
        <v>40686</v>
      </c>
      <c r="C609" s="11">
        <v>2011</v>
      </c>
      <c r="D609" s="12" t="s">
        <v>90</v>
      </c>
      <c r="E609" s="10">
        <v>40690</v>
      </c>
      <c r="F609" s="11">
        <f t="shared" si="9"/>
        <v>4</v>
      </c>
      <c r="G609" s="11" t="s">
        <v>44</v>
      </c>
      <c r="H609" s="11" t="s">
        <v>988</v>
      </c>
      <c r="I609" s="11" t="s">
        <v>24</v>
      </c>
      <c r="J609" s="11" t="s">
        <v>1097</v>
      </c>
      <c r="K609" s="11" t="s">
        <v>108</v>
      </c>
      <c r="L609" s="11" t="s">
        <v>109</v>
      </c>
      <c r="M609" s="11" t="s">
        <v>110</v>
      </c>
      <c r="N609" s="11" t="s">
        <v>39</v>
      </c>
      <c r="O609" s="11" t="s">
        <v>61</v>
      </c>
      <c r="P609" s="11" t="s">
        <v>989</v>
      </c>
      <c r="Q609" s="13">
        <v>3.282</v>
      </c>
      <c r="R609" s="11">
        <v>2</v>
      </c>
      <c r="S609" s="28">
        <v>0.7</v>
      </c>
      <c r="T609" s="13">
        <v>-2.6255999999999999</v>
      </c>
    </row>
    <row r="610" spans="1:20" x14ac:dyDescent="0.3">
      <c r="A610" s="11">
        <v>609</v>
      </c>
      <c r="B610" s="10">
        <v>40686</v>
      </c>
      <c r="C610" s="11">
        <v>2011</v>
      </c>
      <c r="D610" s="12" t="s">
        <v>90</v>
      </c>
      <c r="E610" s="10">
        <v>40690</v>
      </c>
      <c r="F610" s="11">
        <f t="shared" si="9"/>
        <v>4</v>
      </c>
      <c r="G610" s="11" t="s">
        <v>44</v>
      </c>
      <c r="H610" s="11" t="s">
        <v>988</v>
      </c>
      <c r="I610" s="11" t="s">
        <v>24</v>
      </c>
      <c r="J610" s="11" t="s">
        <v>1097</v>
      </c>
      <c r="K610" s="11" t="s">
        <v>108</v>
      </c>
      <c r="L610" s="11" t="s">
        <v>109</v>
      </c>
      <c r="M610" s="11" t="s">
        <v>110</v>
      </c>
      <c r="N610" s="11" t="s">
        <v>39</v>
      </c>
      <c r="O610" s="11" t="s">
        <v>56</v>
      </c>
      <c r="P610" s="11" t="s">
        <v>877</v>
      </c>
      <c r="Q610" s="13">
        <v>21.167999999999999</v>
      </c>
      <c r="R610" s="11">
        <v>9</v>
      </c>
      <c r="S610" s="28">
        <v>0.2</v>
      </c>
      <c r="T610" s="13">
        <v>2.3814000000000002</v>
      </c>
    </row>
    <row r="611" spans="1:20" x14ac:dyDescent="0.3">
      <c r="A611" s="11">
        <v>610</v>
      </c>
      <c r="B611" s="10">
        <v>40686</v>
      </c>
      <c r="C611" s="11">
        <v>2011</v>
      </c>
      <c r="D611" s="12" t="s">
        <v>90</v>
      </c>
      <c r="E611" s="10">
        <v>40690</v>
      </c>
      <c r="F611" s="11">
        <f t="shared" si="9"/>
        <v>4</v>
      </c>
      <c r="G611" s="11" t="s">
        <v>44</v>
      </c>
      <c r="H611" s="11" t="s">
        <v>988</v>
      </c>
      <c r="I611" s="11" t="s">
        <v>24</v>
      </c>
      <c r="J611" s="11" t="s">
        <v>1097</v>
      </c>
      <c r="K611" s="11" t="s">
        <v>108</v>
      </c>
      <c r="L611" s="11" t="s">
        <v>109</v>
      </c>
      <c r="M611" s="11" t="s">
        <v>110</v>
      </c>
      <c r="N611" s="11" t="s">
        <v>58</v>
      </c>
      <c r="O611" s="11" t="s">
        <v>59</v>
      </c>
      <c r="P611" s="11" t="s">
        <v>990</v>
      </c>
      <c r="Q611" s="13">
        <v>55.188000000000002</v>
      </c>
      <c r="R611" s="11">
        <v>2</v>
      </c>
      <c r="S611" s="28">
        <v>0.4</v>
      </c>
      <c r="T611" s="13">
        <v>-10.117800000000001</v>
      </c>
    </row>
    <row r="612" spans="1:20" x14ac:dyDescent="0.3">
      <c r="A612" s="11">
        <v>611</v>
      </c>
      <c r="B612" s="10">
        <v>41393</v>
      </c>
      <c r="C612" s="11">
        <v>2013</v>
      </c>
      <c r="D612" s="12" t="s">
        <v>68</v>
      </c>
      <c r="E612" s="10">
        <v>41396</v>
      </c>
      <c r="F612" s="11">
        <f t="shared" si="9"/>
        <v>3</v>
      </c>
      <c r="G612" s="11" t="s">
        <v>132</v>
      </c>
      <c r="H612" s="11" t="s">
        <v>991</v>
      </c>
      <c r="I612" s="11" t="s">
        <v>35</v>
      </c>
      <c r="J612" s="11" t="s">
        <v>1097</v>
      </c>
      <c r="K612" s="11" t="s">
        <v>442</v>
      </c>
      <c r="L612" s="11" t="s">
        <v>82</v>
      </c>
      <c r="M612" s="11" t="s">
        <v>83</v>
      </c>
      <c r="N612" s="11" t="s">
        <v>58</v>
      </c>
      <c r="O612" s="11" t="s">
        <v>59</v>
      </c>
      <c r="P612" s="11" t="s">
        <v>703</v>
      </c>
      <c r="Q612" s="13">
        <v>369.57600000000002</v>
      </c>
      <c r="R612" s="11">
        <v>3</v>
      </c>
      <c r="S612" s="28">
        <v>0.2</v>
      </c>
      <c r="T612" s="13">
        <v>41.577300000000001</v>
      </c>
    </row>
    <row r="613" spans="1:20" x14ac:dyDescent="0.3">
      <c r="A613" s="11">
        <v>612</v>
      </c>
      <c r="B613" s="10">
        <v>41393</v>
      </c>
      <c r="C613" s="11">
        <v>2013</v>
      </c>
      <c r="D613" s="12" t="s">
        <v>68</v>
      </c>
      <c r="E613" s="10">
        <v>41396</v>
      </c>
      <c r="F613" s="11">
        <f t="shared" si="9"/>
        <v>3</v>
      </c>
      <c r="G613" s="11" t="s">
        <v>132</v>
      </c>
      <c r="H613" s="11" t="s">
        <v>991</v>
      </c>
      <c r="I613" s="11" t="s">
        <v>35</v>
      </c>
      <c r="J613" s="11" t="s">
        <v>1097</v>
      </c>
      <c r="K613" s="11" t="s">
        <v>442</v>
      </c>
      <c r="L613" s="11" t="s">
        <v>82</v>
      </c>
      <c r="M613" s="11" t="s">
        <v>83</v>
      </c>
      <c r="N613" s="11" t="s">
        <v>39</v>
      </c>
      <c r="O613" s="11" t="s">
        <v>40</v>
      </c>
      <c r="P613" s="11" t="s">
        <v>992</v>
      </c>
      <c r="Q613" s="13">
        <v>15.712</v>
      </c>
      <c r="R613" s="11">
        <v>4</v>
      </c>
      <c r="S613" s="28">
        <v>0.2</v>
      </c>
      <c r="T613" s="13">
        <v>5.6955999999999998</v>
      </c>
    </row>
    <row r="614" spans="1:20" x14ac:dyDescent="0.3">
      <c r="A614" s="11">
        <v>613</v>
      </c>
      <c r="B614" s="10">
        <v>41529</v>
      </c>
      <c r="C614" s="11">
        <v>2013</v>
      </c>
      <c r="D614" s="12" t="s">
        <v>112</v>
      </c>
      <c r="E614" s="10">
        <v>41531</v>
      </c>
      <c r="F614" s="11">
        <f t="shared" si="9"/>
        <v>2</v>
      </c>
      <c r="G614" s="11" t="s">
        <v>22</v>
      </c>
      <c r="H614" s="11" t="s">
        <v>993</v>
      </c>
      <c r="I614" s="11" t="s">
        <v>35</v>
      </c>
      <c r="J614" s="11" t="s">
        <v>1097</v>
      </c>
      <c r="K614" s="11" t="s">
        <v>108</v>
      </c>
      <c r="L614" s="11" t="s">
        <v>109</v>
      </c>
      <c r="M614" s="11" t="s">
        <v>110</v>
      </c>
      <c r="N614" s="11" t="s">
        <v>39</v>
      </c>
      <c r="O614" s="11" t="s">
        <v>72</v>
      </c>
      <c r="P614" s="11" t="s">
        <v>994</v>
      </c>
      <c r="Q614" s="13">
        <v>8.4480000000000004</v>
      </c>
      <c r="R614" s="11">
        <v>2</v>
      </c>
      <c r="S614" s="28">
        <v>0.2</v>
      </c>
      <c r="T614" s="13">
        <v>2.64</v>
      </c>
    </row>
    <row r="615" spans="1:20" x14ac:dyDescent="0.3">
      <c r="A615" s="11">
        <v>614</v>
      </c>
      <c r="B615" s="10">
        <v>41529</v>
      </c>
      <c r="C615" s="11">
        <v>2013</v>
      </c>
      <c r="D615" s="12" t="s">
        <v>112</v>
      </c>
      <c r="E615" s="10">
        <v>41531</v>
      </c>
      <c r="F615" s="11">
        <f t="shared" si="9"/>
        <v>2</v>
      </c>
      <c r="G615" s="11" t="s">
        <v>22</v>
      </c>
      <c r="H615" s="11" t="s">
        <v>993</v>
      </c>
      <c r="I615" s="11" t="s">
        <v>35</v>
      </c>
      <c r="J615" s="11" t="s">
        <v>1097</v>
      </c>
      <c r="K615" s="11" t="s">
        <v>108</v>
      </c>
      <c r="L615" s="11" t="s">
        <v>109</v>
      </c>
      <c r="M615" s="11" t="s">
        <v>110</v>
      </c>
      <c r="N615" s="11" t="s">
        <v>58</v>
      </c>
      <c r="O615" s="11" t="s">
        <v>59</v>
      </c>
      <c r="P615" s="11" t="s">
        <v>995</v>
      </c>
      <c r="Q615" s="13">
        <v>728.94600000000003</v>
      </c>
      <c r="R615" s="11">
        <v>9</v>
      </c>
      <c r="S615" s="28">
        <v>0.4</v>
      </c>
      <c r="T615" s="13">
        <v>-157.9383</v>
      </c>
    </row>
    <row r="616" spans="1:20" x14ac:dyDescent="0.3">
      <c r="A616" s="11">
        <v>615</v>
      </c>
      <c r="B616" s="10">
        <v>41958</v>
      </c>
      <c r="C616" s="11">
        <v>2014</v>
      </c>
      <c r="D616" s="12" t="s">
        <v>21</v>
      </c>
      <c r="E616" s="10">
        <v>41961</v>
      </c>
      <c r="F616" s="11">
        <f t="shared" si="9"/>
        <v>3</v>
      </c>
      <c r="G616" s="11" t="s">
        <v>22</v>
      </c>
      <c r="H616" s="11" t="s">
        <v>996</v>
      </c>
      <c r="I616" s="11" t="s">
        <v>24</v>
      </c>
      <c r="J616" s="11" t="s">
        <v>1097</v>
      </c>
      <c r="K616" s="11" t="s">
        <v>997</v>
      </c>
      <c r="L616" s="11" t="s">
        <v>289</v>
      </c>
      <c r="M616" s="11" t="s">
        <v>110</v>
      </c>
      <c r="N616" s="11" t="s">
        <v>58</v>
      </c>
      <c r="O616" s="11" t="s">
        <v>59</v>
      </c>
      <c r="P616" s="11" t="s">
        <v>493</v>
      </c>
      <c r="Q616" s="13">
        <v>119.94</v>
      </c>
      <c r="R616" s="11">
        <v>10</v>
      </c>
      <c r="S616" s="28">
        <v>0.4</v>
      </c>
      <c r="T616" s="13">
        <v>15.992000000000001</v>
      </c>
    </row>
    <row r="617" spans="1:20" x14ac:dyDescent="0.3">
      <c r="A617" s="11">
        <v>616</v>
      </c>
      <c r="B617" s="10">
        <v>41958</v>
      </c>
      <c r="C617" s="11">
        <v>2014</v>
      </c>
      <c r="D617" s="12" t="s">
        <v>21</v>
      </c>
      <c r="E617" s="10">
        <v>41961</v>
      </c>
      <c r="F617" s="11">
        <f t="shared" si="9"/>
        <v>3</v>
      </c>
      <c r="G617" s="11" t="s">
        <v>22</v>
      </c>
      <c r="H617" s="11" t="s">
        <v>996</v>
      </c>
      <c r="I617" s="11" t="s">
        <v>24</v>
      </c>
      <c r="J617" s="11" t="s">
        <v>1097</v>
      </c>
      <c r="K617" s="11" t="s">
        <v>997</v>
      </c>
      <c r="L617" s="11" t="s">
        <v>289</v>
      </c>
      <c r="M617" s="11" t="s">
        <v>110</v>
      </c>
      <c r="N617" s="11" t="s">
        <v>39</v>
      </c>
      <c r="O617" s="11" t="s">
        <v>61</v>
      </c>
      <c r="P617" s="11" t="s">
        <v>998</v>
      </c>
      <c r="Q617" s="13">
        <v>3.6480000000000001</v>
      </c>
      <c r="R617" s="11">
        <v>2</v>
      </c>
      <c r="S617" s="28">
        <v>0.7</v>
      </c>
      <c r="T617" s="13">
        <v>-2.7968000000000002</v>
      </c>
    </row>
    <row r="618" spans="1:20" x14ac:dyDescent="0.3">
      <c r="A618" s="11">
        <v>617</v>
      </c>
      <c r="B618" s="10">
        <v>41870</v>
      </c>
      <c r="C618" s="11">
        <v>2014</v>
      </c>
      <c r="D618" s="12" t="s">
        <v>95</v>
      </c>
      <c r="E618" s="10">
        <v>41875</v>
      </c>
      <c r="F618" s="11">
        <f t="shared" si="9"/>
        <v>5</v>
      </c>
      <c r="G618" s="11" t="s">
        <v>22</v>
      </c>
      <c r="H618" s="11" t="s">
        <v>999</v>
      </c>
      <c r="I618" s="11" t="s">
        <v>35</v>
      </c>
      <c r="J618" s="11" t="s">
        <v>1097</v>
      </c>
      <c r="K618" s="11" t="s">
        <v>174</v>
      </c>
      <c r="L618" s="11" t="s">
        <v>175</v>
      </c>
      <c r="M618" s="11" t="s">
        <v>110</v>
      </c>
      <c r="N618" s="11" t="s">
        <v>28</v>
      </c>
      <c r="O618" s="11" t="s">
        <v>54</v>
      </c>
      <c r="P618" s="11" t="s">
        <v>1000</v>
      </c>
      <c r="Q618" s="13">
        <v>40.479999999999997</v>
      </c>
      <c r="R618" s="11">
        <v>2</v>
      </c>
      <c r="S618" s="28">
        <v>0</v>
      </c>
      <c r="T618" s="13">
        <v>15.7872</v>
      </c>
    </row>
    <row r="619" spans="1:20" x14ac:dyDescent="0.3">
      <c r="A619" s="11">
        <v>618</v>
      </c>
      <c r="B619" s="10">
        <v>41870</v>
      </c>
      <c r="C619" s="11">
        <v>2014</v>
      </c>
      <c r="D619" s="12" t="s">
        <v>95</v>
      </c>
      <c r="E619" s="10">
        <v>41875</v>
      </c>
      <c r="F619" s="11">
        <f t="shared" si="9"/>
        <v>5</v>
      </c>
      <c r="G619" s="11" t="s">
        <v>22</v>
      </c>
      <c r="H619" s="11" t="s">
        <v>999</v>
      </c>
      <c r="I619" s="11" t="s">
        <v>35</v>
      </c>
      <c r="J619" s="11" t="s">
        <v>1097</v>
      </c>
      <c r="K619" s="11" t="s">
        <v>174</v>
      </c>
      <c r="L619" s="11" t="s">
        <v>175</v>
      </c>
      <c r="M619" s="11" t="s">
        <v>110</v>
      </c>
      <c r="N619" s="11" t="s">
        <v>28</v>
      </c>
      <c r="O619" s="11" t="s">
        <v>54</v>
      </c>
      <c r="P619" s="11" t="s">
        <v>1001</v>
      </c>
      <c r="Q619" s="13">
        <v>9.94</v>
      </c>
      <c r="R619" s="11">
        <v>2</v>
      </c>
      <c r="S619" s="28">
        <v>0</v>
      </c>
      <c r="T619" s="13">
        <v>3.0813999999999999</v>
      </c>
    </row>
    <row r="620" spans="1:20" x14ac:dyDescent="0.3">
      <c r="A620" s="11">
        <v>619</v>
      </c>
      <c r="B620" s="10">
        <v>41870</v>
      </c>
      <c r="C620" s="11">
        <v>2014</v>
      </c>
      <c r="D620" s="12" t="s">
        <v>95</v>
      </c>
      <c r="E620" s="10">
        <v>41875</v>
      </c>
      <c r="F620" s="11">
        <f t="shared" si="9"/>
        <v>5</v>
      </c>
      <c r="G620" s="11" t="s">
        <v>22</v>
      </c>
      <c r="H620" s="11" t="s">
        <v>999</v>
      </c>
      <c r="I620" s="11" t="s">
        <v>35</v>
      </c>
      <c r="J620" s="11" t="s">
        <v>1097</v>
      </c>
      <c r="K620" s="11" t="s">
        <v>174</v>
      </c>
      <c r="L620" s="11" t="s">
        <v>175</v>
      </c>
      <c r="M620" s="11" t="s">
        <v>110</v>
      </c>
      <c r="N620" s="11" t="s">
        <v>39</v>
      </c>
      <c r="O620" s="11" t="s">
        <v>61</v>
      </c>
      <c r="P620" s="11" t="s">
        <v>1002</v>
      </c>
      <c r="Q620" s="13">
        <v>107.42400000000001</v>
      </c>
      <c r="R620" s="11">
        <v>9</v>
      </c>
      <c r="S620" s="28">
        <v>0.2</v>
      </c>
      <c r="T620" s="13">
        <v>33.57</v>
      </c>
    </row>
    <row r="621" spans="1:20" x14ac:dyDescent="0.3">
      <c r="A621" s="11">
        <v>620</v>
      </c>
      <c r="B621" s="10">
        <v>41870</v>
      </c>
      <c r="C621" s="11">
        <v>2014</v>
      </c>
      <c r="D621" s="12" t="s">
        <v>95</v>
      </c>
      <c r="E621" s="10">
        <v>41875</v>
      </c>
      <c r="F621" s="11">
        <f t="shared" si="9"/>
        <v>5</v>
      </c>
      <c r="G621" s="11" t="s">
        <v>22</v>
      </c>
      <c r="H621" s="11" t="s">
        <v>999</v>
      </c>
      <c r="I621" s="11" t="s">
        <v>35</v>
      </c>
      <c r="J621" s="11" t="s">
        <v>1097</v>
      </c>
      <c r="K621" s="11" t="s">
        <v>174</v>
      </c>
      <c r="L621" s="11" t="s">
        <v>175</v>
      </c>
      <c r="M621" s="11" t="s">
        <v>110</v>
      </c>
      <c r="N621" s="11" t="s">
        <v>58</v>
      </c>
      <c r="O621" s="11" t="s">
        <v>59</v>
      </c>
      <c r="P621" s="11" t="s">
        <v>1003</v>
      </c>
      <c r="Q621" s="13">
        <v>37.909999999999997</v>
      </c>
      <c r="R621" s="11">
        <v>1</v>
      </c>
      <c r="S621" s="28">
        <v>0</v>
      </c>
      <c r="T621" s="13">
        <v>10.9939</v>
      </c>
    </row>
    <row r="622" spans="1:20" x14ac:dyDescent="0.3">
      <c r="A622" s="11">
        <v>621</v>
      </c>
      <c r="B622" s="10">
        <v>41870</v>
      </c>
      <c r="C622" s="11">
        <v>2014</v>
      </c>
      <c r="D622" s="12" t="s">
        <v>95</v>
      </c>
      <c r="E622" s="10">
        <v>41875</v>
      </c>
      <c r="F622" s="11">
        <f t="shared" si="9"/>
        <v>5</v>
      </c>
      <c r="G622" s="11" t="s">
        <v>22</v>
      </c>
      <c r="H622" s="11" t="s">
        <v>999</v>
      </c>
      <c r="I622" s="11" t="s">
        <v>35</v>
      </c>
      <c r="J622" s="11" t="s">
        <v>1097</v>
      </c>
      <c r="K622" s="11" t="s">
        <v>174</v>
      </c>
      <c r="L622" s="11" t="s">
        <v>175</v>
      </c>
      <c r="M622" s="11" t="s">
        <v>110</v>
      </c>
      <c r="N622" s="11" t="s">
        <v>28</v>
      </c>
      <c r="O622" s="11" t="s">
        <v>54</v>
      </c>
      <c r="P622" s="11" t="s">
        <v>343</v>
      </c>
      <c r="Q622" s="13">
        <v>88.02</v>
      </c>
      <c r="R622" s="11">
        <v>3</v>
      </c>
      <c r="S622" s="28">
        <v>0</v>
      </c>
      <c r="T622" s="13">
        <v>27.286200000000001</v>
      </c>
    </row>
    <row r="623" spans="1:20" x14ac:dyDescent="0.3">
      <c r="A623" s="11">
        <v>622</v>
      </c>
      <c r="B623" s="10">
        <v>40903</v>
      </c>
      <c r="C623" s="11">
        <v>2011</v>
      </c>
      <c r="D623" s="12" t="s">
        <v>74</v>
      </c>
      <c r="E623" s="10">
        <v>40908</v>
      </c>
      <c r="F623" s="11">
        <f t="shared" si="9"/>
        <v>5</v>
      </c>
      <c r="G623" s="11" t="s">
        <v>44</v>
      </c>
      <c r="H623" s="11" t="s">
        <v>1004</v>
      </c>
      <c r="I623" s="11" t="s">
        <v>24</v>
      </c>
      <c r="J623" s="11" t="s">
        <v>1097</v>
      </c>
      <c r="K623" s="11" t="s">
        <v>193</v>
      </c>
      <c r="L623" s="11" t="s">
        <v>144</v>
      </c>
      <c r="M623" s="11" t="s">
        <v>83</v>
      </c>
      <c r="N623" s="11" t="s">
        <v>39</v>
      </c>
      <c r="O623" s="11" t="s">
        <v>61</v>
      </c>
      <c r="P623" s="11" t="s">
        <v>1005</v>
      </c>
      <c r="Q623" s="13">
        <v>8.69</v>
      </c>
      <c r="R623" s="11">
        <v>5</v>
      </c>
      <c r="S623" s="28">
        <v>0.8</v>
      </c>
      <c r="T623" s="13">
        <v>-14.773</v>
      </c>
    </row>
    <row r="624" spans="1:20" x14ac:dyDescent="0.3">
      <c r="A624" s="11">
        <v>623</v>
      </c>
      <c r="B624" s="10">
        <v>41242</v>
      </c>
      <c r="C624" s="11">
        <v>2012</v>
      </c>
      <c r="D624" s="12" t="s">
        <v>21</v>
      </c>
      <c r="E624" s="10">
        <v>41246</v>
      </c>
      <c r="F624" s="11">
        <f t="shared" si="9"/>
        <v>4</v>
      </c>
      <c r="G624" s="11" t="s">
        <v>44</v>
      </c>
      <c r="H624" s="11" t="s">
        <v>1006</v>
      </c>
      <c r="I624" s="11" t="s">
        <v>35</v>
      </c>
      <c r="J624" s="11" t="s">
        <v>1097</v>
      </c>
      <c r="K624" s="11" t="s">
        <v>1007</v>
      </c>
      <c r="L624" s="11" t="s">
        <v>159</v>
      </c>
      <c r="M624" s="11" t="s">
        <v>83</v>
      </c>
      <c r="N624" s="11" t="s">
        <v>28</v>
      </c>
      <c r="O624" s="11" t="s">
        <v>31</v>
      </c>
      <c r="P624" s="11" t="s">
        <v>1008</v>
      </c>
      <c r="Q624" s="13">
        <v>301.95999999999998</v>
      </c>
      <c r="R624" s="11">
        <v>2</v>
      </c>
      <c r="S624" s="28">
        <v>0</v>
      </c>
      <c r="T624" s="13">
        <v>87.568399999999997</v>
      </c>
    </row>
    <row r="625" spans="1:20" x14ac:dyDescent="0.3">
      <c r="A625" s="11">
        <v>624</v>
      </c>
      <c r="B625" s="10">
        <v>41242</v>
      </c>
      <c r="C625" s="11">
        <v>2012</v>
      </c>
      <c r="D625" s="12" t="s">
        <v>21</v>
      </c>
      <c r="E625" s="10">
        <v>41246</v>
      </c>
      <c r="F625" s="11">
        <f t="shared" si="9"/>
        <v>4</v>
      </c>
      <c r="G625" s="11" t="s">
        <v>44</v>
      </c>
      <c r="H625" s="11" t="s">
        <v>1006</v>
      </c>
      <c r="I625" s="11" t="s">
        <v>35</v>
      </c>
      <c r="J625" s="11" t="s">
        <v>1097</v>
      </c>
      <c r="K625" s="11" t="s">
        <v>1007</v>
      </c>
      <c r="L625" s="11" t="s">
        <v>159</v>
      </c>
      <c r="M625" s="11" t="s">
        <v>83</v>
      </c>
      <c r="N625" s="11" t="s">
        <v>39</v>
      </c>
      <c r="O625" s="11" t="s">
        <v>63</v>
      </c>
      <c r="P625" s="11" t="s">
        <v>1009</v>
      </c>
      <c r="Q625" s="13">
        <v>555.21</v>
      </c>
      <c r="R625" s="11">
        <v>5</v>
      </c>
      <c r="S625" s="28">
        <v>0.1</v>
      </c>
      <c r="T625" s="13">
        <v>178.90100000000001</v>
      </c>
    </row>
    <row r="626" spans="1:20" x14ac:dyDescent="0.3">
      <c r="A626" s="11">
        <v>625</v>
      </c>
      <c r="B626" s="10">
        <v>41242</v>
      </c>
      <c r="C626" s="11">
        <v>2012</v>
      </c>
      <c r="D626" s="12" t="s">
        <v>21</v>
      </c>
      <c r="E626" s="10">
        <v>41246</v>
      </c>
      <c r="F626" s="11">
        <f t="shared" si="9"/>
        <v>4</v>
      </c>
      <c r="G626" s="11" t="s">
        <v>44</v>
      </c>
      <c r="H626" s="11" t="s">
        <v>1006</v>
      </c>
      <c r="I626" s="11" t="s">
        <v>35</v>
      </c>
      <c r="J626" s="11" t="s">
        <v>1097</v>
      </c>
      <c r="K626" s="11" t="s">
        <v>1007</v>
      </c>
      <c r="L626" s="11" t="s">
        <v>159</v>
      </c>
      <c r="M626" s="11" t="s">
        <v>83</v>
      </c>
      <c r="N626" s="11" t="s">
        <v>39</v>
      </c>
      <c r="O626" s="11" t="s">
        <v>50</v>
      </c>
      <c r="P626" s="11" t="s">
        <v>1010</v>
      </c>
      <c r="Q626" s="13">
        <v>523.48</v>
      </c>
      <c r="R626" s="11">
        <v>4</v>
      </c>
      <c r="S626" s="28">
        <v>0</v>
      </c>
      <c r="T626" s="13">
        <v>130.87</v>
      </c>
    </row>
    <row r="627" spans="1:20" x14ac:dyDescent="0.3">
      <c r="A627" s="11">
        <v>626</v>
      </c>
      <c r="B627" s="10">
        <v>41242</v>
      </c>
      <c r="C627" s="11">
        <v>2012</v>
      </c>
      <c r="D627" s="12" t="s">
        <v>21</v>
      </c>
      <c r="E627" s="10">
        <v>41246</v>
      </c>
      <c r="F627" s="11">
        <f t="shared" si="9"/>
        <v>4</v>
      </c>
      <c r="G627" s="11" t="s">
        <v>44</v>
      </c>
      <c r="H627" s="11" t="s">
        <v>1006</v>
      </c>
      <c r="I627" s="11" t="s">
        <v>35</v>
      </c>
      <c r="J627" s="11" t="s">
        <v>1097</v>
      </c>
      <c r="K627" s="11" t="s">
        <v>1007</v>
      </c>
      <c r="L627" s="11" t="s">
        <v>159</v>
      </c>
      <c r="M627" s="11" t="s">
        <v>83</v>
      </c>
      <c r="N627" s="11" t="s">
        <v>39</v>
      </c>
      <c r="O627" s="11" t="s">
        <v>56</v>
      </c>
      <c r="P627" s="11" t="s">
        <v>126</v>
      </c>
      <c r="Q627" s="13">
        <v>161.82</v>
      </c>
      <c r="R627" s="11">
        <v>9</v>
      </c>
      <c r="S627" s="28">
        <v>0</v>
      </c>
      <c r="T627" s="13">
        <v>46.927799999999998</v>
      </c>
    </row>
    <row r="628" spans="1:20" x14ac:dyDescent="0.3">
      <c r="A628" s="11">
        <v>627</v>
      </c>
      <c r="B628" s="10">
        <v>41898</v>
      </c>
      <c r="C628" s="11">
        <v>2014</v>
      </c>
      <c r="D628" s="12" t="s">
        <v>112</v>
      </c>
      <c r="E628" s="10">
        <v>41902</v>
      </c>
      <c r="F628" s="11">
        <f t="shared" si="9"/>
        <v>4</v>
      </c>
      <c r="G628" s="11" t="s">
        <v>44</v>
      </c>
      <c r="H628" s="11" t="s">
        <v>1011</v>
      </c>
      <c r="I628" s="11" t="s">
        <v>80</v>
      </c>
      <c r="J628" s="11" t="s">
        <v>1097</v>
      </c>
      <c r="K628" s="11" t="s">
        <v>174</v>
      </c>
      <c r="L628" s="11" t="s">
        <v>175</v>
      </c>
      <c r="M628" s="11" t="s">
        <v>110</v>
      </c>
      <c r="N628" s="11" t="s">
        <v>28</v>
      </c>
      <c r="O628" s="11" t="s">
        <v>54</v>
      </c>
      <c r="P628" s="11" t="s">
        <v>1012</v>
      </c>
      <c r="Q628" s="13">
        <v>35.56</v>
      </c>
      <c r="R628" s="11">
        <v>7</v>
      </c>
      <c r="S628" s="28">
        <v>0</v>
      </c>
      <c r="T628" s="13">
        <v>12.090400000000001</v>
      </c>
    </row>
    <row r="629" spans="1:20" x14ac:dyDescent="0.3">
      <c r="A629" s="11">
        <v>628</v>
      </c>
      <c r="B629" s="10">
        <v>41779</v>
      </c>
      <c r="C629" s="11">
        <v>2014</v>
      </c>
      <c r="D629" s="12" t="s">
        <v>90</v>
      </c>
      <c r="E629" s="10">
        <v>41783</v>
      </c>
      <c r="F629" s="11">
        <f t="shared" si="9"/>
        <v>4</v>
      </c>
      <c r="G629" s="11" t="s">
        <v>44</v>
      </c>
      <c r="H629" s="11" t="s">
        <v>1013</v>
      </c>
      <c r="I629" s="11" t="s">
        <v>24</v>
      </c>
      <c r="J629" s="11" t="s">
        <v>1097</v>
      </c>
      <c r="K629" s="11" t="s">
        <v>76</v>
      </c>
      <c r="L629" s="11" t="s">
        <v>77</v>
      </c>
      <c r="M629" s="11" t="s">
        <v>38</v>
      </c>
      <c r="N629" s="11" t="s">
        <v>39</v>
      </c>
      <c r="O629" s="11" t="s">
        <v>63</v>
      </c>
      <c r="P629" s="11" t="s">
        <v>1014</v>
      </c>
      <c r="Q629" s="13">
        <v>97.16</v>
      </c>
      <c r="R629" s="11">
        <v>2</v>
      </c>
      <c r="S629" s="28">
        <v>0</v>
      </c>
      <c r="T629" s="13">
        <v>28.176400000000001</v>
      </c>
    </row>
    <row r="630" spans="1:20" x14ac:dyDescent="0.3">
      <c r="A630" s="11">
        <v>629</v>
      </c>
      <c r="B630" s="10">
        <v>41991</v>
      </c>
      <c r="C630" s="11">
        <v>2014</v>
      </c>
      <c r="D630" s="12" t="s">
        <v>74</v>
      </c>
      <c r="E630" s="10">
        <v>41995</v>
      </c>
      <c r="F630" s="11">
        <f t="shared" si="9"/>
        <v>4</v>
      </c>
      <c r="G630" s="11" t="s">
        <v>44</v>
      </c>
      <c r="H630" s="11" t="s">
        <v>441</v>
      </c>
      <c r="I630" s="11" t="s">
        <v>24</v>
      </c>
      <c r="J630" s="11" t="s">
        <v>1097</v>
      </c>
      <c r="K630" s="11" t="s">
        <v>97</v>
      </c>
      <c r="L630" s="11" t="s">
        <v>37</v>
      </c>
      <c r="M630" s="11" t="s">
        <v>38</v>
      </c>
      <c r="N630" s="11" t="s">
        <v>39</v>
      </c>
      <c r="O630" s="11" t="s">
        <v>61</v>
      </c>
      <c r="P630" s="11" t="s">
        <v>1015</v>
      </c>
      <c r="Q630" s="13">
        <v>15.24</v>
      </c>
      <c r="R630" s="11">
        <v>5</v>
      </c>
      <c r="S630" s="28">
        <v>0.2</v>
      </c>
      <c r="T630" s="13">
        <v>5.1435000000000004</v>
      </c>
    </row>
    <row r="631" spans="1:20" x14ac:dyDescent="0.3">
      <c r="A631" s="11">
        <v>630</v>
      </c>
      <c r="B631" s="10">
        <v>41991</v>
      </c>
      <c r="C631" s="11">
        <v>2014</v>
      </c>
      <c r="D631" s="12" t="s">
        <v>74</v>
      </c>
      <c r="E631" s="10">
        <v>41995</v>
      </c>
      <c r="F631" s="11">
        <f t="shared" si="9"/>
        <v>4</v>
      </c>
      <c r="G631" s="11" t="s">
        <v>44</v>
      </c>
      <c r="H631" s="11" t="s">
        <v>441</v>
      </c>
      <c r="I631" s="11" t="s">
        <v>24</v>
      </c>
      <c r="J631" s="11" t="s">
        <v>1097</v>
      </c>
      <c r="K631" s="11" t="s">
        <v>97</v>
      </c>
      <c r="L631" s="11" t="s">
        <v>37</v>
      </c>
      <c r="M631" s="11" t="s">
        <v>38</v>
      </c>
      <c r="N631" s="11" t="s">
        <v>39</v>
      </c>
      <c r="O631" s="11" t="s">
        <v>72</v>
      </c>
      <c r="P631" s="11" t="s">
        <v>541</v>
      </c>
      <c r="Q631" s="13">
        <v>13.23</v>
      </c>
      <c r="R631" s="11">
        <v>3</v>
      </c>
      <c r="S631" s="28">
        <v>0</v>
      </c>
      <c r="T631" s="13">
        <v>6.0857999999999999</v>
      </c>
    </row>
    <row r="632" spans="1:20" x14ac:dyDescent="0.3">
      <c r="A632" s="11">
        <v>631</v>
      </c>
      <c r="B632" s="10">
        <v>41620</v>
      </c>
      <c r="C632" s="11">
        <v>2013</v>
      </c>
      <c r="D632" s="12" t="s">
        <v>74</v>
      </c>
      <c r="E632" s="10">
        <v>41622</v>
      </c>
      <c r="F632" s="11">
        <f t="shared" si="9"/>
        <v>2</v>
      </c>
      <c r="G632" s="11" t="s">
        <v>22</v>
      </c>
      <c r="H632" s="11" t="s">
        <v>1016</v>
      </c>
      <c r="I632" s="11" t="s">
        <v>24</v>
      </c>
      <c r="J632" s="11" t="s">
        <v>1097</v>
      </c>
      <c r="K632" s="11" t="s">
        <v>267</v>
      </c>
      <c r="L632" s="11" t="s">
        <v>268</v>
      </c>
      <c r="M632" s="11" t="s">
        <v>38</v>
      </c>
      <c r="N632" s="11" t="s">
        <v>39</v>
      </c>
      <c r="O632" s="11" t="s">
        <v>50</v>
      </c>
      <c r="P632" s="11" t="s">
        <v>1017</v>
      </c>
      <c r="Q632" s="13">
        <v>243.38399999999999</v>
      </c>
      <c r="R632" s="11">
        <v>3</v>
      </c>
      <c r="S632" s="28">
        <v>0.2</v>
      </c>
      <c r="T632" s="13">
        <v>-51.719099999999997</v>
      </c>
    </row>
    <row r="633" spans="1:20" x14ac:dyDescent="0.3">
      <c r="A633" s="11">
        <v>632</v>
      </c>
      <c r="B633" s="10">
        <v>41620</v>
      </c>
      <c r="C633" s="11">
        <v>2013</v>
      </c>
      <c r="D633" s="12" t="s">
        <v>74</v>
      </c>
      <c r="E633" s="10">
        <v>41622</v>
      </c>
      <c r="F633" s="11">
        <f t="shared" si="9"/>
        <v>2</v>
      </c>
      <c r="G633" s="11" t="s">
        <v>22</v>
      </c>
      <c r="H633" s="11" t="s">
        <v>1016</v>
      </c>
      <c r="I633" s="11" t="s">
        <v>24</v>
      </c>
      <c r="J633" s="11" t="s">
        <v>1097</v>
      </c>
      <c r="K633" s="11" t="s">
        <v>267</v>
      </c>
      <c r="L633" s="11" t="s">
        <v>268</v>
      </c>
      <c r="M633" s="11" t="s">
        <v>38</v>
      </c>
      <c r="N633" s="11" t="s">
        <v>58</v>
      </c>
      <c r="O633" s="11" t="s">
        <v>118</v>
      </c>
      <c r="P633" s="11" t="s">
        <v>1018</v>
      </c>
      <c r="Q633" s="13">
        <v>119.8</v>
      </c>
      <c r="R633" s="11">
        <v>5</v>
      </c>
      <c r="S633" s="28">
        <v>0.2</v>
      </c>
      <c r="T633" s="13">
        <v>29.95</v>
      </c>
    </row>
    <row r="634" spans="1:20" x14ac:dyDescent="0.3">
      <c r="A634" s="11">
        <v>633</v>
      </c>
      <c r="B634" s="10">
        <v>41620</v>
      </c>
      <c r="C634" s="11">
        <v>2013</v>
      </c>
      <c r="D634" s="12" t="s">
        <v>74</v>
      </c>
      <c r="E634" s="10">
        <v>41622</v>
      </c>
      <c r="F634" s="11">
        <f t="shared" si="9"/>
        <v>2</v>
      </c>
      <c r="G634" s="11" t="s">
        <v>22</v>
      </c>
      <c r="H634" s="11" t="s">
        <v>1016</v>
      </c>
      <c r="I634" s="11" t="s">
        <v>24</v>
      </c>
      <c r="J634" s="11" t="s">
        <v>1097</v>
      </c>
      <c r="K634" s="11" t="s">
        <v>267</v>
      </c>
      <c r="L634" s="11" t="s">
        <v>268</v>
      </c>
      <c r="M634" s="11" t="s">
        <v>38</v>
      </c>
      <c r="N634" s="11" t="s">
        <v>58</v>
      </c>
      <c r="O634" s="11" t="s">
        <v>59</v>
      </c>
      <c r="P634" s="11" t="s">
        <v>1019</v>
      </c>
      <c r="Q634" s="13">
        <v>300.76799999999997</v>
      </c>
      <c r="R634" s="11">
        <v>4</v>
      </c>
      <c r="S634" s="28">
        <v>0.2</v>
      </c>
      <c r="T634" s="13">
        <v>30.076799999999999</v>
      </c>
    </row>
    <row r="635" spans="1:20" x14ac:dyDescent="0.3">
      <c r="A635" s="11">
        <v>634</v>
      </c>
      <c r="B635" s="10">
        <v>41907</v>
      </c>
      <c r="C635" s="11">
        <v>2014</v>
      </c>
      <c r="D635" s="12" t="s">
        <v>112</v>
      </c>
      <c r="E635" s="10">
        <v>41909</v>
      </c>
      <c r="F635" s="11">
        <f t="shared" si="9"/>
        <v>2</v>
      </c>
      <c r="G635" s="11" t="s">
        <v>22</v>
      </c>
      <c r="H635" s="11" t="s">
        <v>890</v>
      </c>
      <c r="I635" s="11" t="s">
        <v>24</v>
      </c>
      <c r="J635" s="11" t="s">
        <v>1097</v>
      </c>
      <c r="K635" s="11" t="s">
        <v>723</v>
      </c>
      <c r="L635" s="11" t="s">
        <v>47</v>
      </c>
      <c r="M635" s="11" t="s">
        <v>27</v>
      </c>
      <c r="N635" s="11" t="s">
        <v>58</v>
      </c>
      <c r="O635" s="11" t="s">
        <v>118</v>
      </c>
      <c r="P635" s="11" t="s">
        <v>1020</v>
      </c>
      <c r="Q635" s="13">
        <v>17.88</v>
      </c>
      <c r="R635" s="11">
        <v>3</v>
      </c>
      <c r="S635" s="28">
        <v>0.2</v>
      </c>
      <c r="T635" s="13">
        <v>2.4584999999999999</v>
      </c>
    </row>
    <row r="636" spans="1:20" x14ac:dyDescent="0.3">
      <c r="A636" s="11">
        <v>635</v>
      </c>
      <c r="B636" s="10">
        <v>41907</v>
      </c>
      <c r="C636" s="11">
        <v>2014</v>
      </c>
      <c r="D636" s="12" t="s">
        <v>112</v>
      </c>
      <c r="E636" s="10">
        <v>41909</v>
      </c>
      <c r="F636" s="11">
        <f t="shared" si="9"/>
        <v>2</v>
      </c>
      <c r="G636" s="11" t="s">
        <v>22</v>
      </c>
      <c r="H636" s="11" t="s">
        <v>890</v>
      </c>
      <c r="I636" s="11" t="s">
        <v>24</v>
      </c>
      <c r="J636" s="11" t="s">
        <v>1097</v>
      </c>
      <c r="K636" s="11" t="s">
        <v>723</v>
      </c>
      <c r="L636" s="11" t="s">
        <v>47</v>
      </c>
      <c r="M636" s="11" t="s">
        <v>27</v>
      </c>
      <c r="N636" s="11" t="s">
        <v>39</v>
      </c>
      <c r="O636" s="11" t="s">
        <v>40</v>
      </c>
      <c r="P636" s="11" t="s">
        <v>968</v>
      </c>
      <c r="Q636" s="13">
        <v>235.94399999999999</v>
      </c>
      <c r="R636" s="11">
        <v>3</v>
      </c>
      <c r="S636" s="28">
        <v>0.2</v>
      </c>
      <c r="T636" s="13">
        <v>85.529700000000005</v>
      </c>
    </row>
    <row r="637" spans="1:20" x14ac:dyDescent="0.3">
      <c r="A637" s="11">
        <v>636</v>
      </c>
      <c r="B637" s="10">
        <v>41186</v>
      </c>
      <c r="C637" s="11">
        <v>2012</v>
      </c>
      <c r="D637" s="12" t="s">
        <v>43</v>
      </c>
      <c r="E637" s="10">
        <v>41191</v>
      </c>
      <c r="F637" s="11">
        <f t="shared" si="9"/>
        <v>5</v>
      </c>
      <c r="G637" s="11" t="s">
        <v>22</v>
      </c>
      <c r="H637" s="11" t="s">
        <v>1021</v>
      </c>
      <c r="I637" s="11" t="s">
        <v>35</v>
      </c>
      <c r="J637" s="11" t="s">
        <v>1097</v>
      </c>
      <c r="K637" s="11" t="s">
        <v>1022</v>
      </c>
      <c r="L637" s="11" t="s">
        <v>654</v>
      </c>
      <c r="M637" s="11" t="s">
        <v>27</v>
      </c>
      <c r="N637" s="11" t="s">
        <v>28</v>
      </c>
      <c r="O637" s="11" t="s">
        <v>31</v>
      </c>
      <c r="P637" s="11" t="s">
        <v>1023</v>
      </c>
      <c r="Q637" s="13">
        <v>392.94</v>
      </c>
      <c r="R637" s="11">
        <v>3</v>
      </c>
      <c r="S637" s="28">
        <v>0</v>
      </c>
      <c r="T637" s="13">
        <v>43.223399999999998</v>
      </c>
    </row>
    <row r="638" spans="1:20" x14ac:dyDescent="0.3">
      <c r="A638" s="11">
        <v>637</v>
      </c>
      <c r="B638" s="10">
        <v>41502</v>
      </c>
      <c r="C638" s="11">
        <v>2013</v>
      </c>
      <c r="D638" s="12" t="s">
        <v>95</v>
      </c>
      <c r="E638" s="10">
        <v>41508</v>
      </c>
      <c r="F638" s="11">
        <f t="shared" si="9"/>
        <v>6</v>
      </c>
      <c r="G638" s="11" t="s">
        <v>44</v>
      </c>
      <c r="H638" s="11" t="s">
        <v>1024</v>
      </c>
      <c r="I638" s="11" t="s">
        <v>24</v>
      </c>
      <c r="J638" s="11" t="s">
        <v>1097</v>
      </c>
      <c r="K638" s="11" t="s">
        <v>267</v>
      </c>
      <c r="L638" s="11" t="s">
        <v>268</v>
      </c>
      <c r="M638" s="11" t="s">
        <v>38</v>
      </c>
      <c r="N638" s="11" t="s">
        <v>39</v>
      </c>
      <c r="O638" s="11" t="s">
        <v>61</v>
      </c>
      <c r="P638" s="11" t="s">
        <v>1025</v>
      </c>
      <c r="Q638" s="13">
        <v>18.882000000000001</v>
      </c>
      <c r="R638" s="11">
        <v>3</v>
      </c>
      <c r="S638" s="28">
        <v>0.7</v>
      </c>
      <c r="T638" s="13">
        <v>-13.8468</v>
      </c>
    </row>
    <row r="639" spans="1:20" x14ac:dyDescent="0.3">
      <c r="A639" s="11">
        <v>638</v>
      </c>
      <c r="B639" s="10">
        <v>41502</v>
      </c>
      <c r="C639" s="11">
        <v>2013</v>
      </c>
      <c r="D639" s="12" t="s">
        <v>95</v>
      </c>
      <c r="E639" s="10">
        <v>41508</v>
      </c>
      <c r="F639" s="11">
        <f t="shared" si="9"/>
        <v>6</v>
      </c>
      <c r="G639" s="11" t="s">
        <v>44</v>
      </c>
      <c r="H639" s="11" t="s">
        <v>1024</v>
      </c>
      <c r="I639" s="11" t="s">
        <v>24</v>
      </c>
      <c r="J639" s="11" t="s">
        <v>1097</v>
      </c>
      <c r="K639" s="11" t="s">
        <v>267</v>
      </c>
      <c r="L639" s="11" t="s">
        <v>268</v>
      </c>
      <c r="M639" s="11" t="s">
        <v>38</v>
      </c>
      <c r="N639" s="11" t="s">
        <v>39</v>
      </c>
      <c r="O639" s="11" t="s">
        <v>63</v>
      </c>
      <c r="P639" s="11" t="s">
        <v>1026</v>
      </c>
      <c r="Q639" s="13">
        <v>122.328</v>
      </c>
      <c r="R639" s="11">
        <v>3</v>
      </c>
      <c r="S639" s="28">
        <v>0.2</v>
      </c>
      <c r="T639" s="13">
        <v>12.232799999999999</v>
      </c>
    </row>
    <row r="640" spans="1:20" x14ac:dyDescent="0.3">
      <c r="A640" s="11">
        <v>639</v>
      </c>
      <c r="B640" s="10">
        <v>41415</v>
      </c>
      <c r="C640" s="11">
        <v>2013</v>
      </c>
      <c r="D640" s="12" t="s">
        <v>90</v>
      </c>
      <c r="E640" s="10">
        <v>41420</v>
      </c>
      <c r="F640" s="11">
        <f t="shared" si="9"/>
        <v>5</v>
      </c>
      <c r="G640" s="11" t="s">
        <v>44</v>
      </c>
      <c r="H640" s="11" t="s">
        <v>260</v>
      </c>
      <c r="I640" s="11" t="s">
        <v>80</v>
      </c>
      <c r="J640" s="11" t="s">
        <v>1097</v>
      </c>
      <c r="K640" s="11" t="s">
        <v>1027</v>
      </c>
      <c r="L640" s="11" t="s">
        <v>37</v>
      </c>
      <c r="M640" s="11" t="s">
        <v>38</v>
      </c>
      <c r="N640" s="11" t="s">
        <v>28</v>
      </c>
      <c r="O640" s="11" t="s">
        <v>54</v>
      </c>
      <c r="P640" s="11" t="s">
        <v>492</v>
      </c>
      <c r="Q640" s="13">
        <v>1049.2</v>
      </c>
      <c r="R640" s="11">
        <v>5</v>
      </c>
      <c r="S640" s="28">
        <v>0</v>
      </c>
      <c r="T640" s="13">
        <v>272.79199999999997</v>
      </c>
    </row>
    <row r="641" spans="1:20" x14ac:dyDescent="0.3">
      <c r="A641" s="11">
        <v>640</v>
      </c>
      <c r="B641" s="10">
        <v>41415</v>
      </c>
      <c r="C641" s="11">
        <v>2013</v>
      </c>
      <c r="D641" s="12" t="s">
        <v>90</v>
      </c>
      <c r="E641" s="10">
        <v>41420</v>
      </c>
      <c r="F641" s="11">
        <f t="shared" si="9"/>
        <v>5</v>
      </c>
      <c r="G641" s="11" t="s">
        <v>44</v>
      </c>
      <c r="H641" s="11" t="s">
        <v>260</v>
      </c>
      <c r="I641" s="11" t="s">
        <v>80</v>
      </c>
      <c r="J641" s="11" t="s">
        <v>1097</v>
      </c>
      <c r="K641" s="11" t="s">
        <v>1027</v>
      </c>
      <c r="L641" s="11" t="s">
        <v>37</v>
      </c>
      <c r="M641" s="11" t="s">
        <v>38</v>
      </c>
      <c r="N641" s="11" t="s">
        <v>39</v>
      </c>
      <c r="O641" s="11" t="s">
        <v>61</v>
      </c>
      <c r="P641" s="11" t="s">
        <v>1028</v>
      </c>
      <c r="Q641" s="13">
        <v>15.423999999999999</v>
      </c>
      <c r="R641" s="11">
        <v>4</v>
      </c>
      <c r="S641" s="28">
        <v>0.2</v>
      </c>
      <c r="T641" s="13">
        <v>5.0128000000000004</v>
      </c>
    </row>
    <row r="642" spans="1:20" x14ac:dyDescent="0.3">
      <c r="A642" s="11">
        <v>641</v>
      </c>
      <c r="B642" s="10">
        <v>41627</v>
      </c>
      <c r="C642" s="11">
        <v>2013</v>
      </c>
      <c r="D642" s="12" t="s">
        <v>74</v>
      </c>
      <c r="E642" s="10">
        <v>41631</v>
      </c>
      <c r="F642" s="11">
        <f t="shared" ref="F642:F701" si="10">_xlfn.DAYS(E642,B642)</f>
        <v>4</v>
      </c>
      <c r="G642" s="11" t="s">
        <v>44</v>
      </c>
      <c r="H642" s="11" t="s">
        <v>1029</v>
      </c>
      <c r="I642" s="11" t="s">
        <v>35</v>
      </c>
      <c r="J642" s="11" t="s">
        <v>1097</v>
      </c>
      <c r="K642" s="11" t="s">
        <v>245</v>
      </c>
      <c r="L642" s="11" t="s">
        <v>154</v>
      </c>
      <c r="M642" s="11" t="s">
        <v>83</v>
      </c>
      <c r="N642" s="11" t="s">
        <v>28</v>
      </c>
      <c r="O642" s="11" t="s">
        <v>54</v>
      </c>
      <c r="P642" s="11" t="s">
        <v>1030</v>
      </c>
      <c r="Q642" s="13">
        <v>18.84</v>
      </c>
      <c r="R642" s="11">
        <v>3</v>
      </c>
      <c r="S642" s="28">
        <v>0</v>
      </c>
      <c r="T642" s="13">
        <v>6.0288000000000004</v>
      </c>
    </row>
    <row r="643" spans="1:20" x14ac:dyDescent="0.3">
      <c r="A643" s="11">
        <v>642</v>
      </c>
      <c r="B643" s="10">
        <v>41851</v>
      </c>
      <c r="C643" s="11">
        <v>2014</v>
      </c>
      <c r="D643" s="12" t="s">
        <v>106</v>
      </c>
      <c r="E643" s="10">
        <v>41855</v>
      </c>
      <c r="F643" s="11">
        <f t="shared" si="10"/>
        <v>4</v>
      </c>
      <c r="G643" s="11" t="s">
        <v>22</v>
      </c>
      <c r="H643" s="11" t="s">
        <v>1031</v>
      </c>
      <c r="I643" s="11" t="s">
        <v>24</v>
      </c>
      <c r="J643" s="11" t="s">
        <v>1097</v>
      </c>
      <c r="K643" s="11" t="s">
        <v>1032</v>
      </c>
      <c r="L643" s="11" t="s">
        <v>37</v>
      </c>
      <c r="M643" s="11" t="s">
        <v>38</v>
      </c>
      <c r="N643" s="11" t="s">
        <v>39</v>
      </c>
      <c r="O643" s="11" t="s">
        <v>50</v>
      </c>
      <c r="P643" s="11" t="s">
        <v>1033</v>
      </c>
      <c r="Q643" s="13">
        <v>330.4</v>
      </c>
      <c r="R643" s="11">
        <v>2</v>
      </c>
      <c r="S643" s="28">
        <v>0</v>
      </c>
      <c r="T643" s="13">
        <v>85.903999999999996</v>
      </c>
    </row>
    <row r="644" spans="1:20" x14ac:dyDescent="0.3">
      <c r="A644" s="11">
        <v>643</v>
      </c>
      <c r="B644" s="10">
        <v>41851</v>
      </c>
      <c r="C644" s="11">
        <v>2014</v>
      </c>
      <c r="D644" s="12" t="s">
        <v>106</v>
      </c>
      <c r="E644" s="10">
        <v>41855</v>
      </c>
      <c r="F644" s="11">
        <f t="shared" si="10"/>
        <v>4</v>
      </c>
      <c r="G644" s="11" t="s">
        <v>22</v>
      </c>
      <c r="H644" s="11" t="s">
        <v>1031</v>
      </c>
      <c r="I644" s="11" t="s">
        <v>24</v>
      </c>
      <c r="J644" s="11" t="s">
        <v>1097</v>
      </c>
      <c r="K644" s="11" t="s">
        <v>1032</v>
      </c>
      <c r="L644" s="11" t="s">
        <v>37</v>
      </c>
      <c r="M644" s="11" t="s">
        <v>38</v>
      </c>
      <c r="N644" s="11" t="s">
        <v>39</v>
      </c>
      <c r="O644" s="11" t="s">
        <v>40</v>
      </c>
      <c r="P644" s="11" t="s">
        <v>1034</v>
      </c>
      <c r="Q644" s="13">
        <v>26.25</v>
      </c>
      <c r="R644" s="11">
        <v>7</v>
      </c>
      <c r="S644" s="28">
        <v>0</v>
      </c>
      <c r="T644" s="13">
        <v>12.6</v>
      </c>
    </row>
    <row r="645" spans="1:20" x14ac:dyDescent="0.3">
      <c r="A645" s="11">
        <v>644</v>
      </c>
      <c r="B645" s="10">
        <v>41801</v>
      </c>
      <c r="C645" s="11">
        <v>2014</v>
      </c>
      <c r="D645" s="12" t="s">
        <v>33</v>
      </c>
      <c r="E645" s="10">
        <v>41806</v>
      </c>
      <c r="F645" s="11">
        <f t="shared" si="10"/>
        <v>5</v>
      </c>
      <c r="G645" s="11" t="s">
        <v>44</v>
      </c>
      <c r="H645" s="11" t="s">
        <v>1035</v>
      </c>
      <c r="I645" s="11" t="s">
        <v>24</v>
      </c>
      <c r="J645" s="11" t="s">
        <v>1097</v>
      </c>
      <c r="K645" s="11" t="s">
        <v>1036</v>
      </c>
      <c r="L645" s="11" t="s">
        <v>159</v>
      </c>
      <c r="M645" s="11" t="s">
        <v>83</v>
      </c>
      <c r="N645" s="11" t="s">
        <v>58</v>
      </c>
      <c r="O645" s="11" t="s">
        <v>118</v>
      </c>
      <c r="P645" s="11" t="s">
        <v>889</v>
      </c>
      <c r="Q645" s="13">
        <v>132.52000000000001</v>
      </c>
      <c r="R645" s="11">
        <v>4</v>
      </c>
      <c r="S645" s="28">
        <v>0</v>
      </c>
      <c r="T645" s="13">
        <v>54.333199999999998</v>
      </c>
    </row>
    <row r="646" spans="1:20" x14ac:dyDescent="0.3">
      <c r="A646" s="11">
        <v>645</v>
      </c>
      <c r="B646" s="10">
        <v>41842</v>
      </c>
      <c r="C646" s="11">
        <v>2014</v>
      </c>
      <c r="D646" s="12" t="s">
        <v>106</v>
      </c>
      <c r="E646" s="10">
        <v>41846</v>
      </c>
      <c r="F646" s="11">
        <f t="shared" si="10"/>
        <v>4</v>
      </c>
      <c r="G646" s="11" t="s">
        <v>44</v>
      </c>
      <c r="H646" s="11" t="s">
        <v>349</v>
      </c>
      <c r="I646" s="11" t="s">
        <v>80</v>
      </c>
      <c r="J646" s="11" t="s">
        <v>1097</v>
      </c>
      <c r="K646" s="11" t="s">
        <v>1037</v>
      </c>
      <c r="L646" s="11" t="s">
        <v>429</v>
      </c>
      <c r="M646" s="11" t="s">
        <v>110</v>
      </c>
      <c r="N646" s="11" t="s">
        <v>39</v>
      </c>
      <c r="O646" s="11" t="s">
        <v>72</v>
      </c>
      <c r="P646" s="11" t="s">
        <v>1038</v>
      </c>
      <c r="Q646" s="13">
        <v>6.48</v>
      </c>
      <c r="R646" s="11">
        <v>1</v>
      </c>
      <c r="S646" s="28">
        <v>0</v>
      </c>
      <c r="T646" s="13">
        <v>3.1751999999999998</v>
      </c>
    </row>
    <row r="647" spans="1:20" x14ac:dyDescent="0.3">
      <c r="A647" s="11">
        <v>646</v>
      </c>
      <c r="B647" s="10">
        <v>42004</v>
      </c>
      <c r="C647" s="11">
        <v>2014</v>
      </c>
      <c r="D647" s="12" t="s">
        <v>74</v>
      </c>
      <c r="E647" s="10">
        <v>42010</v>
      </c>
      <c r="F647" s="11">
        <f t="shared" si="10"/>
        <v>6</v>
      </c>
      <c r="G647" s="11" t="s">
        <v>44</v>
      </c>
      <c r="H647" s="11" t="s">
        <v>1039</v>
      </c>
      <c r="I647" s="11" t="s">
        <v>80</v>
      </c>
      <c r="J647" s="11" t="s">
        <v>1097</v>
      </c>
      <c r="K647" s="11" t="s">
        <v>288</v>
      </c>
      <c r="L647" s="11" t="s">
        <v>168</v>
      </c>
      <c r="M647" s="11" t="s">
        <v>83</v>
      </c>
      <c r="N647" s="11" t="s">
        <v>39</v>
      </c>
      <c r="O647" s="11" t="s">
        <v>63</v>
      </c>
      <c r="P647" s="11" t="s">
        <v>1040</v>
      </c>
      <c r="Q647" s="13">
        <v>209.3</v>
      </c>
      <c r="R647" s="11">
        <v>2</v>
      </c>
      <c r="S647" s="28">
        <v>0</v>
      </c>
      <c r="T647" s="13">
        <v>56.511000000000003</v>
      </c>
    </row>
    <row r="648" spans="1:20" x14ac:dyDescent="0.3">
      <c r="A648" s="11">
        <v>647</v>
      </c>
      <c r="B648" s="10">
        <v>41366</v>
      </c>
      <c r="C648" s="11">
        <v>2013</v>
      </c>
      <c r="D648" s="12" t="s">
        <v>68</v>
      </c>
      <c r="E648" s="10">
        <v>41373</v>
      </c>
      <c r="F648" s="11">
        <f t="shared" si="10"/>
        <v>7</v>
      </c>
      <c r="G648" s="11" t="s">
        <v>44</v>
      </c>
      <c r="H648" s="11" t="s">
        <v>539</v>
      </c>
      <c r="I648" s="11" t="s">
        <v>35</v>
      </c>
      <c r="J648" s="11" t="s">
        <v>1097</v>
      </c>
      <c r="K648" s="11" t="s">
        <v>1041</v>
      </c>
      <c r="L648" s="11" t="s">
        <v>197</v>
      </c>
      <c r="M648" s="11" t="s">
        <v>38</v>
      </c>
      <c r="N648" s="11" t="s">
        <v>39</v>
      </c>
      <c r="O648" s="11" t="s">
        <v>176</v>
      </c>
      <c r="P648" s="11" t="s">
        <v>131</v>
      </c>
      <c r="Q648" s="13">
        <v>31.56</v>
      </c>
      <c r="R648" s="11">
        <v>5</v>
      </c>
      <c r="S648" s="28">
        <v>0.2</v>
      </c>
      <c r="T648" s="13">
        <v>9.8625000000000007</v>
      </c>
    </row>
    <row r="649" spans="1:20" x14ac:dyDescent="0.3">
      <c r="A649" s="11">
        <v>648</v>
      </c>
      <c r="B649" s="10">
        <v>41366</v>
      </c>
      <c r="C649" s="11">
        <v>2013</v>
      </c>
      <c r="D649" s="12" t="s">
        <v>68</v>
      </c>
      <c r="E649" s="10">
        <v>41373</v>
      </c>
      <c r="F649" s="11">
        <f t="shared" si="10"/>
        <v>7</v>
      </c>
      <c r="G649" s="11" t="s">
        <v>44</v>
      </c>
      <c r="H649" s="11" t="s">
        <v>539</v>
      </c>
      <c r="I649" s="11" t="s">
        <v>35</v>
      </c>
      <c r="J649" s="11" t="s">
        <v>1097</v>
      </c>
      <c r="K649" s="11" t="s">
        <v>1041</v>
      </c>
      <c r="L649" s="11" t="s">
        <v>197</v>
      </c>
      <c r="M649" s="11" t="s">
        <v>38</v>
      </c>
      <c r="N649" s="11" t="s">
        <v>39</v>
      </c>
      <c r="O649" s="11" t="s">
        <v>63</v>
      </c>
      <c r="P649" s="11" t="s">
        <v>1042</v>
      </c>
      <c r="Q649" s="13">
        <v>30.143999999999998</v>
      </c>
      <c r="R649" s="11">
        <v>2</v>
      </c>
      <c r="S649" s="28">
        <v>0.2</v>
      </c>
      <c r="T649" s="13">
        <v>3.0144000000000002</v>
      </c>
    </row>
    <row r="650" spans="1:20" x14ac:dyDescent="0.3">
      <c r="A650" s="11">
        <v>649</v>
      </c>
      <c r="B650" s="10">
        <v>41620</v>
      </c>
      <c r="C650" s="11">
        <v>2013</v>
      </c>
      <c r="D650" s="12" t="s">
        <v>74</v>
      </c>
      <c r="E650" s="10">
        <v>41625</v>
      </c>
      <c r="F650" s="11">
        <f t="shared" si="10"/>
        <v>5</v>
      </c>
      <c r="G650" s="11" t="s">
        <v>22</v>
      </c>
      <c r="H650" s="11" t="s">
        <v>1043</v>
      </c>
      <c r="I650" s="11" t="s">
        <v>35</v>
      </c>
      <c r="J650" s="11" t="s">
        <v>1097</v>
      </c>
      <c r="K650" s="11" t="s">
        <v>1044</v>
      </c>
      <c r="L650" s="11" t="s">
        <v>77</v>
      </c>
      <c r="M650" s="11" t="s">
        <v>38</v>
      </c>
      <c r="N650" s="11" t="s">
        <v>28</v>
      </c>
      <c r="O650" s="11" t="s">
        <v>54</v>
      </c>
      <c r="P650" s="11" t="s">
        <v>696</v>
      </c>
      <c r="Q650" s="13">
        <v>14.8</v>
      </c>
      <c r="R650" s="11">
        <v>4</v>
      </c>
      <c r="S650" s="28">
        <v>0</v>
      </c>
      <c r="T650" s="13">
        <v>6.0679999999999996</v>
      </c>
    </row>
    <row r="651" spans="1:20" x14ac:dyDescent="0.3">
      <c r="A651" s="11">
        <v>650</v>
      </c>
      <c r="B651" s="10">
        <v>41620</v>
      </c>
      <c r="C651" s="11">
        <v>2013</v>
      </c>
      <c r="D651" s="12" t="s">
        <v>74</v>
      </c>
      <c r="E651" s="10">
        <v>41625</v>
      </c>
      <c r="F651" s="11">
        <f t="shared" si="10"/>
        <v>5</v>
      </c>
      <c r="G651" s="11" t="s">
        <v>22</v>
      </c>
      <c r="H651" s="11" t="s">
        <v>1043</v>
      </c>
      <c r="I651" s="11" t="s">
        <v>35</v>
      </c>
      <c r="J651" s="11" t="s">
        <v>1097</v>
      </c>
      <c r="K651" s="11" t="s">
        <v>1044</v>
      </c>
      <c r="L651" s="11" t="s">
        <v>77</v>
      </c>
      <c r="M651" s="11" t="s">
        <v>38</v>
      </c>
      <c r="N651" s="11" t="s">
        <v>58</v>
      </c>
      <c r="O651" s="11" t="s">
        <v>59</v>
      </c>
      <c r="P651" s="11" t="s">
        <v>404</v>
      </c>
      <c r="Q651" s="13">
        <v>302.37599999999998</v>
      </c>
      <c r="R651" s="11">
        <v>3</v>
      </c>
      <c r="S651" s="28">
        <v>0.2</v>
      </c>
      <c r="T651" s="13">
        <v>22.6782</v>
      </c>
    </row>
    <row r="652" spans="1:20" x14ac:dyDescent="0.3">
      <c r="A652" s="11">
        <v>651</v>
      </c>
      <c r="B652" s="10">
        <v>41620</v>
      </c>
      <c r="C652" s="11">
        <v>2013</v>
      </c>
      <c r="D652" s="12" t="s">
        <v>74</v>
      </c>
      <c r="E652" s="10">
        <v>41625</v>
      </c>
      <c r="F652" s="11">
        <f t="shared" si="10"/>
        <v>5</v>
      </c>
      <c r="G652" s="11" t="s">
        <v>22</v>
      </c>
      <c r="H652" s="11" t="s">
        <v>1043</v>
      </c>
      <c r="I652" s="11" t="s">
        <v>35</v>
      </c>
      <c r="J652" s="11" t="s">
        <v>1097</v>
      </c>
      <c r="K652" s="11" t="s">
        <v>1044</v>
      </c>
      <c r="L652" s="11" t="s">
        <v>77</v>
      </c>
      <c r="M652" s="11" t="s">
        <v>38</v>
      </c>
      <c r="N652" s="11" t="s">
        <v>58</v>
      </c>
      <c r="O652" s="11" t="s">
        <v>118</v>
      </c>
      <c r="P652" s="11" t="s">
        <v>1045</v>
      </c>
      <c r="Q652" s="13">
        <v>316</v>
      </c>
      <c r="R652" s="11">
        <v>4</v>
      </c>
      <c r="S652" s="28">
        <v>0</v>
      </c>
      <c r="T652" s="13">
        <v>31.6</v>
      </c>
    </row>
    <row r="653" spans="1:20" x14ac:dyDescent="0.3">
      <c r="A653" s="11">
        <v>652</v>
      </c>
      <c r="B653" s="10">
        <v>41571</v>
      </c>
      <c r="C653" s="11">
        <v>2013</v>
      </c>
      <c r="D653" s="12" t="s">
        <v>43</v>
      </c>
      <c r="E653" s="10">
        <v>41577</v>
      </c>
      <c r="F653" s="11">
        <f t="shared" si="10"/>
        <v>6</v>
      </c>
      <c r="G653" s="11" t="s">
        <v>44</v>
      </c>
      <c r="H653" s="11" t="s">
        <v>1046</v>
      </c>
      <c r="I653" s="11" t="s">
        <v>80</v>
      </c>
      <c r="J653" s="11" t="s">
        <v>1097</v>
      </c>
      <c r="K653" s="11" t="s">
        <v>174</v>
      </c>
      <c r="L653" s="11" t="s">
        <v>175</v>
      </c>
      <c r="M653" s="11" t="s">
        <v>110</v>
      </c>
      <c r="N653" s="11" t="s">
        <v>39</v>
      </c>
      <c r="O653" s="11" t="s">
        <v>72</v>
      </c>
      <c r="P653" s="11" t="s">
        <v>203</v>
      </c>
      <c r="Q653" s="13">
        <v>379.4</v>
      </c>
      <c r="R653" s="11">
        <v>10</v>
      </c>
      <c r="S653" s="28">
        <v>0</v>
      </c>
      <c r="T653" s="13">
        <v>178.31800000000001</v>
      </c>
    </row>
    <row r="654" spans="1:20" x14ac:dyDescent="0.3">
      <c r="A654" s="11">
        <v>653</v>
      </c>
      <c r="B654" s="10">
        <v>41810</v>
      </c>
      <c r="C654" s="11">
        <v>2014</v>
      </c>
      <c r="D654" s="12" t="s">
        <v>33</v>
      </c>
      <c r="E654" s="10">
        <v>41814</v>
      </c>
      <c r="F654" s="11">
        <f t="shared" si="10"/>
        <v>4</v>
      </c>
      <c r="G654" s="11" t="s">
        <v>44</v>
      </c>
      <c r="H654" s="11" t="s">
        <v>679</v>
      </c>
      <c r="I654" s="11" t="s">
        <v>35</v>
      </c>
      <c r="J654" s="11" t="s">
        <v>1097</v>
      </c>
      <c r="K654" s="11" t="s">
        <v>174</v>
      </c>
      <c r="L654" s="11" t="s">
        <v>175</v>
      </c>
      <c r="M654" s="11" t="s">
        <v>110</v>
      </c>
      <c r="N654" s="11" t="s">
        <v>39</v>
      </c>
      <c r="O654" s="11" t="s">
        <v>72</v>
      </c>
      <c r="P654" s="11" t="s">
        <v>190</v>
      </c>
      <c r="Q654" s="13">
        <v>97.82</v>
      </c>
      <c r="R654" s="11">
        <v>2</v>
      </c>
      <c r="S654" s="28">
        <v>0</v>
      </c>
      <c r="T654" s="13">
        <v>45.9754</v>
      </c>
    </row>
    <row r="655" spans="1:20" x14ac:dyDescent="0.3">
      <c r="A655" s="11">
        <v>654</v>
      </c>
      <c r="B655" s="10">
        <v>41810</v>
      </c>
      <c r="C655" s="11">
        <v>2014</v>
      </c>
      <c r="D655" s="12" t="s">
        <v>33</v>
      </c>
      <c r="E655" s="10">
        <v>41814</v>
      </c>
      <c r="F655" s="11">
        <f t="shared" si="10"/>
        <v>4</v>
      </c>
      <c r="G655" s="11" t="s">
        <v>44</v>
      </c>
      <c r="H655" s="11" t="s">
        <v>679</v>
      </c>
      <c r="I655" s="11" t="s">
        <v>35</v>
      </c>
      <c r="J655" s="11" t="s">
        <v>1097</v>
      </c>
      <c r="K655" s="11" t="s">
        <v>174</v>
      </c>
      <c r="L655" s="11" t="s">
        <v>175</v>
      </c>
      <c r="M655" s="11" t="s">
        <v>110</v>
      </c>
      <c r="N655" s="11" t="s">
        <v>58</v>
      </c>
      <c r="O655" s="11" t="s">
        <v>118</v>
      </c>
      <c r="P655" s="11" t="s">
        <v>1047</v>
      </c>
      <c r="Q655" s="13">
        <v>103.12</v>
      </c>
      <c r="R655" s="11">
        <v>8</v>
      </c>
      <c r="S655" s="28">
        <v>0</v>
      </c>
      <c r="T655" s="13">
        <v>10.311999999999999</v>
      </c>
    </row>
    <row r="656" spans="1:20" x14ac:dyDescent="0.3">
      <c r="A656" s="11">
        <v>655</v>
      </c>
      <c r="B656" s="10">
        <v>41509</v>
      </c>
      <c r="C656" s="11">
        <v>2013</v>
      </c>
      <c r="D656" s="12" t="s">
        <v>95</v>
      </c>
      <c r="E656" s="10">
        <v>41515</v>
      </c>
      <c r="F656" s="11">
        <f t="shared" si="10"/>
        <v>6</v>
      </c>
      <c r="G656" s="11" t="s">
        <v>44</v>
      </c>
      <c r="H656" s="11" t="s">
        <v>1048</v>
      </c>
      <c r="I656" s="11" t="s">
        <v>24</v>
      </c>
      <c r="J656" s="11" t="s">
        <v>1097</v>
      </c>
      <c r="K656" s="11" t="s">
        <v>288</v>
      </c>
      <c r="L656" s="11" t="s">
        <v>289</v>
      </c>
      <c r="M656" s="11" t="s">
        <v>110</v>
      </c>
      <c r="N656" s="11" t="s">
        <v>39</v>
      </c>
      <c r="O656" s="11" t="s">
        <v>63</v>
      </c>
      <c r="P656" s="11" t="s">
        <v>1049</v>
      </c>
      <c r="Q656" s="13">
        <v>113.55200000000001</v>
      </c>
      <c r="R656" s="11">
        <v>2</v>
      </c>
      <c r="S656" s="28">
        <v>0.2</v>
      </c>
      <c r="T656" s="13">
        <v>8.5164000000000009</v>
      </c>
    </row>
    <row r="657" spans="1:20" x14ac:dyDescent="0.3">
      <c r="A657" s="11">
        <v>656</v>
      </c>
      <c r="B657" s="10">
        <v>41509</v>
      </c>
      <c r="C657" s="11">
        <v>2013</v>
      </c>
      <c r="D657" s="12" t="s">
        <v>95</v>
      </c>
      <c r="E657" s="10">
        <v>41515</v>
      </c>
      <c r="F657" s="11">
        <f t="shared" si="10"/>
        <v>6</v>
      </c>
      <c r="G657" s="11" t="s">
        <v>44</v>
      </c>
      <c r="H657" s="11" t="s">
        <v>1048</v>
      </c>
      <c r="I657" s="11" t="s">
        <v>24</v>
      </c>
      <c r="J657" s="11" t="s">
        <v>1097</v>
      </c>
      <c r="K657" s="11" t="s">
        <v>288</v>
      </c>
      <c r="L657" s="11" t="s">
        <v>289</v>
      </c>
      <c r="M657" s="11" t="s">
        <v>110</v>
      </c>
      <c r="N657" s="11" t="s">
        <v>39</v>
      </c>
      <c r="O657" s="11" t="s">
        <v>61</v>
      </c>
      <c r="P657" s="11" t="s">
        <v>1050</v>
      </c>
      <c r="Q657" s="13">
        <v>3.3180000000000001</v>
      </c>
      <c r="R657" s="11">
        <v>2</v>
      </c>
      <c r="S657" s="28">
        <v>0.7</v>
      </c>
      <c r="T657" s="13">
        <v>-2.6543999999999999</v>
      </c>
    </row>
    <row r="658" spans="1:20" x14ac:dyDescent="0.3">
      <c r="A658" s="11">
        <v>657</v>
      </c>
      <c r="B658" s="10">
        <v>41509</v>
      </c>
      <c r="C658" s="11">
        <v>2013</v>
      </c>
      <c r="D658" s="12" t="s">
        <v>95</v>
      </c>
      <c r="E658" s="10">
        <v>41515</v>
      </c>
      <c r="F658" s="11">
        <f t="shared" si="10"/>
        <v>6</v>
      </c>
      <c r="G658" s="11" t="s">
        <v>44</v>
      </c>
      <c r="H658" s="11" t="s">
        <v>1048</v>
      </c>
      <c r="I658" s="11" t="s">
        <v>24</v>
      </c>
      <c r="J658" s="11" t="s">
        <v>1097</v>
      </c>
      <c r="K658" s="11" t="s">
        <v>288</v>
      </c>
      <c r="L658" s="11" t="s">
        <v>289</v>
      </c>
      <c r="M658" s="11" t="s">
        <v>110</v>
      </c>
      <c r="N658" s="11" t="s">
        <v>39</v>
      </c>
      <c r="O658" s="11" t="s">
        <v>124</v>
      </c>
      <c r="P658" s="11" t="s">
        <v>1051</v>
      </c>
      <c r="Q658" s="13">
        <v>134.28800000000001</v>
      </c>
      <c r="R658" s="11">
        <v>2</v>
      </c>
      <c r="S658" s="28">
        <v>0.2</v>
      </c>
      <c r="T658" s="13">
        <v>45.322200000000002</v>
      </c>
    </row>
    <row r="659" spans="1:20" x14ac:dyDescent="0.3">
      <c r="A659" s="11">
        <v>658</v>
      </c>
      <c r="B659" s="10">
        <v>41537</v>
      </c>
      <c r="C659" s="11">
        <v>2013</v>
      </c>
      <c r="D659" s="12" t="s">
        <v>112</v>
      </c>
      <c r="E659" s="10">
        <v>41537</v>
      </c>
      <c r="F659" s="11">
        <f t="shared" si="10"/>
        <v>0</v>
      </c>
      <c r="G659" s="11" t="s">
        <v>662</v>
      </c>
      <c r="H659" s="11" t="s">
        <v>1052</v>
      </c>
      <c r="I659" s="11" t="s">
        <v>80</v>
      </c>
      <c r="J659" s="11" t="s">
        <v>1097</v>
      </c>
      <c r="K659" s="11" t="s">
        <v>267</v>
      </c>
      <c r="L659" s="11" t="s">
        <v>144</v>
      </c>
      <c r="M659" s="11" t="s">
        <v>83</v>
      </c>
      <c r="N659" s="11" t="s">
        <v>28</v>
      </c>
      <c r="O659" s="11" t="s">
        <v>31</v>
      </c>
      <c r="P659" s="11" t="s">
        <v>862</v>
      </c>
      <c r="Q659" s="13">
        <v>701.37199999999996</v>
      </c>
      <c r="R659" s="11">
        <v>2</v>
      </c>
      <c r="S659" s="28">
        <v>0.3</v>
      </c>
      <c r="T659" s="13">
        <v>-50.097999999999999</v>
      </c>
    </row>
    <row r="660" spans="1:20" x14ac:dyDescent="0.3">
      <c r="A660" s="11">
        <v>659</v>
      </c>
      <c r="B660" s="10">
        <v>41537</v>
      </c>
      <c r="C660" s="11">
        <v>2013</v>
      </c>
      <c r="D660" s="12" t="s">
        <v>112</v>
      </c>
      <c r="E660" s="10">
        <v>41537</v>
      </c>
      <c r="F660" s="11">
        <f t="shared" si="10"/>
        <v>0</v>
      </c>
      <c r="G660" s="11" t="s">
        <v>662</v>
      </c>
      <c r="H660" s="11" t="s">
        <v>1052</v>
      </c>
      <c r="I660" s="11" t="s">
        <v>80</v>
      </c>
      <c r="J660" s="11" t="s">
        <v>1097</v>
      </c>
      <c r="K660" s="11" t="s">
        <v>267</v>
      </c>
      <c r="L660" s="11" t="s">
        <v>144</v>
      </c>
      <c r="M660" s="11" t="s">
        <v>83</v>
      </c>
      <c r="N660" s="11" t="s">
        <v>39</v>
      </c>
      <c r="O660" s="11" t="s">
        <v>61</v>
      </c>
      <c r="P660" s="11" t="s">
        <v>205</v>
      </c>
      <c r="Q660" s="13">
        <v>2.3079999999999998</v>
      </c>
      <c r="R660" s="11">
        <v>2</v>
      </c>
      <c r="S660" s="28">
        <v>0.8</v>
      </c>
      <c r="T660" s="13">
        <v>-3.4620000000000002</v>
      </c>
    </row>
    <row r="661" spans="1:20" x14ac:dyDescent="0.3">
      <c r="A661" s="11">
        <v>660</v>
      </c>
      <c r="B661" s="10">
        <v>41145</v>
      </c>
      <c r="C661" s="11">
        <v>2012</v>
      </c>
      <c r="D661" s="12" t="s">
        <v>95</v>
      </c>
      <c r="E661" s="10">
        <v>41149</v>
      </c>
      <c r="F661" s="11">
        <f t="shared" si="10"/>
        <v>4</v>
      </c>
      <c r="G661" s="11" t="s">
        <v>44</v>
      </c>
      <c r="H661" s="11" t="s">
        <v>423</v>
      </c>
      <c r="I661" s="11" t="s">
        <v>24</v>
      </c>
      <c r="J661" s="11" t="s">
        <v>1097</v>
      </c>
      <c r="K661" s="11" t="s">
        <v>586</v>
      </c>
      <c r="L661" s="11" t="s">
        <v>82</v>
      </c>
      <c r="M661" s="11" t="s">
        <v>83</v>
      </c>
      <c r="N661" s="11" t="s">
        <v>39</v>
      </c>
      <c r="O661" s="11" t="s">
        <v>50</v>
      </c>
      <c r="P661" s="11" t="s">
        <v>986</v>
      </c>
      <c r="Q661" s="13">
        <v>999.43200000000002</v>
      </c>
      <c r="R661" s="11">
        <v>7</v>
      </c>
      <c r="S661" s="28">
        <v>0.2</v>
      </c>
      <c r="T661" s="13">
        <v>124.929</v>
      </c>
    </row>
    <row r="662" spans="1:20" x14ac:dyDescent="0.3">
      <c r="A662" s="11">
        <v>661</v>
      </c>
      <c r="B662" s="10">
        <v>41145</v>
      </c>
      <c r="C662" s="11">
        <v>2012</v>
      </c>
      <c r="D662" s="12" t="s">
        <v>95</v>
      </c>
      <c r="E662" s="10">
        <v>41149</v>
      </c>
      <c r="F662" s="11">
        <f t="shared" si="10"/>
        <v>4</v>
      </c>
      <c r="G662" s="11" t="s">
        <v>44</v>
      </c>
      <c r="H662" s="11" t="s">
        <v>423</v>
      </c>
      <c r="I662" s="11" t="s">
        <v>24</v>
      </c>
      <c r="J662" s="11" t="s">
        <v>1097</v>
      </c>
      <c r="K662" s="11" t="s">
        <v>586</v>
      </c>
      <c r="L662" s="11" t="s">
        <v>82</v>
      </c>
      <c r="M662" s="11" t="s">
        <v>83</v>
      </c>
      <c r="N662" s="11" t="s">
        <v>39</v>
      </c>
      <c r="O662" s="11" t="s">
        <v>50</v>
      </c>
      <c r="P662" s="11" t="s">
        <v>1053</v>
      </c>
      <c r="Q662" s="13">
        <v>724.08</v>
      </c>
      <c r="R662" s="11">
        <v>14</v>
      </c>
      <c r="S662" s="28">
        <v>0.2</v>
      </c>
      <c r="T662" s="13">
        <v>-135.76499999999999</v>
      </c>
    </row>
    <row r="663" spans="1:20" x14ac:dyDescent="0.3">
      <c r="A663" s="11">
        <v>662</v>
      </c>
      <c r="B663" s="10">
        <v>41145</v>
      </c>
      <c r="C663" s="11">
        <v>2012</v>
      </c>
      <c r="D663" s="12" t="s">
        <v>95</v>
      </c>
      <c r="E663" s="10">
        <v>41149</v>
      </c>
      <c r="F663" s="11">
        <f t="shared" si="10"/>
        <v>4</v>
      </c>
      <c r="G663" s="11" t="s">
        <v>44</v>
      </c>
      <c r="H663" s="11" t="s">
        <v>423</v>
      </c>
      <c r="I663" s="11" t="s">
        <v>24</v>
      </c>
      <c r="J663" s="11" t="s">
        <v>1097</v>
      </c>
      <c r="K663" s="11" t="s">
        <v>586</v>
      </c>
      <c r="L663" s="11" t="s">
        <v>82</v>
      </c>
      <c r="M663" s="11" t="s">
        <v>83</v>
      </c>
      <c r="N663" s="11" t="s">
        <v>28</v>
      </c>
      <c r="O663" s="11" t="s">
        <v>48</v>
      </c>
      <c r="P663" s="11" t="s">
        <v>295</v>
      </c>
      <c r="Q663" s="13">
        <v>918.78499999999997</v>
      </c>
      <c r="R663" s="11">
        <v>5</v>
      </c>
      <c r="S663" s="28">
        <v>0.3</v>
      </c>
      <c r="T663" s="13">
        <v>-118.12949999999999</v>
      </c>
    </row>
    <row r="664" spans="1:20" x14ac:dyDescent="0.3">
      <c r="A664" s="11">
        <v>663</v>
      </c>
      <c r="B664" s="10">
        <v>41145</v>
      </c>
      <c r="C664" s="11">
        <v>2012</v>
      </c>
      <c r="D664" s="12" t="s">
        <v>95</v>
      </c>
      <c r="E664" s="10">
        <v>41149</v>
      </c>
      <c r="F664" s="11">
        <f t="shared" si="10"/>
        <v>4</v>
      </c>
      <c r="G664" s="11" t="s">
        <v>44</v>
      </c>
      <c r="H664" s="11" t="s">
        <v>423</v>
      </c>
      <c r="I664" s="11" t="s">
        <v>24</v>
      </c>
      <c r="J664" s="11" t="s">
        <v>1097</v>
      </c>
      <c r="K664" s="11" t="s">
        <v>586</v>
      </c>
      <c r="L664" s="11" t="s">
        <v>82</v>
      </c>
      <c r="M664" s="11" t="s">
        <v>83</v>
      </c>
      <c r="N664" s="11" t="s">
        <v>39</v>
      </c>
      <c r="O664" s="11" t="s">
        <v>61</v>
      </c>
      <c r="P664" s="11" t="s">
        <v>286</v>
      </c>
      <c r="Q664" s="13">
        <v>2.7240000000000002</v>
      </c>
      <c r="R664" s="11">
        <v>3</v>
      </c>
      <c r="S664" s="28">
        <v>0.8</v>
      </c>
      <c r="T664" s="13">
        <v>-4.2222</v>
      </c>
    </row>
    <row r="665" spans="1:20" x14ac:dyDescent="0.3">
      <c r="A665" s="11">
        <v>664</v>
      </c>
      <c r="B665" s="10">
        <v>41360</v>
      </c>
      <c r="C665" s="11">
        <v>2013</v>
      </c>
      <c r="D665" s="12" t="s">
        <v>151</v>
      </c>
      <c r="E665" s="10">
        <v>41364</v>
      </c>
      <c r="F665" s="11">
        <f t="shared" si="10"/>
        <v>4</v>
      </c>
      <c r="G665" s="11" t="s">
        <v>44</v>
      </c>
      <c r="H665" s="11" t="s">
        <v>1054</v>
      </c>
      <c r="I665" s="11" t="s">
        <v>35</v>
      </c>
      <c r="J665" s="11" t="s">
        <v>1097</v>
      </c>
      <c r="K665" s="11" t="s">
        <v>174</v>
      </c>
      <c r="L665" s="11" t="s">
        <v>175</v>
      </c>
      <c r="M665" s="11" t="s">
        <v>110</v>
      </c>
      <c r="N665" s="11" t="s">
        <v>39</v>
      </c>
      <c r="O665" s="11" t="s">
        <v>50</v>
      </c>
      <c r="P665" s="11" t="s">
        <v>454</v>
      </c>
      <c r="Q665" s="13">
        <v>459.95</v>
      </c>
      <c r="R665" s="11">
        <v>5</v>
      </c>
      <c r="S665" s="28">
        <v>0</v>
      </c>
      <c r="T665" s="13">
        <v>18.398</v>
      </c>
    </row>
    <row r="666" spans="1:20" x14ac:dyDescent="0.3">
      <c r="A666" s="11">
        <v>665</v>
      </c>
      <c r="B666" s="10">
        <v>41583</v>
      </c>
      <c r="C666" s="11">
        <v>2013</v>
      </c>
      <c r="D666" s="12" t="s">
        <v>21</v>
      </c>
      <c r="E666" s="10">
        <v>41583</v>
      </c>
      <c r="F666" s="11">
        <f t="shared" si="10"/>
        <v>0</v>
      </c>
      <c r="G666" s="11" t="s">
        <v>662</v>
      </c>
      <c r="H666" s="11" t="s">
        <v>520</v>
      </c>
      <c r="I666" s="11" t="s">
        <v>24</v>
      </c>
      <c r="J666" s="11" t="s">
        <v>1097</v>
      </c>
      <c r="K666" s="11" t="s">
        <v>747</v>
      </c>
      <c r="L666" s="11" t="s">
        <v>26</v>
      </c>
      <c r="M666" s="11" t="s">
        <v>27</v>
      </c>
      <c r="N666" s="11" t="s">
        <v>39</v>
      </c>
      <c r="O666" s="11" t="s">
        <v>176</v>
      </c>
      <c r="P666" s="11" t="s">
        <v>290</v>
      </c>
      <c r="Q666" s="13">
        <v>10.74</v>
      </c>
      <c r="R666" s="11">
        <v>3</v>
      </c>
      <c r="S666" s="28">
        <v>0</v>
      </c>
      <c r="T666" s="13">
        <v>5.2625999999999999</v>
      </c>
    </row>
    <row r="667" spans="1:20" x14ac:dyDescent="0.3">
      <c r="A667" s="11">
        <v>666</v>
      </c>
      <c r="B667" s="10">
        <v>41799</v>
      </c>
      <c r="C667" s="11">
        <v>2014</v>
      </c>
      <c r="D667" s="12" t="s">
        <v>33</v>
      </c>
      <c r="E667" s="10">
        <v>41801</v>
      </c>
      <c r="F667" s="11">
        <f t="shared" si="10"/>
        <v>2</v>
      </c>
      <c r="G667" s="11" t="s">
        <v>22</v>
      </c>
      <c r="H667" s="11" t="s">
        <v>1055</v>
      </c>
      <c r="I667" s="11" t="s">
        <v>35</v>
      </c>
      <c r="J667" s="11" t="s">
        <v>1097</v>
      </c>
      <c r="K667" s="11" t="s">
        <v>442</v>
      </c>
      <c r="L667" s="11" t="s">
        <v>82</v>
      </c>
      <c r="M667" s="11" t="s">
        <v>83</v>
      </c>
      <c r="N667" s="11" t="s">
        <v>39</v>
      </c>
      <c r="O667" s="11" t="s">
        <v>328</v>
      </c>
      <c r="P667" s="11" t="s">
        <v>1056</v>
      </c>
      <c r="Q667" s="13">
        <v>23.76</v>
      </c>
      <c r="R667" s="11">
        <v>3</v>
      </c>
      <c r="S667" s="28">
        <v>0.2</v>
      </c>
      <c r="T667" s="13">
        <v>2.0790000000000002</v>
      </c>
    </row>
    <row r="668" spans="1:20" x14ac:dyDescent="0.3">
      <c r="A668" s="11">
        <v>667</v>
      </c>
      <c r="B668" s="10">
        <v>41799</v>
      </c>
      <c r="C668" s="11">
        <v>2014</v>
      </c>
      <c r="D668" s="12" t="s">
        <v>33</v>
      </c>
      <c r="E668" s="10">
        <v>41801</v>
      </c>
      <c r="F668" s="11">
        <f t="shared" si="10"/>
        <v>2</v>
      </c>
      <c r="G668" s="11" t="s">
        <v>22</v>
      </c>
      <c r="H668" s="11" t="s">
        <v>1055</v>
      </c>
      <c r="I668" s="11" t="s">
        <v>35</v>
      </c>
      <c r="J668" s="11" t="s">
        <v>1097</v>
      </c>
      <c r="K668" s="11" t="s">
        <v>442</v>
      </c>
      <c r="L668" s="11" t="s">
        <v>82</v>
      </c>
      <c r="M668" s="11" t="s">
        <v>83</v>
      </c>
      <c r="N668" s="11" t="s">
        <v>39</v>
      </c>
      <c r="O668" s="11" t="s">
        <v>72</v>
      </c>
      <c r="P668" s="11" t="s">
        <v>131</v>
      </c>
      <c r="Q668" s="13">
        <v>85.055999999999997</v>
      </c>
      <c r="R668" s="11">
        <v>3</v>
      </c>
      <c r="S668" s="28">
        <v>0.2</v>
      </c>
      <c r="T668" s="13">
        <v>28.706399999999999</v>
      </c>
    </row>
    <row r="669" spans="1:20" x14ac:dyDescent="0.3">
      <c r="A669" s="11">
        <v>668</v>
      </c>
      <c r="B669" s="10">
        <v>41799</v>
      </c>
      <c r="C669" s="11">
        <v>2014</v>
      </c>
      <c r="D669" s="12" t="s">
        <v>33</v>
      </c>
      <c r="E669" s="10">
        <v>41801</v>
      </c>
      <c r="F669" s="11">
        <f t="shared" si="10"/>
        <v>2</v>
      </c>
      <c r="G669" s="11" t="s">
        <v>22</v>
      </c>
      <c r="H669" s="11" t="s">
        <v>1055</v>
      </c>
      <c r="I669" s="11" t="s">
        <v>35</v>
      </c>
      <c r="J669" s="11" t="s">
        <v>1097</v>
      </c>
      <c r="K669" s="11" t="s">
        <v>442</v>
      </c>
      <c r="L669" s="11" t="s">
        <v>82</v>
      </c>
      <c r="M669" s="11" t="s">
        <v>83</v>
      </c>
      <c r="N669" s="11" t="s">
        <v>58</v>
      </c>
      <c r="O669" s="11" t="s">
        <v>59</v>
      </c>
      <c r="P669" s="11" t="s">
        <v>1057</v>
      </c>
      <c r="Q669" s="13">
        <v>381.57600000000002</v>
      </c>
      <c r="R669" s="11">
        <v>3</v>
      </c>
      <c r="S669" s="28">
        <v>0.2</v>
      </c>
      <c r="T669" s="13">
        <v>28.618200000000002</v>
      </c>
    </row>
    <row r="670" spans="1:20" x14ac:dyDescent="0.3">
      <c r="A670" s="11">
        <v>669</v>
      </c>
      <c r="B670" s="10">
        <v>40901</v>
      </c>
      <c r="C670" s="11">
        <v>2011</v>
      </c>
      <c r="D670" s="12" t="s">
        <v>74</v>
      </c>
      <c r="E670" s="10">
        <v>40903</v>
      </c>
      <c r="F670" s="11">
        <f t="shared" si="10"/>
        <v>2</v>
      </c>
      <c r="G670" s="11" t="s">
        <v>132</v>
      </c>
      <c r="H670" s="11" t="s">
        <v>1058</v>
      </c>
      <c r="I670" s="11" t="s">
        <v>24</v>
      </c>
      <c r="J670" s="11" t="s">
        <v>1097</v>
      </c>
      <c r="K670" s="11" t="s">
        <v>1059</v>
      </c>
      <c r="L670" s="11" t="s">
        <v>289</v>
      </c>
      <c r="M670" s="11" t="s">
        <v>110</v>
      </c>
      <c r="N670" s="11" t="s">
        <v>28</v>
      </c>
      <c r="O670" s="11" t="s">
        <v>54</v>
      </c>
      <c r="P670" s="11" t="s">
        <v>1060</v>
      </c>
      <c r="Q670" s="13">
        <v>30.36</v>
      </c>
      <c r="R670" s="11">
        <v>5</v>
      </c>
      <c r="S670" s="28">
        <v>0.2</v>
      </c>
      <c r="T670" s="13">
        <v>8.7285000000000004</v>
      </c>
    </row>
    <row r="671" spans="1:20" x14ac:dyDescent="0.3">
      <c r="A671" s="11">
        <v>670</v>
      </c>
      <c r="B671" s="10">
        <v>41800</v>
      </c>
      <c r="C671" s="11">
        <v>2014</v>
      </c>
      <c r="D671" s="12" t="s">
        <v>33</v>
      </c>
      <c r="E671" s="10">
        <v>41804</v>
      </c>
      <c r="F671" s="11">
        <f t="shared" si="10"/>
        <v>4</v>
      </c>
      <c r="G671" s="11" t="s">
        <v>44</v>
      </c>
      <c r="H671" s="11" t="s">
        <v>1011</v>
      </c>
      <c r="I671" s="11" t="s">
        <v>80</v>
      </c>
      <c r="J671" s="11" t="s">
        <v>1097</v>
      </c>
      <c r="K671" s="11" t="s">
        <v>193</v>
      </c>
      <c r="L671" s="11" t="s">
        <v>144</v>
      </c>
      <c r="M671" s="11" t="s">
        <v>83</v>
      </c>
      <c r="N671" s="11" t="s">
        <v>28</v>
      </c>
      <c r="O671" s="11" t="s">
        <v>54</v>
      </c>
      <c r="P671" s="11" t="s">
        <v>1061</v>
      </c>
      <c r="Q671" s="13">
        <v>23.975999999999999</v>
      </c>
      <c r="R671" s="11">
        <v>3</v>
      </c>
      <c r="S671" s="28">
        <v>0.6</v>
      </c>
      <c r="T671" s="13">
        <v>-14.3856</v>
      </c>
    </row>
    <row r="672" spans="1:20" x14ac:dyDescent="0.3">
      <c r="A672" s="11">
        <v>671</v>
      </c>
      <c r="B672" s="10">
        <v>41800</v>
      </c>
      <c r="C672" s="11">
        <v>2014</v>
      </c>
      <c r="D672" s="12" t="s">
        <v>33</v>
      </c>
      <c r="E672" s="10">
        <v>41804</v>
      </c>
      <c r="F672" s="11">
        <f t="shared" si="10"/>
        <v>4</v>
      </c>
      <c r="G672" s="11" t="s">
        <v>44</v>
      </c>
      <c r="H672" s="11" t="s">
        <v>1011</v>
      </c>
      <c r="I672" s="11" t="s">
        <v>80</v>
      </c>
      <c r="J672" s="11" t="s">
        <v>1097</v>
      </c>
      <c r="K672" s="11" t="s">
        <v>193</v>
      </c>
      <c r="L672" s="11" t="s">
        <v>144</v>
      </c>
      <c r="M672" s="11" t="s">
        <v>83</v>
      </c>
      <c r="N672" s="11" t="s">
        <v>28</v>
      </c>
      <c r="O672" s="11" t="s">
        <v>48</v>
      </c>
      <c r="P672" s="11" t="s">
        <v>1062</v>
      </c>
      <c r="Q672" s="13">
        <v>108.925</v>
      </c>
      <c r="R672" s="11">
        <v>1</v>
      </c>
      <c r="S672" s="28">
        <v>0.5</v>
      </c>
      <c r="T672" s="13">
        <v>-71.890500000000003</v>
      </c>
    </row>
    <row r="673" spans="1:20" x14ac:dyDescent="0.3">
      <c r="A673" s="11">
        <v>672</v>
      </c>
      <c r="B673" s="10">
        <v>41800</v>
      </c>
      <c r="C673" s="11">
        <v>2014</v>
      </c>
      <c r="D673" s="12" t="s">
        <v>33</v>
      </c>
      <c r="E673" s="10">
        <v>41804</v>
      </c>
      <c r="F673" s="11">
        <f t="shared" si="10"/>
        <v>4</v>
      </c>
      <c r="G673" s="11" t="s">
        <v>44</v>
      </c>
      <c r="H673" s="11" t="s">
        <v>1011</v>
      </c>
      <c r="I673" s="11" t="s">
        <v>80</v>
      </c>
      <c r="J673" s="11" t="s">
        <v>1097</v>
      </c>
      <c r="K673" s="11" t="s">
        <v>193</v>
      </c>
      <c r="L673" s="11" t="s">
        <v>144</v>
      </c>
      <c r="M673" s="11" t="s">
        <v>83</v>
      </c>
      <c r="N673" s="11" t="s">
        <v>39</v>
      </c>
      <c r="O673" s="11" t="s">
        <v>72</v>
      </c>
      <c r="P673" s="11" t="s">
        <v>1063</v>
      </c>
      <c r="Q673" s="13">
        <v>36.351999999999997</v>
      </c>
      <c r="R673" s="11">
        <v>8</v>
      </c>
      <c r="S673" s="28">
        <v>0.2</v>
      </c>
      <c r="T673" s="13">
        <v>11.36</v>
      </c>
    </row>
    <row r="674" spans="1:20" x14ac:dyDescent="0.3">
      <c r="A674" s="11">
        <v>673</v>
      </c>
      <c r="B674" s="10">
        <v>41806</v>
      </c>
      <c r="C674" s="11">
        <v>2014</v>
      </c>
      <c r="D674" s="12" t="s">
        <v>33</v>
      </c>
      <c r="E674" s="10">
        <v>41813</v>
      </c>
      <c r="F674" s="11">
        <f t="shared" si="10"/>
        <v>7</v>
      </c>
      <c r="G674" s="11" t="s">
        <v>44</v>
      </c>
      <c r="H674" s="11" t="s">
        <v>640</v>
      </c>
      <c r="I674" s="11" t="s">
        <v>24</v>
      </c>
      <c r="J674" s="11" t="s">
        <v>1097</v>
      </c>
      <c r="K674" s="11" t="s">
        <v>677</v>
      </c>
      <c r="L674" s="11" t="s">
        <v>144</v>
      </c>
      <c r="M674" s="11" t="s">
        <v>83</v>
      </c>
      <c r="N674" s="11" t="s">
        <v>39</v>
      </c>
      <c r="O674" s="11" t="s">
        <v>56</v>
      </c>
      <c r="P674" s="11" t="s">
        <v>1064</v>
      </c>
      <c r="Q674" s="13">
        <v>19.559999999999999</v>
      </c>
      <c r="R674" s="11">
        <v>5</v>
      </c>
      <c r="S674" s="28">
        <v>0.2</v>
      </c>
      <c r="T674" s="13">
        <v>1.7115</v>
      </c>
    </row>
    <row r="675" spans="1:20" x14ac:dyDescent="0.3">
      <c r="A675" s="11">
        <v>674</v>
      </c>
      <c r="B675" s="10">
        <v>41979</v>
      </c>
      <c r="C675" s="11">
        <v>2014</v>
      </c>
      <c r="D675" s="12" t="s">
        <v>74</v>
      </c>
      <c r="E675" s="10">
        <v>41982</v>
      </c>
      <c r="F675" s="11">
        <f t="shared" si="10"/>
        <v>3</v>
      </c>
      <c r="G675" s="11" t="s">
        <v>132</v>
      </c>
      <c r="H675" s="11" t="s">
        <v>1065</v>
      </c>
      <c r="I675" s="11" t="s">
        <v>24</v>
      </c>
      <c r="J675" s="11" t="s">
        <v>1097</v>
      </c>
      <c r="K675" s="11" t="s">
        <v>288</v>
      </c>
      <c r="L675" s="11" t="s">
        <v>168</v>
      </c>
      <c r="M675" s="11" t="s">
        <v>83</v>
      </c>
      <c r="N675" s="11" t="s">
        <v>39</v>
      </c>
      <c r="O675" s="11" t="s">
        <v>63</v>
      </c>
      <c r="P675" s="11" t="s">
        <v>1066</v>
      </c>
      <c r="Q675" s="13">
        <v>61.44</v>
      </c>
      <c r="R675" s="11">
        <v>3</v>
      </c>
      <c r="S675" s="28">
        <v>0</v>
      </c>
      <c r="T675" s="13">
        <v>16.588799999999999</v>
      </c>
    </row>
    <row r="676" spans="1:20" x14ac:dyDescent="0.3">
      <c r="A676" s="11">
        <v>675</v>
      </c>
      <c r="B676" s="10">
        <v>41979</v>
      </c>
      <c r="C676" s="11">
        <v>2014</v>
      </c>
      <c r="D676" s="12" t="s">
        <v>74</v>
      </c>
      <c r="E676" s="10">
        <v>41982</v>
      </c>
      <c r="F676" s="11">
        <f t="shared" si="10"/>
        <v>3</v>
      </c>
      <c r="G676" s="11" t="s">
        <v>132</v>
      </c>
      <c r="H676" s="11" t="s">
        <v>1065</v>
      </c>
      <c r="I676" s="11" t="s">
        <v>24</v>
      </c>
      <c r="J676" s="11" t="s">
        <v>1097</v>
      </c>
      <c r="K676" s="11" t="s">
        <v>288</v>
      </c>
      <c r="L676" s="11" t="s">
        <v>168</v>
      </c>
      <c r="M676" s="11" t="s">
        <v>83</v>
      </c>
      <c r="N676" s="11" t="s">
        <v>39</v>
      </c>
      <c r="O676" s="11" t="s">
        <v>72</v>
      </c>
      <c r="P676" s="11" t="s">
        <v>1067</v>
      </c>
      <c r="Q676" s="13">
        <v>38.9</v>
      </c>
      <c r="R676" s="11">
        <v>5</v>
      </c>
      <c r="S676" s="28">
        <v>0</v>
      </c>
      <c r="T676" s="13">
        <v>17.504999999999999</v>
      </c>
    </row>
    <row r="677" spans="1:20" x14ac:dyDescent="0.3">
      <c r="A677" s="11">
        <v>676</v>
      </c>
      <c r="B677" s="10">
        <v>41979</v>
      </c>
      <c r="C677" s="11">
        <v>2014</v>
      </c>
      <c r="D677" s="12" t="s">
        <v>74</v>
      </c>
      <c r="E677" s="10">
        <v>41982</v>
      </c>
      <c r="F677" s="11">
        <f t="shared" si="10"/>
        <v>3</v>
      </c>
      <c r="G677" s="11" t="s">
        <v>132</v>
      </c>
      <c r="H677" s="11" t="s">
        <v>1065</v>
      </c>
      <c r="I677" s="11" t="s">
        <v>24</v>
      </c>
      <c r="J677" s="11" t="s">
        <v>1097</v>
      </c>
      <c r="K677" s="11" t="s">
        <v>288</v>
      </c>
      <c r="L677" s="11" t="s">
        <v>168</v>
      </c>
      <c r="M677" s="11" t="s">
        <v>83</v>
      </c>
      <c r="N677" s="11" t="s">
        <v>58</v>
      </c>
      <c r="O677" s="11" t="s">
        <v>118</v>
      </c>
      <c r="P677" s="11" t="s">
        <v>889</v>
      </c>
      <c r="Q677" s="13">
        <v>99.39</v>
      </c>
      <c r="R677" s="11">
        <v>3</v>
      </c>
      <c r="S677" s="28">
        <v>0</v>
      </c>
      <c r="T677" s="13">
        <v>40.749899999999997</v>
      </c>
    </row>
    <row r="678" spans="1:20" x14ac:dyDescent="0.3">
      <c r="A678" s="11">
        <v>677</v>
      </c>
      <c r="B678" s="10">
        <v>41717</v>
      </c>
      <c r="C678" s="11">
        <v>2014</v>
      </c>
      <c r="D678" s="12" t="s">
        <v>151</v>
      </c>
      <c r="E678" s="10">
        <v>41722</v>
      </c>
      <c r="F678" s="11">
        <f t="shared" si="10"/>
        <v>5</v>
      </c>
      <c r="G678" s="11" t="s">
        <v>44</v>
      </c>
      <c r="H678" s="11" t="s">
        <v>1068</v>
      </c>
      <c r="I678" s="11" t="s">
        <v>24</v>
      </c>
      <c r="J678" s="11" t="s">
        <v>1097</v>
      </c>
      <c r="K678" s="11" t="s">
        <v>1069</v>
      </c>
      <c r="L678" s="11" t="s">
        <v>82</v>
      </c>
      <c r="M678" s="11" t="s">
        <v>83</v>
      </c>
      <c r="N678" s="11" t="s">
        <v>39</v>
      </c>
      <c r="O678" s="11" t="s">
        <v>63</v>
      </c>
      <c r="P678" s="11" t="s">
        <v>1070</v>
      </c>
      <c r="Q678" s="13">
        <v>2.6880000000000002</v>
      </c>
      <c r="R678" s="11">
        <v>3</v>
      </c>
      <c r="S678" s="28">
        <v>0.8</v>
      </c>
      <c r="T678" s="13">
        <v>-7.3920000000000003</v>
      </c>
    </row>
    <row r="679" spans="1:20" x14ac:dyDescent="0.3">
      <c r="A679" s="11">
        <v>678</v>
      </c>
      <c r="B679" s="10">
        <v>41717</v>
      </c>
      <c r="C679" s="11">
        <v>2014</v>
      </c>
      <c r="D679" s="12" t="s">
        <v>151</v>
      </c>
      <c r="E679" s="10">
        <v>41722</v>
      </c>
      <c r="F679" s="11">
        <f t="shared" si="10"/>
        <v>5</v>
      </c>
      <c r="G679" s="11" t="s">
        <v>44</v>
      </c>
      <c r="H679" s="11" t="s">
        <v>1068</v>
      </c>
      <c r="I679" s="11" t="s">
        <v>24</v>
      </c>
      <c r="J679" s="11" t="s">
        <v>1097</v>
      </c>
      <c r="K679" s="11" t="s">
        <v>1069</v>
      </c>
      <c r="L679" s="11" t="s">
        <v>82</v>
      </c>
      <c r="M679" s="11" t="s">
        <v>83</v>
      </c>
      <c r="N679" s="11" t="s">
        <v>58</v>
      </c>
      <c r="O679" s="11" t="s">
        <v>118</v>
      </c>
      <c r="P679" s="11" t="s">
        <v>1071</v>
      </c>
      <c r="Q679" s="13">
        <v>27.815999999999999</v>
      </c>
      <c r="R679" s="11">
        <v>3</v>
      </c>
      <c r="S679" s="28">
        <v>0.2</v>
      </c>
      <c r="T679" s="13">
        <v>4.5201000000000002</v>
      </c>
    </row>
    <row r="680" spans="1:20" x14ac:dyDescent="0.3">
      <c r="A680" s="11">
        <v>679</v>
      </c>
      <c r="B680" s="10">
        <v>41717</v>
      </c>
      <c r="C680" s="11">
        <v>2014</v>
      </c>
      <c r="D680" s="12" t="s">
        <v>151</v>
      </c>
      <c r="E680" s="10">
        <v>41722</v>
      </c>
      <c r="F680" s="11">
        <f t="shared" si="10"/>
        <v>5</v>
      </c>
      <c r="G680" s="11" t="s">
        <v>44</v>
      </c>
      <c r="H680" s="11" t="s">
        <v>1068</v>
      </c>
      <c r="I680" s="11" t="s">
        <v>24</v>
      </c>
      <c r="J680" s="11" t="s">
        <v>1097</v>
      </c>
      <c r="K680" s="11" t="s">
        <v>1069</v>
      </c>
      <c r="L680" s="11" t="s">
        <v>82</v>
      </c>
      <c r="M680" s="11" t="s">
        <v>83</v>
      </c>
      <c r="N680" s="11" t="s">
        <v>28</v>
      </c>
      <c r="O680" s="11" t="s">
        <v>54</v>
      </c>
      <c r="P680" s="11" t="s">
        <v>1072</v>
      </c>
      <c r="Q680" s="13">
        <v>82.524000000000001</v>
      </c>
      <c r="R680" s="11">
        <v>3</v>
      </c>
      <c r="S680" s="28">
        <v>0.6</v>
      </c>
      <c r="T680" s="13">
        <v>-41.262</v>
      </c>
    </row>
    <row r="681" spans="1:20" x14ac:dyDescent="0.3">
      <c r="A681" s="11">
        <v>680</v>
      </c>
      <c r="B681" s="10">
        <v>41717</v>
      </c>
      <c r="C681" s="11">
        <v>2014</v>
      </c>
      <c r="D681" s="12" t="s">
        <v>151</v>
      </c>
      <c r="E681" s="10">
        <v>41722</v>
      </c>
      <c r="F681" s="11">
        <f t="shared" si="10"/>
        <v>5</v>
      </c>
      <c r="G681" s="11" t="s">
        <v>44</v>
      </c>
      <c r="H681" s="11" t="s">
        <v>1068</v>
      </c>
      <c r="I681" s="11" t="s">
        <v>24</v>
      </c>
      <c r="J681" s="11" t="s">
        <v>1097</v>
      </c>
      <c r="K681" s="11" t="s">
        <v>1069</v>
      </c>
      <c r="L681" s="11" t="s">
        <v>82</v>
      </c>
      <c r="M681" s="11" t="s">
        <v>83</v>
      </c>
      <c r="N681" s="11" t="s">
        <v>39</v>
      </c>
      <c r="O681" s="11" t="s">
        <v>61</v>
      </c>
      <c r="P681" s="11" t="s">
        <v>1073</v>
      </c>
      <c r="Q681" s="13">
        <v>182.994</v>
      </c>
      <c r="R681" s="11">
        <v>3</v>
      </c>
      <c r="S681" s="28">
        <v>0.8</v>
      </c>
      <c r="T681" s="13">
        <v>-320.23950000000002</v>
      </c>
    </row>
    <row r="682" spans="1:20" x14ac:dyDescent="0.3">
      <c r="A682" s="11">
        <v>681</v>
      </c>
      <c r="B682" s="10">
        <v>41598</v>
      </c>
      <c r="C682" s="11">
        <v>2013</v>
      </c>
      <c r="D682" s="12" t="s">
        <v>21</v>
      </c>
      <c r="E682" s="10">
        <v>41603</v>
      </c>
      <c r="F682" s="11">
        <f t="shared" si="10"/>
        <v>5</v>
      </c>
      <c r="G682" s="11" t="s">
        <v>44</v>
      </c>
      <c r="H682" s="11" t="s">
        <v>1074</v>
      </c>
      <c r="I682" s="11" t="s">
        <v>24</v>
      </c>
      <c r="J682" s="11" t="s">
        <v>1097</v>
      </c>
      <c r="K682" s="11" t="s">
        <v>174</v>
      </c>
      <c r="L682" s="11" t="s">
        <v>175</v>
      </c>
      <c r="M682" s="11" t="s">
        <v>110</v>
      </c>
      <c r="N682" s="11" t="s">
        <v>39</v>
      </c>
      <c r="O682" s="11" t="s">
        <v>61</v>
      </c>
      <c r="P682" s="11" t="s">
        <v>1075</v>
      </c>
      <c r="Q682" s="13">
        <v>14.352</v>
      </c>
      <c r="R682" s="11">
        <v>3</v>
      </c>
      <c r="S682" s="28">
        <v>0.2</v>
      </c>
      <c r="T682" s="13">
        <v>4.6643999999999997</v>
      </c>
    </row>
    <row r="683" spans="1:20" x14ac:dyDescent="0.3">
      <c r="A683" s="11">
        <v>682</v>
      </c>
      <c r="B683" s="10">
        <v>41598</v>
      </c>
      <c r="C683" s="11">
        <v>2013</v>
      </c>
      <c r="D683" s="12" t="s">
        <v>21</v>
      </c>
      <c r="E683" s="10">
        <v>41603</v>
      </c>
      <c r="F683" s="11">
        <f t="shared" si="10"/>
        <v>5</v>
      </c>
      <c r="G683" s="11" t="s">
        <v>44</v>
      </c>
      <c r="H683" s="11" t="s">
        <v>1074</v>
      </c>
      <c r="I683" s="11" t="s">
        <v>24</v>
      </c>
      <c r="J683" s="11" t="s">
        <v>1097</v>
      </c>
      <c r="K683" s="11" t="s">
        <v>174</v>
      </c>
      <c r="L683" s="11" t="s">
        <v>175</v>
      </c>
      <c r="M683" s="11" t="s">
        <v>110</v>
      </c>
      <c r="N683" s="11" t="s">
        <v>39</v>
      </c>
      <c r="O683" s="11" t="s">
        <v>50</v>
      </c>
      <c r="P683" s="11" t="s">
        <v>1076</v>
      </c>
      <c r="Q683" s="13">
        <v>64.959999999999994</v>
      </c>
      <c r="R683" s="11">
        <v>2</v>
      </c>
      <c r="S683" s="28">
        <v>0</v>
      </c>
      <c r="T683" s="13">
        <v>2.5983999999999998</v>
      </c>
    </row>
    <row r="684" spans="1:20" x14ac:dyDescent="0.3">
      <c r="A684" s="11">
        <v>683</v>
      </c>
      <c r="B684" s="10">
        <v>41598</v>
      </c>
      <c r="C684" s="11">
        <v>2013</v>
      </c>
      <c r="D684" s="12" t="s">
        <v>21</v>
      </c>
      <c r="E684" s="10">
        <v>41603</v>
      </c>
      <c r="F684" s="11">
        <f t="shared" si="10"/>
        <v>5</v>
      </c>
      <c r="G684" s="11" t="s">
        <v>44</v>
      </c>
      <c r="H684" s="11" t="s">
        <v>1074</v>
      </c>
      <c r="I684" s="11" t="s">
        <v>24</v>
      </c>
      <c r="J684" s="11" t="s">
        <v>1097</v>
      </c>
      <c r="K684" s="11" t="s">
        <v>174</v>
      </c>
      <c r="L684" s="11" t="s">
        <v>175</v>
      </c>
      <c r="M684" s="11" t="s">
        <v>110</v>
      </c>
      <c r="N684" s="11" t="s">
        <v>39</v>
      </c>
      <c r="O684" s="11" t="s">
        <v>50</v>
      </c>
      <c r="P684" s="11" t="s">
        <v>881</v>
      </c>
      <c r="Q684" s="13">
        <v>68.599999999999994</v>
      </c>
      <c r="R684" s="11">
        <v>4</v>
      </c>
      <c r="S684" s="28">
        <v>0</v>
      </c>
      <c r="T684" s="13">
        <v>18.521999999999998</v>
      </c>
    </row>
    <row r="685" spans="1:20" x14ac:dyDescent="0.3">
      <c r="A685" s="11">
        <v>684</v>
      </c>
      <c r="B685" s="10">
        <v>41948</v>
      </c>
      <c r="C685" s="11">
        <v>2014</v>
      </c>
      <c r="D685" s="12" t="s">
        <v>21</v>
      </c>
      <c r="E685" s="10">
        <v>41948</v>
      </c>
      <c r="F685" s="11">
        <f t="shared" si="10"/>
        <v>0</v>
      </c>
      <c r="G685" s="11" t="s">
        <v>662</v>
      </c>
      <c r="H685" s="11" t="s">
        <v>1077</v>
      </c>
      <c r="I685" s="11" t="s">
        <v>35</v>
      </c>
      <c r="J685" s="11" t="s">
        <v>1097</v>
      </c>
      <c r="K685" s="11" t="s">
        <v>1078</v>
      </c>
      <c r="L685" s="11" t="s">
        <v>71</v>
      </c>
      <c r="M685" s="11" t="s">
        <v>27</v>
      </c>
      <c r="N685" s="11" t="s">
        <v>58</v>
      </c>
      <c r="O685" s="11" t="s">
        <v>378</v>
      </c>
      <c r="P685" s="11" t="s">
        <v>1079</v>
      </c>
      <c r="Q685" s="13">
        <v>7999.98</v>
      </c>
      <c r="R685" s="11">
        <v>4</v>
      </c>
      <c r="S685" s="28">
        <v>0.5</v>
      </c>
      <c r="T685" s="13">
        <v>-3839.9904000000001</v>
      </c>
    </row>
    <row r="686" spans="1:20" x14ac:dyDescent="0.3">
      <c r="A686" s="11">
        <v>685</v>
      </c>
      <c r="B686" s="10">
        <v>41948</v>
      </c>
      <c r="C686" s="11">
        <v>2014</v>
      </c>
      <c r="D686" s="12" t="s">
        <v>21</v>
      </c>
      <c r="E686" s="10">
        <v>41948</v>
      </c>
      <c r="F686" s="11">
        <f t="shared" si="10"/>
        <v>0</v>
      </c>
      <c r="G686" s="11" t="s">
        <v>662</v>
      </c>
      <c r="H686" s="11" t="s">
        <v>1077</v>
      </c>
      <c r="I686" s="11" t="s">
        <v>35</v>
      </c>
      <c r="J686" s="11" t="s">
        <v>1097</v>
      </c>
      <c r="K686" s="11" t="s">
        <v>1078</v>
      </c>
      <c r="L686" s="11" t="s">
        <v>71</v>
      </c>
      <c r="M686" s="11" t="s">
        <v>27</v>
      </c>
      <c r="N686" s="11" t="s">
        <v>39</v>
      </c>
      <c r="O686" s="11" t="s">
        <v>63</v>
      </c>
      <c r="P686" s="11" t="s">
        <v>1040</v>
      </c>
      <c r="Q686" s="13">
        <v>167.44</v>
      </c>
      <c r="R686" s="11">
        <v>2</v>
      </c>
      <c r="S686" s="28">
        <v>0.2</v>
      </c>
      <c r="T686" s="13">
        <v>14.651</v>
      </c>
    </row>
    <row r="687" spans="1:20" x14ac:dyDescent="0.3">
      <c r="A687" s="11">
        <v>686</v>
      </c>
      <c r="B687" s="10">
        <v>40729</v>
      </c>
      <c r="C687" s="11">
        <v>2011</v>
      </c>
      <c r="D687" s="12" t="s">
        <v>106</v>
      </c>
      <c r="E687" s="10">
        <v>40732</v>
      </c>
      <c r="F687" s="11">
        <f t="shared" si="10"/>
        <v>3</v>
      </c>
      <c r="G687" s="11" t="s">
        <v>132</v>
      </c>
      <c r="H687" s="11" t="s">
        <v>1080</v>
      </c>
      <c r="I687" s="11" t="s">
        <v>24</v>
      </c>
      <c r="J687" s="11" t="s">
        <v>1097</v>
      </c>
      <c r="K687" s="11" t="s">
        <v>206</v>
      </c>
      <c r="L687" s="11" t="s">
        <v>754</v>
      </c>
      <c r="M687" s="11" t="s">
        <v>27</v>
      </c>
      <c r="N687" s="11" t="s">
        <v>58</v>
      </c>
      <c r="O687" s="11" t="s">
        <v>118</v>
      </c>
      <c r="P687" s="11" t="s">
        <v>673</v>
      </c>
      <c r="Q687" s="13">
        <v>479.97</v>
      </c>
      <c r="R687" s="11">
        <v>3</v>
      </c>
      <c r="S687" s="28">
        <v>0</v>
      </c>
      <c r="T687" s="13">
        <v>163.18979999999999</v>
      </c>
    </row>
    <row r="688" spans="1:20" x14ac:dyDescent="0.3">
      <c r="A688" s="11">
        <v>687</v>
      </c>
      <c r="B688" s="10">
        <v>40729</v>
      </c>
      <c r="C688" s="11">
        <v>2011</v>
      </c>
      <c r="D688" s="12" t="s">
        <v>106</v>
      </c>
      <c r="E688" s="10">
        <v>40732</v>
      </c>
      <c r="F688" s="11">
        <f t="shared" si="10"/>
        <v>3</v>
      </c>
      <c r="G688" s="11" t="s">
        <v>132</v>
      </c>
      <c r="H688" s="11" t="s">
        <v>1080</v>
      </c>
      <c r="I688" s="11" t="s">
        <v>24</v>
      </c>
      <c r="J688" s="11" t="s">
        <v>1097</v>
      </c>
      <c r="K688" s="11" t="s">
        <v>206</v>
      </c>
      <c r="L688" s="11" t="s">
        <v>754</v>
      </c>
      <c r="M688" s="11" t="s">
        <v>27</v>
      </c>
      <c r="N688" s="11" t="s">
        <v>39</v>
      </c>
      <c r="O688" s="11" t="s">
        <v>40</v>
      </c>
      <c r="P688" s="11" t="s">
        <v>1081</v>
      </c>
      <c r="Q688" s="13">
        <v>14.62</v>
      </c>
      <c r="R688" s="11">
        <v>2</v>
      </c>
      <c r="S688" s="28">
        <v>0</v>
      </c>
      <c r="T688" s="13">
        <v>6.8714000000000004</v>
      </c>
    </row>
    <row r="689" spans="1:20" x14ac:dyDescent="0.3">
      <c r="A689" s="11">
        <v>688</v>
      </c>
      <c r="B689" s="10">
        <v>40729</v>
      </c>
      <c r="C689" s="11">
        <v>2011</v>
      </c>
      <c r="D689" s="12" t="s">
        <v>106</v>
      </c>
      <c r="E689" s="10">
        <v>40732</v>
      </c>
      <c r="F689" s="11">
        <f t="shared" si="10"/>
        <v>3</v>
      </c>
      <c r="G689" s="11" t="s">
        <v>132</v>
      </c>
      <c r="H689" s="11" t="s">
        <v>1080</v>
      </c>
      <c r="I689" s="11" t="s">
        <v>24</v>
      </c>
      <c r="J689" s="11" t="s">
        <v>1097</v>
      </c>
      <c r="K689" s="11" t="s">
        <v>206</v>
      </c>
      <c r="L689" s="11" t="s">
        <v>754</v>
      </c>
      <c r="M689" s="11" t="s">
        <v>27</v>
      </c>
      <c r="N689" s="11" t="s">
        <v>39</v>
      </c>
      <c r="O689" s="11" t="s">
        <v>72</v>
      </c>
      <c r="P689" s="11" t="s">
        <v>243</v>
      </c>
      <c r="Q689" s="13">
        <v>19.440000000000001</v>
      </c>
      <c r="R689" s="11">
        <v>3</v>
      </c>
      <c r="S689" s="28">
        <v>0</v>
      </c>
      <c r="T689" s="13">
        <v>9.3312000000000008</v>
      </c>
    </row>
    <row r="690" spans="1:20" x14ac:dyDescent="0.3">
      <c r="A690" s="11">
        <v>689</v>
      </c>
      <c r="B690" s="10">
        <v>41999</v>
      </c>
      <c r="C690" s="11">
        <v>2014</v>
      </c>
      <c r="D690" s="12" t="s">
        <v>74</v>
      </c>
      <c r="E690" s="10">
        <v>42003</v>
      </c>
      <c r="F690" s="11">
        <f t="shared" si="10"/>
        <v>4</v>
      </c>
      <c r="G690" s="11" t="s">
        <v>44</v>
      </c>
      <c r="H690" s="11" t="s">
        <v>1082</v>
      </c>
      <c r="I690" s="11" t="s">
        <v>24</v>
      </c>
      <c r="J690" s="11" t="s">
        <v>1097</v>
      </c>
      <c r="K690" s="11" t="s">
        <v>174</v>
      </c>
      <c r="L690" s="11" t="s">
        <v>175</v>
      </c>
      <c r="M690" s="11" t="s">
        <v>110</v>
      </c>
      <c r="N690" s="11" t="s">
        <v>28</v>
      </c>
      <c r="O690" s="11" t="s">
        <v>29</v>
      </c>
      <c r="P690" s="11" t="s">
        <v>1083</v>
      </c>
      <c r="Q690" s="13">
        <v>191.98400000000001</v>
      </c>
      <c r="R690" s="11">
        <v>2</v>
      </c>
      <c r="S690" s="28">
        <v>0.2</v>
      </c>
      <c r="T690" s="13">
        <v>4.7995999999999999</v>
      </c>
    </row>
    <row r="691" spans="1:20" x14ac:dyDescent="0.3">
      <c r="A691" s="11">
        <v>690</v>
      </c>
      <c r="B691" s="10">
        <v>40715</v>
      </c>
      <c r="C691" s="11">
        <v>2011</v>
      </c>
      <c r="D691" s="12" t="s">
        <v>33</v>
      </c>
      <c r="E691" s="10">
        <v>40717</v>
      </c>
      <c r="F691" s="11">
        <f t="shared" si="10"/>
        <v>2</v>
      </c>
      <c r="G691" s="11" t="s">
        <v>22</v>
      </c>
      <c r="H691" s="11" t="s">
        <v>1084</v>
      </c>
      <c r="I691" s="11" t="s">
        <v>24</v>
      </c>
      <c r="J691" s="11" t="s">
        <v>1097</v>
      </c>
      <c r="K691" s="11" t="s">
        <v>1085</v>
      </c>
      <c r="L691" s="11" t="s">
        <v>202</v>
      </c>
      <c r="M691" s="11" t="s">
        <v>27</v>
      </c>
      <c r="N691" s="11" t="s">
        <v>28</v>
      </c>
      <c r="O691" s="11" t="s">
        <v>54</v>
      </c>
      <c r="P691" s="11" t="s">
        <v>1086</v>
      </c>
      <c r="Q691" s="13">
        <v>104.01</v>
      </c>
      <c r="R691" s="11">
        <v>1</v>
      </c>
      <c r="S691" s="28">
        <v>0</v>
      </c>
      <c r="T691" s="13">
        <v>14.561400000000001</v>
      </c>
    </row>
    <row r="692" spans="1:20" x14ac:dyDescent="0.3">
      <c r="A692" s="11">
        <v>691</v>
      </c>
      <c r="B692" s="10">
        <v>40715</v>
      </c>
      <c r="C692" s="11">
        <v>2011</v>
      </c>
      <c r="D692" s="12" t="s">
        <v>33</v>
      </c>
      <c r="E692" s="10">
        <v>40717</v>
      </c>
      <c r="F692" s="11">
        <f t="shared" si="10"/>
        <v>2</v>
      </c>
      <c r="G692" s="11" t="s">
        <v>22</v>
      </c>
      <c r="H692" s="11" t="s">
        <v>1084</v>
      </c>
      <c r="I692" s="11" t="s">
        <v>24</v>
      </c>
      <c r="J692" s="11" t="s">
        <v>1097</v>
      </c>
      <c r="K692" s="11" t="s">
        <v>1085</v>
      </c>
      <c r="L692" s="11" t="s">
        <v>202</v>
      </c>
      <c r="M692" s="11" t="s">
        <v>27</v>
      </c>
      <c r="N692" s="11" t="s">
        <v>58</v>
      </c>
      <c r="O692" s="11" t="s">
        <v>59</v>
      </c>
      <c r="P692" s="11" t="s">
        <v>66</v>
      </c>
      <c r="Q692" s="13">
        <v>284.82</v>
      </c>
      <c r="R692" s="11">
        <v>1</v>
      </c>
      <c r="S692" s="28">
        <v>0</v>
      </c>
      <c r="T692" s="13">
        <v>74.053200000000004</v>
      </c>
    </row>
    <row r="693" spans="1:20" x14ac:dyDescent="0.3">
      <c r="A693" s="11">
        <v>692</v>
      </c>
      <c r="B693" s="10">
        <v>40715</v>
      </c>
      <c r="C693" s="11">
        <v>2011</v>
      </c>
      <c r="D693" s="12" t="s">
        <v>33</v>
      </c>
      <c r="E693" s="10">
        <v>40717</v>
      </c>
      <c r="F693" s="11">
        <f t="shared" si="10"/>
        <v>2</v>
      </c>
      <c r="G693" s="11" t="s">
        <v>22</v>
      </c>
      <c r="H693" s="11" t="s">
        <v>1084</v>
      </c>
      <c r="I693" s="11" t="s">
        <v>24</v>
      </c>
      <c r="J693" s="11" t="s">
        <v>1097</v>
      </c>
      <c r="K693" s="11" t="s">
        <v>1085</v>
      </c>
      <c r="L693" s="11" t="s">
        <v>202</v>
      </c>
      <c r="M693" s="11" t="s">
        <v>27</v>
      </c>
      <c r="N693" s="11" t="s">
        <v>39</v>
      </c>
      <c r="O693" s="11" t="s">
        <v>50</v>
      </c>
      <c r="P693" s="11" t="s">
        <v>1087</v>
      </c>
      <c r="Q693" s="13">
        <v>36.840000000000003</v>
      </c>
      <c r="R693" s="11">
        <v>3</v>
      </c>
      <c r="S693" s="28">
        <v>0</v>
      </c>
      <c r="T693" s="13">
        <v>10.315200000000001</v>
      </c>
    </row>
    <row r="694" spans="1:20" x14ac:dyDescent="0.3">
      <c r="A694" s="11">
        <v>693</v>
      </c>
      <c r="B694" s="10">
        <v>40996</v>
      </c>
      <c r="C694" s="11">
        <v>2012</v>
      </c>
      <c r="D694" s="12" t="s">
        <v>151</v>
      </c>
      <c r="E694" s="10">
        <v>41001</v>
      </c>
      <c r="F694" s="11">
        <f t="shared" si="10"/>
        <v>5</v>
      </c>
      <c r="G694" s="11" t="s">
        <v>44</v>
      </c>
      <c r="H694" s="11" t="s">
        <v>1088</v>
      </c>
      <c r="I694" s="11" t="s">
        <v>24</v>
      </c>
      <c r="J694" s="11" t="s">
        <v>1097</v>
      </c>
      <c r="K694" s="11" t="s">
        <v>36</v>
      </c>
      <c r="L694" s="11" t="s">
        <v>37</v>
      </c>
      <c r="M694" s="11" t="s">
        <v>38</v>
      </c>
      <c r="N694" s="11" t="s">
        <v>58</v>
      </c>
      <c r="O694" s="11" t="s">
        <v>118</v>
      </c>
      <c r="P694" s="11" t="s">
        <v>1089</v>
      </c>
      <c r="Q694" s="13">
        <v>166.24</v>
      </c>
      <c r="R694" s="11">
        <v>1</v>
      </c>
      <c r="S694" s="28">
        <v>0</v>
      </c>
      <c r="T694" s="13">
        <v>24.936</v>
      </c>
    </row>
    <row r="695" spans="1:20" x14ac:dyDescent="0.3">
      <c r="A695" s="11">
        <v>694</v>
      </c>
      <c r="B695" s="10">
        <v>40996</v>
      </c>
      <c r="C695" s="11">
        <v>2012</v>
      </c>
      <c r="D695" s="12" t="s">
        <v>151</v>
      </c>
      <c r="E695" s="10">
        <v>41001</v>
      </c>
      <c r="F695" s="11">
        <f t="shared" si="10"/>
        <v>5</v>
      </c>
      <c r="G695" s="11" t="s">
        <v>44</v>
      </c>
      <c r="H695" s="11" t="s">
        <v>1088</v>
      </c>
      <c r="I695" s="11" t="s">
        <v>24</v>
      </c>
      <c r="J695" s="11" t="s">
        <v>1097</v>
      </c>
      <c r="K695" s="11" t="s">
        <v>36</v>
      </c>
      <c r="L695" s="11" t="s">
        <v>37</v>
      </c>
      <c r="M695" s="11" t="s">
        <v>38</v>
      </c>
      <c r="N695" s="11" t="s">
        <v>39</v>
      </c>
      <c r="O695" s="11" t="s">
        <v>72</v>
      </c>
      <c r="P695" s="11" t="s">
        <v>1090</v>
      </c>
      <c r="Q695" s="13">
        <v>33.4</v>
      </c>
      <c r="R695" s="11">
        <v>5</v>
      </c>
      <c r="S695" s="28">
        <v>0</v>
      </c>
      <c r="T695" s="13">
        <v>16.032</v>
      </c>
    </row>
    <row r="696" spans="1:20" x14ac:dyDescent="0.3">
      <c r="A696" s="11">
        <v>695</v>
      </c>
      <c r="B696" s="10">
        <v>41043</v>
      </c>
      <c r="C696" s="11">
        <v>2012</v>
      </c>
      <c r="D696" s="12" t="s">
        <v>90</v>
      </c>
      <c r="E696" s="10">
        <v>41046</v>
      </c>
      <c r="F696" s="11">
        <f t="shared" si="10"/>
        <v>3</v>
      </c>
      <c r="G696" s="11" t="s">
        <v>132</v>
      </c>
      <c r="H696" s="11" t="s">
        <v>1091</v>
      </c>
      <c r="I696" s="11" t="s">
        <v>80</v>
      </c>
      <c r="J696" s="11" t="s">
        <v>1097</v>
      </c>
      <c r="K696" s="11" t="s">
        <v>1092</v>
      </c>
      <c r="L696" s="11" t="s">
        <v>109</v>
      </c>
      <c r="M696" s="11" t="s">
        <v>110</v>
      </c>
      <c r="N696" s="11" t="s">
        <v>39</v>
      </c>
      <c r="O696" s="11" t="s">
        <v>56</v>
      </c>
      <c r="P696" s="11" t="s">
        <v>602</v>
      </c>
      <c r="Q696" s="13">
        <v>198.27199999999999</v>
      </c>
      <c r="R696" s="11">
        <v>8</v>
      </c>
      <c r="S696" s="28">
        <v>0.2</v>
      </c>
      <c r="T696" s="13">
        <v>17.348800000000001</v>
      </c>
    </row>
    <row r="697" spans="1:20" x14ac:dyDescent="0.3">
      <c r="A697" s="11">
        <v>696</v>
      </c>
      <c r="B697" s="10">
        <v>41043</v>
      </c>
      <c r="C697" s="11">
        <v>2012</v>
      </c>
      <c r="D697" s="12" t="s">
        <v>90</v>
      </c>
      <c r="E697" s="10">
        <v>41046</v>
      </c>
      <c r="F697" s="11">
        <f t="shared" si="10"/>
        <v>3</v>
      </c>
      <c r="G697" s="11" t="s">
        <v>132</v>
      </c>
      <c r="H697" s="11" t="s">
        <v>1091</v>
      </c>
      <c r="I697" s="11" t="s">
        <v>80</v>
      </c>
      <c r="J697" s="11" t="s">
        <v>1097</v>
      </c>
      <c r="K697" s="11" t="s">
        <v>1092</v>
      </c>
      <c r="L697" s="11" t="s">
        <v>109</v>
      </c>
      <c r="M697" s="11" t="s">
        <v>110</v>
      </c>
      <c r="N697" s="11" t="s">
        <v>39</v>
      </c>
      <c r="O697" s="11" t="s">
        <v>40</v>
      </c>
      <c r="P697" s="11" t="s">
        <v>1093</v>
      </c>
      <c r="Q697" s="13">
        <v>47.36</v>
      </c>
      <c r="R697" s="11">
        <v>4</v>
      </c>
      <c r="S697" s="28">
        <v>0.2</v>
      </c>
      <c r="T697" s="13">
        <v>17.760000000000002</v>
      </c>
    </row>
    <row r="698" spans="1:20" x14ac:dyDescent="0.3">
      <c r="A698" s="11">
        <v>697</v>
      </c>
      <c r="B698" s="10">
        <v>41043</v>
      </c>
      <c r="C698" s="11">
        <v>2012</v>
      </c>
      <c r="D698" s="12" t="s">
        <v>90</v>
      </c>
      <c r="E698" s="10">
        <v>41046</v>
      </c>
      <c r="F698" s="11">
        <f t="shared" si="10"/>
        <v>3</v>
      </c>
      <c r="G698" s="11" t="s">
        <v>132</v>
      </c>
      <c r="H698" s="11" t="s">
        <v>1091</v>
      </c>
      <c r="I698" s="11" t="s">
        <v>80</v>
      </c>
      <c r="J698" s="11" t="s">
        <v>1097</v>
      </c>
      <c r="K698" s="11" t="s">
        <v>1092</v>
      </c>
      <c r="L698" s="11" t="s">
        <v>109</v>
      </c>
      <c r="M698" s="11" t="s">
        <v>110</v>
      </c>
      <c r="N698" s="11" t="s">
        <v>39</v>
      </c>
      <c r="O698" s="11" t="s">
        <v>124</v>
      </c>
      <c r="P698" s="11" t="s">
        <v>229</v>
      </c>
      <c r="Q698" s="13">
        <v>200.98400000000001</v>
      </c>
      <c r="R698" s="11">
        <v>7</v>
      </c>
      <c r="S698" s="28">
        <v>0.2</v>
      </c>
      <c r="T698" s="13">
        <v>62.807499999999997</v>
      </c>
    </row>
    <row r="699" spans="1:20" x14ac:dyDescent="0.3">
      <c r="A699" s="11">
        <v>698</v>
      </c>
      <c r="B699" s="10">
        <v>41043</v>
      </c>
      <c r="C699" s="11">
        <v>2012</v>
      </c>
      <c r="D699" s="12" t="s">
        <v>90</v>
      </c>
      <c r="E699" s="10">
        <v>41046</v>
      </c>
      <c r="F699" s="11">
        <f t="shared" si="10"/>
        <v>3</v>
      </c>
      <c r="G699" s="11" t="s">
        <v>132</v>
      </c>
      <c r="H699" s="11" t="s">
        <v>1091</v>
      </c>
      <c r="I699" s="11" t="s">
        <v>80</v>
      </c>
      <c r="J699" s="11" t="s">
        <v>1097</v>
      </c>
      <c r="K699" s="11" t="s">
        <v>1092</v>
      </c>
      <c r="L699" s="11" t="s">
        <v>109</v>
      </c>
      <c r="M699" s="11" t="s">
        <v>110</v>
      </c>
      <c r="N699" s="11" t="s">
        <v>39</v>
      </c>
      <c r="O699" s="11" t="s">
        <v>40</v>
      </c>
      <c r="P699" s="11" t="s">
        <v>1094</v>
      </c>
      <c r="Q699" s="13">
        <v>97.695999999999998</v>
      </c>
      <c r="R699" s="11">
        <v>4</v>
      </c>
      <c r="S699" s="28">
        <v>0.2</v>
      </c>
      <c r="T699" s="13">
        <v>31.751200000000001</v>
      </c>
    </row>
    <row r="700" spans="1:20" x14ac:dyDescent="0.3">
      <c r="A700" s="11">
        <v>699</v>
      </c>
      <c r="B700" s="10">
        <v>41043</v>
      </c>
      <c r="C700" s="11">
        <v>2012</v>
      </c>
      <c r="D700" s="12" t="s">
        <v>90</v>
      </c>
      <c r="E700" s="10">
        <v>41046</v>
      </c>
      <c r="F700" s="11">
        <f t="shared" si="10"/>
        <v>3</v>
      </c>
      <c r="G700" s="11" t="s">
        <v>132</v>
      </c>
      <c r="H700" s="11" t="s">
        <v>1091</v>
      </c>
      <c r="I700" s="11" t="s">
        <v>80</v>
      </c>
      <c r="J700" s="11" t="s">
        <v>1097</v>
      </c>
      <c r="K700" s="11" t="s">
        <v>1092</v>
      </c>
      <c r="L700" s="11" t="s">
        <v>109</v>
      </c>
      <c r="M700" s="11" t="s">
        <v>110</v>
      </c>
      <c r="N700" s="11" t="s">
        <v>39</v>
      </c>
      <c r="O700" s="11" t="s">
        <v>56</v>
      </c>
      <c r="P700" s="11" t="s">
        <v>1095</v>
      </c>
      <c r="Q700" s="13">
        <v>2.6960000000000002</v>
      </c>
      <c r="R700" s="11">
        <v>1</v>
      </c>
      <c r="S700" s="28">
        <v>0.2</v>
      </c>
      <c r="T700" s="13">
        <v>0.80879999999999996</v>
      </c>
    </row>
    <row r="701" spans="1:20" x14ac:dyDescent="0.3">
      <c r="A701" s="11">
        <v>700</v>
      </c>
      <c r="B701" s="10">
        <v>41043</v>
      </c>
      <c r="C701" s="11">
        <v>2012</v>
      </c>
      <c r="D701" s="12" t="s">
        <v>90</v>
      </c>
      <c r="E701" s="10">
        <v>41046</v>
      </c>
      <c r="F701" s="11">
        <f t="shared" si="10"/>
        <v>3</v>
      </c>
      <c r="G701" s="11" t="s">
        <v>132</v>
      </c>
      <c r="H701" s="11" t="s">
        <v>1091</v>
      </c>
      <c r="I701" s="11" t="s">
        <v>80</v>
      </c>
      <c r="J701" s="11" t="s">
        <v>1097</v>
      </c>
      <c r="K701" s="11" t="s">
        <v>1092</v>
      </c>
      <c r="L701" s="11" t="s">
        <v>109</v>
      </c>
      <c r="M701" s="11" t="s">
        <v>110</v>
      </c>
      <c r="N701" s="11" t="s">
        <v>39</v>
      </c>
      <c r="O701" s="11" t="s">
        <v>61</v>
      </c>
      <c r="P701" s="11" t="s">
        <v>1096</v>
      </c>
      <c r="Q701" s="13">
        <v>18.588000000000001</v>
      </c>
      <c r="R701" s="11">
        <v>2</v>
      </c>
      <c r="S701" s="28">
        <v>0.7</v>
      </c>
      <c r="T701" s="13">
        <v>-13.6312</v>
      </c>
    </row>
  </sheetData>
  <scenarios current="2" show="2">
    <scenario name="20 %" locked="1" count="1" user="Meet" comment="Created by Meet on 23-02-2026">
      <inputCells r="X16" val="0.2" numFmtId="9"/>
    </scenario>
    <scenario name="30%" locked="1" count="1" user="Meet" comment="Created by Meet on 23-02-2026">
      <inputCells r="X16" val="0.3" numFmtId="9"/>
    </scenario>
    <scenario name="50 %" locked="1" count="1" user="Meet" comment="Created by Meet on 23-02-2026">
      <inputCells r="X16" val="0.5" numFmtId="9"/>
    </scenario>
  </scenarios>
  <mergeCells count="5">
    <mergeCell ref="W2:X2"/>
    <mergeCell ref="W13:X13"/>
    <mergeCell ref="W21:X21"/>
    <mergeCell ref="W34:X34"/>
    <mergeCell ref="W28:AB28"/>
  </mergeCells>
  <dataValidations count="1">
    <dataValidation type="whole" allowBlank="1" showInputMessage="1" showErrorMessage="1" sqref="W30" xr:uid="{61E4D957-45B4-443E-8D0C-AF3089B6CD0E}">
      <formula1>1</formula1>
      <formula2>700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48E15-0051-4892-B597-ACC3195C19F8}">
  <dimension ref="A3:W21"/>
  <sheetViews>
    <sheetView zoomScale="78" zoomScaleNormal="60" workbookViewId="0">
      <selection activeCell="C34" sqref="C34"/>
    </sheetView>
  </sheetViews>
  <sheetFormatPr defaultRowHeight="14.4" x14ac:dyDescent="0.3"/>
  <cols>
    <col min="1" max="1" width="12.88671875" bestFit="1" customWidth="1"/>
    <col min="2" max="2" width="11.6640625" bestFit="1" customWidth="1"/>
    <col min="3" max="3" width="18" customWidth="1"/>
    <col min="4" max="4" width="13.109375" bestFit="1" customWidth="1"/>
    <col min="5" max="5" width="11.6640625" bestFit="1" customWidth="1"/>
    <col min="6" max="6" width="15.33203125" customWidth="1"/>
    <col min="7" max="7" width="12.88671875" bestFit="1" customWidth="1"/>
    <col min="8" max="8" width="11.6640625" bestFit="1" customWidth="1"/>
    <col min="10" max="10" width="12.88671875" bestFit="1" customWidth="1"/>
    <col min="11" max="11" width="11.6640625" bestFit="1" customWidth="1"/>
    <col min="13" max="13" width="12.88671875" bestFit="1" customWidth="1"/>
    <col min="14" max="14" width="11.6640625" bestFit="1" customWidth="1"/>
    <col min="15" max="15" width="14.109375" customWidth="1"/>
    <col min="16" max="16" width="12.88671875" bestFit="1" customWidth="1"/>
    <col min="17" max="17" width="14.21875" bestFit="1" customWidth="1"/>
    <col min="18" max="18" width="18.6640625" customWidth="1"/>
    <col min="19" max="19" width="12.88671875" bestFit="1" customWidth="1"/>
    <col min="20" max="20" width="11.6640625" bestFit="1" customWidth="1"/>
    <col min="21" max="21" width="18.88671875" customWidth="1"/>
    <col min="22" max="22" width="13.109375" bestFit="1" customWidth="1"/>
    <col min="23" max="23" width="11.6640625" bestFit="1" customWidth="1"/>
  </cols>
  <sheetData>
    <row r="3" spans="1:23" x14ac:dyDescent="0.3">
      <c r="A3" s="3" t="s">
        <v>1098</v>
      </c>
      <c r="B3" t="s">
        <v>1100</v>
      </c>
      <c r="D3" s="3" t="s">
        <v>1098</v>
      </c>
      <c r="E3" t="s">
        <v>1100</v>
      </c>
      <c r="G3" s="3" t="s">
        <v>1098</v>
      </c>
      <c r="H3" t="s">
        <v>1100</v>
      </c>
      <c r="J3" s="3" t="s">
        <v>1098</v>
      </c>
      <c r="K3" t="s">
        <v>1100</v>
      </c>
      <c r="M3" s="3" t="s">
        <v>1098</v>
      </c>
      <c r="N3" t="s">
        <v>1100</v>
      </c>
      <c r="P3" s="3" t="s">
        <v>1098</v>
      </c>
      <c r="Q3" t="s">
        <v>1101</v>
      </c>
      <c r="S3" s="3" t="s">
        <v>1098</v>
      </c>
      <c r="T3" t="s">
        <v>1102</v>
      </c>
      <c r="V3" s="3" t="s">
        <v>1098</v>
      </c>
      <c r="W3" t="s">
        <v>1102</v>
      </c>
    </row>
    <row r="4" spans="1:23" x14ac:dyDescent="0.3">
      <c r="A4" s="4" t="s">
        <v>115</v>
      </c>
      <c r="B4" s="5">
        <v>95365.937600000005</v>
      </c>
      <c r="D4" s="4" t="s">
        <v>132</v>
      </c>
      <c r="E4" s="5">
        <v>351428.42290000018</v>
      </c>
      <c r="G4" s="4" t="s">
        <v>24</v>
      </c>
      <c r="H4" s="5">
        <v>1161401.3449999888</v>
      </c>
      <c r="J4" s="4" t="s">
        <v>118</v>
      </c>
      <c r="K4" s="5">
        <v>167380.31800000009</v>
      </c>
      <c r="M4" s="4" t="s">
        <v>52</v>
      </c>
      <c r="N4" s="5">
        <v>484247.4981000009</v>
      </c>
      <c r="P4" s="4" t="s">
        <v>115</v>
      </c>
      <c r="Q4">
        <v>1500</v>
      </c>
      <c r="S4" s="4" t="s">
        <v>115</v>
      </c>
      <c r="T4" s="5">
        <v>9199.2699999999986</v>
      </c>
      <c r="V4" s="4" t="s">
        <v>28</v>
      </c>
      <c r="W4" s="5">
        <v>18451.272799999999</v>
      </c>
    </row>
    <row r="5" spans="1:23" x14ac:dyDescent="0.3">
      <c r="A5" s="4" t="s">
        <v>317</v>
      </c>
      <c r="B5" s="5">
        <v>60172.649400000024</v>
      </c>
      <c r="D5" s="4" t="s">
        <v>662</v>
      </c>
      <c r="E5" s="5">
        <v>128363.125</v>
      </c>
      <c r="G5" s="4" t="s">
        <v>35</v>
      </c>
      <c r="H5" s="5">
        <v>706146.36680000008</v>
      </c>
      <c r="J5" s="4" t="s">
        <v>63</v>
      </c>
      <c r="K5" s="5">
        <v>107532.16099999999</v>
      </c>
      <c r="M5" s="4" t="s">
        <v>42</v>
      </c>
      <c r="N5" s="5">
        <v>470532.50899999985</v>
      </c>
      <c r="P5" s="4" t="s">
        <v>317</v>
      </c>
      <c r="Q5">
        <v>1068</v>
      </c>
      <c r="S5" s="4" t="s">
        <v>317</v>
      </c>
      <c r="T5" s="5">
        <v>10288.898699999991</v>
      </c>
      <c r="V5" s="4" t="s">
        <v>39</v>
      </c>
      <c r="W5" s="5">
        <v>122490.80080000011</v>
      </c>
    </row>
    <row r="6" spans="1:23" x14ac:dyDescent="0.3">
      <c r="A6" s="4" t="s">
        <v>151</v>
      </c>
      <c r="B6" s="5">
        <v>199252.98399999991</v>
      </c>
      <c r="D6" s="4" t="s">
        <v>22</v>
      </c>
      <c r="E6" s="5">
        <v>459193.5693999998</v>
      </c>
      <c r="G6" s="4" t="s">
        <v>80</v>
      </c>
      <c r="H6" s="5">
        <v>429653.1485000003</v>
      </c>
      <c r="J6" s="4" t="s">
        <v>56</v>
      </c>
      <c r="K6" s="5">
        <v>27118.791999999954</v>
      </c>
      <c r="M6" s="4" t="s">
        <v>20</v>
      </c>
      <c r="N6" s="5">
        <v>608473.83000000066</v>
      </c>
      <c r="P6" s="4" t="s">
        <v>151</v>
      </c>
      <c r="Q6">
        <v>2491</v>
      </c>
      <c r="S6" s="4" t="s">
        <v>151</v>
      </c>
      <c r="T6" s="5">
        <v>26806.573700000015</v>
      </c>
      <c r="V6" s="4" t="s">
        <v>58</v>
      </c>
      <c r="W6" s="5">
        <v>145454.94809999989</v>
      </c>
    </row>
    <row r="7" spans="1:23" x14ac:dyDescent="0.3">
      <c r="A7" s="4" t="s">
        <v>68</v>
      </c>
      <c r="B7" s="5">
        <v>141851.5674</v>
      </c>
      <c r="D7" s="4" t="s">
        <v>44</v>
      </c>
      <c r="E7" s="5">
        <v>1358215.7429999826</v>
      </c>
      <c r="G7" s="4" t="s">
        <v>1099</v>
      </c>
      <c r="H7" s="5">
        <v>2297200.8602999891</v>
      </c>
      <c r="J7" s="4" t="s">
        <v>61</v>
      </c>
      <c r="K7" s="5">
        <v>203412.73300000009</v>
      </c>
      <c r="M7" s="4" t="s">
        <v>67</v>
      </c>
      <c r="N7" s="5">
        <v>733947.0231999997</v>
      </c>
      <c r="P7" s="4" t="s">
        <v>68</v>
      </c>
      <c r="Q7">
        <v>2441</v>
      </c>
      <c r="S7" s="4" t="s">
        <v>68</v>
      </c>
      <c r="T7" s="5">
        <v>13437.806800000006</v>
      </c>
      <c r="V7" s="4" t="s">
        <v>1099</v>
      </c>
      <c r="W7" s="5">
        <v>286397.02170000004</v>
      </c>
    </row>
    <row r="8" spans="1:23" x14ac:dyDescent="0.3">
      <c r="A8" s="4" t="s">
        <v>90</v>
      </c>
      <c r="B8" s="5">
        <v>156122.28669999994</v>
      </c>
      <c r="D8" s="4" t="s">
        <v>1099</v>
      </c>
      <c r="E8" s="5">
        <v>2297200.8602999826</v>
      </c>
      <c r="J8" s="4" t="s">
        <v>29</v>
      </c>
      <c r="K8" s="5">
        <v>114879.99629999997</v>
      </c>
      <c r="M8" s="4" t="s">
        <v>1099</v>
      </c>
      <c r="N8" s="5">
        <v>2297200.8603000012</v>
      </c>
      <c r="P8" s="4" t="s">
        <v>90</v>
      </c>
      <c r="Q8">
        <v>2850</v>
      </c>
      <c r="S8" s="4" t="s">
        <v>90</v>
      </c>
      <c r="T8" s="5">
        <v>22308.512799999997</v>
      </c>
    </row>
    <row r="9" spans="1:23" x14ac:dyDescent="0.3">
      <c r="A9" s="4" t="s">
        <v>33</v>
      </c>
      <c r="B9" s="5">
        <v>147082.61130000008</v>
      </c>
      <c r="J9" s="4" t="s">
        <v>31</v>
      </c>
      <c r="K9" s="5">
        <v>328449.10300000076</v>
      </c>
      <c r="P9" s="4" t="s">
        <v>33</v>
      </c>
      <c r="Q9">
        <v>2644</v>
      </c>
      <c r="S9" s="4" t="s">
        <v>33</v>
      </c>
      <c r="T9" s="5">
        <v>20899.334500000019</v>
      </c>
    </row>
    <row r="10" spans="1:23" x14ac:dyDescent="0.3">
      <c r="A10" s="4" t="s">
        <v>106</v>
      </c>
      <c r="B10" s="5">
        <v>149580.83800000031</v>
      </c>
      <c r="J10" s="4" t="s">
        <v>628</v>
      </c>
      <c r="K10" s="5">
        <v>149528.02999999994</v>
      </c>
      <c r="P10" s="4" t="s">
        <v>106</v>
      </c>
      <c r="Q10">
        <v>2705</v>
      </c>
      <c r="S10" s="4" t="s">
        <v>106</v>
      </c>
      <c r="T10" s="5">
        <v>13535.382999999985</v>
      </c>
    </row>
    <row r="11" spans="1:23" x14ac:dyDescent="0.3">
      <c r="A11" s="4" t="s">
        <v>95</v>
      </c>
      <c r="B11" s="5">
        <v>159589.45099999988</v>
      </c>
      <c r="J11" s="4" t="s">
        <v>124</v>
      </c>
      <c r="K11" s="5">
        <v>16476.401999999998</v>
      </c>
      <c r="P11" s="4" t="s">
        <v>95</v>
      </c>
      <c r="Q11">
        <v>2796</v>
      </c>
      <c r="S11" s="4" t="s">
        <v>95</v>
      </c>
      <c r="T11" s="5">
        <v>21896.715399999994</v>
      </c>
    </row>
    <row r="12" spans="1:23" x14ac:dyDescent="0.3">
      <c r="A12" s="4" t="s">
        <v>112</v>
      </c>
      <c r="B12" s="5">
        <v>309770.09970000025</v>
      </c>
      <c r="J12" s="4" t="s">
        <v>176</v>
      </c>
      <c r="K12" s="5">
        <v>3024.2799999999997</v>
      </c>
      <c r="P12" s="4" t="s">
        <v>112</v>
      </c>
      <c r="Q12">
        <v>5073</v>
      </c>
      <c r="S12" s="4" t="s">
        <v>112</v>
      </c>
      <c r="T12" s="5">
        <v>37293.192500000048</v>
      </c>
    </row>
    <row r="13" spans="1:23" x14ac:dyDescent="0.3">
      <c r="A13" s="4" t="s">
        <v>43</v>
      </c>
      <c r="B13" s="5">
        <v>197115.20170000009</v>
      </c>
      <c r="J13" s="4" t="s">
        <v>54</v>
      </c>
      <c r="K13" s="5">
        <v>91705.164000000048</v>
      </c>
      <c r="P13" s="4" t="s">
        <v>43</v>
      </c>
      <c r="Q13">
        <v>3095</v>
      </c>
      <c r="S13" s="4" t="s">
        <v>43</v>
      </c>
      <c r="T13" s="5">
        <v>31469.663800000035</v>
      </c>
    </row>
    <row r="14" spans="1:23" x14ac:dyDescent="0.3">
      <c r="A14" s="4" t="s">
        <v>21</v>
      </c>
      <c r="B14" s="5">
        <v>349120.07400000008</v>
      </c>
      <c r="J14" s="4" t="s">
        <v>40</v>
      </c>
      <c r="K14" s="5">
        <v>12486.312</v>
      </c>
      <c r="P14" s="4" t="s">
        <v>21</v>
      </c>
      <c r="Q14">
        <v>5741</v>
      </c>
      <c r="S14" s="4" t="s">
        <v>21</v>
      </c>
      <c r="T14" s="5">
        <v>35825.536599999934</v>
      </c>
    </row>
    <row r="15" spans="1:23" x14ac:dyDescent="0.3">
      <c r="A15" s="4" t="s">
        <v>74</v>
      </c>
      <c r="B15" s="5">
        <v>332177.15950000001</v>
      </c>
      <c r="J15" s="4" t="s">
        <v>378</v>
      </c>
      <c r="K15" s="5">
        <v>189238.63099999996</v>
      </c>
      <c r="P15" s="4" t="s">
        <v>74</v>
      </c>
      <c r="Q15">
        <v>5469</v>
      </c>
      <c r="S15" s="4" t="s">
        <v>74</v>
      </c>
      <c r="T15" s="5">
        <v>43436.133900000037</v>
      </c>
    </row>
    <row r="16" spans="1:23" x14ac:dyDescent="0.3">
      <c r="A16" s="4" t="s">
        <v>1099</v>
      </c>
      <c r="B16" s="5">
        <v>2297200.8603000008</v>
      </c>
      <c r="J16" s="4" t="s">
        <v>72</v>
      </c>
      <c r="K16" s="5">
        <v>78479.20600000002</v>
      </c>
      <c r="P16" s="4" t="s">
        <v>1099</v>
      </c>
      <c r="Q16">
        <v>37873</v>
      </c>
      <c r="S16" s="4" t="s">
        <v>1099</v>
      </c>
      <c r="T16" s="5">
        <v>286397.02170000004</v>
      </c>
    </row>
    <row r="17" spans="10:11" x14ac:dyDescent="0.3">
      <c r="J17" s="4" t="s">
        <v>59</v>
      </c>
      <c r="K17" s="5">
        <v>330007.05400000012</v>
      </c>
    </row>
    <row r="18" spans="10:11" x14ac:dyDescent="0.3">
      <c r="J18" s="4" t="s">
        <v>50</v>
      </c>
      <c r="K18" s="5">
        <v>223843.60800000012</v>
      </c>
    </row>
    <row r="19" spans="10:11" x14ac:dyDescent="0.3">
      <c r="J19" s="4" t="s">
        <v>328</v>
      </c>
      <c r="K19" s="5">
        <v>46673.538000000015</v>
      </c>
    </row>
    <row r="20" spans="10:11" x14ac:dyDescent="0.3">
      <c r="J20" s="4" t="s">
        <v>48</v>
      </c>
      <c r="K20" s="5">
        <v>206965.53200000009</v>
      </c>
    </row>
    <row r="21" spans="10:11" x14ac:dyDescent="0.3">
      <c r="J21" s="4" t="s">
        <v>1099</v>
      </c>
      <c r="K21" s="5">
        <v>2297200.8603000008</v>
      </c>
    </row>
  </sheetData>
  <pageMargins left="0.7" right="0.7" top="0.75" bottom="0.75" header="0.3" footer="0.3"/>
  <drawing r:id="rId9"/>
  <extLst>
    <ext xmlns:x15="http://schemas.microsoft.com/office/spreadsheetml/2010/11/main" uri="{7E03D99C-DC04-49d9-9315-930204A7B6E9}">
      <x15:timelineRefs>
        <x15:timelineRef r:id="rId10"/>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16A95-B995-4F9A-A8D3-CE8970591094}">
  <dimension ref="A1:K15"/>
  <sheetViews>
    <sheetView workbookViewId="0">
      <selection activeCell="I1" sqref="I1:I1048576"/>
    </sheetView>
  </sheetViews>
  <sheetFormatPr defaultRowHeight="14.4" x14ac:dyDescent="0.3"/>
  <sheetData>
    <row r="1" spans="1:11" x14ac:dyDescent="0.3">
      <c r="A1" s="34" t="s">
        <v>1113</v>
      </c>
      <c r="B1" s="34"/>
      <c r="C1" s="31"/>
      <c r="D1" s="34" t="s">
        <v>1114</v>
      </c>
      <c r="E1" s="34"/>
      <c r="F1" s="31"/>
      <c r="G1" s="34" t="s">
        <v>1115</v>
      </c>
      <c r="H1" s="34"/>
      <c r="I1" s="31"/>
      <c r="J1" s="34" t="s">
        <v>1116</v>
      </c>
      <c r="K1" s="34"/>
    </row>
    <row r="3" spans="1:11" x14ac:dyDescent="0.3">
      <c r="A3" t="s">
        <v>1117</v>
      </c>
      <c r="B3">
        <v>257.67152871428556</v>
      </c>
      <c r="D3" t="s">
        <v>1117</v>
      </c>
      <c r="E3">
        <v>3.8771428571428572</v>
      </c>
      <c r="G3" t="s">
        <v>1117</v>
      </c>
      <c r="H3">
        <v>0.17630000000000082</v>
      </c>
      <c r="J3" t="s">
        <v>1117</v>
      </c>
      <c r="K3">
        <v>13.212425571428573</v>
      </c>
    </row>
    <row r="4" spans="1:11" x14ac:dyDescent="0.3">
      <c r="A4" t="s">
        <v>1118</v>
      </c>
      <c r="B4">
        <v>25.037792566182777</v>
      </c>
      <c r="D4" t="s">
        <v>1118</v>
      </c>
      <c r="E4">
        <v>8.8165840213615787E-2</v>
      </c>
      <c r="G4" t="s">
        <v>1118</v>
      </c>
      <c r="H4">
        <v>8.1081385590721037E-3</v>
      </c>
      <c r="J4" t="s">
        <v>1118</v>
      </c>
      <c r="K4">
        <v>9.6662765688125347</v>
      </c>
    </row>
    <row r="5" spans="1:11" x14ac:dyDescent="0.3">
      <c r="A5" t="s">
        <v>1119</v>
      </c>
      <c r="B5">
        <v>63.430999999999997</v>
      </c>
      <c r="D5" t="s">
        <v>1119</v>
      </c>
      <c r="E5">
        <v>3</v>
      </c>
      <c r="G5" t="s">
        <v>1119</v>
      </c>
      <c r="H5">
        <v>0.2</v>
      </c>
      <c r="J5" t="s">
        <v>1119</v>
      </c>
      <c r="K5">
        <v>7.98</v>
      </c>
    </row>
    <row r="6" spans="1:11" x14ac:dyDescent="0.3">
      <c r="A6" t="s">
        <v>1120</v>
      </c>
      <c r="B6">
        <v>14.62</v>
      </c>
      <c r="D6" t="s">
        <v>1120</v>
      </c>
      <c r="E6">
        <v>3</v>
      </c>
      <c r="G6" t="s">
        <v>1120</v>
      </c>
      <c r="H6">
        <v>0</v>
      </c>
      <c r="J6" t="s">
        <v>1120</v>
      </c>
      <c r="K6">
        <v>0</v>
      </c>
    </row>
    <row r="7" spans="1:11" x14ac:dyDescent="0.3">
      <c r="A7" t="s">
        <v>1121</v>
      </c>
      <c r="B7">
        <v>662.43772508141342</v>
      </c>
      <c r="D7" t="s">
        <v>1121</v>
      </c>
      <c r="E7">
        <v>2.3326488733628516</v>
      </c>
      <c r="G7" t="s">
        <v>1121</v>
      </c>
      <c r="H7">
        <v>0.21452118222958377</v>
      </c>
      <c r="J7" t="s">
        <v>1121</v>
      </c>
      <c r="K7">
        <v>255.74563905048697</v>
      </c>
    </row>
    <row r="8" spans="1:11" x14ac:dyDescent="0.3">
      <c r="A8" t="s">
        <v>1122</v>
      </c>
      <c r="B8">
        <v>438823.73961103824</v>
      </c>
      <c r="D8" t="s">
        <v>1122</v>
      </c>
      <c r="E8">
        <v>5.441250766400981</v>
      </c>
      <c r="G8" t="s">
        <v>1122</v>
      </c>
      <c r="H8">
        <v>4.6019337625178285E-2</v>
      </c>
      <c r="J8" t="s">
        <v>1122</v>
      </c>
      <c r="K8">
        <v>65405.831893341972</v>
      </c>
    </row>
    <row r="9" spans="1:11" x14ac:dyDescent="0.3">
      <c r="A9" t="s">
        <v>1123</v>
      </c>
      <c r="B9">
        <v>70.155226356328896</v>
      </c>
      <c r="D9" t="s">
        <v>1123</v>
      </c>
      <c r="E9">
        <v>2.2443425378576021</v>
      </c>
      <c r="G9" t="s">
        <v>1123</v>
      </c>
      <c r="H9">
        <v>1.6287612656207568</v>
      </c>
      <c r="J9" t="s">
        <v>1123</v>
      </c>
      <c r="K9">
        <v>117.5683515174351</v>
      </c>
    </row>
    <row r="10" spans="1:11" x14ac:dyDescent="0.3">
      <c r="A10" t="s">
        <v>1124</v>
      </c>
      <c r="B10">
        <v>7.2865566679422447</v>
      </c>
      <c r="D10" t="s">
        <v>1124</v>
      </c>
      <c r="E10">
        <v>1.3391544762023022</v>
      </c>
      <c r="G10" t="s">
        <v>1124</v>
      </c>
      <c r="H10">
        <v>1.4904650945249418</v>
      </c>
      <c r="J10" t="s">
        <v>1124</v>
      </c>
      <c r="K10">
        <v>-1.7623015833292932</v>
      </c>
    </row>
    <row r="11" spans="1:11" x14ac:dyDescent="0.3">
      <c r="A11" t="s">
        <v>1125</v>
      </c>
      <c r="B11">
        <v>8158.7040000000006</v>
      </c>
      <c r="D11" t="s">
        <v>1125</v>
      </c>
      <c r="E11">
        <v>13</v>
      </c>
      <c r="G11" t="s">
        <v>1125</v>
      </c>
      <c r="H11">
        <v>0.8</v>
      </c>
      <c r="J11" t="s">
        <v>1125</v>
      </c>
      <c r="K11">
        <v>7017.4654</v>
      </c>
    </row>
    <row r="12" spans="1:11" x14ac:dyDescent="0.3">
      <c r="A12" t="s">
        <v>1126</v>
      </c>
      <c r="B12">
        <v>1.248</v>
      </c>
      <c r="D12" t="s">
        <v>1126</v>
      </c>
      <c r="E12">
        <v>1</v>
      </c>
      <c r="G12" t="s">
        <v>1126</v>
      </c>
      <c r="H12">
        <v>0</v>
      </c>
      <c r="J12" t="s">
        <v>1126</v>
      </c>
      <c r="K12">
        <v>-3839.9904000000001</v>
      </c>
    </row>
    <row r="13" spans="1:11" x14ac:dyDescent="0.3">
      <c r="A13" t="s">
        <v>1127</v>
      </c>
      <c r="B13">
        <v>8159.9520000000002</v>
      </c>
      <c r="D13" t="s">
        <v>1127</v>
      </c>
      <c r="E13">
        <v>14</v>
      </c>
      <c r="G13" t="s">
        <v>1127</v>
      </c>
      <c r="H13">
        <v>0.8</v>
      </c>
      <c r="J13" t="s">
        <v>1127</v>
      </c>
      <c r="K13">
        <v>3177.4749999999999</v>
      </c>
    </row>
    <row r="14" spans="1:11" x14ac:dyDescent="0.3">
      <c r="A14" t="s">
        <v>1128</v>
      </c>
      <c r="B14">
        <v>180370.0700999999</v>
      </c>
      <c r="D14" t="s">
        <v>1128</v>
      </c>
      <c r="E14">
        <v>2714</v>
      </c>
      <c r="G14" t="s">
        <v>1128</v>
      </c>
      <c r="H14">
        <v>123.41000000000057</v>
      </c>
      <c r="J14" t="s">
        <v>1128</v>
      </c>
      <c r="K14">
        <v>9248.697900000001</v>
      </c>
    </row>
    <row r="15" spans="1:11" ht="15" thickBot="1" x14ac:dyDescent="0.35">
      <c r="A15" s="30" t="s">
        <v>1129</v>
      </c>
      <c r="B15" s="30">
        <v>700</v>
      </c>
      <c r="C15" s="30"/>
      <c r="D15" s="30" t="s">
        <v>1129</v>
      </c>
      <c r="E15" s="30">
        <v>700</v>
      </c>
      <c r="F15" s="30"/>
      <c r="G15" s="30" t="s">
        <v>1129</v>
      </c>
      <c r="H15" s="30">
        <v>700</v>
      </c>
      <c r="I15" s="30"/>
      <c r="J15" s="30" t="s">
        <v>1129</v>
      </c>
      <c r="K15" s="30">
        <v>700</v>
      </c>
    </row>
  </sheetData>
  <mergeCells count="4">
    <mergeCell ref="A1:B1"/>
    <mergeCell ref="D1:E1"/>
    <mergeCell ref="G1:H1"/>
    <mergeCell ref="J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Database</vt:lpstr>
      <vt:lpstr>Pivot Table</vt:lpstr>
      <vt:lpstr>Descriptive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 Am Jarvis</dc:creator>
  <cp:lastModifiedBy>Meet Patel</cp:lastModifiedBy>
  <dcterms:created xsi:type="dcterms:W3CDTF">2024-06-19T16:55:42Z</dcterms:created>
  <dcterms:modified xsi:type="dcterms:W3CDTF">2026-02-23T10:49:05Z</dcterms:modified>
</cp:coreProperties>
</file>